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test/Desktop/"/>
    </mc:Choice>
  </mc:AlternateContent>
  <xr:revisionPtr revIDLastSave="0" documentId="13_ncr:1_{9BC326B4-7A2F-E64F-96B0-65E88E17F383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00 ANA SAYFA" sheetId="1" r:id="rId1"/>
    <sheet name="01 VERİ ENVANTERİ" sheetId="2" r:id="rId2"/>
    <sheet name="02 DENETİM KONTROL" sheetId="3" r:id="rId3"/>
    <sheet name="03 REV08 ÇAPRAZ KONTROL" sheetId="4" r:id="rId4"/>
    <sheet name="04 TANIMLAR" sheetId="5" state="hidden" r:id="rId5"/>
    <sheet name="05 REV11 FİNAL TARAMA" sheetId="6" r:id="rId6"/>
    <sheet name="06 LOT LİSTELERİ" sheetId="7" state="hidden" r:id="rId7"/>
    <sheet name="10 2025 ÜRETİM" sheetId="8" r:id="rId8"/>
    <sheet name="11 2025 PAKETLEME" sheetId="9" r:id="rId9"/>
    <sheet name="12 2025 SEVKİYAT" sheetId="10" r:id="rId10"/>
    <sheet name="90 2025 YIL ÖZETİ" sheetId="11" r:id="rId11"/>
    <sheet name="20 2026 DEPO KABUL" sheetId="12" r:id="rId12"/>
    <sheet name="21 2026 ÜRETİM" sheetId="13" r:id="rId13"/>
    <sheet name="22 2026 PAKETLEME" sheetId="14" r:id="rId14"/>
    <sheet name="23 2026 SEVKİYAT" sheetId="15" r:id="rId15"/>
    <sheet name="24 2026 KÜTLE DENKLİĞİ" sheetId="16" r:id="rId16"/>
    <sheet name="25 2026 LOT BAĞI" sheetId="17" r:id="rId17"/>
    <sheet name="26 2026 TEMİZLİK" sheetId="18" r:id="rId18"/>
    <sheet name="98 ÇAPRAZ KONTROL" sheetId="19" r:id="rId19"/>
    <sheet name="99 KULLANIM" sheetId="20" r:id="rId20"/>
    <sheet name="97 LOT BAĞI ESKİ" sheetId="21" state="hidden" r:id="rId21"/>
  </sheets>
  <definedNames>
    <definedName name="_xlnm._FilterDatabase" localSheetId="1" hidden="1">'01 VERİ ENVANTERİ'!$A$1:$D$8</definedName>
    <definedName name="_xlnm._FilterDatabase" localSheetId="2" hidden="1">'02 DENETİM KONTROL'!$A$1:$F$28</definedName>
    <definedName name="_xlnm._FilterDatabase" localSheetId="7" hidden="1">'10 2025 ÜRETİM'!$A$1:$G$9</definedName>
    <definedName name="_xlnm._FilterDatabase" localSheetId="8" hidden="1">'11 2025 PAKETLEME'!$A$1:$H$4</definedName>
    <definedName name="_xlnm._FilterDatabase" localSheetId="9" hidden="1">'12 2025 SEVKİYAT'!$A$1:$H$6</definedName>
    <definedName name="_xlnm._FilterDatabase" localSheetId="11" hidden="1">'20 2026 DEPO KABUL'!$A$1:$J$501</definedName>
    <definedName name="_xlnm._FilterDatabase" localSheetId="12" hidden="1">'21 2026 ÜRETİM'!$A$1:$H$501</definedName>
    <definedName name="_xlnm._FilterDatabase" localSheetId="13" hidden="1">'22 2026 PAKETLEME'!$A$1:$K$501</definedName>
    <definedName name="_xlnm._FilterDatabase" localSheetId="14" hidden="1">'23 2026 SEVKİYAT'!$A$1:$I$501</definedName>
    <definedName name="_xlnm._FilterDatabase" localSheetId="15" hidden="1">'24 2026 KÜTLE DENKLİĞİ'!$A$1:$M$501</definedName>
    <definedName name="_xlnm._FilterDatabase" localSheetId="16" hidden="1">'25 2026 LOT BAĞI'!$A$1:$L$501</definedName>
    <definedName name="_xlnm._FilterDatabase" localSheetId="17" hidden="1">'26 2026 TEMİZLİK'!$A$1:$H$501</definedName>
    <definedName name="_xlnm._FilterDatabase" localSheetId="20" hidden="1">'97 LOT BAĞI ESKİ'!$A$1:$J$573</definedName>
    <definedName name="_xlnm._FilterDatabase" localSheetId="18" hidden="1">'98 ÇAPRAZ KONTROL'!$A$1:$I$8</definedName>
    <definedName name="LOT_BENECEL">'25 2026 LOT BAĞI'!$T$2:$T$2</definedName>
    <definedName name="LOT_KARABIBER">'25 2026 LOT BAĞI'!$R$2:$R$4</definedName>
    <definedName name="LOT_MISIR">'25 2026 LOT BAĞI'!$O$2:$O$4</definedName>
    <definedName name="LOT_NISASTA">'25 2026 LOT BAĞI'!$N$2:$N$3</definedName>
    <definedName name="LOT_PATATES">'25 2026 LOT BAĞI'!$M$2:$M$3</definedName>
    <definedName name="LOT_SARIMSAK">'25 2026 LOT BAĞI'!$Q$2:$Q$3</definedName>
    <definedName name="LOT_SAVOUR">'25 2026 LOT BAĞI'!$P$2:$P$2</definedName>
    <definedName name="LOT_TUZ">'25 2026 LOT BAĞI'!$S$2:$S$3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1" i="21" l="1"/>
  <c r="G501" i="21"/>
  <c r="D501" i="21"/>
  <c r="H500" i="21"/>
  <c r="G500" i="21"/>
  <c r="D500" i="21"/>
  <c r="H499" i="21"/>
  <c r="G499" i="21"/>
  <c r="D499" i="21"/>
  <c r="H498" i="21"/>
  <c r="G498" i="21"/>
  <c r="D498" i="21"/>
  <c r="H497" i="21"/>
  <c r="G497" i="21"/>
  <c r="D497" i="21"/>
  <c r="H496" i="21"/>
  <c r="G496" i="21"/>
  <c r="D496" i="21"/>
  <c r="H495" i="21"/>
  <c r="G495" i="21"/>
  <c r="D495" i="21"/>
  <c r="H494" i="21"/>
  <c r="G494" i="21"/>
  <c r="D494" i="21"/>
  <c r="H493" i="21"/>
  <c r="G493" i="21"/>
  <c r="D493" i="21"/>
  <c r="H492" i="21"/>
  <c r="G492" i="21"/>
  <c r="D492" i="21"/>
  <c r="H491" i="21"/>
  <c r="G491" i="21"/>
  <c r="D491" i="21"/>
  <c r="H490" i="21"/>
  <c r="G490" i="21"/>
  <c r="D490" i="21"/>
  <c r="H489" i="21"/>
  <c r="G489" i="21"/>
  <c r="D489" i="21"/>
  <c r="H488" i="21"/>
  <c r="G488" i="21"/>
  <c r="D488" i="21"/>
  <c r="H487" i="21"/>
  <c r="G487" i="21"/>
  <c r="D487" i="21"/>
  <c r="H486" i="21"/>
  <c r="G486" i="21"/>
  <c r="D486" i="21"/>
  <c r="H485" i="21"/>
  <c r="G485" i="21"/>
  <c r="D485" i="21"/>
  <c r="H484" i="21"/>
  <c r="G484" i="21"/>
  <c r="D484" i="21"/>
  <c r="H483" i="21"/>
  <c r="G483" i="21"/>
  <c r="D483" i="21"/>
  <c r="H482" i="21"/>
  <c r="G482" i="21"/>
  <c r="D482" i="21"/>
  <c r="H481" i="21"/>
  <c r="G481" i="21"/>
  <c r="D481" i="21"/>
  <c r="H480" i="21"/>
  <c r="G480" i="21"/>
  <c r="D480" i="21"/>
  <c r="H479" i="21"/>
  <c r="G479" i="21"/>
  <c r="D479" i="21"/>
  <c r="H478" i="21"/>
  <c r="G478" i="21"/>
  <c r="D478" i="21"/>
  <c r="H477" i="21"/>
  <c r="G477" i="21"/>
  <c r="D477" i="21"/>
  <c r="H476" i="21"/>
  <c r="G476" i="21"/>
  <c r="D476" i="21"/>
  <c r="H475" i="21"/>
  <c r="G475" i="21"/>
  <c r="D475" i="21"/>
  <c r="H474" i="21"/>
  <c r="G474" i="21"/>
  <c r="D474" i="21"/>
  <c r="H473" i="21"/>
  <c r="G473" i="21"/>
  <c r="D473" i="21"/>
  <c r="H472" i="21"/>
  <c r="G472" i="21"/>
  <c r="D472" i="21"/>
  <c r="H471" i="21"/>
  <c r="G471" i="21"/>
  <c r="D471" i="21"/>
  <c r="H470" i="21"/>
  <c r="G470" i="21"/>
  <c r="D470" i="21"/>
  <c r="H469" i="21"/>
  <c r="G469" i="21"/>
  <c r="D469" i="21"/>
  <c r="H468" i="21"/>
  <c r="G468" i="21"/>
  <c r="D468" i="21"/>
  <c r="H467" i="21"/>
  <c r="G467" i="21"/>
  <c r="D467" i="21"/>
  <c r="H466" i="21"/>
  <c r="G466" i="21"/>
  <c r="D466" i="21"/>
  <c r="H465" i="21"/>
  <c r="G465" i="21"/>
  <c r="D465" i="21"/>
  <c r="H464" i="21"/>
  <c r="G464" i="21"/>
  <c r="D464" i="21"/>
  <c r="H463" i="21"/>
  <c r="G463" i="21"/>
  <c r="D463" i="21"/>
  <c r="H462" i="21"/>
  <c r="G462" i="21"/>
  <c r="D462" i="21"/>
  <c r="H461" i="21"/>
  <c r="G461" i="21"/>
  <c r="D461" i="21"/>
  <c r="H460" i="21"/>
  <c r="G460" i="21"/>
  <c r="D460" i="21"/>
  <c r="H459" i="21"/>
  <c r="G459" i="21"/>
  <c r="D459" i="21"/>
  <c r="H458" i="21"/>
  <c r="G458" i="21"/>
  <c r="D458" i="21"/>
  <c r="H457" i="21"/>
  <c r="G457" i="21"/>
  <c r="D457" i="21"/>
  <c r="H456" i="21"/>
  <c r="G456" i="21"/>
  <c r="D456" i="21"/>
  <c r="H455" i="21"/>
  <c r="G455" i="21"/>
  <c r="D455" i="21"/>
  <c r="H454" i="21"/>
  <c r="G454" i="21"/>
  <c r="D454" i="21"/>
  <c r="H453" i="21"/>
  <c r="G453" i="21"/>
  <c r="D453" i="21"/>
  <c r="H452" i="21"/>
  <c r="G452" i="21"/>
  <c r="D452" i="21"/>
  <c r="H451" i="21"/>
  <c r="G451" i="21"/>
  <c r="D451" i="21"/>
  <c r="H450" i="21"/>
  <c r="G450" i="21"/>
  <c r="D450" i="21"/>
  <c r="H449" i="21"/>
  <c r="G449" i="21"/>
  <c r="D449" i="21"/>
  <c r="H448" i="21"/>
  <c r="G448" i="21"/>
  <c r="D448" i="21"/>
  <c r="H447" i="21"/>
  <c r="G447" i="21"/>
  <c r="D447" i="21"/>
  <c r="H446" i="21"/>
  <c r="G446" i="21"/>
  <c r="D446" i="21"/>
  <c r="H445" i="21"/>
  <c r="G445" i="21"/>
  <c r="D445" i="21"/>
  <c r="H444" i="21"/>
  <c r="G444" i="21"/>
  <c r="D444" i="21"/>
  <c r="H443" i="21"/>
  <c r="G443" i="21"/>
  <c r="D443" i="21"/>
  <c r="H442" i="21"/>
  <c r="G442" i="21"/>
  <c r="D442" i="21"/>
  <c r="H441" i="21"/>
  <c r="G441" i="21"/>
  <c r="D441" i="21"/>
  <c r="H440" i="21"/>
  <c r="G440" i="21"/>
  <c r="D440" i="21"/>
  <c r="H439" i="21"/>
  <c r="G439" i="21"/>
  <c r="D439" i="21"/>
  <c r="H438" i="21"/>
  <c r="G438" i="21"/>
  <c r="D438" i="21"/>
  <c r="H437" i="21"/>
  <c r="G437" i="21"/>
  <c r="D437" i="21"/>
  <c r="H436" i="21"/>
  <c r="G436" i="21"/>
  <c r="D436" i="21"/>
  <c r="H435" i="21"/>
  <c r="G435" i="21"/>
  <c r="D435" i="21"/>
  <c r="H434" i="21"/>
  <c r="G434" i="21"/>
  <c r="D434" i="21"/>
  <c r="H433" i="21"/>
  <c r="G433" i="21"/>
  <c r="D433" i="21"/>
  <c r="H432" i="21"/>
  <c r="G432" i="21"/>
  <c r="D432" i="21"/>
  <c r="H431" i="21"/>
  <c r="G431" i="21"/>
  <c r="D431" i="21"/>
  <c r="H430" i="21"/>
  <c r="G430" i="21"/>
  <c r="D430" i="21"/>
  <c r="H429" i="21"/>
  <c r="G429" i="21"/>
  <c r="D429" i="21"/>
  <c r="H428" i="21"/>
  <c r="G428" i="21"/>
  <c r="D428" i="21"/>
  <c r="H427" i="21"/>
  <c r="G427" i="21"/>
  <c r="D427" i="21"/>
  <c r="H426" i="21"/>
  <c r="G426" i="21"/>
  <c r="D426" i="21"/>
  <c r="H425" i="21"/>
  <c r="G425" i="21"/>
  <c r="D425" i="21"/>
  <c r="H424" i="21"/>
  <c r="G424" i="21"/>
  <c r="D424" i="21"/>
  <c r="H423" i="21"/>
  <c r="G423" i="21"/>
  <c r="D423" i="21"/>
  <c r="H422" i="21"/>
  <c r="G422" i="21"/>
  <c r="D422" i="21"/>
  <c r="H421" i="21"/>
  <c r="G421" i="21"/>
  <c r="D421" i="21"/>
  <c r="H420" i="21"/>
  <c r="G420" i="21"/>
  <c r="D420" i="21"/>
  <c r="H419" i="21"/>
  <c r="G419" i="21"/>
  <c r="D419" i="21"/>
  <c r="H418" i="21"/>
  <c r="G418" i="21"/>
  <c r="D418" i="21"/>
  <c r="H417" i="21"/>
  <c r="G417" i="21"/>
  <c r="D417" i="21"/>
  <c r="H416" i="21"/>
  <c r="G416" i="21"/>
  <c r="D416" i="21"/>
  <c r="H415" i="21"/>
  <c r="G415" i="21"/>
  <c r="D415" i="21"/>
  <c r="H414" i="21"/>
  <c r="G414" i="21"/>
  <c r="D414" i="21"/>
  <c r="H413" i="21"/>
  <c r="G413" i="21"/>
  <c r="D413" i="21"/>
  <c r="H412" i="21"/>
  <c r="G412" i="21"/>
  <c r="D412" i="21"/>
  <c r="H411" i="21"/>
  <c r="G411" i="21"/>
  <c r="D411" i="21"/>
  <c r="H410" i="21"/>
  <c r="G410" i="21"/>
  <c r="D410" i="21"/>
  <c r="H409" i="21"/>
  <c r="G409" i="21"/>
  <c r="D409" i="21"/>
  <c r="H408" i="21"/>
  <c r="G408" i="21"/>
  <c r="D408" i="21"/>
  <c r="H407" i="21"/>
  <c r="G407" i="21"/>
  <c r="D407" i="21"/>
  <c r="H406" i="21"/>
  <c r="G406" i="21"/>
  <c r="D406" i="21"/>
  <c r="H405" i="21"/>
  <c r="G405" i="21"/>
  <c r="D405" i="21"/>
  <c r="H404" i="21"/>
  <c r="G404" i="21"/>
  <c r="D404" i="21"/>
  <c r="H403" i="21"/>
  <c r="G403" i="21"/>
  <c r="D403" i="21"/>
  <c r="H402" i="21"/>
  <c r="G402" i="21"/>
  <c r="D402" i="21"/>
  <c r="H401" i="21"/>
  <c r="G401" i="21"/>
  <c r="D401" i="21"/>
  <c r="H400" i="21"/>
  <c r="G400" i="21"/>
  <c r="D400" i="21"/>
  <c r="H399" i="21"/>
  <c r="G399" i="21"/>
  <c r="D399" i="21"/>
  <c r="H398" i="21"/>
  <c r="G398" i="21"/>
  <c r="D398" i="21"/>
  <c r="H397" i="21"/>
  <c r="G397" i="21"/>
  <c r="D397" i="21"/>
  <c r="H396" i="21"/>
  <c r="G396" i="21"/>
  <c r="D396" i="21"/>
  <c r="H395" i="21"/>
  <c r="G395" i="21"/>
  <c r="D395" i="21"/>
  <c r="H394" i="21"/>
  <c r="G394" i="21"/>
  <c r="D394" i="21"/>
  <c r="H393" i="21"/>
  <c r="G393" i="21"/>
  <c r="D393" i="21"/>
  <c r="H392" i="21"/>
  <c r="G392" i="21"/>
  <c r="D392" i="21"/>
  <c r="H391" i="21"/>
  <c r="G391" i="21"/>
  <c r="D391" i="21"/>
  <c r="H390" i="21"/>
  <c r="G390" i="21"/>
  <c r="D390" i="21"/>
  <c r="H389" i="21"/>
  <c r="G389" i="21"/>
  <c r="D389" i="21"/>
  <c r="H388" i="21"/>
  <c r="G388" i="21"/>
  <c r="D388" i="21"/>
  <c r="H387" i="21"/>
  <c r="G387" i="21"/>
  <c r="D387" i="21"/>
  <c r="H386" i="21"/>
  <c r="G386" i="21"/>
  <c r="D386" i="21"/>
  <c r="H385" i="21"/>
  <c r="G385" i="21"/>
  <c r="D385" i="21"/>
  <c r="H384" i="21"/>
  <c r="G384" i="21"/>
  <c r="D384" i="21"/>
  <c r="H383" i="21"/>
  <c r="G383" i="21"/>
  <c r="D383" i="21"/>
  <c r="H382" i="21"/>
  <c r="G382" i="21"/>
  <c r="D382" i="21"/>
  <c r="H381" i="21"/>
  <c r="G381" i="21"/>
  <c r="D381" i="21"/>
  <c r="H380" i="21"/>
  <c r="G380" i="21"/>
  <c r="D380" i="21"/>
  <c r="H379" i="21"/>
  <c r="G379" i="21"/>
  <c r="D379" i="21"/>
  <c r="H378" i="21"/>
  <c r="G378" i="21"/>
  <c r="D378" i="21"/>
  <c r="H377" i="21"/>
  <c r="G377" i="21"/>
  <c r="D377" i="21"/>
  <c r="H376" i="21"/>
  <c r="G376" i="21"/>
  <c r="D376" i="21"/>
  <c r="H375" i="21"/>
  <c r="G375" i="21"/>
  <c r="D375" i="21"/>
  <c r="H374" i="21"/>
  <c r="G374" i="21"/>
  <c r="D374" i="21"/>
  <c r="H373" i="21"/>
  <c r="G373" i="21"/>
  <c r="D373" i="21"/>
  <c r="H372" i="21"/>
  <c r="G372" i="21"/>
  <c r="D372" i="21"/>
  <c r="H371" i="21"/>
  <c r="G371" i="21"/>
  <c r="D371" i="21"/>
  <c r="H370" i="21"/>
  <c r="G370" i="21"/>
  <c r="D370" i="21"/>
  <c r="H369" i="21"/>
  <c r="G369" i="21"/>
  <c r="D369" i="21"/>
  <c r="H368" i="21"/>
  <c r="G368" i="21"/>
  <c r="D368" i="21"/>
  <c r="H367" i="21"/>
  <c r="G367" i="21"/>
  <c r="D367" i="21"/>
  <c r="H366" i="21"/>
  <c r="G366" i="21"/>
  <c r="D366" i="21"/>
  <c r="H365" i="21"/>
  <c r="G365" i="21"/>
  <c r="D365" i="21"/>
  <c r="H364" i="21"/>
  <c r="G364" i="21"/>
  <c r="D364" i="21"/>
  <c r="H363" i="21"/>
  <c r="G363" i="21"/>
  <c r="D363" i="21"/>
  <c r="H362" i="21"/>
  <c r="G362" i="21"/>
  <c r="D362" i="21"/>
  <c r="H361" i="21"/>
  <c r="G361" i="21"/>
  <c r="D361" i="21"/>
  <c r="H360" i="21"/>
  <c r="G360" i="21"/>
  <c r="D360" i="21"/>
  <c r="H359" i="21"/>
  <c r="G359" i="21"/>
  <c r="D359" i="21"/>
  <c r="H358" i="21"/>
  <c r="G358" i="21"/>
  <c r="D358" i="21"/>
  <c r="H357" i="21"/>
  <c r="G357" i="21"/>
  <c r="D357" i="21"/>
  <c r="H356" i="21"/>
  <c r="G356" i="21"/>
  <c r="D356" i="21"/>
  <c r="H355" i="21"/>
  <c r="G355" i="21"/>
  <c r="D355" i="21"/>
  <c r="H354" i="21"/>
  <c r="G354" i="21"/>
  <c r="D354" i="21"/>
  <c r="H353" i="21"/>
  <c r="G353" i="21"/>
  <c r="D353" i="21"/>
  <c r="H352" i="21"/>
  <c r="G352" i="21"/>
  <c r="D352" i="21"/>
  <c r="H351" i="21"/>
  <c r="G351" i="21"/>
  <c r="D351" i="21"/>
  <c r="H350" i="21"/>
  <c r="G350" i="21"/>
  <c r="D350" i="21"/>
  <c r="H349" i="21"/>
  <c r="G349" i="21"/>
  <c r="D349" i="21"/>
  <c r="H348" i="21"/>
  <c r="G348" i="21"/>
  <c r="D348" i="21"/>
  <c r="H347" i="21"/>
  <c r="G347" i="21"/>
  <c r="D347" i="21"/>
  <c r="H346" i="21"/>
  <c r="G346" i="21"/>
  <c r="D346" i="21"/>
  <c r="H345" i="21"/>
  <c r="G345" i="21"/>
  <c r="D345" i="21"/>
  <c r="H344" i="21"/>
  <c r="G344" i="21"/>
  <c r="D344" i="21"/>
  <c r="H343" i="21"/>
  <c r="G343" i="21"/>
  <c r="D343" i="21"/>
  <c r="H342" i="21"/>
  <c r="G342" i="21"/>
  <c r="D342" i="21"/>
  <c r="H341" i="21"/>
  <c r="G341" i="21"/>
  <c r="D341" i="21"/>
  <c r="H340" i="21"/>
  <c r="G340" i="21"/>
  <c r="D340" i="21"/>
  <c r="H339" i="21"/>
  <c r="G339" i="21"/>
  <c r="D339" i="21"/>
  <c r="H338" i="21"/>
  <c r="G338" i="21"/>
  <c r="D338" i="21"/>
  <c r="H337" i="21"/>
  <c r="G337" i="21"/>
  <c r="D337" i="21"/>
  <c r="H336" i="21"/>
  <c r="G336" i="21"/>
  <c r="D336" i="21"/>
  <c r="H335" i="21"/>
  <c r="G335" i="21"/>
  <c r="D335" i="21"/>
  <c r="H334" i="21"/>
  <c r="G334" i="21"/>
  <c r="D334" i="21"/>
  <c r="H333" i="21"/>
  <c r="G333" i="21"/>
  <c r="D333" i="21"/>
  <c r="H332" i="21"/>
  <c r="G332" i="21"/>
  <c r="D332" i="21"/>
  <c r="H331" i="21"/>
  <c r="G331" i="21"/>
  <c r="D331" i="21"/>
  <c r="H330" i="21"/>
  <c r="G330" i="21"/>
  <c r="D330" i="21"/>
  <c r="H329" i="21"/>
  <c r="G329" i="21"/>
  <c r="D329" i="21"/>
  <c r="H328" i="21"/>
  <c r="G328" i="21"/>
  <c r="D328" i="21"/>
  <c r="H327" i="21"/>
  <c r="G327" i="21"/>
  <c r="D327" i="21"/>
  <c r="H326" i="21"/>
  <c r="G326" i="21"/>
  <c r="D326" i="21"/>
  <c r="H325" i="21"/>
  <c r="G325" i="21"/>
  <c r="D325" i="21"/>
  <c r="H324" i="21"/>
  <c r="G324" i="21"/>
  <c r="D324" i="21"/>
  <c r="H323" i="21"/>
  <c r="G323" i="21"/>
  <c r="D323" i="21"/>
  <c r="H322" i="21"/>
  <c r="G322" i="21"/>
  <c r="D322" i="21"/>
  <c r="H321" i="21"/>
  <c r="G321" i="21"/>
  <c r="D321" i="21"/>
  <c r="H320" i="21"/>
  <c r="G320" i="21"/>
  <c r="D320" i="21"/>
  <c r="H319" i="21"/>
  <c r="G319" i="21"/>
  <c r="D319" i="21"/>
  <c r="H318" i="21"/>
  <c r="G318" i="21"/>
  <c r="D318" i="21"/>
  <c r="H317" i="21"/>
  <c r="G317" i="21"/>
  <c r="D317" i="21"/>
  <c r="H316" i="21"/>
  <c r="G316" i="21"/>
  <c r="D316" i="21"/>
  <c r="H315" i="21"/>
  <c r="G315" i="21"/>
  <c r="D315" i="21"/>
  <c r="H314" i="21"/>
  <c r="G314" i="21"/>
  <c r="D314" i="21"/>
  <c r="H313" i="21"/>
  <c r="G313" i="21"/>
  <c r="D313" i="21"/>
  <c r="H312" i="21"/>
  <c r="G312" i="21"/>
  <c r="D312" i="21"/>
  <c r="H311" i="21"/>
  <c r="G311" i="21"/>
  <c r="D311" i="21"/>
  <c r="H310" i="21"/>
  <c r="G310" i="21"/>
  <c r="D310" i="21"/>
  <c r="H309" i="21"/>
  <c r="G309" i="21"/>
  <c r="D309" i="21"/>
  <c r="H308" i="21"/>
  <c r="G308" i="21"/>
  <c r="D308" i="21"/>
  <c r="H307" i="21"/>
  <c r="G307" i="21"/>
  <c r="D307" i="21"/>
  <c r="H306" i="21"/>
  <c r="G306" i="21"/>
  <c r="D306" i="21"/>
  <c r="H305" i="21"/>
  <c r="G305" i="21"/>
  <c r="D305" i="21"/>
  <c r="H304" i="21"/>
  <c r="G304" i="21"/>
  <c r="D304" i="21"/>
  <c r="H303" i="21"/>
  <c r="G303" i="21"/>
  <c r="D303" i="21"/>
  <c r="H302" i="21"/>
  <c r="G302" i="21"/>
  <c r="D302" i="21"/>
  <c r="H301" i="21"/>
  <c r="G301" i="21"/>
  <c r="D301" i="21"/>
  <c r="H300" i="21"/>
  <c r="G300" i="21"/>
  <c r="D300" i="21"/>
  <c r="H299" i="21"/>
  <c r="G299" i="21"/>
  <c r="D299" i="21"/>
  <c r="H298" i="21"/>
  <c r="G298" i="21"/>
  <c r="D298" i="21"/>
  <c r="H297" i="21"/>
  <c r="G297" i="21"/>
  <c r="D297" i="21"/>
  <c r="H296" i="21"/>
  <c r="G296" i="21"/>
  <c r="D296" i="21"/>
  <c r="H295" i="21"/>
  <c r="G295" i="21"/>
  <c r="D295" i="21"/>
  <c r="H294" i="21"/>
  <c r="G294" i="21"/>
  <c r="D294" i="21"/>
  <c r="H293" i="21"/>
  <c r="G293" i="21"/>
  <c r="D293" i="21"/>
  <c r="H292" i="21"/>
  <c r="G292" i="21"/>
  <c r="D292" i="21"/>
  <c r="H291" i="21"/>
  <c r="G291" i="21"/>
  <c r="D291" i="21"/>
  <c r="H290" i="21"/>
  <c r="G290" i="21"/>
  <c r="D290" i="21"/>
  <c r="H289" i="21"/>
  <c r="G289" i="21"/>
  <c r="D289" i="21"/>
  <c r="H288" i="21"/>
  <c r="G288" i="21"/>
  <c r="D288" i="21"/>
  <c r="H287" i="21"/>
  <c r="G287" i="21"/>
  <c r="D287" i="21"/>
  <c r="H286" i="21"/>
  <c r="G286" i="21"/>
  <c r="D286" i="21"/>
  <c r="H285" i="21"/>
  <c r="G285" i="21"/>
  <c r="D285" i="21"/>
  <c r="H284" i="21"/>
  <c r="G284" i="21"/>
  <c r="D284" i="21"/>
  <c r="H283" i="21"/>
  <c r="G283" i="21"/>
  <c r="D283" i="21"/>
  <c r="H282" i="21"/>
  <c r="G282" i="21"/>
  <c r="D282" i="21"/>
  <c r="H281" i="21"/>
  <c r="G281" i="21"/>
  <c r="D281" i="21"/>
  <c r="H280" i="21"/>
  <c r="G280" i="21"/>
  <c r="D280" i="21"/>
  <c r="H279" i="21"/>
  <c r="G279" i="21"/>
  <c r="D279" i="21"/>
  <c r="H278" i="21"/>
  <c r="G278" i="21"/>
  <c r="D278" i="21"/>
  <c r="H277" i="21"/>
  <c r="G277" i="21"/>
  <c r="D277" i="21"/>
  <c r="H276" i="21"/>
  <c r="G276" i="21"/>
  <c r="D276" i="21"/>
  <c r="H275" i="21"/>
  <c r="G275" i="21"/>
  <c r="D275" i="21"/>
  <c r="H274" i="21"/>
  <c r="G274" i="21"/>
  <c r="D274" i="21"/>
  <c r="H273" i="21"/>
  <c r="G273" i="21"/>
  <c r="D273" i="21"/>
  <c r="H272" i="21"/>
  <c r="G272" i="21"/>
  <c r="D272" i="21"/>
  <c r="H271" i="21"/>
  <c r="G271" i="21"/>
  <c r="D271" i="21"/>
  <c r="H270" i="21"/>
  <c r="G270" i="21"/>
  <c r="D270" i="21"/>
  <c r="H269" i="21"/>
  <c r="G269" i="21"/>
  <c r="D269" i="21"/>
  <c r="H268" i="21"/>
  <c r="G268" i="21"/>
  <c r="D268" i="21"/>
  <c r="H267" i="21"/>
  <c r="G267" i="21"/>
  <c r="D267" i="21"/>
  <c r="H266" i="21"/>
  <c r="G266" i="21"/>
  <c r="D266" i="21"/>
  <c r="H265" i="21"/>
  <c r="G265" i="21"/>
  <c r="D265" i="21"/>
  <c r="H264" i="21"/>
  <c r="G264" i="21"/>
  <c r="D264" i="21"/>
  <c r="H263" i="21"/>
  <c r="G263" i="21"/>
  <c r="D263" i="21"/>
  <c r="H262" i="21"/>
  <c r="G262" i="21"/>
  <c r="D262" i="21"/>
  <c r="H261" i="21"/>
  <c r="G261" i="21"/>
  <c r="D261" i="21"/>
  <c r="H260" i="21"/>
  <c r="G260" i="21"/>
  <c r="D260" i="21"/>
  <c r="H259" i="21"/>
  <c r="G259" i="21"/>
  <c r="D259" i="21"/>
  <c r="H258" i="21"/>
  <c r="G258" i="21"/>
  <c r="D258" i="21"/>
  <c r="H257" i="21"/>
  <c r="G257" i="21"/>
  <c r="D257" i="21"/>
  <c r="H256" i="21"/>
  <c r="G256" i="21"/>
  <c r="D256" i="21"/>
  <c r="H255" i="21"/>
  <c r="G255" i="21"/>
  <c r="D255" i="21"/>
  <c r="H254" i="21"/>
  <c r="G254" i="21"/>
  <c r="D254" i="21"/>
  <c r="H253" i="21"/>
  <c r="G253" i="21"/>
  <c r="D253" i="21"/>
  <c r="H252" i="21"/>
  <c r="G252" i="21"/>
  <c r="D252" i="21"/>
  <c r="H251" i="21"/>
  <c r="G251" i="21"/>
  <c r="D251" i="21"/>
  <c r="H250" i="21"/>
  <c r="G250" i="21"/>
  <c r="D250" i="21"/>
  <c r="H249" i="21"/>
  <c r="G249" i="21"/>
  <c r="D249" i="21"/>
  <c r="H248" i="21"/>
  <c r="G248" i="21"/>
  <c r="D248" i="21"/>
  <c r="H247" i="21"/>
  <c r="G247" i="21"/>
  <c r="D247" i="21"/>
  <c r="H246" i="21"/>
  <c r="G246" i="21"/>
  <c r="D246" i="21"/>
  <c r="H245" i="21"/>
  <c r="G245" i="21"/>
  <c r="D245" i="21"/>
  <c r="H244" i="21"/>
  <c r="G244" i="21"/>
  <c r="D244" i="21"/>
  <c r="H243" i="21"/>
  <c r="G243" i="21"/>
  <c r="D243" i="21"/>
  <c r="H242" i="21"/>
  <c r="G242" i="21"/>
  <c r="D242" i="21"/>
  <c r="H241" i="21"/>
  <c r="G241" i="21"/>
  <c r="D241" i="21"/>
  <c r="H240" i="21"/>
  <c r="G240" i="21"/>
  <c r="D240" i="21"/>
  <c r="H239" i="21"/>
  <c r="G239" i="21"/>
  <c r="D239" i="21"/>
  <c r="H238" i="21"/>
  <c r="G238" i="21"/>
  <c r="D238" i="21"/>
  <c r="H237" i="21"/>
  <c r="G237" i="21"/>
  <c r="D237" i="21"/>
  <c r="H236" i="21"/>
  <c r="G236" i="21"/>
  <c r="D236" i="21"/>
  <c r="H235" i="21"/>
  <c r="G235" i="21"/>
  <c r="D235" i="21"/>
  <c r="H234" i="21"/>
  <c r="G234" i="21"/>
  <c r="D234" i="21"/>
  <c r="H233" i="21"/>
  <c r="G233" i="21"/>
  <c r="D233" i="21"/>
  <c r="H232" i="21"/>
  <c r="G232" i="21"/>
  <c r="D232" i="21"/>
  <c r="H231" i="21"/>
  <c r="G231" i="21"/>
  <c r="D231" i="21"/>
  <c r="H230" i="21"/>
  <c r="G230" i="21"/>
  <c r="D230" i="21"/>
  <c r="H229" i="21"/>
  <c r="G229" i="21"/>
  <c r="D229" i="21"/>
  <c r="H228" i="21"/>
  <c r="G228" i="21"/>
  <c r="D228" i="21"/>
  <c r="H227" i="21"/>
  <c r="G227" i="21"/>
  <c r="D227" i="21"/>
  <c r="H226" i="21"/>
  <c r="G226" i="21"/>
  <c r="D226" i="21"/>
  <c r="H225" i="21"/>
  <c r="G225" i="21"/>
  <c r="D225" i="21"/>
  <c r="H224" i="21"/>
  <c r="G224" i="21"/>
  <c r="D224" i="21"/>
  <c r="H223" i="21"/>
  <c r="G223" i="21"/>
  <c r="D223" i="21"/>
  <c r="H222" i="21"/>
  <c r="G222" i="21"/>
  <c r="D222" i="21"/>
  <c r="H221" i="21"/>
  <c r="G221" i="21"/>
  <c r="D221" i="21"/>
  <c r="H220" i="21"/>
  <c r="G220" i="21"/>
  <c r="D220" i="21"/>
  <c r="H219" i="21"/>
  <c r="G219" i="21"/>
  <c r="D219" i="21"/>
  <c r="H218" i="21"/>
  <c r="G218" i="21"/>
  <c r="D218" i="21"/>
  <c r="H217" i="21"/>
  <c r="G217" i="21"/>
  <c r="D217" i="21"/>
  <c r="H216" i="21"/>
  <c r="G216" i="21"/>
  <c r="D216" i="21"/>
  <c r="H215" i="21"/>
  <c r="G215" i="21"/>
  <c r="D215" i="21"/>
  <c r="H214" i="21"/>
  <c r="G214" i="21"/>
  <c r="D214" i="21"/>
  <c r="H213" i="21"/>
  <c r="G213" i="21"/>
  <c r="D213" i="21"/>
  <c r="H212" i="21"/>
  <c r="G212" i="21"/>
  <c r="D212" i="21"/>
  <c r="H211" i="21"/>
  <c r="G211" i="21"/>
  <c r="D211" i="21"/>
  <c r="H210" i="21"/>
  <c r="G210" i="21"/>
  <c r="D210" i="21"/>
  <c r="H209" i="21"/>
  <c r="G209" i="21"/>
  <c r="D209" i="21"/>
  <c r="H208" i="21"/>
  <c r="G208" i="21"/>
  <c r="D208" i="21"/>
  <c r="H207" i="21"/>
  <c r="G207" i="21"/>
  <c r="D207" i="21"/>
  <c r="H206" i="21"/>
  <c r="G206" i="21"/>
  <c r="D206" i="21"/>
  <c r="H205" i="21"/>
  <c r="G205" i="21"/>
  <c r="D205" i="21"/>
  <c r="H204" i="21"/>
  <c r="G204" i="21"/>
  <c r="D204" i="21"/>
  <c r="H203" i="21"/>
  <c r="G203" i="21"/>
  <c r="D203" i="21"/>
  <c r="H202" i="21"/>
  <c r="G202" i="21"/>
  <c r="D202" i="21"/>
  <c r="H201" i="21"/>
  <c r="G201" i="21"/>
  <c r="D201" i="21"/>
  <c r="H200" i="21"/>
  <c r="G200" i="21"/>
  <c r="D200" i="21"/>
  <c r="H199" i="21"/>
  <c r="G199" i="21"/>
  <c r="D199" i="21"/>
  <c r="H198" i="21"/>
  <c r="G198" i="21"/>
  <c r="D198" i="21"/>
  <c r="H197" i="21"/>
  <c r="G197" i="21"/>
  <c r="D197" i="21"/>
  <c r="H196" i="21"/>
  <c r="G196" i="21"/>
  <c r="D196" i="21"/>
  <c r="H195" i="21"/>
  <c r="G195" i="21"/>
  <c r="D195" i="21"/>
  <c r="H194" i="21"/>
  <c r="G194" i="21"/>
  <c r="D194" i="21"/>
  <c r="H193" i="21"/>
  <c r="G193" i="21"/>
  <c r="D193" i="21"/>
  <c r="H192" i="21"/>
  <c r="G192" i="21"/>
  <c r="D192" i="21"/>
  <c r="H191" i="21"/>
  <c r="G191" i="21"/>
  <c r="D191" i="21"/>
  <c r="H190" i="21"/>
  <c r="G190" i="21"/>
  <c r="D190" i="21"/>
  <c r="H189" i="21"/>
  <c r="G189" i="21"/>
  <c r="D189" i="21"/>
  <c r="H188" i="21"/>
  <c r="G188" i="21"/>
  <c r="D188" i="21"/>
  <c r="H187" i="21"/>
  <c r="G187" i="21"/>
  <c r="D187" i="21"/>
  <c r="H186" i="21"/>
  <c r="G186" i="21"/>
  <c r="D186" i="21"/>
  <c r="H185" i="21"/>
  <c r="G185" i="21"/>
  <c r="D185" i="21"/>
  <c r="H184" i="21"/>
  <c r="G184" i="21"/>
  <c r="D184" i="21"/>
  <c r="H183" i="21"/>
  <c r="G183" i="21"/>
  <c r="D183" i="21"/>
  <c r="H182" i="21"/>
  <c r="G182" i="21"/>
  <c r="D182" i="21"/>
  <c r="H181" i="21"/>
  <c r="G181" i="21"/>
  <c r="D181" i="21"/>
  <c r="H180" i="21"/>
  <c r="G180" i="21"/>
  <c r="D180" i="21"/>
  <c r="H179" i="21"/>
  <c r="G179" i="21"/>
  <c r="D179" i="21"/>
  <c r="H178" i="21"/>
  <c r="G178" i="21"/>
  <c r="D178" i="21"/>
  <c r="H177" i="21"/>
  <c r="G177" i="21"/>
  <c r="D177" i="21"/>
  <c r="H176" i="21"/>
  <c r="G176" i="21"/>
  <c r="D176" i="21"/>
  <c r="H175" i="21"/>
  <c r="G175" i="21"/>
  <c r="D175" i="21"/>
  <c r="H174" i="21"/>
  <c r="G174" i="21"/>
  <c r="D174" i="21"/>
  <c r="H173" i="21"/>
  <c r="G173" i="21"/>
  <c r="D173" i="21"/>
  <c r="H172" i="21"/>
  <c r="G172" i="21"/>
  <c r="D172" i="21"/>
  <c r="H171" i="21"/>
  <c r="G171" i="21"/>
  <c r="D171" i="21"/>
  <c r="H170" i="21"/>
  <c r="G170" i="21"/>
  <c r="D170" i="21"/>
  <c r="H169" i="21"/>
  <c r="G169" i="21"/>
  <c r="D169" i="21"/>
  <c r="H168" i="21"/>
  <c r="G168" i="21"/>
  <c r="D168" i="21"/>
  <c r="H167" i="21"/>
  <c r="G167" i="21"/>
  <c r="D167" i="21"/>
  <c r="H166" i="21"/>
  <c r="G166" i="21"/>
  <c r="D166" i="21"/>
  <c r="H165" i="21"/>
  <c r="G165" i="21"/>
  <c r="D165" i="21"/>
  <c r="H164" i="21"/>
  <c r="G164" i="21"/>
  <c r="D164" i="21"/>
  <c r="H163" i="21"/>
  <c r="G163" i="21"/>
  <c r="D163" i="21"/>
  <c r="H162" i="21"/>
  <c r="G162" i="21"/>
  <c r="D162" i="21"/>
  <c r="H161" i="21"/>
  <c r="G161" i="21"/>
  <c r="D161" i="21"/>
  <c r="H160" i="21"/>
  <c r="G160" i="21"/>
  <c r="D160" i="21"/>
  <c r="H159" i="21"/>
  <c r="G159" i="21"/>
  <c r="D159" i="21"/>
  <c r="H158" i="21"/>
  <c r="G158" i="21"/>
  <c r="D158" i="21"/>
  <c r="H157" i="21"/>
  <c r="G157" i="21"/>
  <c r="D157" i="21"/>
  <c r="H156" i="21"/>
  <c r="G156" i="21"/>
  <c r="D156" i="21"/>
  <c r="H155" i="21"/>
  <c r="G155" i="21"/>
  <c r="D155" i="21"/>
  <c r="H154" i="21"/>
  <c r="G154" i="21"/>
  <c r="D154" i="21"/>
  <c r="H153" i="21"/>
  <c r="G153" i="21"/>
  <c r="D153" i="21"/>
  <c r="H152" i="21"/>
  <c r="G152" i="21"/>
  <c r="D152" i="21"/>
  <c r="H151" i="21"/>
  <c r="G151" i="21"/>
  <c r="D151" i="21"/>
  <c r="H150" i="21"/>
  <c r="G150" i="21"/>
  <c r="D150" i="21"/>
  <c r="H149" i="21"/>
  <c r="G149" i="21"/>
  <c r="D149" i="21"/>
  <c r="H148" i="21"/>
  <c r="G148" i="21"/>
  <c r="D148" i="21"/>
  <c r="H147" i="21"/>
  <c r="G147" i="21"/>
  <c r="D147" i="21"/>
  <c r="H146" i="21"/>
  <c r="G146" i="21"/>
  <c r="D146" i="21"/>
  <c r="H145" i="21"/>
  <c r="G145" i="21"/>
  <c r="D145" i="21"/>
  <c r="H144" i="21"/>
  <c r="G144" i="21"/>
  <c r="D144" i="21"/>
  <c r="H143" i="21"/>
  <c r="G143" i="21"/>
  <c r="D143" i="21"/>
  <c r="H142" i="21"/>
  <c r="G142" i="21"/>
  <c r="D142" i="21"/>
  <c r="H141" i="21"/>
  <c r="G141" i="21"/>
  <c r="D141" i="21"/>
  <c r="H140" i="21"/>
  <c r="G140" i="21"/>
  <c r="D140" i="21"/>
  <c r="H139" i="21"/>
  <c r="G139" i="21"/>
  <c r="D139" i="21"/>
  <c r="H138" i="21"/>
  <c r="G138" i="21"/>
  <c r="D138" i="21"/>
  <c r="H137" i="21"/>
  <c r="G137" i="21"/>
  <c r="D137" i="21"/>
  <c r="H136" i="21"/>
  <c r="G136" i="21"/>
  <c r="D136" i="21"/>
  <c r="H135" i="21"/>
  <c r="G135" i="21"/>
  <c r="D135" i="21"/>
  <c r="H134" i="21"/>
  <c r="G134" i="21"/>
  <c r="D134" i="21"/>
  <c r="H133" i="21"/>
  <c r="G133" i="21"/>
  <c r="D133" i="21"/>
  <c r="H132" i="21"/>
  <c r="G132" i="21"/>
  <c r="D132" i="21"/>
  <c r="H131" i="21"/>
  <c r="G131" i="21"/>
  <c r="D131" i="21"/>
  <c r="H130" i="21"/>
  <c r="G130" i="21"/>
  <c r="D130" i="21"/>
  <c r="H129" i="21"/>
  <c r="G129" i="21"/>
  <c r="D129" i="21"/>
  <c r="H128" i="21"/>
  <c r="G128" i="21"/>
  <c r="D128" i="21"/>
  <c r="H127" i="21"/>
  <c r="G127" i="21"/>
  <c r="D127" i="21"/>
  <c r="H126" i="21"/>
  <c r="G126" i="21"/>
  <c r="D126" i="21"/>
  <c r="H125" i="21"/>
  <c r="G125" i="21"/>
  <c r="D125" i="21"/>
  <c r="H124" i="21"/>
  <c r="G124" i="21"/>
  <c r="D124" i="21"/>
  <c r="H123" i="21"/>
  <c r="G123" i="21"/>
  <c r="D123" i="21"/>
  <c r="H122" i="21"/>
  <c r="G122" i="21"/>
  <c r="D122" i="21"/>
  <c r="H121" i="21"/>
  <c r="G121" i="21"/>
  <c r="D121" i="21"/>
  <c r="A501" i="18"/>
  <c r="A500" i="18"/>
  <c r="A499" i="18"/>
  <c r="A498" i="18"/>
  <c r="A497" i="18"/>
  <c r="A496" i="18"/>
  <c r="A495" i="18"/>
  <c r="A494" i="18"/>
  <c r="A493" i="18"/>
  <c r="A492" i="18"/>
  <c r="A491" i="18"/>
  <c r="A490" i="18"/>
  <c r="A489" i="18"/>
  <c r="A488" i="18"/>
  <c r="A487" i="18"/>
  <c r="A486" i="18"/>
  <c r="A485" i="18"/>
  <c r="A484" i="18"/>
  <c r="A483" i="18"/>
  <c r="A482" i="18"/>
  <c r="A481" i="18"/>
  <c r="A480" i="18"/>
  <c r="A479" i="18"/>
  <c r="A478" i="18"/>
  <c r="A477" i="18"/>
  <c r="A476" i="18"/>
  <c r="A475" i="18"/>
  <c r="A474" i="18"/>
  <c r="A473" i="18"/>
  <c r="A472" i="18"/>
  <c r="A471" i="18"/>
  <c r="A470" i="18"/>
  <c r="A469" i="18"/>
  <c r="A468" i="18"/>
  <c r="A467" i="18"/>
  <c r="A466" i="18"/>
  <c r="A465" i="18"/>
  <c r="A464" i="18"/>
  <c r="A463" i="18"/>
  <c r="A462" i="18"/>
  <c r="A461" i="18"/>
  <c r="A460" i="18"/>
  <c r="A459" i="18"/>
  <c r="A458" i="18"/>
  <c r="A457" i="18"/>
  <c r="A456" i="18"/>
  <c r="A455" i="18"/>
  <c r="A454" i="18"/>
  <c r="A453" i="18"/>
  <c r="A452" i="18"/>
  <c r="A451" i="18"/>
  <c r="A450" i="18"/>
  <c r="A449" i="18"/>
  <c r="A448" i="18"/>
  <c r="A447" i="18"/>
  <c r="A446" i="18"/>
  <c r="A445" i="18"/>
  <c r="A444" i="18"/>
  <c r="A443" i="18"/>
  <c r="A442" i="18"/>
  <c r="A441" i="18"/>
  <c r="A440" i="18"/>
  <c r="A439" i="18"/>
  <c r="A438" i="18"/>
  <c r="A437" i="18"/>
  <c r="A436" i="18"/>
  <c r="A435" i="18"/>
  <c r="A434" i="18"/>
  <c r="A433" i="18"/>
  <c r="A432" i="18"/>
  <c r="A431" i="18"/>
  <c r="A430" i="18"/>
  <c r="A429" i="18"/>
  <c r="A428" i="18"/>
  <c r="A427" i="18"/>
  <c r="A426" i="18"/>
  <c r="A425" i="18"/>
  <c r="A424" i="18"/>
  <c r="A423" i="18"/>
  <c r="A422" i="18"/>
  <c r="A421" i="18"/>
  <c r="A420" i="18"/>
  <c r="A419" i="18"/>
  <c r="A418" i="18"/>
  <c r="A417" i="18"/>
  <c r="A416" i="18"/>
  <c r="A415" i="18"/>
  <c r="A414" i="18"/>
  <c r="A413" i="18"/>
  <c r="A412" i="18"/>
  <c r="A411" i="18"/>
  <c r="A410" i="18"/>
  <c r="A409" i="18"/>
  <c r="A408" i="18"/>
  <c r="A407" i="18"/>
  <c r="A406" i="18"/>
  <c r="A405" i="18"/>
  <c r="A404" i="18"/>
  <c r="A403" i="18"/>
  <c r="A402" i="18"/>
  <c r="A401" i="18"/>
  <c r="A400" i="18"/>
  <c r="A399" i="18"/>
  <c r="A398" i="18"/>
  <c r="A397" i="18"/>
  <c r="A396" i="18"/>
  <c r="A395" i="18"/>
  <c r="A394" i="18"/>
  <c r="A393" i="18"/>
  <c r="A392" i="18"/>
  <c r="A391" i="18"/>
  <c r="A390" i="18"/>
  <c r="A389" i="18"/>
  <c r="A388" i="18"/>
  <c r="A387" i="18"/>
  <c r="A386" i="18"/>
  <c r="A385" i="18"/>
  <c r="A384" i="18"/>
  <c r="A383" i="18"/>
  <c r="A382" i="18"/>
  <c r="A381" i="18"/>
  <c r="A380" i="18"/>
  <c r="A379" i="18"/>
  <c r="A378" i="18"/>
  <c r="A377" i="18"/>
  <c r="A376" i="18"/>
  <c r="A375" i="18"/>
  <c r="A374" i="18"/>
  <c r="A373" i="18"/>
  <c r="A372" i="18"/>
  <c r="A371" i="18"/>
  <c r="A370" i="18"/>
  <c r="A369" i="18"/>
  <c r="A368" i="18"/>
  <c r="A367" i="18"/>
  <c r="A366" i="18"/>
  <c r="A365" i="18"/>
  <c r="A364" i="18"/>
  <c r="A363" i="18"/>
  <c r="A362" i="18"/>
  <c r="A361" i="18"/>
  <c r="A360" i="18"/>
  <c r="A359" i="18"/>
  <c r="A358" i="18"/>
  <c r="A357" i="18"/>
  <c r="A356" i="18"/>
  <c r="A355" i="18"/>
  <c r="A354" i="18"/>
  <c r="A353" i="18"/>
  <c r="A352" i="18"/>
  <c r="A351" i="18"/>
  <c r="A350" i="18"/>
  <c r="A349" i="18"/>
  <c r="A348" i="18"/>
  <c r="A347" i="18"/>
  <c r="A346" i="18"/>
  <c r="A345" i="18"/>
  <c r="A344" i="18"/>
  <c r="A343" i="18"/>
  <c r="A342" i="18"/>
  <c r="A341" i="18"/>
  <c r="A340" i="18"/>
  <c r="A339" i="18"/>
  <c r="A338" i="18"/>
  <c r="A337" i="18"/>
  <c r="A336" i="18"/>
  <c r="A335" i="18"/>
  <c r="A334" i="18"/>
  <c r="A333" i="18"/>
  <c r="A332" i="18"/>
  <c r="A331" i="18"/>
  <c r="A330" i="18"/>
  <c r="A329" i="18"/>
  <c r="A328" i="18"/>
  <c r="A327" i="18"/>
  <c r="A326" i="18"/>
  <c r="A325" i="18"/>
  <c r="A324" i="18"/>
  <c r="A323" i="18"/>
  <c r="A322" i="18"/>
  <c r="A321" i="18"/>
  <c r="A320" i="18"/>
  <c r="A319" i="18"/>
  <c r="A318" i="18"/>
  <c r="A317" i="18"/>
  <c r="A316" i="18"/>
  <c r="A315" i="18"/>
  <c r="A314" i="18"/>
  <c r="A313" i="18"/>
  <c r="A312" i="18"/>
  <c r="A311" i="18"/>
  <c r="A310" i="18"/>
  <c r="A309" i="18"/>
  <c r="A308" i="18"/>
  <c r="A307" i="18"/>
  <c r="A306" i="18"/>
  <c r="A305" i="18"/>
  <c r="A304" i="18"/>
  <c r="A303" i="18"/>
  <c r="A302" i="18"/>
  <c r="A301" i="18"/>
  <c r="A300" i="18"/>
  <c r="A299" i="18"/>
  <c r="A298" i="18"/>
  <c r="A297" i="18"/>
  <c r="A296" i="18"/>
  <c r="A295" i="18"/>
  <c r="A294" i="18"/>
  <c r="A293" i="18"/>
  <c r="A292" i="18"/>
  <c r="A291" i="18"/>
  <c r="A290" i="18"/>
  <c r="A289" i="18"/>
  <c r="A288" i="18"/>
  <c r="A287" i="18"/>
  <c r="A286" i="18"/>
  <c r="A285" i="18"/>
  <c r="A284" i="18"/>
  <c r="A283" i="18"/>
  <c r="A282" i="18"/>
  <c r="A281" i="18"/>
  <c r="A280" i="18"/>
  <c r="A279" i="18"/>
  <c r="A278" i="18"/>
  <c r="A277" i="18"/>
  <c r="A276" i="18"/>
  <c r="A275" i="18"/>
  <c r="A274" i="18"/>
  <c r="A273" i="18"/>
  <c r="A272" i="18"/>
  <c r="A271" i="18"/>
  <c r="A270" i="18"/>
  <c r="A269" i="18"/>
  <c r="A268" i="18"/>
  <c r="A267" i="18"/>
  <c r="A266" i="18"/>
  <c r="A265" i="18"/>
  <c r="A264" i="18"/>
  <c r="A263" i="18"/>
  <c r="A262" i="18"/>
  <c r="A261" i="18"/>
  <c r="A260" i="18"/>
  <c r="A259" i="18"/>
  <c r="A258" i="18"/>
  <c r="A257" i="18"/>
  <c r="A256" i="18"/>
  <c r="A255" i="18"/>
  <c r="A254" i="18"/>
  <c r="A253" i="18"/>
  <c r="A252" i="18"/>
  <c r="A251" i="18"/>
  <c r="A250" i="18"/>
  <c r="A249" i="18"/>
  <c r="A248" i="18"/>
  <c r="A247" i="18"/>
  <c r="A246" i="18"/>
  <c r="A245" i="18"/>
  <c r="A244" i="18"/>
  <c r="A243" i="18"/>
  <c r="A242" i="18"/>
  <c r="A241" i="18"/>
  <c r="A240" i="18"/>
  <c r="A239" i="18"/>
  <c r="A238" i="18"/>
  <c r="A237" i="18"/>
  <c r="A236" i="18"/>
  <c r="A235" i="18"/>
  <c r="A234" i="18"/>
  <c r="A233" i="18"/>
  <c r="A232" i="18"/>
  <c r="A231" i="18"/>
  <c r="A230" i="18"/>
  <c r="A229" i="18"/>
  <c r="A228" i="18"/>
  <c r="A227" i="18"/>
  <c r="A226" i="18"/>
  <c r="A225" i="18"/>
  <c r="A224" i="18"/>
  <c r="A223" i="18"/>
  <c r="A222" i="18"/>
  <c r="A221" i="18"/>
  <c r="A220" i="18"/>
  <c r="A219" i="18"/>
  <c r="A218" i="18"/>
  <c r="A217" i="18"/>
  <c r="A216" i="18"/>
  <c r="A215" i="18"/>
  <c r="A214" i="18"/>
  <c r="A213" i="18"/>
  <c r="A212" i="18"/>
  <c r="A211" i="18"/>
  <c r="A210" i="18"/>
  <c r="A209" i="18"/>
  <c r="A208" i="18"/>
  <c r="A207" i="18"/>
  <c r="A206" i="18"/>
  <c r="A205" i="18"/>
  <c r="A204" i="18"/>
  <c r="A203" i="18"/>
  <c r="A202" i="18"/>
  <c r="A201" i="18"/>
  <c r="A200" i="18"/>
  <c r="A199" i="18"/>
  <c r="A198" i="18"/>
  <c r="A197" i="18"/>
  <c r="A196" i="18"/>
  <c r="A195" i="18"/>
  <c r="A194" i="18"/>
  <c r="A193" i="18"/>
  <c r="A192" i="18"/>
  <c r="A191" i="18"/>
  <c r="A190" i="18"/>
  <c r="A189" i="18"/>
  <c r="A188" i="18"/>
  <c r="A187" i="18"/>
  <c r="A186" i="18"/>
  <c r="A185" i="18"/>
  <c r="A184" i="18"/>
  <c r="A183" i="18"/>
  <c r="A182" i="18"/>
  <c r="A181" i="18"/>
  <c r="A180" i="18"/>
  <c r="A179" i="18"/>
  <c r="A178" i="18"/>
  <c r="A177" i="18"/>
  <c r="A176" i="18"/>
  <c r="A175" i="18"/>
  <c r="A174" i="18"/>
  <c r="A173" i="18"/>
  <c r="A172" i="18"/>
  <c r="A171" i="18"/>
  <c r="A170" i="18"/>
  <c r="A169" i="18"/>
  <c r="A168" i="18"/>
  <c r="A167" i="18"/>
  <c r="A166" i="18"/>
  <c r="A165" i="18"/>
  <c r="A164" i="18"/>
  <c r="A163" i="18"/>
  <c r="A162" i="18"/>
  <c r="A161" i="18"/>
  <c r="A160" i="18"/>
  <c r="A159" i="18"/>
  <c r="A158" i="18"/>
  <c r="A157" i="18"/>
  <c r="A156" i="18"/>
  <c r="A155" i="18"/>
  <c r="A154" i="18"/>
  <c r="A153" i="18"/>
  <c r="A152" i="18"/>
  <c r="A151" i="18"/>
  <c r="A150" i="18"/>
  <c r="A149" i="18"/>
  <c r="A148" i="18"/>
  <c r="A147" i="18"/>
  <c r="A146" i="18"/>
  <c r="A145" i="18"/>
  <c r="A144" i="18"/>
  <c r="A143" i="18"/>
  <c r="A142" i="18"/>
  <c r="A141" i="18"/>
  <c r="A140" i="18"/>
  <c r="A139" i="18"/>
  <c r="A138" i="18"/>
  <c r="A137" i="18"/>
  <c r="A136" i="18"/>
  <c r="A135" i="18"/>
  <c r="A134" i="18"/>
  <c r="A133" i="18"/>
  <c r="A132" i="18"/>
  <c r="A131" i="18"/>
  <c r="A130" i="18"/>
  <c r="A129" i="18"/>
  <c r="A128" i="18"/>
  <c r="A127" i="18"/>
  <c r="A126" i="18"/>
  <c r="A125" i="18"/>
  <c r="A124" i="18"/>
  <c r="A123" i="18"/>
  <c r="A122" i="18"/>
  <c r="A121" i="18"/>
  <c r="A120" i="18"/>
  <c r="A119" i="18"/>
  <c r="A118" i="18"/>
  <c r="A117" i="18"/>
  <c r="A116" i="18"/>
  <c r="A115" i="18"/>
  <c r="A114" i="18"/>
  <c r="A113" i="18"/>
  <c r="A112" i="18"/>
  <c r="A111" i="18"/>
  <c r="A110" i="18"/>
  <c r="A109" i="18"/>
  <c r="A108" i="18"/>
  <c r="A107" i="18"/>
  <c r="A106" i="18"/>
  <c r="A105" i="18"/>
  <c r="A104" i="18"/>
  <c r="A103" i="18"/>
  <c r="A102" i="18"/>
  <c r="A101" i="18"/>
  <c r="A100" i="18"/>
  <c r="A99" i="18"/>
  <c r="A98" i="18"/>
  <c r="A97" i="18"/>
  <c r="A96" i="18"/>
  <c r="A95" i="18"/>
  <c r="A94" i="18"/>
  <c r="A93" i="18"/>
  <c r="A92" i="18"/>
  <c r="A91" i="18"/>
  <c r="A90" i="18"/>
  <c r="A89" i="18"/>
  <c r="A88" i="18"/>
  <c r="A87" i="18"/>
  <c r="A86" i="18"/>
  <c r="A85" i="18"/>
  <c r="A84" i="18"/>
  <c r="A83" i="18"/>
  <c r="A82" i="18"/>
  <c r="A81" i="18"/>
  <c r="A80" i="18"/>
  <c r="A79" i="18"/>
  <c r="A78" i="18"/>
  <c r="A77" i="18"/>
  <c r="A76" i="18"/>
  <c r="A75" i="18"/>
  <c r="A74" i="18"/>
  <c r="A73" i="18"/>
  <c r="A72" i="18"/>
  <c r="A71" i="18"/>
  <c r="A70" i="18"/>
  <c r="A69" i="18"/>
  <c r="A68" i="18"/>
  <c r="A67" i="18"/>
  <c r="A66" i="18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A12" i="18"/>
  <c r="A11" i="18"/>
  <c r="A501" i="16"/>
  <c r="A500" i="16"/>
  <c r="I500" i="16" s="1"/>
  <c r="A499" i="16"/>
  <c r="A498" i="16"/>
  <c r="E498" i="16" s="1"/>
  <c r="A497" i="16"/>
  <c r="A496" i="16"/>
  <c r="C496" i="16" s="1"/>
  <c r="A495" i="16"/>
  <c r="C495" i="16" s="1"/>
  <c r="A494" i="16"/>
  <c r="I494" i="16" s="1"/>
  <c r="A493" i="16"/>
  <c r="F493" i="16" s="1"/>
  <c r="A492" i="16"/>
  <c r="A491" i="16"/>
  <c r="G491" i="16" s="1"/>
  <c r="A490" i="16"/>
  <c r="A489" i="16"/>
  <c r="A488" i="16"/>
  <c r="E488" i="16" s="1"/>
  <c r="A487" i="16"/>
  <c r="C487" i="16" s="1"/>
  <c r="A486" i="16"/>
  <c r="E486" i="16" s="1"/>
  <c r="E485" i="16"/>
  <c r="A485" i="16"/>
  <c r="G485" i="16" s="1"/>
  <c r="A484" i="16"/>
  <c r="A483" i="16"/>
  <c r="F483" i="16" s="1"/>
  <c r="A482" i="16"/>
  <c r="A481" i="16"/>
  <c r="G481" i="16" s="1"/>
  <c r="A480" i="16"/>
  <c r="C480" i="16" s="1"/>
  <c r="A479" i="16"/>
  <c r="A478" i="16"/>
  <c r="G478" i="16" s="1"/>
  <c r="A477" i="16"/>
  <c r="I477" i="16" s="1"/>
  <c r="A476" i="16"/>
  <c r="C476" i="16" s="1"/>
  <c r="A475" i="16"/>
  <c r="I475" i="16" s="1"/>
  <c r="A474" i="16"/>
  <c r="A473" i="16"/>
  <c r="A472" i="16"/>
  <c r="I472" i="16" s="1"/>
  <c r="A471" i="16"/>
  <c r="A470" i="16"/>
  <c r="F470" i="16" s="1"/>
  <c r="A469" i="16"/>
  <c r="A468" i="16"/>
  <c r="G468" i="16" s="1"/>
  <c r="G467" i="16"/>
  <c r="A467" i="16"/>
  <c r="F467" i="16" s="1"/>
  <c r="A466" i="16"/>
  <c r="I466" i="16" s="1"/>
  <c r="A465" i="16"/>
  <c r="I465" i="16" s="1"/>
  <c r="A464" i="16"/>
  <c r="I464" i="16" s="1"/>
  <c r="A463" i="16"/>
  <c r="A462" i="16"/>
  <c r="I462" i="16" s="1"/>
  <c r="A461" i="16"/>
  <c r="E461" i="16" s="1"/>
  <c r="F460" i="16"/>
  <c r="A460" i="16"/>
  <c r="E460" i="16" s="1"/>
  <c r="A459" i="16"/>
  <c r="A458" i="16"/>
  <c r="C458" i="16" s="1"/>
  <c r="A457" i="16"/>
  <c r="G457" i="16" s="1"/>
  <c r="A456" i="16"/>
  <c r="I456" i="16" s="1"/>
  <c r="A455" i="16"/>
  <c r="A454" i="16"/>
  <c r="A453" i="16"/>
  <c r="A452" i="16"/>
  <c r="E452" i="16" s="1"/>
  <c r="A451" i="16"/>
  <c r="F451" i="16" s="1"/>
  <c r="A450" i="16"/>
  <c r="G450" i="16" s="1"/>
  <c r="A449" i="16"/>
  <c r="A448" i="16"/>
  <c r="C448" i="16" s="1"/>
  <c r="A447" i="16"/>
  <c r="C447" i="16" s="1"/>
  <c r="I446" i="16"/>
  <c r="A446" i="16"/>
  <c r="C446" i="16" s="1"/>
  <c r="A445" i="16"/>
  <c r="G445" i="16" s="1"/>
  <c r="A444" i="16"/>
  <c r="F444" i="16" s="1"/>
  <c r="A443" i="16"/>
  <c r="A442" i="16"/>
  <c r="I442" i="16" s="1"/>
  <c r="A441" i="16"/>
  <c r="I441" i="16" s="1"/>
  <c r="A440" i="16"/>
  <c r="C440" i="16" s="1"/>
  <c r="A439" i="16"/>
  <c r="I439" i="16" s="1"/>
  <c r="A438" i="16"/>
  <c r="A437" i="16"/>
  <c r="G437" i="16" s="1"/>
  <c r="A436" i="16"/>
  <c r="A435" i="16"/>
  <c r="A434" i="16"/>
  <c r="A433" i="16"/>
  <c r="A432" i="16"/>
  <c r="I432" i="16" s="1"/>
  <c r="A431" i="16"/>
  <c r="G431" i="16" s="1"/>
  <c r="A430" i="16"/>
  <c r="C430" i="16" s="1"/>
  <c r="A429" i="16"/>
  <c r="F429" i="16" s="1"/>
  <c r="A428" i="16"/>
  <c r="E428" i="16" s="1"/>
  <c r="A427" i="16"/>
  <c r="A426" i="16"/>
  <c r="G426" i="16" s="1"/>
  <c r="A425" i="16"/>
  <c r="F425" i="16" s="1"/>
  <c r="A424" i="16"/>
  <c r="A423" i="16"/>
  <c r="F423" i="16" s="1"/>
  <c r="A422" i="16"/>
  <c r="E422" i="16" s="1"/>
  <c r="A421" i="16"/>
  <c r="A420" i="16"/>
  <c r="C420" i="16" s="1"/>
  <c r="A419" i="16"/>
  <c r="G419" i="16" s="1"/>
  <c r="A418" i="16"/>
  <c r="G418" i="16" s="1"/>
  <c r="I417" i="16"/>
  <c r="A417" i="16"/>
  <c r="E417" i="16" s="1"/>
  <c r="A416" i="16"/>
  <c r="F416" i="16" s="1"/>
  <c r="A415" i="16"/>
  <c r="C415" i="16" s="1"/>
  <c r="A414" i="16"/>
  <c r="G414" i="16" s="1"/>
  <c r="A413" i="16"/>
  <c r="F413" i="16" s="1"/>
  <c r="A412" i="16"/>
  <c r="A411" i="16"/>
  <c r="C411" i="16" s="1"/>
  <c r="A410" i="16"/>
  <c r="A409" i="16"/>
  <c r="A408" i="16"/>
  <c r="A407" i="16"/>
  <c r="I407" i="16" s="1"/>
  <c r="A406" i="16"/>
  <c r="I406" i="16" s="1"/>
  <c r="A405" i="16"/>
  <c r="G405" i="16" s="1"/>
  <c r="A404" i="16"/>
  <c r="A403" i="16"/>
  <c r="A402" i="16"/>
  <c r="A401" i="16"/>
  <c r="C401" i="16" s="1"/>
  <c r="A400" i="16"/>
  <c r="G400" i="16" s="1"/>
  <c r="A399" i="16"/>
  <c r="E399" i="16" s="1"/>
  <c r="A398" i="16"/>
  <c r="G398" i="16" s="1"/>
  <c r="A397" i="16"/>
  <c r="I397" i="16" s="1"/>
  <c r="A396" i="16"/>
  <c r="A395" i="16"/>
  <c r="I395" i="16" s="1"/>
  <c r="A394" i="16"/>
  <c r="E394" i="16" s="1"/>
  <c r="A393" i="16"/>
  <c r="I393" i="16" s="1"/>
  <c r="A392" i="16"/>
  <c r="G392" i="16" s="1"/>
  <c r="A391" i="16"/>
  <c r="I391" i="16" s="1"/>
  <c r="A390" i="16"/>
  <c r="A389" i="16"/>
  <c r="F389" i="16" s="1"/>
  <c r="A388" i="16"/>
  <c r="G388" i="16" s="1"/>
  <c r="A387" i="16"/>
  <c r="G387" i="16" s="1"/>
  <c r="A386" i="16"/>
  <c r="A385" i="16"/>
  <c r="A384" i="16"/>
  <c r="E384" i="16" s="1"/>
  <c r="A383" i="16"/>
  <c r="E383" i="16" s="1"/>
  <c r="A382" i="16"/>
  <c r="A381" i="16"/>
  <c r="I381" i="16" s="1"/>
  <c r="A380" i="16"/>
  <c r="A379" i="16"/>
  <c r="G378" i="16"/>
  <c r="A378" i="16"/>
  <c r="I378" i="16" s="1"/>
  <c r="A377" i="16"/>
  <c r="E377" i="16" s="1"/>
  <c r="A376" i="16"/>
  <c r="F376" i="16" s="1"/>
  <c r="A375" i="16"/>
  <c r="I375" i="16" s="1"/>
  <c r="A374" i="16"/>
  <c r="F374" i="16" s="1"/>
  <c r="A373" i="16"/>
  <c r="A372" i="16"/>
  <c r="C372" i="16" s="1"/>
  <c r="A371" i="16"/>
  <c r="C371" i="16" s="1"/>
  <c r="A370" i="16"/>
  <c r="I370" i="16" s="1"/>
  <c r="A369" i="16"/>
  <c r="F369" i="16" s="1"/>
  <c r="A368" i="16"/>
  <c r="A367" i="16"/>
  <c r="I367" i="16" s="1"/>
  <c r="A366" i="16"/>
  <c r="A365" i="16"/>
  <c r="I365" i="16" s="1"/>
  <c r="A364" i="16"/>
  <c r="A363" i="16"/>
  <c r="G363" i="16" s="1"/>
  <c r="A362" i="16"/>
  <c r="A361" i="16"/>
  <c r="A360" i="16"/>
  <c r="F360" i="16" s="1"/>
  <c r="A359" i="16"/>
  <c r="F359" i="16" s="1"/>
  <c r="A358" i="16"/>
  <c r="A357" i="16"/>
  <c r="A356" i="16"/>
  <c r="I356" i="16" s="1"/>
  <c r="A355" i="16"/>
  <c r="A354" i="16"/>
  <c r="I354" i="16" s="1"/>
  <c r="A353" i="16"/>
  <c r="A352" i="16"/>
  <c r="A351" i="16"/>
  <c r="A350" i="16"/>
  <c r="A349" i="16"/>
  <c r="F349" i="16" s="1"/>
  <c r="A348" i="16"/>
  <c r="A347" i="16"/>
  <c r="A346" i="16"/>
  <c r="A345" i="16"/>
  <c r="I345" i="16" s="1"/>
  <c r="A344" i="16"/>
  <c r="A343" i="16"/>
  <c r="A342" i="16"/>
  <c r="I342" i="16" s="1"/>
  <c r="A341" i="16"/>
  <c r="E340" i="16"/>
  <c r="A340" i="16"/>
  <c r="A339" i="16"/>
  <c r="I339" i="16" s="1"/>
  <c r="A338" i="16"/>
  <c r="F338" i="16" s="1"/>
  <c r="A337" i="16"/>
  <c r="I337" i="16" s="1"/>
  <c r="A336" i="16"/>
  <c r="A335" i="16"/>
  <c r="C335" i="16" s="1"/>
  <c r="A334" i="16"/>
  <c r="A333" i="16"/>
  <c r="G333" i="16" s="1"/>
  <c r="A332" i="16"/>
  <c r="A331" i="16"/>
  <c r="I331" i="16" s="1"/>
  <c r="A330" i="16"/>
  <c r="I330" i="16" s="1"/>
  <c r="G329" i="16"/>
  <c r="A329" i="16"/>
  <c r="A328" i="16"/>
  <c r="C328" i="16" s="1"/>
  <c r="A327" i="16"/>
  <c r="A326" i="16"/>
  <c r="E325" i="16"/>
  <c r="A325" i="16"/>
  <c r="A324" i="16"/>
  <c r="A323" i="16"/>
  <c r="C323" i="16" s="1"/>
  <c r="A322" i="16"/>
  <c r="I322" i="16" s="1"/>
  <c r="A321" i="16"/>
  <c r="A320" i="16"/>
  <c r="I320" i="16" s="1"/>
  <c r="A319" i="16"/>
  <c r="A318" i="16"/>
  <c r="A317" i="16"/>
  <c r="F317" i="16" s="1"/>
  <c r="A316" i="16"/>
  <c r="A315" i="16"/>
  <c r="A314" i="16"/>
  <c r="F314" i="16" s="1"/>
  <c r="A313" i="16"/>
  <c r="I313" i="16" s="1"/>
  <c r="A312" i="16"/>
  <c r="I312" i="16" s="1"/>
  <c r="A311" i="16"/>
  <c r="I311" i="16" s="1"/>
  <c r="A310" i="16"/>
  <c r="A309" i="16"/>
  <c r="G309" i="16" s="1"/>
  <c r="A308" i="16"/>
  <c r="I308" i="16" s="1"/>
  <c r="A307" i="16"/>
  <c r="E307" i="16" s="1"/>
  <c r="A306" i="16"/>
  <c r="A305" i="16"/>
  <c r="A304" i="16"/>
  <c r="E304" i="16" s="1"/>
  <c r="A303" i="16"/>
  <c r="A302" i="16"/>
  <c r="C302" i="16" s="1"/>
  <c r="A301" i="16"/>
  <c r="C301" i="16" s="1"/>
  <c r="A300" i="16"/>
  <c r="E300" i="16" s="1"/>
  <c r="I299" i="16"/>
  <c r="G299" i="16"/>
  <c r="A299" i="16"/>
  <c r="E299" i="16" s="1"/>
  <c r="A298" i="16"/>
  <c r="E298" i="16" s="1"/>
  <c r="A297" i="16"/>
  <c r="A296" i="16"/>
  <c r="E296" i="16" s="1"/>
  <c r="A295" i="16"/>
  <c r="E295" i="16" s="1"/>
  <c r="A294" i="16"/>
  <c r="F294" i="16" s="1"/>
  <c r="A293" i="16"/>
  <c r="A292" i="16"/>
  <c r="F292" i="16" s="1"/>
  <c r="A291" i="16"/>
  <c r="F291" i="16" s="1"/>
  <c r="A290" i="16"/>
  <c r="A289" i="16"/>
  <c r="C289" i="16" s="1"/>
  <c r="A288" i="16"/>
  <c r="A287" i="16"/>
  <c r="A286" i="16"/>
  <c r="C286" i="16" s="1"/>
  <c r="A285" i="16"/>
  <c r="E285" i="16" s="1"/>
  <c r="A284" i="16"/>
  <c r="E284" i="16" s="1"/>
  <c r="A283" i="16"/>
  <c r="I283" i="16" s="1"/>
  <c r="A282" i="16"/>
  <c r="F282" i="16" s="1"/>
  <c r="A281" i="16"/>
  <c r="A280" i="16"/>
  <c r="E280" i="16" s="1"/>
  <c r="A279" i="16"/>
  <c r="A278" i="16"/>
  <c r="A277" i="16"/>
  <c r="C276" i="16"/>
  <c r="A276" i="16"/>
  <c r="I276" i="16" s="1"/>
  <c r="A275" i="16"/>
  <c r="C275" i="16" s="1"/>
  <c r="A274" i="16"/>
  <c r="C274" i="16" s="1"/>
  <c r="A273" i="16"/>
  <c r="E273" i="16" s="1"/>
  <c r="A272" i="16"/>
  <c r="E271" i="16"/>
  <c r="A271" i="16"/>
  <c r="G271" i="16" s="1"/>
  <c r="A270" i="16"/>
  <c r="E270" i="16" s="1"/>
  <c r="A269" i="16"/>
  <c r="C269" i="16" s="1"/>
  <c r="A268" i="16"/>
  <c r="A267" i="16"/>
  <c r="E267" i="16" s="1"/>
  <c r="A266" i="16"/>
  <c r="C266" i="16" s="1"/>
  <c r="A265" i="16"/>
  <c r="G265" i="16" s="1"/>
  <c r="A264" i="16"/>
  <c r="C264" i="16" s="1"/>
  <c r="A263" i="16"/>
  <c r="A262" i="16"/>
  <c r="I261" i="16"/>
  <c r="G261" i="16"/>
  <c r="C261" i="16"/>
  <c r="A261" i="16"/>
  <c r="A260" i="16"/>
  <c r="A259" i="16"/>
  <c r="A258" i="16"/>
  <c r="A257" i="16"/>
  <c r="C257" i="16" s="1"/>
  <c r="A256" i="16"/>
  <c r="G256" i="16" s="1"/>
  <c r="A255" i="16"/>
  <c r="F254" i="16"/>
  <c r="A254" i="16"/>
  <c r="I254" i="16" s="1"/>
  <c r="A253" i="16"/>
  <c r="A252" i="16"/>
  <c r="A251" i="16"/>
  <c r="E251" i="16" s="1"/>
  <c r="G250" i="16"/>
  <c r="A250" i="16"/>
  <c r="E250" i="16" s="1"/>
  <c r="A249" i="16"/>
  <c r="A248" i="16"/>
  <c r="F248" i="16" s="1"/>
  <c r="A247" i="16"/>
  <c r="A246" i="16"/>
  <c r="A245" i="16"/>
  <c r="I244" i="16"/>
  <c r="A244" i="16"/>
  <c r="E244" i="16" s="1"/>
  <c r="A243" i="16"/>
  <c r="C243" i="16" s="1"/>
  <c r="A242" i="16"/>
  <c r="C242" i="16" s="1"/>
  <c r="A241" i="16"/>
  <c r="F241" i="16" s="1"/>
  <c r="A240" i="16"/>
  <c r="A239" i="16"/>
  <c r="A238" i="16"/>
  <c r="A237" i="16"/>
  <c r="F237" i="16" s="1"/>
  <c r="A236" i="16"/>
  <c r="A235" i="16"/>
  <c r="A234" i="16"/>
  <c r="A233" i="16"/>
  <c r="A232" i="16"/>
  <c r="A231" i="16"/>
  <c r="I231" i="16" s="1"/>
  <c r="A230" i="16"/>
  <c r="I230" i="16" s="1"/>
  <c r="A229" i="16"/>
  <c r="C229" i="16" s="1"/>
  <c r="A228" i="16"/>
  <c r="C228" i="16" s="1"/>
  <c r="A227" i="16"/>
  <c r="E227" i="16" s="1"/>
  <c r="A226" i="16"/>
  <c r="A225" i="16"/>
  <c r="I225" i="16" s="1"/>
  <c r="A224" i="16"/>
  <c r="F224" i="16" s="1"/>
  <c r="A223" i="16"/>
  <c r="I223" i="16" s="1"/>
  <c r="A222" i="16"/>
  <c r="A221" i="16"/>
  <c r="A220" i="16"/>
  <c r="A219" i="16"/>
  <c r="E219" i="16" s="1"/>
  <c r="A218" i="16"/>
  <c r="A217" i="16"/>
  <c r="A216" i="16"/>
  <c r="A215" i="16"/>
  <c r="A214" i="16"/>
  <c r="A213" i="16"/>
  <c r="C213" i="16" s="1"/>
  <c r="A212" i="16"/>
  <c r="A211" i="16"/>
  <c r="A210" i="16"/>
  <c r="A209" i="16"/>
  <c r="C209" i="16" s="1"/>
  <c r="A208" i="16"/>
  <c r="C208" i="16" s="1"/>
  <c r="A207" i="16"/>
  <c r="G207" i="16" s="1"/>
  <c r="A206" i="16"/>
  <c r="G206" i="16" s="1"/>
  <c r="A205" i="16"/>
  <c r="A204" i="16"/>
  <c r="A203" i="16"/>
  <c r="I203" i="16" s="1"/>
  <c r="A202" i="16"/>
  <c r="A201" i="16"/>
  <c r="I201" i="16" s="1"/>
  <c r="A200" i="16"/>
  <c r="A199" i="16"/>
  <c r="I199" i="16" s="1"/>
  <c r="A198" i="16"/>
  <c r="A197" i="16"/>
  <c r="A196" i="16"/>
  <c r="G196" i="16" s="1"/>
  <c r="A195" i="16"/>
  <c r="I195" i="16" s="1"/>
  <c r="A194" i="16"/>
  <c r="G194" i="16" s="1"/>
  <c r="A193" i="16"/>
  <c r="A192" i="16"/>
  <c r="A191" i="16"/>
  <c r="I191" i="16" s="1"/>
  <c r="A190" i="16"/>
  <c r="A189" i="16"/>
  <c r="G189" i="16" s="1"/>
  <c r="A188" i="16"/>
  <c r="A187" i="16"/>
  <c r="A186" i="16"/>
  <c r="I186" i="16" s="1"/>
  <c r="A185" i="16"/>
  <c r="G185" i="16" s="1"/>
  <c r="A184" i="16"/>
  <c r="E184" i="16" s="1"/>
  <c r="A183" i="16"/>
  <c r="A182" i="16"/>
  <c r="E181" i="16"/>
  <c r="A181" i="16"/>
  <c r="G181" i="16" s="1"/>
  <c r="A180" i="16"/>
  <c r="A179" i="16"/>
  <c r="A178" i="16"/>
  <c r="G178" i="16" s="1"/>
  <c r="A177" i="16"/>
  <c r="G177" i="16" s="1"/>
  <c r="A176" i="16"/>
  <c r="A175" i="16"/>
  <c r="G174" i="16"/>
  <c r="A174" i="16"/>
  <c r="C174" i="16" s="1"/>
  <c r="C173" i="16"/>
  <c r="A173" i="16"/>
  <c r="F173" i="16" s="1"/>
  <c r="F172" i="16"/>
  <c r="E172" i="16"/>
  <c r="A172" i="16"/>
  <c r="A171" i="16"/>
  <c r="A170" i="16"/>
  <c r="A169" i="16"/>
  <c r="A168" i="16"/>
  <c r="E168" i="16" s="1"/>
  <c r="A167" i="16"/>
  <c r="I167" i="16" s="1"/>
  <c r="A166" i="16"/>
  <c r="C166" i="16" s="1"/>
  <c r="A165" i="16"/>
  <c r="A164" i="16"/>
  <c r="A163" i="16"/>
  <c r="A162" i="16"/>
  <c r="F162" i="16" s="1"/>
  <c r="A161" i="16"/>
  <c r="A160" i="16"/>
  <c r="E160" i="16" s="1"/>
  <c r="A159" i="16"/>
  <c r="A158" i="16"/>
  <c r="A157" i="16"/>
  <c r="C157" i="16" s="1"/>
  <c r="A156" i="16"/>
  <c r="F156" i="16" s="1"/>
  <c r="A155" i="16"/>
  <c r="F155" i="16" s="1"/>
  <c r="A154" i="16"/>
  <c r="A153" i="16"/>
  <c r="I153" i="16" s="1"/>
  <c r="A152" i="16"/>
  <c r="G152" i="16" s="1"/>
  <c r="A151" i="16"/>
  <c r="E151" i="16" s="1"/>
  <c r="A150" i="16"/>
  <c r="A149" i="16"/>
  <c r="G149" i="16" s="1"/>
  <c r="A148" i="16"/>
  <c r="A147" i="16"/>
  <c r="G147" i="16" s="1"/>
  <c r="A146" i="16"/>
  <c r="I146" i="16" s="1"/>
  <c r="A145" i="16"/>
  <c r="A144" i="16"/>
  <c r="E144" i="16" s="1"/>
  <c r="A143" i="16"/>
  <c r="A142" i="16"/>
  <c r="G142" i="16" s="1"/>
  <c r="A141" i="16"/>
  <c r="E141" i="16" s="1"/>
  <c r="A140" i="16"/>
  <c r="F140" i="16" s="1"/>
  <c r="A139" i="16"/>
  <c r="A138" i="16"/>
  <c r="F138" i="16" s="1"/>
  <c r="A137" i="16"/>
  <c r="A136" i="16"/>
  <c r="I136" i="16" s="1"/>
  <c r="A135" i="16"/>
  <c r="G135" i="16" s="1"/>
  <c r="A134" i="16"/>
  <c r="G134" i="16" s="1"/>
  <c r="A133" i="16"/>
  <c r="C133" i="16" s="1"/>
  <c r="A132" i="16"/>
  <c r="I132" i="16" s="1"/>
  <c r="A131" i="16"/>
  <c r="F131" i="16" s="1"/>
  <c r="A130" i="16"/>
  <c r="A129" i="16"/>
  <c r="A128" i="16"/>
  <c r="I128" i="16" s="1"/>
  <c r="A127" i="16"/>
  <c r="A126" i="16"/>
  <c r="A125" i="16"/>
  <c r="F125" i="16" s="1"/>
  <c r="G124" i="16"/>
  <c r="A124" i="16"/>
  <c r="E124" i="16" s="1"/>
  <c r="A123" i="16"/>
  <c r="C123" i="16" s="1"/>
  <c r="A122" i="16"/>
  <c r="C122" i="16" s="1"/>
  <c r="A121" i="16"/>
  <c r="A120" i="16"/>
  <c r="A119" i="16"/>
  <c r="E119" i="16" s="1"/>
  <c r="A118" i="16"/>
  <c r="G118" i="16" s="1"/>
  <c r="A117" i="16"/>
  <c r="A116" i="16"/>
  <c r="G116" i="16" s="1"/>
  <c r="A115" i="16"/>
  <c r="A114" i="16"/>
  <c r="A113" i="16"/>
  <c r="E113" i="16" s="1"/>
  <c r="A112" i="16"/>
  <c r="A111" i="16"/>
  <c r="E111" i="16" s="1"/>
  <c r="A110" i="16"/>
  <c r="G110" i="16" s="1"/>
  <c r="A109" i="16"/>
  <c r="C109" i="16" s="1"/>
  <c r="A108" i="16"/>
  <c r="G108" i="16" s="1"/>
  <c r="A107" i="16"/>
  <c r="A106" i="16"/>
  <c r="C106" i="16" s="1"/>
  <c r="A105" i="16"/>
  <c r="I105" i="16" s="1"/>
  <c r="A104" i="16"/>
  <c r="I104" i="16" s="1"/>
  <c r="A103" i="16"/>
  <c r="A102" i="16"/>
  <c r="E102" i="16" s="1"/>
  <c r="A101" i="16"/>
  <c r="I101" i="16" s="1"/>
  <c r="A100" i="16"/>
  <c r="G100" i="16" s="1"/>
  <c r="A99" i="16"/>
  <c r="A98" i="16"/>
  <c r="A97" i="16"/>
  <c r="E97" i="16" s="1"/>
  <c r="A96" i="16"/>
  <c r="C96" i="16" s="1"/>
  <c r="A95" i="16"/>
  <c r="A94" i="16"/>
  <c r="F94" i="16" s="1"/>
  <c r="A93" i="16"/>
  <c r="E93" i="16" s="1"/>
  <c r="A92" i="16"/>
  <c r="A91" i="16"/>
  <c r="E91" i="16" s="1"/>
  <c r="A90" i="16"/>
  <c r="A89" i="16"/>
  <c r="A88" i="16"/>
  <c r="I88" i="16" s="1"/>
  <c r="A87" i="16"/>
  <c r="A86" i="16"/>
  <c r="G86" i="16" s="1"/>
  <c r="A85" i="16"/>
  <c r="G85" i="16" s="1"/>
  <c r="E84" i="16"/>
  <c r="A84" i="16"/>
  <c r="G84" i="16" s="1"/>
  <c r="A83" i="16"/>
  <c r="A82" i="16"/>
  <c r="C82" i="16" s="1"/>
  <c r="A81" i="16"/>
  <c r="C81" i="16" s="1"/>
  <c r="A80" i="16"/>
  <c r="A79" i="16"/>
  <c r="A78" i="16"/>
  <c r="F78" i="16" s="1"/>
  <c r="A77" i="16"/>
  <c r="E77" i="16" s="1"/>
  <c r="A76" i="16"/>
  <c r="E76" i="16" s="1"/>
  <c r="A75" i="16"/>
  <c r="I75" i="16" s="1"/>
  <c r="A74" i="16"/>
  <c r="A73" i="16"/>
  <c r="C73" i="16" s="1"/>
  <c r="A72" i="16"/>
  <c r="I72" i="16" s="1"/>
  <c r="E71" i="16"/>
  <c r="A71" i="16"/>
  <c r="G71" i="16" s="1"/>
  <c r="A70" i="16"/>
  <c r="G70" i="16" s="1"/>
  <c r="A69" i="16"/>
  <c r="A68" i="16"/>
  <c r="A67" i="16"/>
  <c r="A66" i="16"/>
  <c r="A65" i="16"/>
  <c r="G65" i="16" s="1"/>
  <c r="C64" i="16"/>
  <c r="A64" i="16"/>
  <c r="A63" i="16"/>
  <c r="A62" i="16"/>
  <c r="G62" i="16" s="1"/>
  <c r="A61" i="16"/>
  <c r="G61" i="16" s="1"/>
  <c r="A60" i="16"/>
  <c r="A59" i="16"/>
  <c r="A58" i="16"/>
  <c r="I58" i="16" s="1"/>
  <c r="A57" i="16"/>
  <c r="I57" i="16" s="1"/>
  <c r="G56" i="16"/>
  <c r="A56" i="16"/>
  <c r="I56" i="16" s="1"/>
  <c r="A55" i="16"/>
  <c r="G55" i="16" s="1"/>
  <c r="G54" i="16"/>
  <c r="A54" i="16"/>
  <c r="F54" i="16" s="1"/>
  <c r="A53" i="16"/>
  <c r="A52" i="16"/>
  <c r="A51" i="16"/>
  <c r="G51" i="16" s="1"/>
  <c r="A50" i="16"/>
  <c r="C50" i="16" s="1"/>
  <c r="A49" i="16"/>
  <c r="A48" i="16"/>
  <c r="G47" i="16"/>
  <c r="F47" i="16"/>
  <c r="A47" i="16"/>
  <c r="I47" i="16" s="1"/>
  <c r="A46" i="16"/>
  <c r="G46" i="16" s="1"/>
  <c r="A45" i="16"/>
  <c r="G45" i="16" s="1"/>
  <c r="A44" i="16"/>
  <c r="G44" i="16" s="1"/>
  <c r="A43" i="16"/>
  <c r="I43" i="16" s="1"/>
  <c r="I42" i="16"/>
  <c r="F42" i="16"/>
  <c r="A42" i="16"/>
  <c r="C42" i="16" s="1"/>
  <c r="A41" i="16"/>
  <c r="E41" i="16" s="1"/>
  <c r="A40" i="16"/>
  <c r="A39" i="16"/>
  <c r="E39" i="16" s="1"/>
  <c r="A38" i="16"/>
  <c r="E38" i="16" s="1"/>
  <c r="I37" i="16"/>
  <c r="G37" i="16"/>
  <c r="A37" i="16"/>
  <c r="C37" i="16" s="1"/>
  <c r="A36" i="16"/>
  <c r="A35" i="16"/>
  <c r="C35" i="16" s="1"/>
  <c r="A34" i="16"/>
  <c r="F34" i="16" s="1"/>
  <c r="A33" i="16"/>
  <c r="F33" i="16" s="1"/>
  <c r="A32" i="16"/>
  <c r="C32" i="16" s="1"/>
  <c r="A31" i="16"/>
  <c r="G30" i="16"/>
  <c r="F30" i="16"/>
  <c r="C30" i="16"/>
  <c r="A30" i="16"/>
  <c r="I30" i="16" s="1"/>
  <c r="A29" i="16"/>
  <c r="A28" i="16"/>
  <c r="C28" i="16" s="1"/>
  <c r="A27" i="16"/>
  <c r="I26" i="16"/>
  <c r="A26" i="16"/>
  <c r="A25" i="16"/>
  <c r="F25" i="16" s="1"/>
  <c r="A24" i="16"/>
  <c r="I24" i="16" s="1"/>
  <c r="A23" i="16"/>
  <c r="I23" i="16" s="1"/>
  <c r="A22" i="16"/>
  <c r="F22" i="16" s="1"/>
  <c r="A21" i="16"/>
  <c r="G21" i="16" s="1"/>
  <c r="A20" i="16"/>
  <c r="I20" i="16" s="1"/>
  <c r="A19" i="16"/>
  <c r="A18" i="16"/>
  <c r="F18" i="16" s="1"/>
  <c r="A17" i="16"/>
  <c r="G17" i="16" s="1"/>
  <c r="A16" i="16"/>
  <c r="E16" i="16" s="1"/>
  <c r="A15" i="16"/>
  <c r="F15" i="16" s="1"/>
  <c r="A14" i="16"/>
  <c r="I14" i="16" s="1"/>
  <c r="A13" i="16"/>
  <c r="A12" i="16"/>
  <c r="I12" i="16" s="1"/>
  <c r="G11" i="16"/>
  <c r="A11" i="16"/>
  <c r="D11" i="16" s="1"/>
  <c r="F10" i="16"/>
  <c r="C10" i="16"/>
  <c r="A10" i="16"/>
  <c r="G10" i="16" s="1"/>
  <c r="A9" i="16"/>
  <c r="A8" i="16"/>
  <c r="B7" i="16"/>
  <c r="A7" i="16"/>
  <c r="G7" i="16" s="1"/>
  <c r="A6" i="16"/>
  <c r="D6" i="16" s="1"/>
  <c r="A5" i="16"/>
  <c r="I5" i="16" s="1"/>
  <c r="D4" i="16"/>
  <c r="A4" i="16"/>
  <c r="C4" i="16" s="1"/>
  <c r="I3" i="16"/>
  <c r="F3" i="16"/>
  <c r="C3" i="16"/>
  <c r="A3" i="16"/>
  <c r="B3" i="16" s="1"/>
  <c r="A2" i="16"/>
  <c r="H501" i="15"/>
  <c r="H500" i="15"/>
  <c r="H499" i="15"/>
  <c r="H498" i="15"/>
  <c r="H497" i="15"/>
  <c r="H496" i="15"/>
  <c r="H495" i="15"/>
  <c r="H494" i="15"/>
  <c r="H493" i="15"/>
  <c r="H492" i="15"/>
  <c r="H491" i="15"/>
  <c r="H490" i="15"/>
  <c r="H489" i="15"/>
  <c r="H488" i="15"/>
  <c r="H487" i="15"/>
  <c r="H486" i="15"/>
  <c r="H485" i="15"/>
  <c r="H484" i="15"/>
  <c r="H483" i="15"/>
  <c r="H482" i="15"/>
  <c r="H481" i="15"/>
  <c r="H480" i="15"/>
  <c r="H479" i="15"/>
  <c r="H478" i="15"/>
  <c r="H477" i="15"/>
  <c r="H476" i="15"/>
  <c r="H475" i="15"/>
  <c r="H474" i="15"/>
  <c r="H473" i="15"/>
  <c r="H472" i="15"/>
  <c r="H471" i="15"/>
  <c r="H470" i="15"/>
  <c r="H469" i="15"/>
  <c r="H468" i="15"/>
  <c r="H467" i="15"/>
  <c r="H466" i="15"/>
  <c r="H465" i="15"/>
  <c r="H464" i="15"/>
  <c r="H463" i="15"/>
  <c r="H462" i="15"/>
  <c r="H461" i="15"/>
  <c r="H460" i="15"/>
  <c r="H459" i="15"/>
  <c r="H458" i="15"/>
  <c r="H457" i="15"/>
  <c r="H456" i="15"/>
  <c r="H455" i="15"/>
  <c r="H454" i="15"/>
  <c r="H453" i="15"/>
  <c r="H452" i="15"/>
  <c r="H451" i="15"/>
  <c r="H450" i="15"/>
  <c r="H449" i="15"/>
  <c r="H448" i="15"/>
  <c r="H447" i="15"/>
  <c r="H446" i="15"/>
  <c r="H445" i="15"/>
  <c r="H444" i="15"/>
  <c r="H443" i="15"/>
  <c r="H442" i="15"/>
  <c r="H441" i="15"/>
  <c r="H440" i="15"/>
  <c r="H439" i="15"/>
  <c r="H438" i="15"/>
  <c r="H437" i="15"/>
  <c r="H436" i="15"/>
  <c r="H435" i="15"/>
  <c r="H434" i="15"/>
  <c r="H433" i="15"/>
  <c r="H432" i="15"/>
  <c r="H431" i="15"/>
  <c r="H430" i="15"/>
  <c r="H429" i="15"/>
  <c r="H428" i="15"/>
  <c r="H427" i="15"/>
  <c r="H426" i="15"/>
  <c r="H425" i="15"/>
  <c r="H424" i="15"/>
  <c r="H423" i="15"/>
  <c r="H422" i="15"/>
  <c r="H421" i="15"/>
  <c r="H420" i="15"/>
  <c r="H419" i="15"/>
  <c r="H418" i="15"/>
  <c r="H417" i="15"/>
  <c r="H416" i="15"/>
  <c r="H415" i="15"/>
  <c r="H414" i="15"/>
  <c r="H413" i="15"/>
  <c r="H412" i="15"/>
  <c r="H411" i="15"/>
  <c r="H410" i="15"/>
  <c r="H409" i="15"/>
  <c r="H408" i="15"/>
  <c r="H407" i="15"/>
  <c r="H406" i="15"/>
  <c r="H405" i="15"/>
  <c r="H404" i="15"/>
  <c r="H403" i="15"/>
  <c r="H402" i="15"/>
  <c r="H401" i="15"/>
  <c r="H400" i="15"/>
  <c r="H399" i="15"/>
  <c r="H398" i="15"/>
  <c r="H397" i="15"/>
  <c r="H396" i="15"/>
  <c r="H395" i="15"/>
  <c r="H394" i="15"/>
  <c r="H393" i="15"/>
  <c r="H392" i="15"/>
  <c r="H391" i="15"/>
  <c r="H390" i="15"/>
  <c r="H389" i="15"/>
  <c r="H388" i="15"/>
  <c r="H387" i="15"/>
  <c r="H386" i="15"/>
  <c r="H385" i="15"/>
  <c r="H384" i="15"/>
  <c r="H383" i="15"/>
  <c r="H382" i="15"/>
  <c r="H381" i="15"/>
  <c r="H380" i="15"/>
  <c r="H379" i="15"/>
  <c r="H378" i="15"/>
  <c r="H377" i="15"/>
  <c r="H376" i="15"/>
  <c r="H375" i="15"/>
  <c r="H374" i="15"/>
  <c r="H373" i="15"/>
  <c r="H372" i="15"/>
  <c r="H371" i="15"/>
  <c r="H370" i="15"/>
  <c r="H369" i="15"/>
  <c r="H368" i="15"/>
  <c r="H367" i="15"/>
  <c r="H366" i="15"/>
  <c r="H365" i="15"/>
  <c r="H364" i="15"/>
  <c r="H363" i="15"/>
  <c r="H362" i="15"/>
  <c r="H361" i="15"/>
  <c r="H360" i="15"/>
  <c r="H359" i="15"/>
  <c r="H358" i="15"/>
  <c r="H357" i="15"/>
  <c r="H356" i="15"/>
  <c r="H355" i="15"/>
  <c r="H354" i="15"/>
  <c r="H353" i="15"/>
  <c r="H352" i="15"/>
  <c r="H351" i="15"/>
  <c r="H350" i="15"/>
  <c r="H349" i="15"/>
  <c r="H348" i="15"/>
  <c r="H347" i="15"/>
  <c r="H346" i="15"/>
  <c r="H345" i="15"/>
  <c r="H344" i="15"/>
  <c r="H343" i="15"/>
  <c r="H342" i="15"/>
  <c r="H341" i="15"/>
  <c r="H340" i="15"/>
  <c r="H339" i="15"/>
  <c r="H338" i="15"/>
  <c r="H337" i="15"/>
  <c r="H336" i="15"/>
  <c r="H335" i="15"/>
  <c r="H334" i="15"/>
  <c r="H333" i="15"/>
  <c r="H332" i="15"/>
  <c r="H331" i="15"/>
  <c r="H330" i="15"/>
  <c r="H329" i="15"/>
  <c r="H328" i="15"/>
  <c r="H327" i="15"/>
  <c r="H326" i="15"/>
  <c r="H325" i="15"/>
  <c r="H324" i="15"/>
  <c r="H323" i="15"/>
  <c r="H322" i="15"/>
  <c r="H321" i="15"/>
  <c r="H320" i="15"/>
  <c r="H319" i="15"/>
  <c r="H318" i="15"/>
  <c r="H317" i="15"/>
  <c r="H316" i="15"/>
  <c r="H315" i="15"/>
  <c r="H314" i="15"/>
  <c r="H313" i="15"/>
  <c r="H312" i="15"/>
  <c r="H311" i="15"/>
  <c r="H310" i="15"/>
  <c r="H309" i="15"/>
  <c r="H308" i="15"/>
  <c r="H307" i="15"/>
  <c r="H306" i="15"/>
  <c r="H305" i="15"/>
  <c r="H304" i="15"/>
  <c r="H303" i="15"/>
  <c r="H302" i="15"/>
  <c r="H301" i="15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G501" i="14"/>
  <c r="E501" i="14"/>
  <c r="C501" i="14"/>
  <c r="A501" i="14"/>
  <c r="G500" i="14"/>
  <c r="E500" i="14"/>
  <c r="C500" i="14"/>
  <c r="I500" i="14" s="1"/>
  <c r="A500" i="14"/>
  <c r="G499" i="14"/>
  <c r="E499" i="14"/>
  <c r="C499" i="14"/>
  <c r="A499" i="14"/>
  <c r="G498" i="14"/>
  <c r="E498" i="14"/>
  <c r="C498" i="14"/>
  <c r="A498" i="14"/>
  <c r="G497" i="14"/>
  <c r="E497" i="14"/>
  <c r="C497" i="14"/>
  <c r="J497" i="14" s="1"/>
  <c r="A497" i="14"/>
  <c r="G496" i="14"/>
  <c r="E496" i="14"/>
  <c r="C496" i="14"/>
  <c r="A496" i="14"/>
  <c r="G495" i="14"/>
  <c r="E495" i="14"/>
  <c r="C495" i="14"/>
  <c r="J495" i="14" s="1"/>
  <c r="A495" i="14"/>
  <c r="G494" i="14"/>
  <c r="E494" i="14"/>
  <c r="C494" i="14"/>
  <c r="I494" i="14" s="1"/>
  <c r="A494" i="14"/>
  <c r="G493" i="14"/>
  <c r="E493" i="14"/>
  <c r="C493" i="14"/>
  <c r="J493" i="14" s="1"/>
  <c r="A493" i="14"/>
  <c r="G492" i="14"/>
  <c r="E492" i="14"/>
  <c r="C492" i="14"/>
  <c r="A492" i="14"/>
  <c r="G491" i="14"/>
  <c r="E491" i="14"/>
  <c r="C491" i="14"/>
  <c r="A491" i="14"/>
  <c r="G490" i="14"/>
  <c r="E490" i="14"/>
  <c r="C490" i="14"/>
  <c r="A490" i="14"/>
  <c r="G489" i="14"/>
  <c r="E489" i="14"/>
  <c r="C489" i="14"/>
  <c r="A489" i="14"/>
  <c r="G488" i="14"/>
  <c r="E488" i="14"/>
  <c r="C488" i="14"/>
  <c r="A488" i="14"/>
  <c r="G487" i="14"/>
  <c r="E487" i="14"/>
  <c r="C487" i="14"/>
  <c r="J487" i="14" s="1"/>
  <c r="A487" i="14"/>
  <c r="G486" i="14"/>
  <c r="E486" i="14"/>
  <c r="C486" i="14"/>
  <c r="J486" i="14" s="1"/>
  <c r="A486" i="14"/>
  <c r="G485" i="14"/>
  <c r="E485" i="14"/>
  <c r="C485" i="14"/>
  <c r="A485" i="14"/>
  <c r="G484" i="14"/>
  <c r="E484" i="14"/>
  <c r="C484" i="14"/>
  <c r="J484" i="14" s="1"/>
  <c r="A484" i="14"/>
  <c r="G483" i="14"/>
  <c r="E483" i="14"/>
  <c r="C483" i="14"/>
  <c r="A483" i="14"/>
  <c r="G482" i="14"/>
  <c r="E482" i="14"/>
  <c r="C482" i="14"/>
  <c r="A482" i="14"/>
  <c r="G481" i="14"/>
  <c r="E481" i="14"/>
  <c r="C481" i="14"/>
  <c r="J481" i="14" s="1"/>
  <c r="A481" i="14"/>
  <c r="G480" i="14"/>
  <c r="E480" i="14"/>
  <c r="C480" i="14"/>
  <c r="A480" i="14"/>
  <c r="G479" i="14"/>
  <c r="E479" i="14"/>
  <c r="C479" i="14"/>
  <c r="A479" i="14"/>
  <c r="G478" i="14"/>
  <c r="E478" i="14"/>
  <c r="C478" i="14"/>
  <c r="J478" i="14" s="1"/>
  <c r="A478" i="14"/>
  <c r="G477" i="14"/>
  <c r="E477" i="14"/>
  <c r="C477" i="14"/>
  <c r="A477" i="14"/>
  <c r="G476" i="14"/>
  <c r="E476" i="14"/>
  <c r="C476" i="14"/>
  <c r="A476" i="14"/>
  <c r="G475" i="14"/>
  <c r="E475" i="14"/>
  <c r="C475" i="14"/>
  <c r="J475" i="14" s="1"/>
  <c r="A475" i="14"/>
  <c r="G474" i="14"/>
  <c r="E474" i="14"/>
  <c r="C474" i="14"/>
  <c r="A474" i="14"/>
  <c r="G473" i="14"/>
  <c r="E473" i="14"/>
  <c r="C473" i="14"/>
  <c r="I473" i="14" s="1"/>
  <c r="A473" i="14"/>
  <c r="G472" i="14"/>
  <c r="E472" i="14"/>
  <c r="C472" i="14"/>
  <c r="A472" i="14"/>
  <c r="G471" i="14"/>
  <c r="E471" i="14"/>
  <c r="C471" i="14"/>
  <c r="A471" i="14"/>
  <c r="G470" i="14"/>
  <c r="E470" i="14"/>
  <c r="C470" i="14"/>
  <c r="A470" i="14"/>
  <c r="G469" i="14"/>
  <c r="E469" i="14"/>
  <c r="C469" i="14"/>
  <c r="A469" i="14"/>
  <c r="G468" i="14"/>
  <c r="E468" i="14"/>
  <c r="C468" i="14"/>
  <c r="A468" i="14"/>
  <c r="G467" i="14"/>
  <c r="E467" i="14"/>
  <c r="C467" i="14"/>
  <c r="J467" i="14" s="1"/>
  <c r="A467" i="14"/>
  <c r="G466" i="14"/>
  <c r="E466" i="14"/>
  <c r="C466" i="14"/>
  <c r="A466" i="14"/>
  <c r="G465" i="14"/>
  <c r="E465" i="14"/>
  <c r="C465" i="14"/>
  <c r="J465" i="14" s="1"/>
  <c r="A465" i="14"/>
  <c r="G464" i="14"/>
  <c r="E464" i="14"/>
  <c r="C464" i="14"/>
  <c r="A464" i="14"/>
  <c r="G463" i="14"/>
  <c r="E463" i="14"/>
  <c r="C463" i="14"/>
  <c r="A463" i="14"/>
  <c r="G462" i="14"/>
  <c r="E462" i="14"/>
  <c r="C462" i="14"/>
  <c r="J462" i="14" s="1"/>
  <c r="A462" i="14"/>
  <c r="G461" i="14"/>
  <c r="E461" i="14"/>
  <c r="C461" i="14"/>
  <c r="A461" i="14"/>
  <c r="G460" i="14"/>
  <c r="E460" i="14"/>
  <c r="C460" i="14"/>
  <c r="A460" i="14"/>
  <c r="J459" i="14"/>
  <c r="I459" i="14"/>
  <c r="G459" i="14"/>
  <c r="E459" i="14"/>
  <c r="C459" i="14"/>
  <c r="A459" i="14"/>
  <c r="G458" i="14"/>
  <c r="E458" i="14"/>
  <c r="C458" i="14"/>
  <c r="A458" i="14"/>
  <c r="G457" i="14"/>
  <c r="E457" i="14"/>
  <c r="C457" i="14"/>
  <c r="A457" i="14"/>
  <c r="G456" i="14"/>
  <c r="E456" i="14"/>
  <c r="C456" i="14"/>
  <c r="A456" i="14"/>
  <c r="G455" i="14"/>
  <c r="E455" i="14"/>
  <c r="C455" i="14"/>
  <c r="A455" i="14"/>
  <c r="G454" i="14"/>
  <c r="E454" i="14"/>
  <c r="C454" i="14"/>
  <c r="A454" i="14"/>
  <c r="G453" i="14"/>
  <c r="E453" i="14"/>
  <c r="C453" i="14"/>
  <c r="I453" i="14" s="1"/>
  <c r="A453" i="14"/>
  <c r="G452" i="14"/>
  <c r="E452" i="14"/>
  <c r="C452" i="14"/>
  <c r="A452" i="14"/>
  <c r="G451" i="14"/>
  <c r="E451" i="14"/>
  <c r="C451" i="14"/>
  <c r="A451" i="14"/>
  <c r="G450" i="14"/>
  <c r="E450" i="14"/>
  <c r="C450" i="14"/>
  <c r="A450" i="14"/>
  <c r="G449" i="14"/>
  <c r="E449" i="14"/>
  <c r="C449" i="14"/>
  <c r="A449" i="14"/>
  <c r="G448" i="14"/>
  <c r="E448" i="14"/>
  <c r="C448" i="14"/>
  <c r="I448" i="14" s="1"/>
  <c r="A448" i="14"/>
  <c r="G447" i="14"/>
  <c r="E447" i="14"/>
  <c r="C447" i="14"/>
  <c r="A447" i="14"/>
  <c r="G446" i="14"/>
  <c r="E446" i="14"/>
  <c r="C446" i="14"/>
  <c r="A446" i="14"/>
  <c r="G445" i="14"/>
  <c r="E445" i="14"/>
  <c r="C445" i="14"/>
  <c r="A445" i="14"/>
  <c r="I444" i="14"/>
  <c r="G444" i="14"/>
  <c r="E444" i="14"/>
  <c r="C444" i="14"/>
  <c r="J444" i="14" s="1"/>
  <c r="A444" i="14"/>
  <c r="G443" i="14"/>
  <c r="E443" i="14"/>
  <c r="C443" i="14"/>
  <c r="I443" i="14" s="1"/>
  <c r="A443" i="14"/>
  <c r="G442" i="14"/>
  <c r="E442" i="14"/>
  <c r="C442" i="14"/>
  <c r="I442" i="14" s="1"/>
  <c r="A442" i="14"/>
  <c r="G441" i="14"/>
  <c r="E441" i="14"/>
  <c r="C441" i="14"/>
  <c r="J441" i="14" s="1"/>
  <c r="A441" i="14"/>
  <c r="G440" i="14"/>
  <c r="E440" i="14"/>
  <c r="C440" i="14"/>
  <c r="I440" i="14" s="1"/>
  <c r="A440" i="14"/>
  <c r="G439" i="14"/>
  <c r="E439" i="14"/>
  <c r="C439" i="14"/>
  <c r="A439" i="14"/>
  <c r="G438" i="14"/>
  <c r="E438" i="14"/>
  <c r="C438" i="14"/>
  <c r="J438" i="14" s="1"/>
  <c r="A438" i="14"/>
  <c r="G437" i="14"/>
  <c r="E437" i="14"/>
  <c r="C437" i="14"/>
  <c r="I437" i="14" s="1"/>
  <c r="A437" i="14"/>
  <c r="G436" i="14"/>
  <c r="E436" i="14"/>
  <c r="C436" i="14"/>
  <c r="A436" i="14"/>
  <c r="G435" i="14"/>
  <c r="E435" i="14"/>
  <c r="C435" i="14"/>
  <c r="A435" i="14"/>
  <c r="G434" i="14"/>
  <c r="E434" i="14"/>
  <c r="C434" i="14"/>
  <c r="A434" i="14"/>
  <c r="G433" i="14"/>
  <c r="E433" i="14"/>
  <c r="C433" i="14"/>
  <c r="A433" i="14"/>
  <c r="G432" i="14"/>
  <c r="E432" i="14"/>
  <c r="C432" i="14"/>
  <c r="A432" i="14"/>
  <c r="G431" i="14"/>
  <c r="E431" i="14"/>
  <c r="C431" i="14"/>
  <c r="A431" i="14"/>
  <c r="G430" i="14"/>
  <c r="E430" i="14"/>
  <c r="C430" i="14"/>
  <c r="J430" i="14" s="1"/>
  <c r="A430" i="14"/>
  <c r="G429" i="14"/>
  <c r="E429" i="14"/>
  <c r="C429" i="14"/>
  <c r="J429" i="14" s="1"/>
  <c r="A429" i="14"/>
  <c r="G428" i="14"/>
  <c r="E428" i="14"/>
  <c r="C428" i="14"/>
  <c r="A428" i="14"/>
  <c r="G427" i="14"/>
  <c r="E427" i="14"/>
  <c r="C427" i="14"/>
  <c r="A427" i="14"/>
  <c r="G426" i="14"/>
  <c r="E426" i="14"/>
  <c r="C426" i="14"/>
  <c r="I426" i="14" s="1"/>
  <c r="A426" i="14"/>
  <c r="G425" i="14"/>
  <c r="E425" i="14"/>
  <c r="C425" i="14"/>
  <c r="J425" i="14" s="1"/>
  <c r="A425" i="14"/>
  <c r="G424" i="14"/>
  <c r="E424" i="14"/>
  <c r="C424" i="14"/>
  <c r="A424" i="14"/>
  <c r="G423" i="14"/>
  <c r="E423" i="14"/>
  <c r="C423" i="14"/>
  <c r="I423" i="14" s="1"/>
  <c r="A423" i="14"/>
  <c r="G422" i="14"/>
  <c r="E422" i="14"/>
  <c r="C422" i="14"/>
  <c r="I422" i="14" s="1"/>
  <c r="A422" i="14"/>
  <c r="G421" i="14"/>
  <c r="E421" i="14"/>
  <c r="C421" i="14"/>
  <c r="A421" i="14"/>
  <c r="G420" i="14"/>
  <c r="E420" i="14"/>
  <c r="C420" i="14"/>
  <c r="A420" i="14"/>
  <c r="G419" i="14"/>
  <c r="E419" i="14"/>
  <c r="C419" i="14"/>
  <c r="I419" i="14" s="1"/>
  <c r="A419" i="14"/>
  <c r="G418" i="14"/>
  <c r="E418" i="14"/>
  <c r="C418" i="14"/>
  <c r="I418" i="14" s="1"/>
  <c r="A418" i="14"/>
  <c r="G417" i="14"/>
  <c r="E417" i="14"/>
  <c r="C417" i="14"/>
  <c r="A417" i="14"/>
  <c r="G416" i="14"/>
  <c r="E416" i="14"/>
  <c r="C416" i="14"/>
  <c r="J416" i="14" s="1"/>
  <c r="A416" i="14"/>
  <c r="G415" i="14"/>
  <c r="E415" i="14"/>
  <c r="C415" i="14"/>
  <c r="J415" i="14" s="1"/>
  <c r="A415" i="14"/>
  <c r="G414" i="14"/>
  <c r="E414" i="14"/>
  <c r="C414" i="14"/>
  <c r="A414" i="14"/>
  <c r="G413" i="14"/>
  <c r="E413" i="14"/>
  <c r="C413" i="14"/>
  <c r="I413" i="14" s="1"/>
  <c r="A413" i="14"/>
  <c r="G412" i="14"/>
  <c r="E412" i="14"/>
  <c r="C412" i="14"/>
  <c r="A412" i="14"/>
  <c r="G411" i="14"/>
  <c r="E411" i="14"/>
  <c r="C411" i="14"/>
  <c r="A411" i="14"/>
  <c r="G410" i="14"/>
  <c r="E410" i="14"/>
  <c r="C410" i="14"/>
  <c r="I410" i="14" s="1"/>
  <c r="A410" i="14"/>
  <c r="G409" i="14"/>
  <c r="E409" i="14"/>
  <c r="C409" i="14"/>
  <c r="A409" i="14"/>
  <c r="G408" i="14"/>
  <c r="E408" i="14"/>
  <c r="C408" i="14"/>
  <c r="I408" i="14" s="1"/>
  <c r="A408" i="14"/>
  <c r="G407" i="14"/>
  <c r="E407" i="14"/>
  <c r="C407" i="14"/>
  <c r="A407" i="14"/>
  <c r="G406" i="14"/>
  <c r="E406" i="14"/>
  <c r="C406" i="14"/>
  <c r="J406" i="14" s="1"/>
  <c r="A406" i="14"/>
  <c r="G405" i="14"/>
  <c r="E405" i="14"/>
  <c r="C405" i="14"/>
  <c r="A405" i="14"/>
  <c r="G404" i="14"/>
  <c r="E404" i="14"/>
  <c r="C404" i="14"/>
  <c r="A404" i="14"/>
  <c r="G403" i="14"/>
  <c r="E403" i="14"/>
  <c r="C403" i="14"/>
  <c r="A403" i="14"/>
  <c r="G402" i="14"/>
  <c r="E402" i="14"/>
  <c r="C402" i="14"/>
  <c r="A402" i="14"/>
  <c r="G401" i="14"/>
  <c r="E401" i="14"/>
  <c r="C401" i="14"/>
  <c r="A401" i="14"/>
  <c r="G400" i="14"/>
  <c r="E400" i="14"/>
  <c r="C400" i="14"/>
  <c r="J400" i="14" s="1"/>
  <c r="A400" i="14"/>
  <c r="G399" i="14"/>
  <c r="E399" i="14"/>
  <c r="C399" i="14"/>
  <c r="J399" i="14" s="1"/>
  <c r="A399" i="14"/>
  <c r="G398" i="14"/>
  <c r="E398" i="14"/>
  <c r="C398" i="14"/>
  <c r="A398" i="14"/>
  <c r="G397" i="14"/>
  <c r="E397" i="14"/>
  <c r="C397" i="14"/>
  <c r="J397" i="14" s="1"/>
  <c r="A397" i="14"/>
  <c r="G396" i="14"/>
  <c r="E396" i="14"/>
  <c r="C396" i="14"/>
  <c r="J396" i="14" s="1"/>
  <c r="A396" i="14"/>
  <c r="G395" i="14"/>
  <c r="E395" i="14"/>
  <c r="C395" i="14"/>
  <c r="A395" i="14"/>
  <c r="G394" i="14"/>
  <c r="E394" i="14"/>
  <c r="C394" i="14"/>
  <c r="A394" i="14"/>
  <c r="G393" i="14"/>
  <c r="E393" i="14"/>
  <c r="C393" i="14"/>
  <c r="A393" i="14"/>
  <c r="G392" i="14"/>
  <c r="E392" i="14"/>
  <c r="C392" i="14"/>
  <c r="A392" i="14"/>
  <c r="G391" i="14"/>
  <c r="E391" i="14"/>
  <c r="C391" i="14"/>
  <c r="A391" i="14"/>
  <c r="G390" i="14"/>
  <c r="E390" i="14"/>
  <c r="C390" i="14"/>
  <c r="A390" i="14"/>
  <c r="G389" i="14"/>
  <c r="E389" i="14"/>
  <c r="C389" i="14"/>
  <c r="J389" i="14" s="1"/>
  <c r="A389" i="14"/>
  <c r="G388" i="14"/>
  <c r="E388" i="14"/>
  <c r="C388" i="14"/>
  <c r="J388" i="14" s="1"/>
  <c r="A388" i="14"/>
  <c r="G387" i="14"/>
  <c r="E387" i="14"/>
  <c r="C387" i="14"/>
  <c r="J387" i="14" s="1"/>
  <c r="A387" i="14"/>
  <c r="G386" i="14"/>
  <c r="E386" i="14"/>
  <c r="C386" i="14"/>
  <c r="I386" i="14" s="1"/>
  <c r="A386" i="14"/>
  <c r="G385" i="14"/>
  <c r="E385" i="14"/>
  <c r="C385" i="14"/>
  <c r="I385" i="14" s="1"/>
  <c r="A385" i="14"/>
  <c r="I384" i="14"/>
  <c r="G384" i="14"/>
  <c r="E384" i="14"/>
  <c r="C384" i="14"/>
  <c r="J384" i="14" s="1"/>
  <c r="A384" i="14"/>
  <c r="G383" i="14"/>
  <c r="E383" i="14"/>
  <c r="C383" i="14"/>
  <c r="A383" i="14"/>
  <c r="G382" i="14"/>
  <c r="E382" i="14"/>
  <c r="C382" i="14"/>
  <c r="A382" i="14"/>
  <c r="J381" i="14"/>
  <c r="G381" i="14"/>
  <c r="E381" i="14"/>
  <c r="C381" i="14"/>
  <c r="I381" i="14" s="1"/>
  <c r="A381" i="14"/>
  <c r="G380" i="14"/>
  <c r="E380" i="14"/>
  <c r="C380" i="14"/>
  <c r="J380" i="14" s="1"/>
  <c r="A380" i="14"/>
  <c r="G379" i="14"/>
  <c r="E379" i="14"/>
  <c r="C379" i="14"/>
  <c r="A379" i="14"/>
  <c r="G378" i="14"/>
  <c r="E378" i="14"/>
  <c r="C378" i="14"/>
  <c r="A378" i="14"/>
  <c r="G377" i="14"/>
  <c r="E377" i="14"/>
  <c r="C377" i="14"/>
  <c r="I377" i="14" s="1"/>
  <c r="A377" i="14"/>
  <c r="G376" i="14"/>
  <c r="E376" i="14"/>
  <c r="C376" i="14"/>
  <c r="A376" i="14"/>
  <c r="G375" i="14"/>
  <c r="E375" i="14"/>
  <c r="C375" i="14"/>
  <c r="J375" i="14" s="1"/>
  <c r="A375" i="14"/>
  <c r="I374" i="14"/>
  <c r="G374" i="14"/>
  <c r="E374" i="14"/>
  <c r="C374" i="14"/>
  <c r="J374" i="14" s="1"/>
  <c r="A374" i="14"/>
  <c r="G373" i="14"/>
  <c r="E373" i="14"/>
  <c r="C373" i="14"/>
  <c r="A373" i="14"/>
  <c r="G372" i="14"/>
  <c r="E372" i="14"/>
  <c r="C372" i="14"/>
  <c r="A372" i="14"/>
  <c r="G371" i="14"/>
  <c r="E371" i="14"/>
  <c r="C371" i="14"/>
  <c r="A371" i="14"/>
  <c r="G370" i="14"/>
  <c r="E370" i="14"/>
  <c r="C370" i="14"/>
  <c r="A370" i="14"/>
  <c r="G369" i="14"/>
  <c r="E369" i="14"/>
  <c r="C369" i="14"/>
  <c r="A369" i="14"/>
  <c r="G368" i="14"/>
  <c r="E368" i="14"/>
  <c r="C368" i="14"/>
  <c r="A368" i="14"/>
  <c r="G367" i="14"/>
  <c r="E367" i="14"/>
  <c r="C367" i="14"/>
  <c r="A367" i="14"/>
  <c r="G366" i="14"/>
  <c r="E366" i="14"/>
  <c r="C366" i="14"/>
  <c r="J366" i="14" s="1"/>
  <c r="A366" i="14"/>
  <c r="G365" i="14"/>
  <c r="E365" i="14"/>
  <c r="C365" i="14"/>
  <c r="I365" i="14" s="1"/>
  <c r="A365" i="14"/>
  <c r="G364" i="14"/>
  <c r="E364" i="14"/>
  <c r="C364" i="14"/>
  <c r="A364" i="14"/>
  <c r="G363" i="14"/>
  <c r="E363" i="14"/>
  <c r="C363" i="14"/>
  <c r="A363" i="14"/>
  <c r="G362" i="14"/>
  <c r="E362" i="14"/>
  <c r="C362" i="14"/>
  <c r="A362" i="14"/>
  <c r="G361" i="14"/>
  <c r="E361" i="14"/>
  <c r="C361" i="14"/>
  <c r="A361" i="14"/>
  <c r="G360" i="14"/>
  <c r="E360" i="14"/>
  <c r="C360" i="14"/>
  <c r="A360" i="14"/>
  <c r="G359" i="14"/>
  <c r="E359" i="14"/>
  <c r="C359" i="14"/>
  <c r="J359" i="14" s="1"/>
  <c r="A359" i="14"/>
  <c r="G358" i="14"/>
  <c r="E358" i="14"/>
  <c r="C358" i="14"/>
  <c r="A358" i="14"/>
  <c r="G357" i="14"/>
  <c r="E357" i="14"/>
  <c r="C357" i="14"/>
  <c r="J357" i="14" s="1"/>
  <c r="A357" i="14"/>
  <c r="G356" i="14"/>
  <c r="E356" i="14"/>
  <c r="C356" i="14"/>
  <c r="I356" i="14" s="1"/>
  <c r="A356" i="14"/>
  <c r="G355" i="14"/>
  <c r="E355" i="14"/>
  <c r="C355" i="14"/>
  <c r="A355" i="14"/>
  <c r="G354" i="14"/>
  <c r="E354" i="14"/>
  <c r="C354" i="14"/>
  <c r="A354" i="14"/>
  <c r="G353" i="14"/>
  <c r="E353" i="14"/>
  <c r="C353" i="14"/>
  <c r="J353" i="14" s="1"/>
  <c r="A353" i="14"/>
  <c r="G352" i="14"/>
  <c r="E352" i="14"/>
  <c r="C352" i="14"/>
  <c r="A352" i="14"/>
  <c r="G351" i="14"/>
  <c r="E351" i="14"/>
  <c r="C351" i="14"/>
  <c r="A351" i="14"/>
  <c r="I350" i="14"/>
  <c r="G350" i="14"/>
  <c r="E350" i="14"/>
  <c r="C350" i="14"/>
  <c r="J350" i="14" s="1"/>
  <c r="A350" i="14"/>
  <c r="G349" i="14"/>
  <c r="E349" i="14"/>
  <c r="C349" i="14"/>
  <c r="A349" i="14"/>
  <c r="G348" i="14"/>
  <c r="E348" i="14"/>
  <c r="C348" i="14"/>
  <c r="A348" i="14"/>
  <c r="G347" i="14"/>
  <c r="E347" i="14"/>
  <c r="C347" i="14"/>
  <c r="I347" i="14" s="1"/>
  <c r="A347" i="14"/>
  <c r="G346" i="14"/>
  <c r="E346" i="14"/>
  <c r="C346" i="14"/>
  <c r="A346" i="14"/>
  <c r="G345" i="14"/>
  <c r="E345" i="14"/>
  <c r="C345" i="14"/>
  <c r="A345" i="14"/>
  <c r="G344" i="14"/>
  <c r="E344" i="14"/>
  <c r="C344" i="14"/>
  <c r="A344" i="14"/>
  <c r="G343" i="14"/>
  <c r="E343" i="14"/>
  <c r="C343" i="14"/>
  <c r="J343" i="14" s="1"/>
  <c r="A343" i="14"/>
  <c r="G342" i="14"/>
  <c r="E342" i="14"/>
  <c r="C342" i="14"/>
  <c r="A342" i="14"/>
  <c r="G341" i="14"/>
  <c r="E341" i="14"/>
  <c r="C341" i="14"/>
  <c r="A341" i="14"/>
  <c r="G340" i="14"/>
  <c r="E340" i="14"/>
  <c r="C340" i="14"/>
  <c r="J340" i="14" s="1"/>
  <c r="A340" i="14"/>
  <c r="G339" i="14"/>
  <c r="E339" i="14"/>
  <c r="C339" i="14"/>
  <c r="J339" i="14" s="1"/>
  <c r="A339" i="14"/>
  <c r="G338" i="14"/>
  <c r="E338" i="14"/>
  <c r="C338" i="14"/>
  <c r="A338" i="14"/>
  <c r="G337" i="14"/>
  <c r="E337" i="14"/>
  <c r="C337" i="14"/>
  <c r="A337" i="14"/>
  <c r="G336" i="14"/>
  <c r="E336" i="14"/>
  <c r="C336" i="14"/>
  <c r="J336" i="14" s="1"/>
  <c r="A336" i="14"/>
  <c r="G335" i="14"/>
  <c r="E335" i="14"/>
  <c r="C335" i="14"/>
  <c r="A335" i="14"/>
  <c r="G334" i="14"/>
  <c r="E334" i="14"/>
  <c r="C334" i="14"/>
  <c r="J334" i="14" s="1"/>
  <c r="A334" i="14"/>
  <c r="G333" i="14"/>
  <c r="E333" i="14"/>
  <c r="C333" i="14"/>
  <c r="A333" i="14"/>
  <c r="G332" i="14"/>
  <c r="E332" i="14"/>
  <c r="C332" i="14"/>
  <c r="I332" i="14" s="1"/>
  <c r="A332" i="14"/>
  <c r="J331" i="14"/>
  <c r="I331" i="14"/>
  <c r="G331" i="14"/>
  <c r="E331" i="14"/>
  <c r="C331" i="14"/>
  <c r="A331" i="14"/>
  <c r="G330" i="14"/>
  <c r="E330" i="14"/>
  <c r="C330" i="14"/>
  <c r="A330" i="14"/>
  <c r="G329" i="14"/>
  <c r="E329" i="14"/>
  <c r="C329" i="14"/>
  <c r="I329" i="14" s="1"/>
  <c r="A329" i="14"/>
  <c r="G328" i="14"/>
  <c r="E328" i="14"/>
  <c r="C328" i="14"/>
  <c r="J328" i="14" s="1"/>
  <c r="A328" i="14"/>
  <c r="G327" i="14"/>
  <c r="E327" i="14"/>
  <c r="C327" i="14"/>
  <c r="J327" i="14" s="1"/>
  <c r="A327" i="14"/>
  <c r="G326" i="14"/>
  <c r="E326" i="14"/>
  <c r="C326" i="14"/>
  <c r="A326" i="14"/>
  <c r="G325" i="14"/>
  <c r="E325" i="14"/>
  <c r="C325" i="14"/>
  <c r="A325" i="14"/>
  <c r="G324" i="14"/>
  <c r="E324" i="14"/>
  <c r="C324" i="14"/>
  <c r="I324" i="14" s="1"/>
  <c r="A324" i="14"/>
  <c r="G323" i="14"/>
  <c r="E323" i="14"/>
  <c r="C323" i="14"/>
  <c r="J323" i="14" s="1"/>
  <c r="A323" i="14"/>
  <c r="G322" i="14"/>
  <c r="E322" i="14"/>
  <c r="C322" i="14"/>
  <c r="A322" i="14"/>
  <c r="G321" i="14"/>
  <c r="E321" i="14"/>
  <c r="C321" i="14"/>
  <c r="J321" i="14" s="1"/>
  <c r="A321" i="14"/>
  <c r="G320" i="14"/>
  <c r="E320" i="14"/>
  <c r="C320" i="14"/>
  <c r="J320" i="14" s="1"/>
  <c r="A320" i="14"/>
  <c r="G319" i="14"/>
  <c r="E319" i="14"/>
  <c r="C319" i="14"/>
  <c r="A319" i="14"/>
  <c r="G318" i="14"/>
  <c r="E318" i="14"/>
  <c r="C318" i="14"/>
  <c r="J318" i="14" s="1"/>
  <c r="A318" i="14"/>
  <c r="G317" i="14"/>
  <c r="E317" i="14"/>
  <c r="C317" i="14"/>
  <c r="J317" i="14" s="1"/>
  <c r="A317" i="14"/>
  <c r="G316" i="14"/>
  <c r="E316" i="14"/>
  <c r="C316" i="14"/>
  <c r="J316" i="14" s="1"/>
  <c r="A316" i="14"/>
  <c r="I315" i="14"/>
  <c r="G315" i="14"/>
  <c r="E315" i="14"/>
  <c r="C315" i="14"/>
  <c r="J315" i="14" s="1"/>
  <c r="A315" i="14"/>
  <c r="G314" i="14"/>
  <c r="E314" i="14"/>
  <c r="C314" i="14"/>
  <c r="I314" i="14" s="1"/>
  <c r="A314" i="14"/>
  <c r="G313" i="14"/>
  <c r="E313" i="14"/>
  <c r="C313" i="14"/>
  <c r="J313" i="14" s="1"/>
  <c r="A313" i="14"/>
  <c r="G312" i="14"/>
  <c r="E312" i="14"/>
  <c r="C312" i="14"/>
  <c r="A312" i="14"/>
  <c r="G311" i="14"/>
  <c r="E311" i="14"/>
  <c r="C311" i="14"/>
  <c r="A311" i="14"/>
  <c r="G310" i="14"/>
  <c r="E310" i="14"/>
  <c r="C310" i="14"/>
  <c r="J310" i="14" s="1"/>
  <c r="A310" i="14"/>
  <c r="G309" i="14"/>
  <c r="E309" i="14"/>
  <c r="C309" i="14"/>
  <c r="A309" i="14"/>
  <c r="G308" i="14"/>
  <c r="E308" i="14"/>
  <c r="C308" i="14"/>
  <c r="J308" i="14" s="1"/>
  <c r="A308" i="14"/>
  <c r="G307" i="14"/>
  <c r="E307" i="14"/>
  <c r="C307" i="14"/>
  <c r="J307" i="14" s="1"/>
  <c r="A307" i="14"/>
  <c r="G306" i="14"/>
  <c r="E306" i="14"/>
  <c r="C306" i="14"/>
  <c r="A306" i="14"/>
  <c r="G305" i="14"/>
  <c r="E305" i="14"/>
  <c r="C305" i="14"/>
  <c r="A305" i="14"/>
  <c r="I304" i="14"/>
  <c r="G304" i="14"/>
  <c r="E304" i="14"/>
  <c r="C304" i="14"/>
  <c r="J304" i="14" s="1"/>
  <c r="A304" i="14"/>
  <c r="G303" i="14"/>
  <c r="E303" i="14"/>
  <c r="C303" i="14"/>
  <c r="A303" i="14"/>
  <c r="G302" i="14"/>
  <c r="E302" i="14"/>
  <c r="C302" i="14"/>
  <c r="A302" i="14"/>
  <c r="G301" i="14"/>
  <c r="E301" i="14"/>
  <c r="C301" i="14"/>
  <c r="J301" i="14" s="1"/>
  <c r="A301" i="14"/>
  <c r="G300" i="14"/>
  <c r="E300" i="14"/>
  <c r="C300" i="14"/>
  <c r="A300" i="14"/>
  <c r="G299" i="14"/>
  <c r="E299" i="14"/>
  <c r="C299" i="14"/>
  <c r="A299" i="14"/>
  <c r="G298" i="14"/>
  <c r="E298" i="14"/>
  <c r="C298" i="14"/>
  <c r="I298" i="14" s="1"/>
  <c r="A298" i="14"/>
  <c r="G297" i="14"/>
  <c r="E297" i="14"/>
  <c r="C297" i="14"/>
  <c r="A297" i="14"/>
  <c r="G296" i="14"/>
  <c r="E296" i="14"/>
  <c r="C296" i="14"/>
  <c r="A296" i="14"/>
  <c r="G295" i="14"/>
  <c r="E295" i="14"/>
  <c r="C295" i="14"/>
  <c r="J295" i="14" s="1"/>
  <c r="A295" i="14"/>
  <c r="G294" i="14"/>
  <c r="E294" i="14"/>
  <c r="C294" i="14"/>
  <c r="A294" i="14"/>
  <c r="G293" i="14"/>
  <c r="E293" i="14"/>
  <c r="C293" i="14"/>
  <c r="A293" i="14"/>
  <c r="G292" i="14"/>
  <c r="E292" i="14"/>
  <c r="C292" i="14"/>
  <c r="A292" i="14"/>
  <c r="G291" i="14"/>
  <c r="E291" i="14"/>
  <c r="C291" i="14"/>
  <c r="A291" i="14"/>
  <c r="G290" i="14"/>
  <c r="E290" i="14"/>
  <c r="C290" i="14"/>
  <c r="A290" i="14"/>
  <c r="G289" i="14"/>
  <c r="E289" i="14"/>
  <c r="C289" i="14"/>
  <c r="A289" i="14"/>
  <c r="G288" i="14"/>
  <c r="E288" i="14"/>
  <c r="C288" i="14"/>
  <c r="A288" i="14"/>
  <c r="G287" i="14"/>
  <c r="E287" i="14"/>
  <c r="C287" i="14"/>
  <c r="A287" i="14"/>
  <c r="G286" i="14"/>
  <c r="E286" i="14"/>
  <c r="C286" i="14"/>
  <c r="A286" i="14"/>
  <c r="G285" i="14"/>
  <c r="E285" i="14"/>
  <c r="C285" i="14"/>
  <c r="J285" i="14" s="1"/>
  <c r="A285" i="14"/>
  <c r="G284" i="14"/>
  <c r="E284" i="14"/>
  <c r="C284" i="14"/>
  <c r="A284" i="14"/>
  <c r="G283" i="14"/>
  <c r="E283" i="14"/>
  <c r="C283" i="14"/>
  <c r="I283" i="14" s="1"/>
  <c r="A283" i="14"/>
  <c r="G282" i="14"/>
  <c r="E282" i="14"/>
  <c r="C282" i="14"/>
  <c r="A282" i="14"/>
  <c r="G281" i="14"/>
  <c r="E281" i="14"/>
  <c r="C281" i="14"/>
  <c r="A281" i="14"/>
  <c r="G280" i="14"/>
  <c r="E280" i="14"/>
  <c r="C280" i="14"/>
  <c r="A280" i="14"/>
  <c r="G279" i="14"/>
  <c r="E279" i="14"/>
  <c r="C279" i="14"/>
  <c r="A279" i="14"/>
  <c r="G278" i="14"/>
  <c r="E278" i="14"/>
  <c r="C278" i="14"/>
  <c r="A278" i="14"/>
  <c r="G277" i="14"/>
  <c r="E277" i="14"/>
  <c r="C277" i="14"/>
  <c r="J277" i="14" s="1"/>
  <c r="A277" i="14"/>
  <c r="G276" i="14"/>
  <c r="E276" i="14"/>
  <c r="C276" i="14"/>
  <c r="A276" i="14"/>
  <c r="G275" i="14"/>
  <c r="E275" i="14"/>
  <c r="C275" i="14"/>
  <c r="J275" i="14" s="1"/>
  <c r="A275" i="14"/>
  <c r="G274" i="14"/>
  <c r="E274" i="14"/>
  <c r="C274" i="14"/>
  <c r="I274" i="14" s="1"/>
  <c r="A274" i="14"/>
  <c r="G273" i="14"/>
  <c r="E273" i="14"/>
  <c r="C273" i="14"/>
  <c r="A273" i="14"/>
  <c r="G272" i="14"/>
  <c r="E272" i="14"/>
  <c r="C272" i="14"/>
  <c r="J272" i="14" s="1"/>
  <c r="A272" i="14"/>
  <c r="G271" i="14"/>
  <c r="E271" i="14"/>
  <c r="C271" i="14"/>
  <c r="J271" i="14" s="1"/>
  <c r="A271" i="14"/>
  <c r="G270" i="14"/>
  <c r="E270" i="14"/>
  <c r="C270" i="14"/>
  <c r="A270" i="14"/>
  <c r="G269" i="14"/>
  <c r="E269" i="14"/>
  <c r="C269" i="14"/>
  <c r="A269" i="14"/>
  <c r="I268" i="14"/>
  <c r="G268" i="14"/>
  <c r="E268" i="14"/>
  <c r="C268" i="14"/>
  <c r="J268" i="14" s="1"/>
  <c r="A268" i="14"/>
  <c r="G267" i="14"/>
  <c r="E267" i="14"/>
  <c r="C267" i="14"/>
  <c r="I267" i="14" s="1"/>
  <c r="A267" i="14"/>
  <c r="G266" i="14"/>
  <c r="E266" i="14"/>
  <c r="C266" i="14"/>
  <c r="A266" i="14"/>
  <c r="G265" i="14"/>
  <c r="E265" i="14"/>
  <c r="C265" i="14"/>
  <c r="J265" i="14" s="1"/>
  <c r="A265" i="14"/>
  <c r="G264" i="14"/>
  <c r="E264" i="14"/>
  <c r="C264" i="14"/>
  <c r="A264" i="14"/>
  <c r="G263" i="14"/>
  <c r="E263" i="14"/>
  <c r="C263" i="14"/>
  <c r="A263" i="14"/>
  <c r="G262" i="14"/>
  <c r="E262" i="14"/>
  <c r="C262" i="14"/>
  <c r="A262" i="14"/>
  <c r="G261" i="14"/>
  <c r="E261" i="14"/>
  <c r="C261" i="14"/>
  <c r="J261" i="14" s="1"/>
  <c r="A261" i="14"/>
  <c r="G260" i="14"/>
  <c r="E260" i="14"/>
  <c r="C260" i="14"/>
  <c r="A260" i="14"/>
  <c r="G259" i="14"/>
  <c r="E259" i="14"/>
  <c r="C259" i="14"/>
  <c r="A259" i="14"/>
  <c r="G258" i="14"/>
  <c r="E258" i="14"/>
  <c r="C258" i="14"/>
  <c r="A258" i="14"/>
  <c r="G257" i="14"/>
  <c r="E257" i="14"/>
  <c r="C257" i="14"/>
  <c r="J257" i="14" s="1"/>
  <c r="A257" i="14"/>
  <c r="G256" i="14"/>
  <c r="E256" i="14"/>
  <c r="C256" i="14"/>
  <c r="A256" i="14"/>
  <c r="G255" i="14"/>
  <c r="E255" i="14"/>
  <c r="C255" i="14"/>
  <c r="I255" i="14" s="1"/>
  <c r="A255" i="14"/>
  <c r="G254" i="14"/>
  <c r="E254" i="14"/>
  <c r="C254" i="14"/>
  <c r="A254" i="14"/>
  <c r="G253" i="14"/>
  <c r="E253" i="14"/>
  <c r="C253" i="14"/>
  <c r="A253" i="14"/>
  <c r="G252" i="14"/>
  <c r="E252" i="14"/>
  <c r="C252" i="14"/>
  <c r="I252" i="14" s="1"/>
  <c r="A252" i="14"/>
  <c r="G251" i="14"/>
  <c r="E251" i="14"/>
  <c r="C251" i="14"/>
  <c r="A251" i="14"/>
  <c r="G250" i="14"/>
  <c r="E250" i="14"/>
  <c r="C250" i="14"/>
  <c r="A250" i="14"/>
  <c r="G249" i="14"/>
  <c r="E249" i="14"/>
  <c r="C249" i="14"/>
  <c r="A249" i="14"/>
  <c r="G248" i="14"/>
  <c r="E248" i="14"/>
  <c r="C248" i="14"/>
  <c r="J248" i="14" s="1"/>
  <c r="A248" i="14"/>
  <c r="G247" i="14"/>
  <c r="E247" i="14"/>
  <c r="C247" i="14"/>
  <c r="A247" i="14"/>
  <c r="G246" i="14"/>
  <c r="E246" i="14"/>
  <c r="C246" i="14"/>
  <c r="A246" i="14"/>
  <c r="G245" i="14"/>
  <c r="E245" i="14"/>
  <c r="C245" i="14"/>
  <c r="J245" i="14" s="1"/>
  <c r="A245" i="14"/>
  <c r="G244" i="14"/>
  <c r="E244" i="14"/>
  <c r="C244" i="14"/>
  <c r="A244" i="14"/>
  <c r="G243" i="14"/>
  <c r="E243" i="14"/>
  <c r="C243" i="14"/>
  <c r="A243" i="14"/>
  <c r="J242" i="14"/>
  <c r="G242" i="14"/>
  <c r="E242" i="14"/>
  <c r="C242" i="14"/>
  <c r="I242" i="14" s="1"/>
  <c r="A242" i="14"/>
  <c r="G241" i="14"/>
  <c r="E241" i="14"/>
  <c r="C241" i="14"/>
  <c r="A241" i="14"/>
  <c r="G240" i="14"/>
  <c r="E240" i="14"/>
  <c r="C240" i="14"/>
  <c r="A240" i="14"/>
  <c r="G239" i="14"/>
  <c r="E239" i="14"/>
  <c r="C239" i="14"/>
  <c r="A239" i="14"/>
  <c r="G238" i="14"/>
  <c r="E238" i="14"/>
  <c r="C238" i="14"/>
  <c r="I238" i="14" s="1"/>
  <c r="A238" i="14"/>
  <c r="G237" i="14"/>
  <c r="E237" i="14"/>
  <c r="C237" i="14"/>
  <c r="J237" i="14" s="1"/>
  <c r="A237" i="14"/>
  <c r="G236" i="14"/>
  <c r="E236" i="14"/>
  <c r="C236" i="14"/>
  <c r="A236" i="14"/>
  <c r="G235" i="14"/>
  <c r="E235" i="14"/>
  <c r="C235" i="14"/>
  <c r="I235" i="14" s="1"/>
  <c r="A235" i="14"/>
  <c r="G234" i="14"/>
  <c r="E234" i="14"/>
  <c r="C234" i="14"/>
  <c r="I234" i="14" s="1"/>
  <c r="A234" i="14"/>
  <c r="G233" i="14"/>
  <c r="E233" i="14"/>
  <c r="C233" i="14"/>
  <c r="J233" i="14" s="1"/>
  <c r="A233" i="14"/>
  <c r="G232" i="14"/>
  <c r="E232" i="14"/>
  <c r="C232" i="14"/>
  <c r="A232" i="14"/>
  <c r="G231" i="14"/>
  <c r="E231" i="14"/>
  <c r="C231" i="14"/>
  <c r="J231" i="14" s="1"/>
  <c r="A231" i="14"/>
  <c r="G230" i="14"/>
  <c r="E230" i="14"/>
  <c r="C230" i="14"/>
  <c r="J230" i="14" s="1"/>
  <c r="A230" i="14"/>
  <c r="G229" i="14"/>
  <c r="E229" i="14"/>
  <c r="C229" i="14"/>
  <c r="J229" i="14" s="1"/>
  <c r="A229" i="14"/>
  <c r="G228" i="14"/>
  <c r="E228" i="14"/>
  <c r="C228" i="14"/>
  <c r="I228" i="14" s="1"/>
  <c r="A228" i="14"/>
  <c r="I227" i="14"/>
  <c r="G227" i="14"/>
  <c r="E227" i="14"/>
  <c r="C227" i="14"/>
  <c r="J227" i="14" s="1"/>
  <c r="A227" i="14"/>
  <c r="G226" i="14"/>
  <c r="E226" i="14"/>
  <c r="C226" i="14"/>
  <c r="I226" i="14" s="1"/>
  <c r="A226" i="14"/>
  <c r="G225" i="14"/>
  <c r="E225" i="14"/>
  <c r="C225" i="14"/>
  <c r="J225" i="14" s="1"/>
  <c r="A225" i="14"/>
  <c r="G224" i="14"/>
  <c r="E224" i="14"/>
  <c r="C224" i="14"/>
  <c r="I224" i="14" s="1"/>
  <c r="A224" i="14"/>
  <c r="G223" i="14"/>
  <c r="E223" i="14"/>
  <c r="C223" i="14"/>
  <c r="I223" i="14" s="1"/>
  <c r="A223" i="14"/>
  <c r="G222" i="14"/>
  <c r="E222" i="14"/>
  <c r="C222" i="14"/>
  <c r="I222" i="14" s="1"/>
  <c r="A222" i="14"/>
  <c r="G221" i="14"/>
  <c r="E221" i="14"/>
  <c r="C221" i="14"/>
  <c r="A221" i="14"/>
  <c r="G220" i="14"/>
  <c r="E220" i="14"/>
  <c r="C220" i="14"/>
  <c r="I220" i="14" s="1"/>
  <c r="A220" i="14"/>
  <c r="G219" i="14"/>
  <c r="E219" i="14"/>
  <c r="C219" i="14"/>
  <c r="A219" i="14"/>
  <c r="G218" i="14"/>
  <c r="E218" i="14"/>
  <c r="C218" i="14"/>
  <c r="A218" i="14"/>
  <c r="G217" i="14"/>
  <c r="E217" i="14"/>
  <c r="C217" i="14"/>
  <c r="I217" i="14" s="1"/>
  <c r="A217" i="14"/>
  <c r="G216" i="14"/>
  <c r="E216" i="14"/>
  <c r="C216" i="14"/>
  <c r="A216" i="14"/>
  <c r="G215" i="14"/>
  <c r="E215" i="14"/>
  <c r="C215" i="14"/>
  <c r="A215" i="14"/>
  <c r="G214" i="14"/>
  <c r="E214" i="14"/>
  <c r="C214" i="14"/>
  <c r="J214" i="14" s="1"/>
  <c r="A214" i="14"/>
  <c r="G213" i="14"/>
  <c r="E213" i="14"/>
  <c r="C213" i="14"/>
  <c r="I213" i="14" s="1"/>
  <c r="A213" i="14"/>
  <c r="G212" i="14"/>
  <c r="E212" i="14"/>
  <c r="C212" i="14"/>
  <c r="A212" i="14"/>
  <c r="G211" i="14"/>
  <c r="E211" i="14"/>
  <c r="C211" i="14"/>
  <c r="J211" i="14" s="1"/>
  <c r="A211" i="14"/>
  <c r="G210" i="14"/>
  <c r="E210" i="14"/>
  <c r="C210" i="14"/>
  <c r="A210" i="14"/>
  <c r="G209" i="14"/>
  <c r="E209" i="14"/>
  <c r="C209" i="14"/>
  <c r="A209" i="14"/>
  <c r="G208" i="14"/>
  <c r="E208" i="14"/>
  <c r="C208" i="14"/>
  <c r="A208" i="14"/>
  <c r="G207" i="14"/>
  <c r="E207" i="14"/>
  <c r="C207" i="14"/>
  <c r="I207" i="14" s="1"/>
  <c r="A207" i="14"/>
  <c r="G206" i="14"/>
  <c r="E206" i="14"/>
  <c r="C206" i="14"/>
  <c r="J206" i="14" s="1"/>
  <c r="A206" i="14"/>
  <c r="G205" i="14"/>
  <c r="E205" i="14"/>
  <c r="C205" i="14"/>
  <c r="I205" i="14" s="1"/>
  <c r="A205" i="14"/>
  <c r="G204" i="14"/>
  <c r="E204" i="14"/>
  <c r="C204" i="14"/>
  <c r="A204" i="14"/>
  <c r="G203" i="14"/>
  <c r="E203" i="14"/>
  <c r="C203" i="14"/>
  <c r="A203" i="14"/>
  <c r="G202" i="14"/>
  <c r="E202" i="14"/>
  <c r="C202" i="14"/>
  <c r="A202" i="14"/>
  <c r="G201" i="14"/>
  <c r="E201" i="14"/>
  <c r="C201" i="14"/>
  <c r="A201" i="14"/>
  <c r="G200" i="14"/>
  <c r="E200" i="14"/>
  <c r="C200" i="14"/>
  <c r="I200" i="14" s="1"/>
  <c r="A200" i="14"/>
  <c r="G199" i="14"/>
  <c r="E199" i="14"/>
  <c r="C199" i="14"/>
  <c r="J199" i="14" s="1"/>
  <c r="A199" i="14"/>
  <c r="G198" i="14"/>
  <c r="E198" i="14"/>
  <c r="C198" i="14"/>
  <c r="A198" i="14"/>
  <c r="G197" i="14"/>
  <c r="E197" i="14"/>
  <c r="C197" i="14"/>
  <c r="A197" i="14"/>
  <c r="G196" i="14"/>
  <c r="E196" i="14"/>
  <c r="C196" i="14"/>
  <c r="J196" i="14" s="1"/>
  <c r="A196" i="14"/>
  <c r="G195" i="14"/>
  <c r="E195" i="14"/>
  <c r="C195" i="14"/>
  <c r="I195" i="14" s="1"/>
  <c r="A195" i="14"/>
  <c r="G194" i="14"/>
  <c r="E194" i="14"/>
  <c r="C194" i="14"/>
  <c r="A194" i="14"/>
  <c r="G193" i="14"/>
  <c r="E193" i="14"/>
  <c r="C193" i="14"/>
  <c r="J193" i="14" s="1"/>
  <c r="A193" i="14"/>
  <c r="G192" i="14"/>
  <c r="E192" i="14"/>
  <c r="C192" i="14"/>
  <c r="J192" i="14" s="1"/>
  <c r="A192" i="14"/>
  <c r="G191" i="14"/>
  <c r="E191" i="14"/>
  <c r="C191" i="14"/>
  <c r="A191" i="14"/>
  <c r="G190" i="14"/>
  <c r="E190" i="14"/>
  <c r="C190" i="14"/>
  <c r="J190" i="14" s="1"/>
  <c r="A190" i="14"/>
  <c r="G189" i="14"/>
  <c r="E189" i="14"/>
  <c r="C189" i="14"/>
  <c r="J189" i="14" s="1"/>
  <c r="A189" i="14"/>
  <c r="G188" i="14"/>
  <c r="E188" i="14"/>
  <c r="C188" i="14"/>
  <c r="A188" i="14"/>
  <c r="G187" i="14"/>
  <c r="E187" i="14"/>
  <c r="C187" i="14"/>
  <c r="A187" i="14"/>
  <c r="G186" i="14"/>
  <c r="E186" i="14"/>
  <c r="C186" i="14"/>
  <c r="I186" i="14" s="1"/>
  <c r="A186" i="14"/>
  <c r="G185" i="14"/>
  <c r="E185" i="14"/>
  <c r="C185" i="14"/>
  <c r="I185" i="14" s="1"/>
  <c r="A185" i="14"/>
  <c r="G184" i="14"/>
  <c r="E184" i="14"/>
  <c r="C184" i="14"/>
  <c r="A184" i="14"/>
  <c r="G183" i="14"/>
  <c r="E183" i="14"/>
  <c r="C183" i="14"/>
  <c r="A183" i="14"/>
  <c r="G182" i="14"/>
  <c r="E182" i="14"/>
  <c r="C182" i="14"/>
  <c r="A182" i="14"/>
  <c r="G181" i="14"/>
  <c r="E181" i="14"/>
  <c r="C181" i="14"/>
  <c r="J181" i="14" s="1"/>
  <c r="A181" i="14"/>
  <c r="G180" i="14"/>
  <c r="E180" i="14"/>
  <c r="C180" i="14"/>
  <c r="A180" i="14"/>
  <c r="I179" i="14"/>
  <c r="G179" i="14"/>
  <c r="E179" i="14"/>
  <c r="C179" i="14"/>
  <c r="J179" i="14" s="1"/>
  <c r="A179" i="14"/>
  <c r="G178" i="14"/>
  <c r="E178" i="14"/>
  <c r="C178" i="14"/>
  <c r="A178" i="14"/>
  <c r="G177" i="14"/>
  <c r="E177" i="14"/>
  <c r="C177" i="14"/>
  <c r="I177" i="14" s="1"/>
  <c r="A177" i="14"/>
  <c r="G176" i="14"/>
  <c r="E176" i="14"/>
  <c r="C176" i="14"/>
  <c r="A176" i="14"/>
  <c r="G175" i="14"/>
  <c r="E175" i="14"/>
  <c r="C175" i="14"/>
  <c r="J175" i="14" s="1"/>
  <c r="A175" i="14"/>
  <c r="G174" i="14"/>
  <c r="E174" i="14"/>
  <c r="C174" i="14"/>
  <c r="J174" i="14" s="1"/>
  <c r="A174" i="14"/>
  <c r="G173" i="14"/>
  <c r="E173" i="14"/>
  <c r="C173" i="14"/>
  <c r="A173" i="14"/>
  <c r="G172" i="14"/>
  <c r="E172" i="14"/>
  <c r="C172" i="14"/>
  <c r="A172" i="14"/>
  <c r="G171" i="14"/>
  <c r="E171" i="14"/>
  <c r="C171" i="14"/>
  <c r="I171" i="14" s="1"/>
  <c r="A171" i="14"/>
  <c r="G170" i="14"/>
  <c r="E170" i="14"/>
  <c r="C170" i="14"/>
  <c r="A170" i="14"/>
  <c r="G169" i="14"/>
  <c r="E169" i="14"/>
  <c r="C169" i="14"/>
  <c r="A169" i="14"/>
  <c r="G168" i="14"/>
  <c r="E168" i="14"/>
  <c r="C168" i="14"/>
  <c r="J168" i="14" s="1"/>
  <c r="A168" i="14"/>
  <c r="G167" i="14"/>
  <c r="E167" i="14"/>
  <c r="C167" i="14"/>
  <c r="I167" i="14" s="1"/>
  <c r="A167" i="14"/>
  <c r="G166" i="14"/>
  <c r="E166" i="14"/>
  <c r="C166" i="14"/>
  <c r="I166" i="14" s="1"/>
  <c r="A166" i="14"/>
  <c r="G165" i="14"/>
  <c r="E165" i="14"/>
  <c r="C165" i="14"/>
  <c r="J165" i="14" s="1"/>
  <c r="A165" i="14"/>
  <c r="G164" i="14"/>
  <c r="E164" i="14"/>
  <c r="C164" i="14"/>
  <c r="A164" i="14"/>
  <c r="G163" i="14"/>
  <c r="E163" i="14"/>
  <c r="C163" i="14"/>
  <c r="A163" i="14"/>
  <c r="G162" i="14"/>
  <c r="E162" i="14"/>
  <c r="C162" i="14"/>
  <c r="I162" i="14" s="1"/>
  <c r="A162" i="14"/>
  <c r="G161" i="14"/>
  <c r="E161" i="14"/>
  <c r="C161" i="14"/>
  <c r="A161" i="14"/>
  <c r="G160" i="14"/>
  <c r="E160" i="14"/>
  <c r="C160" i="14"/>
  <c r="A160" i="14"/>
  <c r="G159" i="14"/>
  <c r="E159" i="14"/>
  <c r="C159" i="14"/>
  <c r="A159" i="14"/>
  <c r="G158" i="14"/>
  <c r="E158" i="14"/>
  <c r="C158" i="14"/>
  <c r="A158" i="14"/>
  <c r="G157" i="14"/>
  <c r="E157" i="14"/>
  <c r="C157" i="14"/>
  <c r="A157" i="14"/>
  <c r="G156" i="14"/>
  <c r="E156" i="14"/>
  <c r="C156" i="14"/>
  <c r="J156" i="14" s="1"/>
  <c r="A156" i="14"/>
  <c r="G155" i="14"/>
  <c r="E155" i="14"/>
  <c r="C155" i="14"/>
  <c r="I155" i="14" s="1"/>
  <c r="A155" i="14"/>
  <c r="G154" i="14"/>
  <c r="E154" i="14"/>
  <c r="C154" i="14"/>
  <c r="A154" i="14"/>
  <c r="J153" i="14"/>
  <c r="G153" i="14"/>
  <c r="E153" i="14"/>
  <c r="C153" i="14"/>
  <c r="I153" i="14" s="1"/>
  <c r="A153" i="14"/>
  <c r="G152" i="14"/>
  <c r="E152" i="14"/>
  <c r="C152" i="14"/>
  <c r="I152" i="14" s="1"/>
  <c r="A152" i="14"/>
  <c r="G151" i="14"/>
  <c r="E151" i="14"/>
  <c r="C151" i="14"/>
  <c r="A151" i="14"/>
  <c r="G150" i="14"/>
  <c r="E150" i="14"/>
  <c r="C150" i="14"/>
  <c r="A150" i="14"/>
  <c r="G149" i="14"/>
  <c r="E149" i="14"/>
  <c r="C149" i="14"/>
  <c r="I149" i="14" s="1"/>
  <c r="A149" i="14"/>
  <c r="G148" i="14"/>
  <c r="E148" i="14"/>
  <c r="C148" i="14"/>
  <c r="A148" i="14"/>
  <c r="G147" i="14"/>
  <c r="E147" i="14"/>
  <c r="C147" i="14"/>
  <c r="A147" i="14"/>
  <c r="G146" i="14"/>
  <c r="E146" i="14"/>
  <c r="C146" i="14"/>
  <c r="A146" i="14"/>
  <c r="G145" i="14"/>
  <c r="E145" i="14"/>
  <c r="C145" i="14"/>
  <c r="I145" i="14" s="1"/>
  <c r="A145" i="14"/>
  <c r="G144" i="14"/>
  <c r="E144" i="14"/>
  <c r="C144" i="14"/>
  <c r="J144" i="14" s="1"/>
  <c r="A144" i="14"/>
  <c r="G143" i="14"/>
  <c r="E143" i="14"/>
  <c r="C143" i="14"/>
  <c r="J143" i="14" s="1"/>
  <c r="A143" i="14"/>
  <c r="G142" i="14"/>
  <c r="E142" i="14"/>
  <c r="C142" i="14"/>
  <c r="A142" i="14"/>
  <c r="G141" i="14"/>
  <c r="E141" i="14"/>
  <c r="C141" i="14"/>
  <c r="A141" i="14"/>
  <c r="G140" i="14"/>
  <c r="E140" i="14"/>
  <c r="C140" i="14"/>
  <c r="A140" i="14"/>
  <c r="G139" i="14"/>
  <c r="E139" i="14"/>
  <c r="C139" i="14"/>
  <c r="J139" i="14" s="1"/>
  <c r="A139" i="14"/>
  <c r="G138" i="14"/>
  <c r="E138" i="14"/>
  <c r="C138" i="14"/>
  <c r="A138" i="14"/>
  <c r="G137" i="14"/>
  <c r="E137" i="14"/>
  <c r="C137" i="14"/>
  <c r="J137" i="14" s="1"/>
  <c r="A137" i="14"/>
  <c r="G136" i="14"/>
  <c r="E136" i="14"/>
  <c r="C136" i="14"/>
  <c r="A136" i="14"/>
  <c r="G135" i="14"/>
  <c r="E135" i="14"/>
  <c r="C135" i="14"/>
  <c r="A135" i="14"/>
  <c r="G134" i="14"/>
  <c r="E134" i="14"/>
  <c r="C134" i="14"/>
  <c r="I134" i="14" s="1"/>
  <c r="A134" i="14"/>
  <c r="G133" i="14"/>
  <c r="E133" i="14"/>
  <c r="C133" i="14"/>
  <c r="A133" i="14"/>
  <c r="G132" i="14"/>
  <c r="E132" i="14"/>
  <c r="C132" i="14"/>
  <c r="A132" i="14"/>
  <c r="G131" i="14"/>
  <c r="E131" i="14"/>
  <c r="C131" i="14"/>
  <c r="J131" i="14" s="1"/>
  <c r="A131" i="14"/>
  <c r="G130" i="14"/>
  <c r="E130" i="14"/>
  <c r="C130" i="14"/>
  <c r="A130" i="14"/>
  <c r="G129" i="14"/>
  <c r="E129" i="14"/>
  <c r="C129" i="14"/>
  <c r="J129" i="14" s="1"/>
  <c r="A129" i="14"/>
  <c r="G128" i="14"/>
  <c r="E128" i="14"/>
  <c r="C128" i="14"/>
  <c r="A128" i="14"/>
  <c r="G127" i="14"/>
  <c r="E127" i="14"/>
  <c r="C127" i="14"/>
  <c r="J127" i="14" s="1"/>
  <c r="A127" i="14"/>
  <c r="G126" i="14"/>
  <c r="E126" i="14"/>
  <c r="C126" i="14"/>
  <c r="J126" i="14" s="1"/>
  <c r="A126" i="14"/>
  <c r="G125" i="14"/>
  <c r="E125" i="14"/>
  <c r="C125" i="14"/>
  <c r="A125" i="14"/>
  <c r="G124" i="14"/>
  <c r="E124" i="14"/>
  <c r="C124" i="14"/>
  <c r="A124" i="14"/>
  <c r="G123" i="14"/>
  <c r="E123" i="14"/>
  <c r="C123" i="14"/>
  <c r="A123" i="14"/>
  <c r="G122" i="14"/>
  <c r="E122" i="14"/>
  <c r="C122" i="14"/>
  <c r="A122" i="14"/>
  <c r="G121" i="14"/>
  <c r="E121" i="14"/>
  <c r="C121" i="14"/>
  <c r="I121" i="14" s="1"/>
  <c r="A121" i="14"/>
  <c r="G120" i="14"/>
  <c r="E120" i="14"/>
  <c r="C120" i="14"/>
  <c r="A120" i="14"/>
  <c r="G119" i="14"/>
  <c r="E119" i="14"/>
  <c r="C119" i="14"/>
  <c r="A119" i="14"/>
  <c r="G118" i="14"/>
  <c r="E118" i="14"/>
  <c r="C118" i="14"/>
  <c r="A118" i="14"/>
  <c r="G117" i="14"/>
  <c r="E117" i="14"/>
  <c r="C117" i="14"/>
  <c r="J117" i="14" s="1"/>
  <c r="A117" i="14"/>
  <c r="G116" i="14"/>
  <c r="E116" i="14"/>
  <c r="C116" i="14"/>
  <c r="A116" i="14"/>
  <c r="G115" i="14"/>
  <c r="E115" i="14"/>
  <c r="C115" i="14"/>
  <c r="A115" i="14"/>
  <c r="G114" i="14"/>
  <c r="E114" i="14"/>
  <c r="C114" i="14"/>
  <c r="I114" i="14" s="1"/>
  <c r="A114" i="14"/>
  <c r="G113" i="14"/>
  <c r="E113" i="14"/>
  <c r="C113" i="14"/>
  <c r="A113" i="14"/>
  <c r="G112" i="14"/>
  <c r="E112" i="14"/>
  <c r="C112" i="14"/>
  <c r="A112" i="14"/>
  <c r="G111" i="14"/>
  <c r="E111" i="14"/>
  <c r="C111" i="14"/>
  <c r="J111" i="14" s="1"/>
  <c r="A111" i="14"/>
  <c r="G110" i="14"/>
  <c r="E110" i="14"/>
  <c r="C110" i="14"/>
  <c r="A110" i="14"/>
  <c r="G109" i="14"/>
  <c r="E109" i="14"/>
  <c r="C109" i="14"/>
  <c r="A109" i="14"/>
  <c r="G108" i="14"/>
  <c r="E108" i="14"/>
  <c r="C108" i="14"/>
  <c r="I108" i="14" s="1"/>
  <c r="A108" i="14"/>
  <c r="G107" i="14"/>
  <c r="E107" i="14"/>
  <c r="C107" i="14"/>
  <c r="A107" i="14"/>
  <c r="G106" i="14"/>
  <c r="E106" i="14"/>
  <c r="C106" i="14"/>
  <c r="A106" i="14"/>
  <c r="I105" i="14"/>
  <c r="G105" i="14"/>
  <c r="E105" i="14"/>
  <c r="C105" i="14"/>
  <c r="J105" i="14" s="1"/>
  <c r="A105" i="14"/>
  <c r="G104" i="14"/>
  <c r="E104" i="14"/>
  <c r="C104" i="14"/>
  <c r="A104" i="14"/>
  <c r="G103" i="14"/>
  <c r="E103" i="14"/>
  <c r="C103" i="14"/>
  <c r="A103" i="14"/>
  <c r="G102" i="14"/>
  <c r="E102" i="14"/>
  <c r="C102" i="14"/>
  <c r="J102" i="14" s="1"/>
  <c r="A102" i="14"/>
  <c r="G101" i="14"/>
  <c r="E101" i="14"/>
  <c r="C101" i="14"/>
  <c r="J101" i="14" s="1"/>
  <c r="A101" i="14"/>
  <c r="G100" i="14"/>
  <c r="E100" i="14"/>
  <c r="C100" i="14"/>
  <c r="A100" i="14"/>
  <c r="G99" i="14"/>
  <c r="E99" i="14"/>
  <c r="C99" i="14"/>
  <c r="A99" i="14"/>
  <c r="G98" i="14"/>
  <c r="E98" i="14"/>
  <c r="C98" i="14"/>
  <c r="I98" i="14" s="1"/>
  <c r="A98" i="14"/>
  <c r="G97" i="14"/>
  <c r="E97" i="14"/>
  <c r="C97" i="14"/>
  <c r="I97" i="14" s="1"/>
  <c r="A97" i="14"/>
  <c r="G96" i="14"/>
  <c r="E96" i="14"/>
  <c r="C96" i="14"/>
  <c r="A96" i="14"/>
  <c r="G95" i="14"/>
  <c r="E95" i="14"/>
  <c r="C95" i="14"/>
  <c r="A95" i="14"/>
  <c r="G94" i="14"/>
  <c r="E94" i="14"/>
  <c r="C94" i="14"/>
  <c r="J94" i="14" s="1"/>
  <c r="A94" i="14"/>
  <c r="G93" i="14"/>
  <c r="E93" i="14"/>
  <c r="C93" i="14"/>
  <c r="J93" i="14" s="1"/>
  <c r="A93" i="14"/>
  <c r="G92" i="14"/>
  <c r="E92" i="14"/>
  <c r="C92" i="14"/>
  <c r="A92" i="14"/>
  <c r="G91" i="14"/>
  <c r="E91" i="14"/>
  <c r="C91" i="14"/>
  <c r="J91" i="14" s="1"/>
  <c r="A91" i="14"/>
  <c r="G90" i="14"/>
  <c r="E90" i="14"/>
  <c r="C90" i="14"/>
  <c r="I90" i="14" s="1"/>
  <c r="A90" i="14"/>
  <c r="G89" i="14"/>
  <c r="E89" i="14"/>
  <c r="C89" i="14"/>
  <c r="J89" i="14" s="1"/>
  <c r="A89" i="14"/>
  <c r="G88" i="14"/>
  <c r="E88" i="14"/>
  <c r="C88" i="14"/>
  <c r="A88" i="14"/>
  <c r="G87" i="14"/>
  <c r="E87" i="14"/>
  <c r="C87" i="14"/>
  <c r="A87" i="14"/>
  <c r="G86" i="14"/>
  <c r="E86" i="14"/>
  <c r="C86" i="14"/>
  <c r="J86" i="14" s="1"/>
  <c r="A86" i="14"/>
  <c r="G85" i="14"/>
  <c r="E85" i="14"/>
  <c r="C85" i="14"/>
  <c r="A85" i="14"/>
  <c r="G84" i="14"/>
  <c r="E84" i="14"/>
  <c r="C84" i="14"/>
  <c r="I84" i="14" s="1"/>
  <c r="A84" i="14"/>
  <c r="G83" i="14"/>
  <c r="E83" i="14"/>
  <c r="C83" i="14"/>
  <c r="J83" i="14" s="1"/>
  <c r="A83" i="14"/>
  <c r="G82" i="14"/>
  <c r="E82" i="14"/>
  <c r="C82" i="14"/>
  <c r="A82" i="14"/>
  <c r="G81" i="14"/>
  <c r="E81" i="14"/>
  <c r="C81" i="14"/>
  <c r="A81" i="14"/>
  <c r="G80" i="14"/>
  <c r="E80" i="14"/>
  <c r="C80" i="14"/>
  <c r="A80" i="14"/>
  <c r="G79" i="14"/>
  <c r="E79" i="14"/>
  <c r="C79" i="14"/>
  <c r="A79" i="14"/>
  <c r="G78" i="14"/>
  <c r="E78" i="14"/>
  <c r="C78" i="14"/>
  <c r="I78" i="14" s="1"/>
  <c r="A78" i="14"/>
  <c r="G77" i="14"/>
  <c r="E77" i="14"/>
  <c r="C77" i="14"/>
  <c r="J77" i="14" s="1"/>
  <c r="A77" i="14"/>
  <c r="G76" i="14"/>
  <c r="E76" i="14"/>
  <c r="C76" i="14"/>
  <c r="J76" i="14" s="1"/>
  <c r="A76" i="14"/>
  <c r="G75" i="14"/>
  <c r="E75" i="14"/>
  <c r="C75" i="14"/>
  <c r="J75" i="14" s="1"/>
  <c r="A75" i="14"/>
  <c r="G74" i="14"/>
  <c r="E74" i="14"/>
  <c r="C74" i="14"/>
  <c r="A74" i="14"/>
  <c r="G73" i="14"/>
  <c r="E73" i="14"/>
  <c r="C73" i="14"/>
  <c r="J73" i="14" s="1"/>
  <c r="A73" i="14"/>
  <c r="G72" i="14"/>
  <c r="E72" i="14"/>
  <c r="C72" i="14"/>
  <c r="A72" i="14"/>
  <c r="G71" i="14"/>
  <c r="E71" i="14"/>
  <c r="C71" i="14"/>
  <c r="A71" i="14"/>
  <c r="G70" i="14"/>
  <c r="E70" i="14"/>
  <c r="C70" i="14"/>
  <c r="A70" i="14"/>
  <c r="G69" i="14"/>
  <c r="E69" i="14"/>
  <c r="C69" i="14"/>
  <c r="J69" i="14" s="1"/>
  <c r="A69" i="14"/>
  <c r="G68" i="14"/>
  <c r="E68" i="14"/>
  <c r="C68" i="14"/>
  <c r="I68" i="14" s="1"/>
  <c r="A68" i="14"/>
  <c r="G67" i="14"/>
  <c r="E67" i="14"/>
  <c r="C67" i="14"/>
  <c r="J67" i="14" s="1"/>
  <c r="A67" i="14"/>
  <c r="G66" i="14"/>
  <c r="E66" i="14"/>
  <c r="C66" i="14"/>
  <c r="I66" i="14" s="1"/>
  <c r="A66" i="14"/>
  <c r="G65" i="14"/>
  <c r="E65" i="14"/>
  <c r="C65" i="14"/>
  <c r="J65" i="14" s="1"/>
  <c r="A65" i="14"/>
  <c r="G64" i="14"/>
  <c r="E64" i="14"/>
  <c r="C64" i="14"/>
  <c r="J64" i="14" s="1"/>
  <c r="A64" i="14"/>
  <c r="G63" i="14"/>
  <c r="E63" i="14"/>
  <c r="C63" i="14"/>
  <c r="A63" i="14"/>
  <c r="G62" i="14"/>
  <c r="E62" i="14"/>
  <c r="C62" i="14"/>
  <c r="J62" i="14" s="1"/>
  <c r="A62" i="14"/>
  <c r="G61" i="14"/>
  <c r="E61" i="14"/>
  <c r="C61" i="14"/>
  <c r="I61" i="14" s="1"/>
  <c r="A61" i="14"/>
  <c r="G60" i="14"/>
  <c r="E60" i="14"/>
  <c r="C60" i="14"/>
  <c r="A60" i="14"/>
  <c r="I59" i="14"/>
  <c r="G59" i="14"/>
  <c r="E59" i="14"/>
  <c r="C59" i="14"/>
  <c r="J59" i="14" s="1"/>
  <c r="A59" i="14"/>
  <c r="G58" i="14"/>
  <c r="E58" i="14"/>
  <c r="C58" i="14"/>
  <c r="I58" i="14" s="1"/>
  <c r="A58" i="14"/>
  <c r="G57" i="14"/>
  <c r="E57" i="14"/>
  <c r="C57" i="14"/>
  <c r="J57" i="14" s="1"/>
  <c r="A57" i="14"/>
  <c r="G56" i="14"/>
  <c r="E56" i="14"/>
  <c r="C56" i="14"/>
  <c r="J56" i="14" s="1"/>
  <c r="A56" i="14"/>
  <c r="G55" i="14"/>
  <c r="E55" i="14"/>
  <c r="C55" i="14"/>
  <c r="A55" i="14"/>
  <c r="G54" i="14"/>
  <c r="E54" i="14"/>
  <c r="C54" i="14"/>
  <c r="J54" i="14" s="1"/>
  <c r="A54" i="14"/>
  <c r="G53" i="14"/>
  <c r="E53" i="14"/>
  <c r="C53" i="14"/>
  <c r="J53" i="14" s="1"/>
  <c r="A53" i="14"/>
  <c r="G52" i="14"/>
  <c r="E52" i="14"/>
  <c r="C52" i="14"/>
  <c r="J52" i="14" s="1"/>
  <c r="A52" i="14"/>
  <c r="G51" i="14"/>
  <c r="E51" i="14"/>
  <c r="C51" i="14"/>
  <c r="J51" i="14" s="1"/>
  <c r="A51" i="14"/>
  <c r="G50" i="14"/>
  <c r="E50" i="14"/>
  <c r="C50" i="14"/>
  <c r="I50" i="14" s="1"/>
  <c r="A50" i="14"/>
  <c r="G49" i="14"/>
  <c r="E49" i="14"/>
  <c r="C49" i="14"/>
  <c r="I49" i="14" s="1"/>
  <c r="A49" i="14"/>
  <c r="G48" i="14"/>
  <c r="E48" i="14"/>
  <c r="C48" i="14"/>
  <c r="A48" i="14"/>
  <c r="G47" i="14"/>
  <c r="E47" i="14"/>
  <c r="C47" i="14"/>
  <c r="I47" i="14" s="1"/>
  <c r="A47" i="14"/>
  <c r="G46" i="14"/>
  <c r="E46" i="14"/>
  <c r="C46" i="14"/>
  <c r="J46" i="14" s="1"/>
  <c r="A46" i="14"/>
  <c r="G45" i="14"/>
  <c r="E45" i="14"/>
  <c r="C45" i="14"/>
  <c r="J45" i="14" s="1"/>
  <c r="A45" i="14"/>
  <c r="I44" i="14"/>
  <c r="G44" i="14"/>
  <c r="E44" i="14"/>
  <c r="C44" i="14"/>
  <c r="J44" i="14" s="1"/>
  <c r="A44" i="14"/>
  <c r="G43" i="14"/>
  <c r="E43" i="14"/>
  <c r="C43" i="14"/>
  <c r="I43" i="14" s="1"/>
  <c r="A43" i="14"/>
  <c r="G42" i="14"/>
  <c r="E42" i="14"/>
  <c r="C42" i="14"/>
  <c r="I42" i="14" s="1"/>
  <c r="A42" i="14"/>
  <c r="G41" i="14"/>
  <c r="E41" i="14"/>
  <c r="C41" i="14"/>
  <c r="J41" i="14" s="1"/>
  <c r="A41" i="14"/>
  <c r="G40" i="14"/>
  <c r="E40" i="14"/>
  <c r="C40" i="14"/>
  <c r="J40" i="14" s="1"/>
  <c r="A40" i="14"/>
  <c r="G39" i="14"/>
  <c r="E39" i="14"/>
  <c r="C39" i="14"/>
  <c r="I39" i="14" s="1"/>
  <c r="A39" i="14"/>
  <c r="G38" i="14"/>
  <c r="E38" i="14"/>
  <c r="C38" i="14"/>
  <c r="I38" i="14" s="1"/>
  <c r="A38" i="14"/>
  <c r="G37" i="14"/>
  <c r="E37" i="14"/>
  <c r="C37" i="14"/>
  <c r="J37" i="14" s="1"/>
  <c r="A37" i="14"/>
  <c r="G36" i="14"/>
  <c r="E36" i="14"/>
  <c r="C36" i="14"/>
  <c r="I36" i="14" s="1"/>
  <c r="A36" i="14"/>
  <c r="G35" i="14"/>
  <c r="E35" i="14"/>
  <c r="C35" i="14"/>
  <c r="A35" i="14"/>
  <c r="G34" i="14"/>
  <c r="E34" i="14"/>
  <c r="C34" i="14"/>
  <c r="I34" i="14" s="1"/>
  <c r="A34" i="14"/>
  <c r="G33" i="14"/>
  <c r="E33" i="14"/>
  <c r="C33" i="14"/>
  <c r="J33" i="14" s="1"/>
  <c r="A33" i="14"/>
  <c r="G32" i="14"/>
  <c r="E32" i="14"/>
  <c r="C32" i="14"/>
  <c r="A32" i="14"/>
  <c r="G31" i="14"/>
  <c r="E31" i="14"/>
  <c r="C31" i="14"/>
  <c r="A31" i="14"/>
  <c r="G30" i="14"/>
  <c r="E30" i="14"/>
  <c r="C30" i="14"/>
  <c r="J30" i="14" s="1"/>
  <c r="A30" i="14"/>
  <c r="G29" i="14"/>
  <c r="E29" i="14"/>
  <c r="C29" i="14"/>
  <c r="A29" i="14"/>
  <c r="G28" i="14"/>
  <c r="E28" i="14"/>
  <c r="C28" i="14"/>
  <c r="A28" i="14"/>
  <c r="J27" i="14"/>
  <c r="G27" i="14"/>
  <c r="E27" i="14"/>
  <c r="C27" i="14"/>
  <c r="I27" i="14" s="1"/>
  <c r="A27" i="14"/>
  <c r="G26" i="14"/>
  <c r="E26" i="14"/>
  <c r="C26" i="14"/>
  <c r="I26" i="14" s="1"/>
  <c r="A26" i="14"/>
  <c r="G25" i="14"/>
  <c r="E25" i="14"/>
  <c r="C25" i="14"/>
  <c r="A25" i="14"/>
  <c r="G24" i="14"/>
  <c r="E24" i="14"/>
  <c r="C24" i="14"/>
  <c r="I24" i="14" s="1"/>
  <c r="A24" i="14"/>
  <c r="G23" i="14"/>
  <c r="E23" i="14"/>
  <c r="C23" i="14"/>
  <c r="J23" i="14" s="1"/>
  <c r="A23" i="14"/>
  <c r="G22" i="14"/>
  <c r="E22" i="14"/>
  <c r="C22" i="14"/>
  <c r="I22" i="14" s="1"/>
  <c r="A22" i="14"/>
  <c r="G21" i="14"/>
  <c r="E21" i="14"/>
  <c r="C21" i="14"/>
  <c r="A21" i="14"/>
  <c r="G20" i="14"/>
  <c r="E20" i="14"/>
  <c r="C20" i="14"/>
  <c r="J20" i="14" s="1"/>
  <c r="A20" i="14"/>
  <c r="G19" i="14"/>
  <c r="E19" i="14"/>
  <c r="C19" i="14"/>
  <c r="A19" i="14"/>
  <c r="G18" i="14"/>
  <c r="E18" i="14"/>
  <c r="C18" i="14"/>
  <c r="A18" i="14"/>
  <c r="G17" i="14"/>
  <c r="E17" i="14"/>
  <c r="C17" i="14"/>
  <c r="J17" i="14" s="1"/>
  <c r="A17" i="14"/>
  <c r="G16" i="14"/>
  <c r="E16" i="14"/>
  <c r="C16" i="14"/>
  <c r="A16" i="14"/>
  <c r="G15" i="14"/>
  <c r="E15" i="14"/>
  <c r="C15" i="14"/>
  <c r="I15" i="14" s="1"/>
  <c r="A15" i="14"/>
  <c r="G14" i="14"/>
  <c r="E14" i="14"/>
  <c r="C14" i="14"/>
  <c r="J14" i="14" s="1"/>
  <c r="A14" i="14"/>
  <c r="G13" i="14"/>
  <c r="E13" i="14"/>
  <c r="C13" i="14"/>
  <c r="J13" i="14" s="1"/>
  <c r="A13" i="14"/>
  <c r="I12" i="14"/>
  <c r="J12" i="14" s="1"/>
  <c r="I11" i="14"/>
  <c r="J11" i="14" s="1"/>
  <c r="I10" i="14"/>
  <c r="J10" i="14" s="1"/>
  <c r="I9" i="14"/>
  <c r="J9" i="14" s="1"/>
  <c r="I8" i="14"/>
  <c r="J8" i="14" s="1"/>
  <c r="I7" i="14"/>
  <c r="J7" i="14" s="1"/>
  <c r="I6" i="14"/>
  <c r="J6" i="14" s="1"/>
  <c r="I5" i="14"/>
  <c r="J5" i="14" s="1"/>
  <c r="I4" i="14"/>
  <c r="J4" i="14" s="1"/>
  <c r="I3" i="14"/>
  <c r="J3" i="14" s="1"/>
  <c r="I2" i="14"/>
  <c r="J2" i="14" s="1"/>
  <c r="G501" i="13"/>
  <c r="D501" i="13"/>
  <c r="F501" i="13" s="1"/>
  <c r="C501" i="13"/>
  <c r="G500" i="13"/>
  <c r="D500" i="13"/>
  <c r="F500" i="13" s="1"/>
  <c r="C500" i="13"/>
  <c r="G499" i="13"/>
  <c r="D499" i="13"/>
  <c r="F499" i="13" s="1"/>
  <c r="C499" i="13"/>
  <c r="G498" i="13"/>
  <c r="D498" i="13"/>
  <c r="F498" i="13" s="1"/>
  <c r="C498" i="13"/>
  <c r="G497" i="13"/>
  <c r="D497" i="13"/>
  <c r="F497" i="13" s="1"/>
  <c r="D497" i="16" s="1"/>
  <c r="C497" i="13"/>
  <c r="G496" i="13"/>
  <c r="D496" i="13"/>
  <c r="F496" i="13" s="1"/>
  <c r="C496" i="13"/>
  <c r="G495" i="13"/>
  <c r="D495" i="13"/>
  <c r="C495" i="13"/>
  <c r="G494" i="13"/>
  <c r="D494" i="13"/>
  <c r="C494" i="13"/>
  <c r="G493" i="13"/>
  <c r="D493" i="13"/>
  <c r="C493" i="13"/>
  <c r="G492" i="13"/>
  <c r="D492" i="13"/>
  <c r="F492" i="13" s="1"/>
  <c r="C492" i="13"/>
  <c r="G491" i="13"/>
  <c r="D491" i="13"/>
  <c r="F491" i="13" s="1"/>
  <c r="D491" i="16" s="1"/>
  <c r="C491" i="13"/>
  <c r="G490" i="13"/>
  <c r="D490" i="13"/>
  <c r="F490" i="13" s="1"/>
  <c r="C490" i="13"/>
  <c r="G489" i="13"/>
  <c r="D489" i="13"/>
  <c r="C489" i="13"/>
  <c r="G488" i="13"/>
  <c r="D488" i="13"/>
  <c r="F488" i="13" s="1"/>
  <c r="C488" i="13"/>
  <c r="G487" i="13"/>
  <c r="D487" i="13"/>
  <c r="C487" i="13"/>
  <c r="G486" i="13"/>
  <c r="D486" i="13"/>
  <c r="F486" i="13" s="1"/>
  <c r="C486" i="13"/>
  <c r="G485" i="13"/>
  <c r="D485" i="13"/>
  <c r="F485" i="13" s="1"/>
  <c r="C485" i="13"/>
  <c r="G484" i="13"/>
  <c r="D484" i="13"/>
  <c r="F484" i="13" s="1"/>
  <c r="C484" i="13"/>
  <c r="G483" i="13"/>
  <c r="D483" i="13"/>
  <c r="F483" i="13" s="1"/>
  <c r="C483" i="13"/>
  <c r="G482" i="13"/>
  <c r="D482" i="13"/>
  <c r="C482" i="13"/>
  <c r="G481" i="13"/>
  <c r="D481" i="13"/>
  <c r="F481" i="13" s="1"/>
  <c r="C481" i="13"/>
  <c r="G480" i="13"/>
  <c r="D480" i="13"/>
  <c r="C480" i="13"/>
  <c r="G479" i="13"/>
  <c r="D479" i="13"/>
  <c r="F479" i="13" s="1"/>
  <c r="C479" i="13"/>
  <c r="G478" i="13"/>
  <c r="D478" i="13"/>
  <c r="C478" i="13"/>
  <c r="G477" i="13"/>
  <c r="D477" i="13"/>
  <c r="C477" i="13"/>
  <c r="G476" i="13"/>
  <c r="D476" i="13"/>
  <c r="C476" i="13"/>
  <c r="G475" i="13"/>
  <c r="D475" i="13"/>
  <c r="F475" i="13" s="1"/>
  <c r="C475" i="13"/>
  <c r="G474" i="13"/>
  <c r="D474" i="13"/>
  <c r="C474" i="13"/>
  <c r="G473" i="13"/>
  <c r="D473" i="13"/>
  <c r="F473" i="13" s="1"/>
  <c r="C473" i="13"/>
  <c r="G472" i="13"/>
  <c r="D472" i="13"/>
  <c r="F472" i="13" s="1"/>
  <c r="D472" i="16" s="1"/>
  <c r="C472" i="13"/>
  <c r="G471" i="13"/>
  <c r="D471" i="13"/>
  <c r="C471" i="13"/>
  <c r="G470" i="13"/>
  <c r="D470" i="13"/>
  <c r="F470" i="13" s="1"/>
  <c r="C470" i="13"/>
  <c r="G469" i="13"/>
  <c r="D469" i="13"/>
  <c r="F469" i="13" s="1"/>
  <c r="C469" i="13"/>
  <c r="G468" i="13"/>
  <c r="D468" i="13"/>
  <c r="F468" i="13" s="1"/>
  <c r="D468" i="16" s="1"/>
  <c r="C468" i="13"/>
  <c r="G467" i="13"/>
  <c r="D467" i="13"/>
  <c r="C467" i="13"/>
  <c r="G466" i="13"/>
  <c r="D466" i="13"/>
  <c r="C466" i="13"/>
  <c r="G465" i="13"/>
  <c r="D465" i="13"/>
  <c r="C465" i="13"/>
  <c r="G464" i="13"/>
  <c r="D464" i="13"/>
  <c r="F464" i="13" s="1"/>
  <c r="C464" i="13"/>
  <c r="G463" i="13"/>
  <c r="D463" i="13"/>
  <c r="C463" i="13"/>
  <c r="G462" i="13"/>
  <c r="D462" i="13"/>
  <c r="C462" i="13"/>
  <c r="G461" i="13"/>
  <c r="D461" i="13"/>
  <c r="C461" i="13"/>
  <c r="G460" i="13"/>
  <c r="D460" i="13"/>
  <c r="F460" i="13" s="1"/>
  <c r="D460" i="16" s="1"/>
  <c r="C460" i="13"/>
  <c r="G459" i="13"/>
  <c r="D459" i="13"/>
  <c r="C459" i="13"/>
  <c r="G458" i="13"/>
  <c r="D458" i="13"/>
  <c r="B458" i="16" s="1"/>
  <c r="C458" i="13"/>
  <c r="G457" i="13"/>
  <c r="D457" i="13"/>
  <c r="F457" i="13" s="1"/>
  <c r="D457" i="16" s="1"/>
  <c r="C457" i="13"/>
  <c r="G456" i="13"/>
  <c r="D456" i="13"/>
  <c r="F456" i="13" s="1"/>
  <c r="C456" i="13"/>
  <c r="G455" i="13"/>
  <c r="D455" i="13"/>
  <c r="F455" i="13" s="1"/>
  <c r="C455" i="13"/>
  <c r="G454" i="13"/>
  <c r="D454" i="13"/>
  <c r="F454" i="13" s="1"/>
  <c r="C454" i="13"/>
  <c r="G453" i="13"/>
  <c r="D453" i="13"/>
  <c r="B453" i="16" s="1"/>
  <c r="C453" i="13"/>
  <c r="G452" i="13"/>
  <c r="D452" i="13"/>
  <c r="C452" i="13"/>
  <c r="G451" i="13"/>
  <c r="D451" i="13"/>
  <c r="F451" i="13" s="1"/>
  <c r="C451" i="13"/>
  <c r="G450" i="13"/>
  <c r="D450" i="13"/>
  <c r="F450" i="13" s="1"/>
  <c r="C450" i="13"/>
  <c r="G449" i="13"/>
  <c r="D449" i="13"/>
  <c r="C449" i="13"/>
  <c r="G448" i="13"/>
  <c r="D448" i="13"/>
  <c r="B448" i="16" s="1"/>
  <c r="C448" i="13"/>
  <c r="G447" i="13"/>
  <c r="D447" i="13"/>
  <c r="C447" i="13"/>
  <c r="G446" i="13"/>
  <c r="D446" i="13"/>
  <c r="B446" i="16" s="1"/>
  <c r="C446" i="13"/>
  <c r="G445" i="13"/>
  <c r="D445" i="13"/>
  <c r="B445" i="16" s="1"/>
  <c r="C445" i="13"/>
  <c r="G444" i="13"/>
  <c r="D444" i="13"/>
  <c r="F444" i="13" s="1"/>
  <c r="C444" i="13"/>
  <c r="G443" i="13"/>
  <c r="D443" i="13"/>
  <c r="F443" i="13" s="1"/>
  <c r="C443" i="13"/>
  <c r="G442" i="13"/>
  <c r="D442" i="13"/>
  <c r="C442" i="13"/>
  <c r="G441" i="13"/>
  <c r="D441" i="13"/>
  <c r="F441" i="13" s="1"/>
  <c r="C441" i="13"/>
  <c r="G440" i="13"/>
  <c r="D440" i="13"/>
  <c r="F440" i="13" s="1"/>
  <c r="C440" i="13"/>
  <c r="G439" i="13"/>
  <c r="D439" i="13"/>
  <c r="F439" i="13" s="1"/>
  <c r="C439" i="13"/>
  <c r="G438" i="13"/>
  <c r="D438" i="13"/>
  <c r="F438" i="13" s="1"/>
  <c r="D438" i="16" s="1"/>
  <c r="C438" i="13"/>
  <c r="G437" i="13"/>
  <c r="D437" i="13"/>
  <c r="B437" i="16" s="1"/>
  <c r="C437" i="13"/>
  <c r="G436" i="13"/>
  <c r="D436" i="13"/>
  <c r="F436" i="13" s="1"/>
  <c r="C436" i="13"/>
  <c r="G435" i="13"/>
  <c r="D435" i="13"/>
  <c r="F435" i="13" s="1"/>
  <c r="C435" i="13"/>
  <c r="G434" i="13"/>
  <c r="D434" i="13"/>
  <c r="F434" i="13" s="1"/>
  <c r="C434" i="13"/>
  <c r="G433" i="13"/>
  <c r="D433" i="13"/>
  <c r="F433" i="13" s="1"/>
  <c r="C433" i="13"/>
  <c r="G432" i="13"/>
  <c r="D432" i="13"/>
  <c r="B432" i="16" s="1"/>
  <c r="C432" i="13"/>
  <c r="G431" i="13"/>
  <c r="D431" i="13"/>
  <c r="C431" i="13"/>
  <c r="G430" i="13"/>
  <c r="D430" i="13"/>
  <c r="B430" i="16" s="1"/>
  <c r="C430" i="13"/>
  <c r="G429" i="13"/>
  <c r="D429" i="13"/>
  <c r="F429" i="13" s="1"/>
  <c r="C429" i="13"/>
  <c r="G428" i="13"/>
  <c r="D428" i="13"/>
  <c r="C428" i="13"/>
  <c r="G427" i="13"/>
  <c r="D427" i="13"/>
  <c r="F427" i="13" s="1"/>
  <c r="C427" i="13"/>
  <c r="G426" i="13"/>
  <c r="D426" i="13"/>
  <c r="C426" i="13"/>
  <c r="G425" i="13"/>
  <c r="D425" i="13"/>
  <c r="C425" i="13"/>
  <c r="G424" i="13"/>
  <c r="D424" i="13"/>
  <c r="F424" i="13" s="1"/>
  <c r="C424" i="13"/>
  <c r="G423" i="13"/>
  <c r="D423" i="13"/>
  <c r="F423" i="13" s="1"/>
  <c r="C423" i="13"/>
  <c r="G422" i="13"/>
  <c r="D422" i="13"/>
  <c r="F422" i="13" s="1"/>
  <c r="D422" i="16" s="1"/>
  <c r="C422" i="13"/>
  <c r="G421" i="13"/>
  <c r="D421" i="13"/>
  <c r="C421" i="13"/>
  <c r="G420" i="13"/>
  <c r="D420" i="13"/>
  <c r="F420" i="13" s="1"/>
  <c r="C420" i="13"/>
  <c r="G419" i="13"/>
  <c r="D419" i="13"/>
  <c r="F419" i="13" s="1"/>
  <c r="C419" i="13"/>
  <c r="G418" i="13"/>
  <c r="D418" i="13"/>
  <c r="C418" i="13"/>
  <c r="G417" i="13"/>
  <c r="F417" i="13"/>
  <c r="D417" i="16" s="1"/>
  <c r="D417" i="13"/>
  <c r="B417" i="16" s="1"/>
  <c r="C417" i="13"/>
  <c r="G416" i="13"/>
  <c r="D416" i="13"/>
  <c r="F416" i="13" s="1"/>
  <c r="D416" i="16" s="1"/>
  <c r="C416" i="13"/>
  <c r="G415" i="13"/>
  <c r="D415" i="13"/>
  <c r="F415" i="13" s="1"/>
  <c r="C415" i="13"/>
  <c r="G414" i="13"/>
  <c r="D414" i="13"/>
  <c r="C414" i="13"/>
  <c r="G413" i="13"/>
  <c r="D413" i="13"/>
  <c r="C413" i="13"/>
  <c r="G412" i="13"/>
  <c r="D412" i="13"/>
  <c r="F412" i="13" s="1"/>
  <c r="C412" i="13"/>
  <c r="G411" i="13"/>
  <c r="D411" i="13"/>
  <c r="C411" i="13"/>
  <c r="G410" i="13"/>
  <c r="D410" i="13"/>
  <c r="C410" i="13"/>
  <c r="G409" i="13"/>
  <c r="D409" i="13"/>
  <c r="F409" i="13" s="1"/>
  <c r="C409" i="13"/>
  <c r="G408" i="13"/>
  <c r="D408" i="13"/>
  <c r="F408" i="13" s="1"/>
  <c r="C408" i="13"/>
  <c r="G407" i="13"/>
  <c r="D407" i="13"/>
  <c r="C407" i="13"/>
  <c r="G406" i="13"/>
  <c r="D406" i="13"/>
  <c r="F406" i="13" s="1"/>
  <c r="C406" i="13"/>
  <c r="G405" i="13"/>
  <c r="D405" i="13"/>
  <c r="B405" i="16" s="1"/>
  <c r="C405" i="13"/>
  <c r="G404" i="13"/>
  <c r="D404" i="13"/>
  <c r="F404" i="13" s="1"/>
  <c r="C404" i="13"/>
  <c r="G403" i="13"/>
  <c r="D403" i="13"/>
  <c r="C403" i="13"/>
  <c r="G402" i="13"/>
  <c r="D402" i="13"/>
  <c r="F402" i="13" s="1"/>
  <c r="D402" i="16" s="1"/>
  <c r="C402" i="13"/>
  <c r="G401" i="13"/>
  <c r="D401" i="13"/>
  <c r="B401" i="16" s="1"/>
  <c r="C401" i="13"/>
  <c r="G400" i="13"/>
  <c r="D400" i="13"/>
  <c r="F400" i="13" s="1"/>
  <c r="D400" i="16" s="1"/>
  <c r="C400" i="13"/>
  <c r="G399" i="13"/>
  <c r="D399" i="13"/>
  <c r="C399" i="13"/>
  <c r="G398" i="13"/>
  <c r="D398" i="13"/>
  <c r="F398" i="13" s="1"/>
  <c r="C398" i="13"/>
  <c r="G397" i="13"/>
  <c r="D397" i="13"/>
  <c r="C397" i="13"/>
  <c r="G396" i="13"/>
  <c r="D396" i="13"/>
  <c r="F396" i="13" s="1"/>
  <c r="C396" i="13"/>
  <c r="G395" i="13"/>
  <c r="D395" i="13"/>
  <c r="F395" i="13" s="1"/>
  <c r="C395" i="13"/>
  <c r="G394" i="13"/>
  <c r="D394" i="13"/>
  <c r="C394" i="13"/>
  <c r="G393" i="13"/>
  <c r="D393" i="13"/>
  <c r="C393" i="13"/>
  <c r="G392" i="13"/>
  <c r="D392" i="13"/>
  <c r="F392" i="13" s="1"/>
  <c r="D392" i="16" s="1"/>
  <c r="C392" i="13"/>
  <c r="G391" i="13"/>
  <c r="D391" i="13"/>
  <c r="F391" i="13" s="1"/>
  <c r="D391" i="16" s="1"/>
  <c r="C391" i="13"/>
  <c r="G390" i="13"/>
  <c r="D390" i="13"/>
  <c r="B390" i="16" s="1"/>
  <c r="C390" i="13"/>
  <c r="G389" i="13"/>
  <c r="D389" i="13"/>
  <c r="C389" i="13"/>
  <c r="G388" i="13"/>
  <c r="D388" i="13"/>
  <c r="C388" i="13"/>
  <c r="G387" i="13"/>
  <c r="D387" i="13"/>
  <c r="F387" i="13" s="1"/>
  <c r="C387" i="13"/>
  <c r="G386" i="13"/>
  <c r="D386" i="13"/>
  <c r="C386" i="13"/>
  <c r="G385" i="13"/>
  <c r="D385" i="13"/>
  <c r="C385" i="13"/>
  <c r="G384" i="13"/>
  <c r="D384" i="13"/>
  <c r="C384" i="13"/>
  <c r="G383" i="13"/>
  <c r="D383" i="13"/>
  <c r="F383" i="13" s="1"/>
  <c r="C383" i="13"/>
  <c r="G382" i="13"/>
  <c r="D382" i="13"/>
  <c r="F382" i="13" s="1"/>
  <c r="C382" i="13"/>
  <c r="G381" i="13"/>
  <c r="D381" i="13"/>
  <c r="F381" i="13" s="1"/>
  <c r="C381" i="13"/>
  <c r="G380" i="13"/>
  <c r="D380" i="13"/>
  <c r="F380" i="13" s="1"/>
  <c r="C380" i="13"/>
  <c r="G379" i="13"/>
  <c r="D379" i="13"/>
  <c r="C379" i="13"/>
  <c r="G378" i="13"/>
  <c r="D378" i="13"/>
  <c r="F378" i="13" s="1"/>
  <c r="C378" i="13"/>
  <c r="G377" i="13"/>
  <c r="D377" i="13"/>
  <c r="F377" i="13" s="1"/>
  <c r="D377" i="16" s="1"/>
  <c r="C377" i="13"/>
  <c r="G376" i="13"/>
  <c r="D376" i="13"/>
  <c r="F376" i="13" s="1"/>
  <c r="C376" i="13"/>
  <c r="G375" i="13"/>
  <c r="D375" i="13"/>
  <c r="F375" i="13" s="1"/>
  <c r="C375" i="13"/>
  <c r="G374" i="13"/>
  <c r="F374" i="13"/>
  <c r="D374" i="16" s="1"/>
  <c r="D374" i="13"/>
  <c r="C374" i="13"/>
  <c r="G373" i="13"/>
  <c r="D373" i="13"/>
  <c r="F373" i="13" s="1"/>
  <c r="C373" i="13"/>
  <c r="G372" i="13"/>
  <c r="D372" i="13"/>
  <c r="C372" i="13"/>
  <c r="G371" i="13"/>
  <c r="D371" i="13"/>
  <c r="C371" i="13"/>
  <c r="G370" i="13"/>
  <c r="D370" i="13"/>
  <c r="F370" i="13" s="1"/>
  <c r="C370" i="13"/>
  <c r="G369" i="13"/>
  <c r="D369" i="13"/>
  <c r="F369" i="13" s="1"/>
  <c r="D369" i="16" s="1"/>
  <c r="C369" i="13"/>
  <c r="G368" i="13"/>
  <c r="D368" i="13"/>
  <c r="F368" i="13" s="1"/>
  <c r="C368" i="13"/>
  <c r="G367" i="13"/>
  <c r="D367" i="13"/>
  <c r="F367" i="13" s="1"/>
  <c r="D367" i="16" s="1"/>
  <c r="C367" i="13"/>
  <c r="G366" i="13"/>
  <c r="D366" i="13"/>
  <c r="F366" i="13" s="1"/>
  <c r="C366" i="13"/>
  <c r="G365" i="13"/>
  <c r="D365" i="13"/>
  <c r="B365" i="16" s="1"/>
  <c r="C365" i="13"/>
  <c r="G364" i="13"/>
  <c r="D364" i="13"/>
  <c r="F364" i="13" s="1"/>
  <c r="C364" i="13"/>
  <c r="G363" i="13"/>
  <c r="D363" i="13"/>
  <c r="C363" i="13"/>
  <c r="G362" i="13"/>
  <c r="D362" i="13"/>
  <c r="F362" i="13" s="1"/>
  <c r="C362" i="13"/>
  <c r="G361" i="13"/>
  <c r="D361" i="13"/>
  <c r="F361" i="13" s="1"/>
  <c r="C361" i="13"/>
  <c r="G360" i="13"/>
  <c r="D360" i="13"/>
  <c r="C360" i="13"/>
  <c r="G359" i="13"/>
  <c r="D359" i="13"/>
  <c r="C359" i="13"/>
  <c r="G358" i="13"/>
  <c r="D358" i="13"/>
  <c r="C358" i="13"/>
  <c r="G357" i="13"/>
  <c r="D357" i="13"/>
  <c r="F357" i="13" s="1"/>
  <c r="C357" i="13"/>
  <c r="G356" i="13"/>
  <c r="D356" i="13"/>
  <c r="F356" i="13" s="1"/>
  <c r="C356" i="13"/>
  <c r="G355" i="13"/>
  <c r="D355" i="13"/>
  <c r="C355" i="13"/>
  <c r="G354" i="13"/>
  <c r="D354" i="13"/>
  <c r="B354" i="16" s="1"/>
  <c r="C354" i="13"/>
  <c r="G353" i="13"/>
  <c r="F353" i="13"/>
  <c r="D353" i="13"/>
  <c r="C353" i="13"/>
  <c r="G352" i="13"/>
  <c r="D352" i="13"/>
  <c r="C352" i="13"/>
  <c r="G351" i="13"/>
  <c r="D351" i="13"/>
  <c r="F351" i="13" s="1"/>
  <c r="C351" i="13"/>
  <c r="G350" i="13"/>
  <c r="D350" i="13"/>
  <c r="F350" i="13" s="1"/>
  <c r="C350" i="13"/>
  <c r="G349" i="13"/>
  <c r="D349" i="13"/>
  <c r="B349" i="16" s="1"/>
  <c r="C349" i="13"/>
  <c r="G348" i="13"/>
  <c r="D348" i="13"/>
  <c r="C348" i="13"/>
  <c r="G347" i="13"/>
  <c r="D347" i="13"/>
  <c r="F347" i="13" s="1"/>
  <c r="C347" i="13"/>
  <c r="G346" i="13"/>
  <c r="D346" i="13"/>
  <c r="F346" i="13" s="1"/>
  <c r="C346" i="13"/>
  <c r="G345" i="13"/>
  <c r="D345" i="13"/>
  <c r="F345" i="13" s="1"/>
  <c r="C345" i="13"/>
  <c r="G344" i="13"/>
  <c r="D344" i="13"/>
  <c r="F344" i="13" s="1"/>
  <c r="C344" i="13"/>
  <c r="G343" i="13"/>
  <c r="D343" i="13"/>
  <c r="C343" i="13"/>
  <c r="G342" i="13"/>
  <c r="D342" i="13"/>
  <c r="F342" i="13" s="1"/>
  <c r="D342" i="16" s="1"/>
  <c r="C342" i="13"/>
  <c r="G341" i="13"/>
  <c r="D341" i="13"/>
  <c r="F341" i="13" s="1"/>
  <c r="C341" i="13"/>
  <c r="G340" i="13"/>
  <c r="D340" i="13"/>
  <c r="F340" i="13" s="1"/>
  <c r="C340" i="13"/>
  <c r="G339" i="13"/>
  <c r="D339" i="13"/>
  <c r="F339" i="13" s="1"/>
  <c r="C339" i="13"/>
  <c r="G338" i="13"/>
  <c r="D338" i="13"/>
  <c r="B338" i="16" s="1"/>
  <c r="C338" i="13"/>
  <c r="G337" i="13"/>
  <c r="D337" i="13"/>
  <c r="F337" i="13" s="1"/>
  <c r="C337" i="13"/>
  <c r="G336" i="13"/>
  <c r="D336" i="13"/>
  <c r="F336" i="13" s="1"/>
  <c r="C336" i="13"/>
  <c r="G335" i="13"/>
  <c r="D335" i="13"/>
  <c r="F335" i="13" s="1"/>
  <c r="C335" i="13"/>
  <c r="G334" i="13"/>
  <c r="D334" i="13"/>
  <c r="F334" i="13" s="1"/>
  <c r="D334" i="16" s="1"/>
  <c r="C334" i="13"/>
  <c r="G333" i="13"/>
  <c r="D333" i="13"/>
  <c r="C333" i="13"/>
  <c r="G332" i="13"/>
  <c r="D332" i="13"/>
  <c r="F332" i="13" s="1"/>
  <c r="C332" i="13"/>
  <c r="G331" i="13"/>
  <c r="D331" i="13"/>
  <c r="F331" i="13" s="1"/>
  <c r="C331" i="13"/>
  <c r="G330" i="13"/>
  <c r="D330" i="13"/>
  <c r="F330" i="13" s="1"/>
  <c r="C330" i="13"/>
  <c r="G329" i="13"/>
  <c r="D329" i="13"/>
  <c r="F329" i="13" s="1"/>
  <c r="C329" i="13"/>
  <c r="G328" i="13"/>
  <c r="D328" i="13"/>
  <c r="F328" i="13" s="1"/>
  <c r="D328" i="16" s="1"/>
  <c r="C328" i="13"/>
  <c r="G327" i="13"/>
  <c r="D327" i="13"/>
  <c r="F327" i="13" s="1"/>
  <c r="C327" i="13"/>
  <c r="G326" i="13"/>
  <c r="D326" i="13"/>
  <c r="F326" i="13" s="1"/>
  <c r="C326" i="13"/>
  <c r="G325" i="13"/>
  <c r="D325" i="13"/>
  <c r="B325" i="16" s="1"/>
  <c r="C325" i="13"/>
  <c r="G324" i="13"/>
  <c r="D324" i="13"/>
  <c r="B324" i="16" s="1"/>
  <c r="C324" i="13"/>
  <c r="G323" i="13"/>
  <c r="D323" i="13"/>
  <c r="C323" i="13"/>
  <c r="G322" i="13"/>
  <c r="D322" i="13"/>
  <c r="F322" i="13" s="1"/>
  <c r="D322" i="16" s="1"/>
  <c r="C322" i="13"/>
  <c r="G321" i="13"/>
  <c r="D321" i="13"/>
  <c r="C321" i="13"/>
  <c r="G320" i="13"/>
  <c r="D320" i="13"/>
  <c r="F320" i="13" s="1"/>
  <c r="C320" i="13"/>
  <c r="G319" i="13"/>
  <c r="D319" i="13"/>
  <c r="F319" i="13" s="1"/>
  <c r="C319" i="13"/>
  <c r="G318" i="13"/>
  <c r="D318" i="13"/>
  <c r="C318" i="13"/>
  <c r="G317" i="13"/>
  <c r="D317" i="13"/>
  <c r="F317" i="13" s="1"/>
  <c r="C317" i="13"/>
  <c r="G316" i="13"/>
  <c r="D316" i="13"/>
  <c r="C316" i="13"/>
  <c r="G315" i="13"/>
  <c r="D315" i="13"/>
  <c r="F315" i="13" s="1"/>
  <c r="C315" i="13"/>
  <c r="G314" i="13"/>
  <c r="D314" i="13"/>
  <c r="C314" i="13"/>
  <c r="G313" i="13"/>
  <c r="D313" i="13"/>
  <c r="F313" i="13" s="1"/>
  <c r="C313" i="13"/>
  <c r="G312" i="13"/>
  <c r="D312" i="13"/>
  <c r="B312" i="16" s="1"/>
  <c r="C312" i="13"/>
  <c r="G311" i="13"/>
  <c r="D311" i="13"/>
  <c r="C311" i="13"/>
  <c r="G310" i="13"/>
  <c r="D310" i="13"/>
  <c r="F310" i="13" s="1"/>
  <c r="D310" i="16" s="1"/>
  <c r="C310" i="13"/>
  <c r="G309" i="13"/>
  <c r="D309" i="13"/>
  <c r="C309" i="13"/>
  <c r="G308" i="13"/>
  <c r="D308" i="13"/>
  <c r="B308" i="16" s="1"/>
  <c r="C308" i="13"/>
  <c r="G307" i="13"/>
  <c r="D307" i="13"/>
  <c r="F307" i="13" s="1"/>
  <c r="C307" i="13"/>
  <c r="G306" i="13"/>
  <c r="D306" i="13"/>
  <c r="B306" i="16" s="1"/>
  <c r="C306" i="13"/>
  <c r="G305" i="13"/>
  <c r="D305" i="13"/>
  <c r="C305" i="13"/>
  <c r="G304" i="13"/>
  <c r="D304" i="13"/>
  <c r="C304" i="13"/>
  <c r="G303" i="13"/>
  <c r="D303" i="13"/>
  <c r="F303" i="13" s="1"/>
  <c r="C303" i="13"/>
  <c r="G302" i="13"/>
  <c r="D302" i="13"/>
  <c r="F302" i="13" s="1"/>
  <c r="D302" i="16" s="1"/>
  <c r="C302" i="13"/>
  <c r="G301" i="13"/>
  <c r="D301" i="13"/>
  <c r="F301" i="13" s="1"/>
  <c r="C301" i="13"/>
  <c r="G300" i="13"/>
  <c r="D300" i="13"/>
  <c r="F300" i="13" s="1"/>
  <c r="C300" i="13"/>
  <c r="G299" i="13"/>
  <c r="D299" i="13"/>
  <c r="C299" i="13"/>
  <c r="G298" i="13"/>
  <c r="D298" i="13"/>
  <c r="F298" i="13" s="1"/>
  <c r="C298" i="13"/>
  <c r="G297" i="13"/>
  <c r="D297" i="13"/>
  <c r="F297" i="13" s="1"/>
  <c r="C297" i="13"/>
  <c r="G296" i="13"/>
  <c r="D296" i="13"/>
  <c r="F296" i="13" s="1"/>
  <c r="C296" i="13"/>
  <c r="G295" i="13"/>
  <c r="D295" i="13"/>
  <c r="C295" i="13"/>
  <c r="G294" i="13"/>
  <c r="D294" i="13"/>
  <c r="C294" i="13"/>
  <c r="G293" i="13"/>
  <c r="D293" i="13"/>
  <c r="F293" i="13" s="1"/>
  <c r="C293" i="13"/>
  <c r="G292" i="13"/>
  <c r="D292" i="13"/>
  <c r="C292" i="13"/>
  <c r="G291" i="13"/>
  <c r="D291" i="13"/>
  <c r="C291" i="13"/>
  <c r="G290" i="13"/>
  <c r="D290" i="13"/>
  <c r="F290" i="13" s="1"/>
  <c r="C290" i="13"/>
  <c r="G289" i="13"/>
  <c r="D289" i="13"/>
  <c r="B289" i="16" s="1"/>
  <c r="C289" i="13"/>
  <c r="G288" i="13"/>
  <c r="D288" i="13"/>
  <c r="F288" i="13" s="1"/>
  <c r="C288" i="13"/>
  <c r="G287" i="13"/>
  <c r="D287" i="13"/>
  <c r="F287" i="13" s="1"/>
  <c r="D287" i="16" s="1"/>
  <c r="C287" i="13"/>
  <c r="G286" i="13"/>
  <c r="D286" i="13"/>
  <c r="F286" i="13" s="1"/>
  <c r="C286" i="13"/>
  <c r="G285" i="13"/>
  <c r="D285" i="13"/>
  <c r="F285" i="13" s="1"/>
  <c r="D285" i="16" s="1"/>
  <c r="C285" i="13"/>
  <c r="G284" i="13"/>
  <c r="D284" i="13"/>
  <c r="F284" i="13" s="1"/>
  <c r="C284" i="13"/>
  <c r="G283" i="13"/>
  <c r="D283" i="13"/>
  <c r="F283" i="13" s="1"/>
  <c r="C283" i="13"/>
  <c r="G282" i="13"/>
  <c r="D282" i="13"/>
  <c r="C282" i="13"/>
  <c r="G281" i="13"/>
  <c r="D281" i="13"/>
  <c r="C281" i="13"/>
  <c r="G280" i="13"/>
  <c r="D280" i="13"/>
  <c r="C280" i="13"/>
  <c r="G279" i="13"/>
  <c r="D279" i="13"/>
  <c r="F279" i="13" s="1"/>
  <c r="C279" i="13"/>
  <c r="G278" i="13"/>
  <c r="D278" i="13"/>
  <c r="F278" i="13" s="1"/>
  <c r="C278" i="13"/>
  <c r="G277" i="13"/>
  <c r="D277" i="13"/>
  <c r="C277" i="13"/>
  <c r="G276" i="13"/>
  <c r="D276" i="13"/>
  <c r="C276" i="13"/>
  <c r="G275" i="13"/>
  <c r="D275" i="13"/>
  <c r="F275" i="13" s="1"/>
  <c r="D275" i="16" s="1"/>
  <c r="C275" i="13"/>
  <c r="G274" i="13"/>
  <c r="D274" i="13"/>
  <c r="B274" i="16" s="1"/>
  <c r="C274" i="13"/>
  <c r="G273" i="13"/>
  <c r="D273" i="13"/>
  <c r="B273" i="16" s="1"/>
  <c r="C273" i="13"/>
  <c r="G272" i="13"/>
  <c r="D272" i="13"/>
  <c r="F272" i="13" s="1"/>
  <c r="C272" i="13"/>
  <c r="G271" i="13"/>
  <c r="D271" i="13"/>
  <c r="F271" i="13" s="1"/>
  <c r="C271" i="13"/>
  <c r="G270" i="13"/>
  <c r="D270" i="13"/>
  <c r="F270" i="13" s="1"/>
  <c r="C270" i="13"/>
  <c r="G269" i="13"/>
  <c r="D269" i="13"/>
  <c r="C269" i="13"/>
  <c r="G268" i="13"/>
  <c r="D268" i="13"/>
  <c r="F268" i="13" s="1"/>
  <c r="C268" i="13"/>
  <c r="G267" i="13"/>
  <c r="D267" i="13"/>
  <c r="C267" i="13"/>
  <c r="G266" i="13"/>
  <c r="D266" i="13"/>
  <c r="B266" i="16" s="1"/>
  <c r="C266" i="13"/>
  <c r="G265" i="13"/>
  <c r="D265" i="13"/>
  <c r="F265" i="13" s="1"/>
  <c r="C265" i="13"/>
  <c r="G264" i="13"/>
  <c r="D264" i="13"/>
  <c r="C264" i="13"/>
  <c r="G263" i="13"/>
  <c r="D263" i="13"/>
  <c r="F263" i="13" s="1"/>
  <c r="C263" i="13"/>
  <c r="G262" i="13"/>
  <c r="D262" i="13"/>
  <c r="C262" i="13"/>
  <c r="G261" i="13"/>
  <c r="D261" i="13"/>
  <c r="C261" i="13"/>
  <c r="G260" i="13"/>
  <c r="D260" i="13"/>
  <c r="C260" i="13"/>
  <c r="G259" i="13"/>
  <c r="D259" i="13"/>
  <c r="F259" i="13" s="1"/>
  <c r="C259" i="13"/>
  <c r="G258" i="13"/>
  <c r="D258" i="13"/>
  <c r="C258" i="13"/>
  <c r="G257" i="13"/>
  <c r="D257" i="13"/>
  <c r="F257" i="13" s="1"/>
  <c r="C257" i="13"/>
  <c r="G256" i="13"/>
  <c r="D256" i="13"/>
  <c r="F256" i="13" s="1"/>
  <c r="C256" i="13"/>
  <c r="G255" i="13"/>
  <c r="D255" i="13"/>
  <c r="F255" i="13" s="1"/>
  <c r="C255" i="13"/>
  <c r="G254" i="13"/>
  <c r="D254" i="13"/>
  <c r="B254" i="16" s="1"/>
  <c r="C254" i="13"/>
  <c r="G253" i="13"/>
  <c r="D253" i="13"/>
  <c r="B253" i="16" s="1"/>
  <c r="C253" i="13"/>
  <c r="G252" i="13"/>
  <c r="D252" i="13"/>
  <c r="F252" i="13" s="1"/>
  <c r="C252" i="13"/>
  <c r="G251" i="13"/>
  <c r="D251" i="13"/>
  <c r="C251" i="13"/>
  <c r="G250" i="13"/>
  <c r="D250" i="13"/>
  <c r="F250" i="13" s="1"/>
  <c r="C250" i="13"/>
  <c r="G249" i="13"/>
  <c r="F249" i="13"/>
  <c r="D249" i="13"/>
  <c r="C249" i="13"/>
  <c r="G248" i="13"/>
  <c r="D248" i="13"/>
  <c r="F248" i="13" s="1"/>
  <c r="C248" i="13"/>
  <c r="G247" i="13"/>
  <c r="D247" i="13"/>
  <c r="F247" i="13" s="1"/>
  <c r="C247" i="13"/>
  <c r="G246" i="13"/>
  <c r="D246" i="13"/>
  <c r="C246" i="13"/>
  <c r="G245" i="13"/>
  <c r="D245" i="13"/>
  <c r="B245" i="16" s="1"/>
  <c r="C245" i="13"/>
  <c r="G244" i="13"/>
  <c r="D244" i="13"/>
  <c r="F244" i="13" s="1"/>
  <c r="C244" i="13"/>
  <c r="G243" i="13"/>
  <c r="D243" i="13"/>
  <c r="F243" i="13" s="1"/>
  <c r="C243" i="13"/>
  <c r="G242" i="13"/>
  <c r="D242" i="13"/>
  <c r="F242" i="13" s="1"/>
  <c r="C242" i="13"/>
  <c r="G241" i="13"/>
  <c r="D241" i="13"/>
  <c r="F241" i="13" s="1"/>
  <c r="D241" i="16" s="1"/>
  <c r="C241" i="13"/>
  <c r="G240" i="13"/>
  <c r="D240" i="13"/>
  <c r="F240" i="13" s="1"/>
  <c r="C240" i="13"/>
  <c r="G239" i="13"/>
  <c r="D239" i="13"/>
  <c r="F239" i="13" s="1"/>
  <c r="C239" i="13"/>
  <c r="G238" i="13"/>
  <c r="D238" i="13"/>
  <c r="F238" i="13" s="1"/>
  <c r="C238" i="13"/>
  <c r="G237" i="13"/>
  <c r="D237" i="13"/>
  <c r="B237" i="16" s="1"/>
  <c r="C237" i="13"/>
  <c r="G236" i="13"/>
  <c r="D236" i="13"/>
  <c r="F236" i="13" s="1"/>
  <c r="C236" i="13"/>
  <c r="G235" i="13"/>
  <c r="D235" i="13"/>
  <c r="F235" i="13" s="1"/>
  <c r="C235" i="13"/>
  <c r="G234" i="13"/>
  <c r="D234" i="13"/>
  <c r="F234" i="13" s="1"/>
  <c r="C234" i="13"/>
  <c r="G233" i="13"/>
  <c r="D233" i="13"/>
  <c r="F233" i="13" s="1"/>
  <c r="C233" i="13"/>
  <c r="G232" i="13"/>
  <c r="D232" i="13"/>
  <c r="F232" i="13" s="1"/>
  <c r="C232" i="13"/>
  <c r="G231" i="13"/>
  <c r="D231" i="13"/>
  <c r="F231" i="13" s="1"/>
  <c r="C231" i="13"/>
  <c r="G230" i="13"/>
  <c r="D230" i="13"/>
  <c r="B230" i="16" s="1"/>
  <c r="C230" i="13"/>
  <c r="G229" i="13"/>
  <c r="D229" i="13"/>
  <c r="B229" i="16" s="1"/>
  <c r="C229" i="13"/>
  <c r="G228" i="13"/>
  <c r="D228" i="13"/>
  <c r="B228" i="16" s="1"/>
  <c r="C228" i="13"/>
  <c r="G227" i="13"/>
  <c r="D227" i="13"/>
  <c r="F227" i="13" s="1"/>
  <c r="C227" i="13"/>
  <c r="G226" i="13"/>
  <c r="D226" i="13"/>
  <c r="F226" i="13" s="1"/>
  <c r="C226" i="13"/>
  <c r="G225" i="13"/>
  <c r="D225" i="13"/>
  <c r="F225" i="13" s="1"/>
  <c r="C225" i="13"/>
  <c r="G224" i="13"/>
  <c r="D224" i="13"/>
  <c r="C224" i="13"/>
  <c r="G223" i="13"/>
  <c r="D223" i="13"/>
  <c r="F223" i="13" s="1"/>
  <c r="C223" i="13"/>
  <c r="G222" i="13"/>
  <c r="D222" i="13"/>
  <c r="F222" i="13" s="1"/>
  <c r="C222" i="13"/>
  <c r="G221" i="13"/>
  <c r="D221" i="13"/>
  <c r="C221" i="13"/>
  <c r="G220" i="13"/>
  <c r="D220" i="13"/>
  <c r="C220" i="13"/>
  <c r="G219" i="13"/>
  <c r="D219" i="13"/>
  <c r="C219" i="13"/>
  <c r="G218" i="13"/>
  <c r="D218" i="13"/>
  <c r="F218" i="13" s="1"/>
  <c r="C218" i="13"/>
  <c r="G217" i="13"/>
  <c r="D217" i="13"/>
  <c r="F217" i="13" s="1"/>
  <c r="C217" i="13"/>
  <c r="G216" i="13"/>
  <c r="D216" i="13"/>
  <c r="F216" i="13" s="1"/>
  <c r="C216" i="13"/>
  <c r="G215" i="13"/>
  <c r="D215" i="13"/>
  <c r="F215" i="13" s="1"/>
  <c r="C215" i="13"/>
  <c r="G214" i="13"/>
  <c r="D214" i="13"/>
  <c r="C214" i="13"/>
  <c r="G213" i="13"/>
  <c r="D213" i="13"/>
  <c r="F213" i="13" s="1"/>
  <c r="C213" i="13"/>
  <c r="G212" i="13"/>
  <c r="D212" i="13"/>
  <c r="F212" i="13" s="1"/>
  <c r="C212" i="13"/>
  <c r="G211" i="13"/>
  <c r="D211" i="13"/>
  <c r="C211" i="13"/>
  <c r="G210" i="13"/>
  <c r="D210" i="13"/>
  <c r="B210" i="16" s="1"/>
  <c r="C210" i="13"/>
  <c r="G209" i="13"/>
  <c r="D209" i="13"/>
  <c r="F209" i="13" s="1"/>
  <c r="C209" i="13"/>
  <c r="G208" i="13"/>
  <c r="D208" i="13"/>
  <c r="C208" i="13"/>
  <c r="G207" i="13"/>
  <c r="D207" i="13"/>
  <c r="C207" i="13"/>
  <c r="G206" i="13"/>
  <c r="D206" i="13"/>
  <c r="F206" i="13" s="1"/>
  <c r="C206" i="13"/>
  <c r="G205" i="13"/>
  <c r="D205" i="13"/>
  <c r="F205" i="13" s="1"/>
  <c r="C205" i="13"/>
  <c r="G204" i="13"/>
  <c r="D204" i="13"/>
  <c r="F204" i="13" s="1"/>
  <c r="C204" i="13"/>
  <c r="G203" i="13"/>
  <c r="D203" i="13"/>
  <c r="F203" i="13" s="1"/>
  <c r="C203" i="13"/>
  <c r="G202" i="13"/>
  <c r="D202" i="13"/>
  <c r="F202" i="13" s="1"/>
  <c r="C202" i="13"/>
  <c r="G201" i="13"/>
  <c r="D201" i="13"/>
  <c r="F201" i="13" s="1"/>
  <c r="D201" i="16" s="1"/>
  <c r="C201" i="13"/>
  <c r="G200" i="13"/>
  <c r="D200" i="13"/>
  <c r="F200" i="13" s="1"/>
  <c r="C200" i="13"/>
  <c r="G199" i="13"/>
  <c r="D199" i="13"/>
  <c r="F199" i="13" s="1"/>
  <c r="C199" i="13"/>
  <c r="G198" i="13"/>
  <c r="D198" i="13"/>
  <c r="B198" i="16" s="1"/>
  <c r="C198" i="13"/>
  <c r="G197" i="13"/>
  <c r="D197" i="13"/>
  <c r="B197" i="16" s="1"/>
  <c r="C197" i="13"/>
  <c r="G196" i="13"/>
  <c r="D196" i="13"/>
  <c r="F196" i="13" s="1"/>
  <c r="C196" i="13"/>
  <c r="G195" i="13"/>
  <c r="D195" i="13"/>
  <c r="F195" i="13" s="1"/>
  <c r="C195" i="13"/>
  <c r="G194" i="13"/>
  <c r="D194" i="13"/>
  <c r="B194" i="16" s="1"/>
  <c r="C194" i="13"/>
  <c r="G193" i="13"/>
  <c r="D193" i="13"/>
  <c r="F193" i="13" s="1"/>
  <c r="C193" i="13"/>
  <c r="G192" i="13"/>
  <c r="D192" i="13"/>
  <c r="F192" i="13" s="1"/>
  <c r="C192" i="13"/>
  <c r="G191" i="13"/>
  <c r="D191" i="13"/>
  <c r="F191" i="13" s="1"/>
  <c r="C191" i="13"/>
  <c r="G190" i="13"/>
  <c r="D190" i="13"/>
  <c r="C190" i="13"/>
  <c r="G189" i="13"/>
  <c r="D189" i="13"/>
  <c r="C189" i="13"/>
  <c r="G188" i="13"/>
  <c r="D188" i="13"/>
  <c r="C188" i="13"/>
  <c r="G187" i="13"/>
  <c r="D187" i="13"/>
  <c r="F187" i="13" s="1"/>
  <c r="C187" i="13"/>
  <c r="G186" i="13"/>
  <c r="D186" i="13"/>
  <c r="F186" i="13" s="1"/>
  <c r="C186" i="13"/>
  <c r="G185" i="13"/>
  <c r="D185" i="13"/>
  <c r="B185" i="16" s="1"/>
  <c r="C185" i="13"/>
  <c r="G184" i="13"/>
  <c r="D184" i="13"/>
  <c r="F184" i="13" s="1"/>
  <c r="C184" i="13"/>
  <c r="G183" i="13"/>
  <c r="D183" i="13"/>
  <c r="C183" i="13"/>
  <c r="G182" i="13"/>
  <c r="D182" i="13"/>
  <c r="C182" i="13"/>
  <c r="G181" i="13"/>
  <c r="D181" i="13"/>
  <c r="B181" i="16" s="1"/>
  <c r="C181" i="13"/>
  <c r="G180" i="13"/>
  <c r="D180" i="13"/>
  <c r="B180" i="16" s="1"/>
  <c r="C180" i="13"/>
  <c r="G179" i="13"/>
  <c r="D179" i="13"/>
  <c r="F179" i="13" s="1"/>
  <c r="C179" i="13"/>
  <c r="G178" i="13"/>
  <c r="D178" i="13"/>
  <c r="F178" i="13" s="1"/>
  <c r="C178" i="13"/>
  <c r="G177" i="13"/>
  <c r="D177" i="13"/>
  <c r="F177" i="13" s="1"/>
  <c r="C177" i="13"/>
  <c r="G176" i="13"/>
  <c r="D176" i="13"/>
  <c r="C176" i="13"/>
  <c r="G175" i="13"/>
  <c r="D175" i="13"/>
  <c r="F175" i="13" s="1"/>
  <c r="C175" i="13"/>
  <c r="G174" i="13"/>
  <c r="D174" i="13"/>
  <c r="C174" i="13"/>
  <c r="G173" i="13"/>
  <c r="D173" i="13"/>
  <c r="B173" i="16" s="1"/>
  <c r="C173" i="13"/>
  <c r="G172" i="13"/>
  <c r="D172" i="13"/>
  <c r="B172" i="16" s="1"/>
  <c r="C172" i="13"/>
  <c r="G171" i="13"/>
  <c r="D171" i="13"/>
  <c r="F171" i="13" s="1"/>
  <c r="D171" i="16" s="1"/>
  <c r="C171" i="13"/>
  <c r="G170" i="13"/>
  <c r="D170" i="13"/>
  <c r="F170" i="13" s="1"/>
  <c r="D170" i="16" s="1"/>
  <c r="C170" i="13"/>
  <c r="G169" i="13"/>
  <c r="D169" i="13"/>
  <c r="F169" i="13" s="1"/>
  <c r="C169" i="13"/>
  <c r="G168" i="13"/>
  <c r="D168" i="13"/>
  <c r="F168" i="13" s="1"/>
  <c r="C168" i="13"/>
  <c r="G167" i="13"/>
  <c r="D167" i="13"/>
  <c r="C167" i="13"/>
  <c r="G166" i="13"/>
  <c r="D166" i="13"/>
  <c r="C166" i="13"/>
  <c r="G165" i="13"/>
  <c r="D165" i="13"/>
  <c r="F165" i="13" s="1"/>
  <c r="C165" i="13"/>
  <c r="G164" i="13"/>
  <c r="D164" i="13"/>
  <c r="C164" i="13"/>
  <c r="G163" i="13"/>
  <c r="D163" i="13"/>
  <c r="F163" i="13" s="1"/>
  <c r="C163" i="13"/>
  <c r="G162" i="13"/>
  <c r="D162" i="13"/>
  <c r="F162" i="13" s="1"/>
  <c r="C162" i="13"/>
  <c r="G161" i="13"/>
  <c r="D161" i="13"/>
  <c r="F161" i="13" s="1"/>
  <c r="C161" i="13"/>
  <c r="G160" i="13"/>
  <c r="D160" i="13"/>
  <c r="B160" i="16" s="1"/>
  <c r="C160" i="13"/>
  <c r="G159" i="13"/>
  <c r="D159" i="13"/>
  <c r="C159" i="13"/>
  <c r="G158" i="13"/>
  <c r="D158" i="13"/>
  <c r="F158" i="13" s="1"/>
  <c r="C158" i="13"/>
  <c r="G157" i="13"/>
  <c r="D157" i="13"/>
  <c r="F157" i="13" s="1"/>
  <c r="C157" i="13"/>
  <c r="G156" i="13"/>
  <c r="D156" i="13"/>
  <c r="C156" i="13"/>
  <c r="G155" i="13"/>
  <c r="D155" i="13"/>
  <c r="C155" i="13"/>
  <c r="G154" i="13"/>
  <c r="D154" i="13"/>
  <c r="C154" i="13"/>
  <c r="G153" i="13"/>
  <c r="D153" i="13"/>
  <c r="F153" i="13" s="1"/>
  <c r="C153" i="13"/>
  <c r="G152" i="13"/>
  <c r="D152" i="13"/>
  <c r="F152" i="13" s="1"/>
  <c r="D152" i="16" s="1"/>
  <c r="C152" i="13"/>
  <c r="G151" i="13"/>
  <c r="D151" i="13"/>
  <c r="C151" i="13"/>
  <c r="G150" i="13"/>
  <c r="D150" i="13"/>
  <c r="C150" i="13"/>
  <c r="G149" i="13"/>
  <c r="D149" i="13"/>
  <c r="F149" i="13" s="1"/>
  <c r="C149" i="13"/>
  <c r="G148" i="13"/>
  <c r="D148" i="13"/>
  <c r="F148" i="13" s="1"/>
  <c r="C148" i="13"/>
  <c r="G147" i="13"/>
  <c r="D147" i="13"/>
  <c r="C147" i="13"/>
  <c r="G146" i="13"/>
  <c r="D146" i="13"/>
  <c r="F146" i="13" s="1"/>
  <c r="C146" i="13"/>
  <c r="G145" i="13"/>
  <c r="D145" i="13"/>
  <c r="F145" i="13" s="1"/>
  <c r="C145" i="13"/>
  <c r="G144" i="13"/>
  <c r="D144" i="13"/>
  <c r="F144" i="13" s="1"/>
  <c r="D144" i="16" s="1"/>
  <c r="C144" i="13"/>
  <c r="G143" i="13"/>
  <c r="D143" i="13"/>
  <c r="F143" i="13" s="1"/>
  <c r="C143" i="13"/>
  <c r="G142" i="13"/>
  <c r="D142" i="13"/>
  <c r="C142" i="13"/>
  <c r="G141" i="13"/>
  <c r="D141" i="13"/>
  <c r="C141" i="13"/>
  <c r="G140" i="13"/>
  <c r="D140" i="13"/>
  <c r="C140" i="13"/>
  <c r="G139" i="13"/>
  <c r="D139" i="13"/>
  <c r="C139" i="13"/>
  <c r="G138" i="13"/>
  <c r="D138" i="13"/>
  <c r="C138" i="13"/>
  <c r="G137" i="13"/>
  <c r="D137" i="13"/>
  <c r="B137" i="16" s="1"/>
  <c r="C137" i="13"/>
  <c r="G136" i="13"/>
  <c r="D136" i="13"/>
  <c r="C136" i="13"/>
  <c r="G135" i="13"/>
  <c r="D135" i="13"/>
  <c r="F135" i="13" s="1"/>
  <c r="C135" i="13"/>
  <c r="G134" i="13"/>
  <c r="D134" i="13"/>
  <c r="F134" i="13" s="1"/>
  <c r="C134" i="13"/>
  <c r="G133" i="13"/>
  <c r="D133" i="13"/>
  <c r="B133" i="16" s="1"/>
  <c r="C133" i="13"/>
  <c r="G132" i="13"/>
  <c r="D132" i="13"/>
  <c r="F132" i="13" s="1"/>
  <c r="C132" i="13"/>
  <c r="G131" i="13"/>
  <c r="D131" i="13"/>
  <c r="C131" i="13"/>
  <c r="G130" i="13"/>
  <c r="D130" i="13"/>
  <c r="C130" i="13"/>
  <c r="G129" i="13"/>
  <c r="D129" i="13"/>
  <c r="F129" i="13" s="1"/>
  <c r="C129" i="13"/>
  <c r="G128" i="13"/>
  <c r="D128" i="13"/>
  <c r="C128" i="13"/>
  <c r="G127" i="13"/>
  <c r="D127" i="13"/>
  <c r="F127" i="13" s="1"/>
  <c r="C127" i="13"/>
  <c r="G126" i="13"/>
  <c r="D126" i="13"/>
  <c r="C126" i="13"/>
  <c r="G125" i="13"/>
  <c r="D125" i="13"/>
  <c r="F125" i="13" s="1"/>
  <c r="D125" i="16" s="1"/>
  <c r="C125" i="13"/>
  <c r="G124" i="13"/>
  <c r="D124" i="13"/>
  <c r="F124" i="13" s="1"/>
  <c r="C124" i="13"/>
  <c r="G123" i="13"/>
  <c r="D123" i="13"/>
  <c r="C123" i="13"/>
  <c r="G122" i="13"/>
  <c r="D122" i="13"/>
  <c r="F122" i="13" s="1"/>
  <c r="C122" i="13"/>
  <c r="G121" i="13"/>
  <c r="D121" i="13"/>
  <c r="F121" i="13" s="1"/>
  <c r="C121" i="13"/>
  <c r="G120" i="13"/>
  <c r="D120" i="13"/>
  <c r="F120" i="13" s="1"/>
  <c r="C120" i="13"/>
  <c r="G119" i="13"/>
  <c r="D119" i="13"/>
  <c r="F119" i="13" s="1"/>
  <c r="C119" i="13"/>
  <c r="G118" i="13"/>
  <c r="D118" i="13"/>
  <c r="F118" i="13" s="1"/>
  <c r="C118" i="13"/>
  <c r="G117" i="13"/>
  <c r="D117" i="13"/>
  <c r="F117" i="13" s="1"/>
  <c r="C117" i="13"/>
  <c r="G116" i="13"/>
  <c r="D116" i="13"/>
  <c r="F116" i="13" s="1"/>
  <c r="C116" i="13"/>
  <c r="G115" i="13"/>
  <c r="D115" i="13"/>
  <c r="C115" i="13"/>
  <c r="G114" i="13"/>
  <c r="D114" i="13"/>
  <c r="F114" i="13" s="1"/>
  <c r="C114" i="13"/>
  <c r="G113" i="13"/>
  <c r="D113" i="13"/>
  <c r="C113" i="13"/>
  <c r="G112" i="13"/>
  <c r="D112" i="13"/>
  <c r="F112" i="13" s="1"/>
  <c r="C112" i="13"/>
  <c r="G111" i="13"/>
  <c r="D111" i="13"/>
  <c r="C111" i="13"/>
  <c r="G110" i="13"/>
  <c r="D110" i="13"/>
  <c r="B110" i="16" s="1"/>
  <c r="C110" i="13"/>
  <c r="G109" i="13"/>
  <c r="D109" i="13"/>
  <c r="F109" i="13" s="1"/>
  <c r="C109" i="13"/>
  <c r="G108" i="13"/>
  <c r="D108" i="13"/>
  <c r="C108" i="13"/>
  <c r="G107" i="13"/>
  <c r="D107" i="13"/>
  <c r="C107" i="13"/>
  <c r="G106" i="13"/>
  <c r="D106" i="13"/>
  <c r="F106" i="13" s="1"/>
  <c r="C106" i="13"/>
  <c r="G105" i="13"/>
  <c r="D105" i="13"/>
  <c r="F105" i="13" s="1"/>
  <c r="D105" i="16" s="1"/>
  <c r="C105" i="13"/>
  <c r="G104" i="13"/>
  <c r="D104" i="13"/>
  <c r="F104" i="13" s="1"/>
  <c r="C104" i="13"/>
  <c r="G103" i="13"/>
  <c r="D103" i="13"/>
  <c r="F103" i="13" s="1"/>
  <c r="C103" i="13"/>
  <c r="G102" i="13"/>
  <c r="D102" i="13"/>
  <c r="F102" i="13" s="1"/>
  <c r="C102" i="13"/>
  <c r="G101" i="13"/>
  <c r="D101" i="13"/>
  <c r="C101" i="13"/>
  <c r="G100" i="13"/>
  <c r="D100" i="13"/>
  <c r="F100" i="13" s="1"/>
  <c r="C100" i="13"/>
  <c r="G99" i="13"/>
  <c r="D99" i="13"/>
  <c r="F99" i="13" s="1"/>
  <c r="C99" i="13"/>
  <c r="G98" i="13"/>
  <c r="D98" i="13"/>
  <c r="F98" i="13" s="1"/>
  <c r="C98" i="13"/>
  <c r="G97" i="13"/>
  <c r="D97" i="13"/>
  <c r="F97" i="13" s="1"/>
  <c r="C97" i="13"/>
  <c r="G96" i="13"/>
  <c r="D96" i="13"/>
  <c r="F96" i="13" s="1"/>
  <c r="C96" i="13"/>
  <c r="G95" i="13"/>
  <c r="D95" i="13"/>
  <c r="C95" i="13"/>
  <c r="G94" i="13"/>
  <c r="D94" i="13"/>
  <c r="C94" i="13"/>
  <c r="G93" i="13"/>
  <c r="D93" i="13"/>
  <c r="B93" i="16" s="1"/>
  <c r="C93" i="13"/>
  <c r="G92" i="13"/>
  <c r="D92" i="13"/>
  <c r="C92" i="13"/>
  <c r="G91" i="13"/>
  <c r="D91" i="13"/>
  <c r="F91" i="13" s="1"/>
  <c r="C91" i="13"/>
  <c r="G90" i="13"/>
  <c r="D90" i="13"/>
  <c r="F90" i="13" s="1"/>
  <c r="C90" i="13"/>
  <c r="G89" i="13"/>
  <c r="D89" i="13"/>
  <c r="C89" i="13"/>
  <c r="G88" i="13"/>
  <c r="D88" i="13"/>
  <c r="C88" i="13"/>
  <c r="G87" i="13"/>
  <c r="D87" i="13"/>
  <c r="C87" i="13"/>
  <c r="G86" i="13"/>
  <c r="D86" i="13"/>
  <c r="F86" i="13" s="1"/>
  <c r="C86" i="13"/>
  <c r="G85" i="13"/>
  <c r="D85" i="13"/>
  <c r="B85" i="16" s="1"/>
  <c r="C85" i="13"/>
  <c r="G84" i="13"/>
  <c r="D84" i="13"/>
  <c r="F84" i="13" s="1"/>
  <c r="D84" i="16" s="1"/>
  <c r="C84" i="13"/>
  <c r="G83" i="13"/>
  <c r="D83" i="13"/>
  <c r="F83" i="13" s="1"/>
  <c r="C83" i="13"/>
  <c r="G82" i="13"/>
  <c r="D82" i="13"/>
  <c r="C82" i="13"/>
  <c r="G81" i="13"/>
  <c r="D81" i="13"/>
  <c r="F81" i="13" s="1"/>
  <c r="C81" i="13"/>
  <c r="G80" i="13"/>
  <c r="D80" i="13"/>
  <c r="F80" i="13" s="1"/>
  <c r="C80" i="13"/>
  <c r="G79" i="13"/>
  <c r="D79" i="13"/>
  <c r="F79" i="13" s="1"/>
  <c r="C79" i="13"/>
  <c r="G78" i="13"/>
  <c r="D78" i="13"/>
  <c r="C78" i="13"/>
  <c r="G77" i="13"/>
  <c r="D77" i="13"/>
  <c r="B77" i="16" s="1"/>
  <c r="C77" i="13"/>
  <c r="G76" i="13"/>
  <c r="D76" i="13"/>
  <c r="C76" i="13"/>
  <c r="G75" i="13"/>
  <c r="D75" i="13"/>
  <c r="C75" i="13"/>
  <c r="G74" i="13"/>
  <c r="D74" i="13"/>
  <c r="F74" i="13" s="1"/>
  <c r="C74" i="13"/>
  <c r="G73" i="13"/>
  <c r="D73" i="13"/>
  <c r="F73" i="13" s="1"/>
  <c r="C73" i="13"/>
  <c r="G72" i="13"/>
  <c r="D72" i="13"/>
  <c r="F72" i="13" s="1"/>
  <c r="C72" i="13"/>
  <c r="G71" i="13"/>
  <c r="D71" i="13"/>
  <c r="F71" i="13" s="1"/>
  <c r="C71" i="13"/>
  <c r="G70" i="13"/>
  <c r="D70" i="13"/>
  <c r="C70" i="13"/>
  <c r="G69" i="13"/>
  <c r="D69" i="13"/>
  <c r="F69" i="13" s="1"/>
  <c r="C69" i="13"/>
  <c r="G68" i="13"/>
  <c r="D68" i="13"/>
  <c r="F68" i="13" s="1"/>
  <c r="D68" i="16" s="1"/>
  <c r="C68" i="13"/>
  <c r="G67" i="13"/>
  <c r="D67" i="13"/>
  <c r="F67" i="13" s="1"/>
  <c r="C67" i="13"/>
  <c r="G66" i="13"/>
  <c r="D66" i="13"/>
  <c r="F66" i="13" s="1"/>
  <c r="C66" i="13"/>
  <c r="G65" i="13"/>
  <c r="D65" i="13"/>
  <c r="F65" i="13" s="1"/>
  <c r="C65" i="13"/>
  <c r="G64" i="13"/>
  <c r="D64" i="13"/>
  <c r="F64" i="13" s="1"/>
  <c r="C64" i="13"/>
  <c r="G63" i="13"/>
  <c r="D63" i="13"/>
  <c r="F63" i="13" s="1"/>
  <c r="C63" i="13"/>
  <c r="G62" i="13"/>
  <c r="D62" i="13"/>
  <c r="C62" i="13"/>
  <c r="G61" i="13"/>
  <c r="D61" i="13"/>
  <c r="C61" i="13"/>
  <c r="G60" i="13"/>
  <c r="D60" i="13"/>
  <c r="F60" i="13" s="1"/>
  <c r="C60" i="13"/>
  <c r="G59" i="13"/>
  <c r="D59" i="13"/>
  <c r="F59" i="13" s="1"/>
  <c r="D59" i="16" s="1"/>
  <c r="C59" i="13"/>
  <c r="G58" i="13"/>
  <c r="D58" i="13"/>
  <c r="F58" i="13" s="1"/>
  <c r="C58" i="13"/>
  <c r="G57" i="13"/>
  <c r="D57" i="13"/>
  <c r="F57" i="13" s="1"/>
  <c r="C57" i="13"/>
  <c r="G56" i="13"/>
  <c r="D56" i="13"/>
  <c r="B56" i="16" s="1"/>
  <c r="C56" i="13"/>
  <c r="G55" i="13"/>
  <c r="D55" i="13"/>
  <c r="C55" i="13"/>
  <c r="G54" i="13"/>
  <c r="D54" i="13"/>
  <c r="C54" i="13"/>
  <c r="G53" i="13"/>
  <c r="D53" i="13"/>
  <c r="F53" i="13" s="1"/>
  <c r="C53" i="13"/>
  <c r="G52" i="13"/>
  <c r="D52" i="13"/>
  <c r="F52" i="13" s="1"/>
  <c r="C52" i="13"/>
  <c r="G51" i="13"/>
  <c r="D51" i="13"/>
  <c r="C51" i="13"/>
  <c r="G50" i="13"/>
  <c r="D50" i="13"/>
  <c r="C50" i="13"/>
  <c r="G49" i="13"/>
  <c r="F49" i="13"/>
  <c r="D49" i="13"/>
  <c r="C49" i="13"/>
  <c r="G48" i="13"/>
  <c r="D48" i="13"/>
  <c r="F48" i="13" s="1"/>
  <c r="C48" i="13"/>
  <c r="G47" i="13"/>
  <c r="D47" i="13"/>
  <c r="F47" i="13" s="1"/>
  <c r="C47" i="13"/>
  <c r="G46" i="13"/>
  <c r="D46" i="13"/>
  <c r="C46" i="13"/>
  <c r="G45" i="13"/>
  <c r="D45" i="13"/>
  <c r="F45" i="13" s="1"/>
  <c r="C45" i="13"/>
  <c r="G44" i="13"/>
  <c r="D44" i="13"/>
  <c r="F44" i="13" s="1"/>
  <c r="C44" i="13"/>
  <c r="G43" i="13"/>
  <c r="D43" i="13"/>
  <c r="C43" i="13"/>
  <c r="G42" i="13"/>
  <c r="D42" i="13"/>
  <c r="C42" i="13"/>
  <c r="G41" i="13"/>
  <c r="D41" i="13"/>
  <c r="F41" i="13" s="1"/>
  <c r="C41" i="13"/>
  <c r="G40" i="13"/>
  <c r="D40" i="13"/>
  <c r="F40" i="13" s="1"/>
  <c r="C40" i="13"/>
  <c r="G39" i="13"/>
  <c r="D39" i="13"/>
  <c r="F39" i="13" s="1"/>
  <c r="D39" i="16" s="1"/>
  <c r="C39" i="13"/>
  <c r="G38" i="13"/>
  <c r="D38" i="13"/>
  <c r="C38" i="13"/>
  <c r="G37" i="13"/>
  <c r="D37" i="13"/>
  <c r="C37" i="13"/>
  <c r="G36" i="13"/>
  <c r="D36" i="13"/>
  <c r="F36" i="13" s="1"/>
  <c r="C36" i="13"/>
  <c r="G35" i="13"/>
  <c r="D35" i="13"/>
  <c r="C35" i="13"/>
  <c r="G34" i="13"/>
  <c r="D34" i="13"/>
  <c r="F34" i="13" s="1"/>
  <c r="C34" i="13"/>
  <c r="G33" i="13"/>
  <c r="D33" i="13"/>
  <c r="F33" i="13" s="1"/>
  <c r="C33" i="13"/>
  <c r="G32" i="13"/>
  <c r="D32" i="13"/>
  <c r="C32" i="13"/>
  <c r="G31" i="13"/>
  <c r="D31" i="13"/>
  <c r="F31" i="13" s="1"/>
  <c r="C31" i="13"/>
  <c r="G30" i="13"/>
  <c r="D30" i="13"/>
  <c r="C30" i="13"/>
  <c r="G29" i="13"/>
  <c r="D29" i="13"/>
  <c r="F29" i="13" s="1"/>
  <c r="C29" i="13"/>
  <c r="G28" i="13"/>
  <c r="D28" i="13"/>
  <c r="C28" i="13"/>
  <c r="G27" i="13"/>
  <c r="D27" i="13"/>
  <c r="F27" i="13" s="1"/>
  <c r="C27" i="13"/>
  <c r="G26" i="13"/>
  <c r="D26" i="13"/>
  <c r="F26" i="13" s="1"/>
  <c r="C26" i="13"/>
  <c r="G25" i="13"/>
  <c r="D25" i="13"/>
  <c r="C25" i="13"/>
  <c r="G24" i="13"/>
  <c r="D24" i="13"/>
  <c r="F24" i="13" s="1"/>
  <c r="C24" i="13"/>
  <c r="G23" i="13"/>
  <c r="D23" i="13"/>
  <c r="F23" i="13" s="1"/>
  <c r="C23" i="13"/>
  <c r="G22" i="13"/>
  <c r="D22" i="13"/>
  <c r="C22" i="13"/>
  <c r="G21" i="13"/>
  <c r="D21" i="13"/>
  <c r="B21" i="16" s="1"/>
  <c r="C21" i="13"/>
  <c r="G20" i="13"/>
  <c r="D20" i="13"/>
  <c r="F20" i="13" s="1"/>
  <c r="C20" i="13"/>
  <c r="G19" i="13"/>
  <c r="D19" i="13"/>
  <c r="F19" i="13" s="1"/>
  <c r="C19" i="13"/>
  <c r="G18" i="13"/>
  <c r="D18" i="13"/>
  <c r="B18" i="16" s="1"/>
  <c r="C18" i="13"/>
  <c r="G17" i="13"/>
  <c r="D17" i="13"/>
  <c r="F17" i="13" s="1"/>
  <c r="C17" i="13"/>
  <c r="G16" i="13"/>
  <c r="D16" i="13"/>
  <c r="B16" i="16" s="1"/>
  <c r="C16" i="13"/>
  <c r="G15" i="13"/>
  <c r="D15" i="13"/>
  <c r="C15" i="13"/>
  <c r="G14" i="13"/>
  <c r="D14" i="13"/>
  <c r="F14" i="13" s="1"/>
  <c r="C14" i="13"/>
  <c r="G13" i="13"/>
  <c r="D13" i="13"/>
  <c r="C13" i="13"/>
  <c r="E501" i="12"/>
  <c r="C501" i="12"/>
  <c r="E500" i="12"/>
  <c r="C500" i="12"/>
  <c r="E499" i="12"/>
  <c r="C499" i="12"/>
  <c r="E498" i="12"/>
  <c r="C498" i="12"/>
  <c r="E497" i="12"/>
  <c r="C497" i="12"/>
  <c r="E496" i="12"/>
  <c r="C496" i="12"/>
  <c r="E495" i="12"/>
  <c r="C495" i="12"/>
  <c r="E494" i="12"/>
  <c r="C494" i="12"/>
  <c r="E493" i="12"/>
  <c r="C493" i="12"/>
  <c r="E492" i="12"/>
  <c r="C492" i="12"/>
  <c r="E491" i="12"/>
  <c r="C491" i="12"/>
  <c r="E490" i="12"/>
  <c r="C490" i="12"/>
  <c r="E489" i="12"/>
  <c r="C489" i="12"/>
  <c r="E488" i="12"/>
  <c r="C488" i="12"/>
  <c r="E487" i="12"/>
  <c r="C487" i="12"/>
  <c r="E486" i="12"/>
  <c r="C486" i="12"/>
  <c r="E485" i="12"/>
  <c r="C485" i="12"/>
  <c r="E484" i="12"/>
  <c r="C484" i="12"/>
  <c r="E483" i="12"/>
  <c r="C483" i="12"/>
  <c r="E482" i="12"/>
  <c r="C482" i="12"/>
  <c r="E481" i="12"/>
  <c r="C481" i="12"/>
  <c r="E480" i="12"/>
  <c r="C480" i="12"/>
  <c r="E479" i="12"/>
  <c r="C479" i="12"/>
  <c r="E478" i="12"/>
  <c r="C478" i="12"/>
  <c r="E477" i="12"/>
  <c r="C477" i="12"/>
  <c r="E476" i="12"/>
  <c r="C476" i="12"/>
  <c r="E475" i="12"/>
  <c r="C475" i="12"/>
  <c r="E474" i="12"/>
  <c r="C474" i="12"/>
  <c r="E473" i="12"/>
  <c r="C473" i="12"/>
  <c r="E472" i="12"/>
  <c r="C472" i="12"/>
  <c r="E471" i="12"/>
  <c r="C471" i="12"/>
  <c r="E470" i="12"/>
  <c r="C470" i="12"/>
  <c r="E469" i="12"/>
  <c r="C469" i="12"/>
  <c r="E468" i="12"/>
  <c r="C468" i="12"/>
  <c r="E467" i="12"/>
  <c r="C467" i="12"/>
  <c r="E466" i="12"/>
  <c r="C466" i="12"/>
  <c r="E465" i="12"/>
  <c r="C465" i="12"/>
  <c r="E464" i="12"/>
  <c r="C464" i="12"/>
  <c r="E463" i="12"/>
  <c r="C463" i="12"/>
  <c r="E462" i="12"/>
  <c r="C462" i="12"/>
  <c r="E461" i="12"/>
  <c r="C461" i="12"/>
  <c r="E460" i="12"/>
  <c r="C460" i="12"/>
  <c r="E459" i="12"/>
  <c r="C459" i="12"/>
  <c r="E458" i="12"/>
  <c r="C458" i="12"/>
  <c r="E457" i="12"/>
  <c r="C457" i="12"/>
  <c r="E456" i="12"/>
  <c r="C456" i="12"/>
  <c r="E455" i="12"/>
  <c r="C455" i="12"/>
  <c r="E454" i="12"/>
  <c r="C454" i="12"/>
  <c r="E453" i="12"/>
  <c r="C453" i="12"/>
  <c r="E452" i="12"/>
  <c r="C452" i="12"/>
  <c r="E451" i="12"/>
  <c r="C451" i="12"/>
  <c r="E450" i="12"/>
  <c r="C450" i="12"/>
  <c r="E449" i="12"/>
  <c r="C449" i="12"/>
  <c r="E448" i="12"/>
  <c r="C448" i="12"/>
  <c r="E447" i="12"/>
  <c r="C447" i="12"/>
  <c r="E446" i="12"/>
  <c r="C446" i="12"/>
  <c r="E445" i="12"/>
  <c r="C445" i="12"/>
  <c r="E444" i="12"/>
  <c r="C444" i="12"/>
  <c r="E443" i="12"/>
  <c r="C443" i="12"/>
  <c r="E442" i="12"/>
  <c r="C442" i="12"/>
  <c r="E441" i="12"/>
  <c r="C441" i="12"/>
  <c r="E440" i="12"/>
  <c r="C440" i="12"/>
  <c r="E439" i="12"/>
  <c r="C439" i="12"/>
  <c r="E438" i="12"/>
  <c r="C438" i="12"/>
  <c r="E437" i="12"/>
  <c r="C437" i="12"/>
  <c r="E436" i="12"/>
  <c r="C436" i="12"/>
  <c r="E435" i="12"/>
  <c r="C435" i="12"/>
  <c r="E434" i="12"/>
  <c r="C434" i="12"/>
  <c r="E433" i="12"/>
  <c r="C433" i="12"/>
  <c r="E432" i="12"/>
  <c r="C432" i="12"/>
  <c r="E431" i="12"/>
  <c r="C431" i="12"/>
  <c r="E430" i="12"/>
  <c r="C430" i="12"/>
  <c r="E429" i="12"/>
  <c r="C429" i="12"/>
  <c r="E428" i="12"/>
  <c r="C428" i="12"/>
  <c r="E427" i="12"/>
  <c r="C427" i="12"/>
  <c r="E426" i="12"/>
  <c r="C426" i="12"/>
  <c r="E425" i="12"/>
  <c r="C425" i="12"/>
  <c r="E424" i="12"/>
  <c r="C424" i="12"/>
  <c r="E423" i="12"/>
  <c r="C423" i="12"/>
  <c r="E422" i="12"/>
  <c r="C422" i="12"/>
  <c r="E421" i="12"/>
  <c r="C421" i="12"/>
  <c r="E420" i="12"/>
  <c r="C420" i="12"/>
  <c r="E419" i="12"/>
  <c r="C419" i="12"/>
  <c r="E418" i="12"/>
  <c r="C418" i="12"/>
  <c r="E417" i="12"/>
  <c r="C417" i="12"/>
  <c r="E416" i="12"/>
  <c r="C416" i="12"/>
  <c r="E415" i="12"/>
  <c r="C415" i="12"/>
  <c r="E414" i="12"/>
  <c r="C414" i="12"/>
  <c r="E413" i="12"/>
  <c r="C413" i="12"/>
  <c r="E412" i="12"/>
  <c r="C412" i="12"/>
  <c r="E411" i="12"/>
  <c r="C411" i="12"/>
  <c r="E410" i="12"/>
  <c r="C410" i="12"/>
  <c r="E409" i="12"/>
  <c r="C409" i="12"/>
  <c r="E408" i="12"/>
  <c r="C408" i="12"/>
  <c r="E407" i="12"/>
  <c r="C407" i="12"/>
  <c r="E406" i="12"/>
  <c r="C406" i="12"/>
  <c r="E405" i="12"/>
  <c r="C405" i="12"/>
  <c r="E404" i="12"/>
  <c r="C404" i="12"/>
  <c r="E403" i="12"/>
  <c r="C403" i="12"/>
  <c r="E402" i="12"/>
  <c r="C402" i="12"/>
  <c r="E401" i="12"/>
  <c r="C401" i="12"/>
  <c r="E400" i="12"/>
  <c r="C400" i="12"/>
  <c r="E399" i="12"/>
  <c r="C399" i="12"/>
  <c r="E398" i="12"/>
  <c r="C398" i="12"/>
  <c r="E397" i="12"/>
  <c r="C397" i="12"/>
  <c r="E396" i="12"/>
  <c r="C396" i="12"/>
  <c r="E395" i="12"/>
  <c r="C395" i="12"/>
  <c r="E394" i="12"/>
  <c r="C394" i="12"/>
  <c r="E393" i="12"/>
  <c r="C393" i="12"/>
  <c r="E392" i="12"/>
  <c r="C392" i="12"/>
  <c r="E391" i="12"/>
  <c r="C391" i="12"/>
  <c r="E390" i="12"/>
  <c r="C390" i="12"/>
  <c r="E389" i="12"/>
  <c r="C389" i="12"/>
  <c r="E388" i="12"/>
  <c r="C388" i="12"/>
  <c r="E387" i="12"/>
  <c r="C387" i="12"/>
  <c r="E386" i="12"/>
  <c r="C386" i="12"/>
  <c r="E385" i="12"/>
  <c r="C385" i="12"/>
  <c r="E384" i="12"/>
  <c r="C384" i="12"/>
  <c r="E383" i="12"/>
  <c r="C383" i="12"/>
  <c r="E382" i="12"/>
  <c r="C382" i="12"/>
  <c r="E381" i="12"/>
  <c r="C381" i="12"/>
  <c r="E380" i="12"/>
  <c r="C380" i="12"/>
  <c r="E379" i="12"/>
  <c r="C379" i="12"/>
  <c r="E378" i="12"/>
  <c r="C378" i="12"/>
  <c r="E377" i="12"/>
  <c r="C377" i="12"/>
  <c r="E376" i="12"/>
  <c r="C376" i="12"/>
  <c r="E375" i="12"/>
  <c r="C375" i="12"/>
  <c r="E374" i="12"/>
  <c r="C374" i="12"/>
  <c r="E373" i="12"/>
  <c r="C373" i="12"/>
  <c r="E372" i="12"/>
  <c r="C372" i="12"/>
  <c r="E371" i="12"/>
  <c r="C371" i="12"/>
  <c r="E370" i="12"/>
  <c r="C370" i="12"/>
  <c r="E369" i="12"/>
  <c r="C369" i="12"/>
  <c r="E368" i="12"/>
  <c r="C368" i="12"/>
  <c r="E367" i="12"/>
  <c r="C367" i="12"/>
  <c r="E366" i="12"/>
  <c r="C366" i="12"/>
  <c r="E365" i="12"/>
  <c r="C365" i="12"/>
  <c r="E364" i="12"/>
  <c r="C364" i="12"/>
  <c r="E363" i="12"/>
  <c r="C363" i="12"/>
  <c r="E362" i="12"/>
  <c r="C362" i="12"/>
  <c r="E361" i="12"/>
  <c r="C361" i="12"/>
  <c r="E360" i="12"/>
  <c r="C360" i="12"/>
  <c r="E359" i="12"/>
  <c r="C359" i="12"/>
  <c r="E358" i="12"/>
  <c r="C358" i="12"/>
  <c r="E357" i="12"/>
  <c r="C357" i="12"/>
  <c r="E356" i="12"/>
  <c r="C356" i="12"/>
  <c r="E355" i="12"/>
  <c r="C355" i="12"/>
  <c r="E354" i="12"/>
  <c r="C354" i="12"/>
  <c r="E353" i="12"/>
  <c r="C353" i="12"/>
  <c r="E352" i="12"/>
  <c r="C352" i="12"/>
  <c r="E351" i="12"/>
  <c r="C351" i="12"/>
  <c r="E350" i="12"/>
  <c r="C350" i="12"/>
  <c r="E349" i="12"/>
  <c r="C349" i="12"/>
  <c r="E348" i="12"/>
  <c r="C348" i="12"/>
  <c r="E347" i="12"/>
  <c r="C347" i="12"/>
  <c r="E346" i="12"/>
  <c r="C346" i="12"/>
  <c r="E345" i="12"/>
  <c r="C345" i="12"/>
  <c r="E344" i="12"/>
  <c r="C344" i="12"/>
  <c r="E343" i="12"/>
  <c r="C343" i="12"/>
  <c r="E342" i="12"/>
  <c r="C342" i="12"/>
  <c r="E341" i="12"/>
  <c r="C341" i="12"/>
  <c r="E340" i="12"/>
  <c r="C340" i="12"/>
  <c r="E339" i="12"/>
  <c r="C339" i="12"/>
  <c r="E338" i="12"/>
  <c r="C338" i="12"/>
  <c r="E337" i="12"/>
  <c r="C337" i="12"/>
  <c r="E336" i="12"/>
  <c r="C336" i="12"/>
  <c r="E335" i="12"/>
  <c r="C335" i="12"/>
  <c r="E334" i="12"/>
  <c r="C334" i="12"/>
  <c r="E333" i="12"/>
  <c r="C333" i="12"/>
  <c r="E332" i="12"/>
  <c r="C332" i="12"/>
  <c r="E331" i="12"/>
  <c r="C331" i="12"/>
  <c r="E330" i="12"/>
  <c r="C330" i="12"/>
  <c r="E329" i="12"/>
  <c r="C329" i="12"/>
  <c r="E328" i="12"/>
  <c r="C328" i="12"/>
  <c r="E327" i="12"/>
  <c r="C327" i="12"/>
  <c r="E326" i="12"/>
  <c r="C326" i="12"/>
  <c r="E325" i="12"/>
  <c r="C325" i="12"/>
  <c r="E324" i="12"/>
  <c r="C324" i="12"/>
  <c r="E323" i="12"/>
  <c r="C323" i="12"/>
  <c r="E322" i="12"/>
  <c r="C322" i="12"/>
  <c r="E321" i="12"/>
  <c r="C321" i="12"/>
  <c r="E320" i="12"/>
  <c r="C320" i="12"/>
  <c r="E319" i="12"/>
  <c r="C319" i="12"/>
  <c r="E318" i="12"/>
  <c r="C318" i="12"/>
  <c r="E317" i="12"/>
  <c r="C317" i="12"/>
  <c r="E316" i="12"/>
  <c r="C316" i="12"/>
  <c r="E315" i="12"/>
  <c r="C315" i="12"/>
  <c r="E314" i="12"/>
  <c r="C314" i="12"/>
  <c r="E313" i="12"/>
  <c r="C313" i="12"/>
  <c r="E312" i="12"/>
  <c r="C312" i="12"/>
  <c r="E311" i="12"/>
  <c r="C311" i="12"/>
  <c r="E310" i="12"/>
  <c r="C310" i="12"/>
  <c r="E309" i="12"/>
  <c r="C309" i="12"/>
  <c r="E308" i="12"/>
  <c r="C308" i="12"/>
  <c r="E307" i="12"/>
  <c r="C307" i="12"/>
  <c r="E306" i="12"/>
  <c r="C306" i="12"/>
  <c r="E305" i="12"/>
  <c r="C305" i="12"/>
  <c r="E304" i="12"/>
  <c r="C304" i="12"/>
  <c r="E303" i="12"/>
  <c r="C303" i="12"/>
  <c r="E302" i="12"/>
  <c r="C302" i="12"/>
  <c r="E301" i="12"/>
  <c r="C301" i="12"/>
  <c r="E300" i="12"/>
  <c r="C300" i="12"/>
  <c r="E299" i="12"/>
  <c r="C299" i="12"/>
  <c r="E298" i="12"/>
  <c r="C298" i="12"/>
  <c r="E297" i="12"/>
  <c r="C297" i="12"/>
  <c r="E296" i="12"/>
  <c r="C296" i="12"/>
  <c r="E295" i="12"/>
  <c r="C295" i="12"/>
  <c r="E294" i="12"/>
  <c r="C294" i="12"/>
  <c r="E293" i="12"/>
  <c r="C293" i="12"/>
  <c r="E292" i="12"/>
  <c r="C292" i="12"/>
  <c r="E291" i="12"/>
  <c r="C291" i="12"/>
  <c r="E290" i="12"/>
  <c r="C290" i="12"/>
  <c r="E289" i="12"/>
  <c r="C289" i="12"/>
  <c r="E288" i="12"/>
  <c r="C288" i="12"/>
  <c r="E287" i="12"/>
  <c r="C287" i="12"/>
  <c r="E286" i="12"/>
  <c r="C286" i="12"/>
  <c r="E285" i="12"/>
  <c r="C285" i="12"/>
  <c r="E284" i="12"/>
  <c r="C284" i="12"/>
  <c r="E283" i="12"/>
  <c r="C283" i="12"/>
  <c r="E282" i="12"/>
  <c r="C282" i="12"/>
  <c r="E281" i="12"/>
  <c r="C281" i="12"/>
  <c r="E280" i="12"/>
  <c r="C280" i="12"/>
  <c r="E279" i="12"/>
  <c r="C279" i="12"/>
  <c r="E278" i="12"/>
  <c r="C278" i="12"/>
  <c r="E277" i="12"/>
  <c r="C277" i="12"/>
  <c r="E276" i="12"/>
  <c r="C276" i="12"/>
  <c r="E275" i="12"/>
  <c r="C275" i="12"/>
  <c r="E274" i="12"/>
  <c r="C274" i="12"/>
  <c r="E273" i="12"/>
  <c r="C273" i="12"/>
  <c r="E272" i="12"/>
  <c r="C272" i="12"/>
  <c r="E271" i="12"/>
  <c r="C271" i="12"/>
  <c r="E270" i="12"/>
  <c r="C270" i="12"/>
  <c r="E269" i="12"/>
  <c r="C269" i="12"/>
  <c r="E268" i="12"/>
  <c r="C268" i="12"/>
  <c r="E267" i="12"/>
  <c r="C267" i="12"/>
  <c r="E266" i="12"/>
  <c r="C266" i="12"/>
  <c r="E265" i="12"/>
  <c r="C265" i="12"/>
  <c r="E264" i="12"/>
  <c r="C264" i="12"/>
  <c r="E263" i="12"/>
  <c r="C263" i="12"/>
  <c r="E262" i="12"/>
  <c r="C262" i="12"/>
  <c r="E261" i="12"/>
  <c r="C261" i="12"/>
  <c r="E260" i="12"/>
  <c r="C260" i="12"/>
  <c r="E259" i="12"/>
  <c r="C259" i="12"/>
  <c r="E258" i="12"/>
  <c r="C258" i="12"/>
  <c r="E257" i="12"/>
  <c r="C257" i="12"/>
  <c r="E256" i="12"/>
  <c r="C256" i="12"/>
  <c r="E255" i="12"/>
  <c r="C255" i="12"/>
  <c r="E254" i="12"/>
  <c r="C254" i="12"/>
  <c r="E253" i="12"/>
  <c r="C253" i="12"/>
  <c r="E252" i="12"/>
  <c r="C252" i="12"/>
  <c r="E251" i="12"/>
  <c r="C251" i="12"/>
  <c r="E250" i="12"/>
  <c r="C250" i="12"/>
  <c r="E249" i="12"/>
  <c r="C249" i="12"/>
  <c r="E248" i="12"/>
  <c r="C248" i="12"/>
  <c r="E247" i="12"/>
  <c r="C247" i="12"/>
  <c r="E246" i="12"/>
  <c r="C246" i="12"/>
  <c r="E245" i="12"/>
  <c r="C245" i="12"/>
  <c r="E244" i="12"/>
  <c r="C244" i="12"/>
  <c r="E243" i="12"/>
  <c r="C243" i="12"/>
  <c r="E242" i="12"/>
  <c r="C242" i="12"/>
  <c r="E241" i="12"/>
  <c r="C241" i="12"/>
  <c r="E240" i="12"/>
  <c r="C240" i="12"/>
  <c r="E239" i="12"/>
  <c r="C239" i="12"/>
  <c r="E238" i="12"/>
  <c r="C238" i="12"/>
  <c r="E237" i="12"/>
  <c r="C237" i="12"/>
  <c r="E236" i="12"/>
  <c r="C236" i="12"/>
  <c r="E235" i="12"/>
  <c r="C235" i="12"/>
  <c r="E234" i="12"/>
  <c r="C234" i="12"/>
  <c r="E233" i="12"/>
  <c r="C233" i="12"/>
  <c r="E232" i="12"/>
  <c r="C232" i="12"/>
  <c r="E231" i="12"/>
  <c r="C231" i="12"/>
  <c r="E230" i="12"/>
  <c r="C230" i="12"/>
  <c r="E229" i="12"/>
  <c r="C229" i="12"/>
  <c r="E228" i="12"/>
  <c r="C228" i="12"/>
  <c r="E227" i="12"/>
  <c r="C227" i="12"/>
  <c r="E226" i="12"/>
  <c r="C226" i="12"/>
  <c r="E225" i="12"/>
  <c r="C225" i="12"/>
  <c r="E224" i="12"/>
  <c r="C224" i="12"/>
  <c r="E223" i="12"/>
  <c r="C223" i="12"/>
  <c r="E222" i="12"/>
  <c r="C222" i="12"/>
  <c r="E221" i="12"/>
  <c r="C221" i="12"/>
  <c r="E220" i="12"/>
  <c r="C220" i="12"/>
  <c r="E219" i="12"/>
  <c r="C219" i="12"/>
  <c r="E218" i="12"/>
  <c r="C218" i="12"/>
  <c r="E217" i="12"/>
  <c r="C217" i="12"/>
  <c r="E216" i="12"/>
  <c r="C216" i="12"/>
  <c r="E215" i="12"/>
  <c r="C215" i="12"/>
  <c r="E214" i="12"/>
  <c r="C214" i="12"/>
  <c r="E213" i="12"/>
  <c r="C213" i="12"/>
  <c r="E212" i="12"/>
  <c r="C212" i="12"/>
  <c r="E211" i="12"/>
  <c r="C211" i="12"/>
  <c r="E210" i="12"/>
  <c r="C210" i="12"/>
  <c r="E209" i="12"/>
  <c r="C209" i="12"/>
  <c r="E208" i="12"/>
  <c r="C208" i="12"/>
  <c r="E207" i="12"/>
  <c r="C207" i="12"/>
  <c r="E206" i="12"/>
  <c r="C206" i="12"/>
  <c r="E205" i="12"/>
  <c r="C205" i="12"/>
  <c r="E204" i="12"/>
  <c r="C204" i="12"/>
  <c r="E203" i="12"/>
  <c r="C203" i="12"/>
  <c r="E202" i="12"/>
  <c r="C202" i="12"/>
  <c r="E201" i="12"/>
  <c r="C201" i="12"/>
  <c r="E200" i="12"/>
  <c r="C200" i="12"/>
  <c r="E199" i="12"/>
  <c r="C199" i="12"/>
  <c r="E198" i="12"/>
  <c r="C198" i="12"/>
  <c r="E197" i="12"/>
  <c r="C197" i="12"/>
  <c r="E196" i="12"/>
  <c r="C196" i="12"/>
  <c r="E195" i="12"/>
  <c r="C195" i="12"/>
  <c r="E194" i="12"/>
  <c r="C194" i="12"/>
  <c r="E193" i="12"/>
  <c r="C193" i="12"/>
  <c r="E192" i="12"/>
  <c r="C192" i="12"/>
  <c r="E191" i="12"/>
  <c r="C191" i="12"/>
  <c r="E190" i="12"/>
  <c r="C190" i="12"/>
  <c r="E189" i="12"/>
  <c r="C189" i="12"/>
  <c r="E188" i="12"/>
  <c r="C188" i="12"/>
  <c r="E187" i="12"/>
  <c r="C187" i="12"/>
  <c r="E186" i="12"/>
  <c r="C186" i="12"/>
  <c r="E185" i="12"/>
  <c r="C185" i="12"/>
  <c r="E184" i="12"/>
  <c r="C184" i="12"/>
  <c r="E183" i="12"/>
  <c r="C183" i="12"/>
  <c r="E182" i="12"/>
  <c r="C182" i="12"/>
  <c r="E181" i="12"/>
  <c r="C181" i="12"/>
  <c r="E180" i="12"/>
  <c r="C180" i="12"/>
  <c r="E179" i="12"/>
  <c r="C179" i="12"/>
  <c r="E178" i="12"/>
  <c r="C178" i="12"/>
  <c r="E177" i="12"/>
  <c r="C177" i="12"/>
  <c r="E176" i="12"/>
  <c r="C176" i="12"/>
  <c r="E175" i="12"/>
  <c r="C175" i="12"/>
  <c r="E174" i="12"/>
  <c r="C174" i="12"/>
  <c r="E173" i="12"/>
  <c r="C173" i="12"/>
  <c r="E172" i="12"/>
  <c r="C172" i="12"/>
  <c r="E171" i="12"/>
  <c r="C171" i="12"/>
  <c r="E170" i="12"/>
  <c r="C170" i="12"/>
  <c r="E169" i="12"/>
  <c r="C169" i="12"/>
  <c r="E168" i="12"/>
  <c r="C168" i="12"/>
  <c r="E167" i="12"/>
  <c r="C167" i="12"/>
  <c r="E166" i="12"/>
  <c r="C166" i="12"/>
  <c r="E165" i="12"/>
  <c r="C165" i="12"/>
  <c r="E164" i="12"/>
  <c r="C164" i="12"/>
  <c r="E163" i="12"/>
  <c r="C163" i="12"/>
  <c r="E162" i="12"/>
  <c r="C162" i="12"/>
  <c r="E161" i="12"/>
  <c r="C161" i="12"/>
  <c r="E160" i="12"/>
  <c r="C160" i="12"/>
  <c r="E159" i="12"/>
  <c r="C159" i="12"/>
  <c r="E158" i="12"/>
  <c r="C158" i="12"/>
  <c r="E157" i="12"/>
  <c r="C157" i="12"/>
  <c r="E156" i="12"/>
  <c r="C156" i="12"/>
  <c r="E155" i="12"/>
  <c r="C155" i="12"/>
  <c r="E154" i="12"/>
  <c r="C154" i="12"/>
  <c r="E153" i="12"/>
  <c r="C153" i="12"/>
  <c r="E152" i="12"/>
  <c r="C152" i="12"/>
  <c r="E151" i="12"/>
  <c r="C151" i="12"/>
  <c r="E150" i="12"/>
  <c r="C150" i="12"/>
  <c r="E149" i="12"/>
  <c r="C149" i="12"/>
  <c r="E148" i="12"/>
  <c r="C148" i="12"/>
  <c r="E147" i="12"/>
  <c r="C147" i="12"/>
  <c r="E146" i="12"/>
  <c r="C146" i="12"/>
  <c r="E145" i="12"/>
  <c r="C145" i="12"/>
  <c r="E144" i="12"/>
  <c r="C144" i="12"/>
  <c r="E143" i="12"/>
  <c r="C143" i="12"/>
  <c r="E142" i="12"/>
  <c r="C142" i="12"/>
  <c r="E141" i="12"/>
  <c r="C141" i="12"/>
  <c r="E140" i="12"/>
  <c r="C140" i="12"/>
  <c r="E139" i="12"/>
  <c r="C139" i="12"/>
  <c r="E138" i="12"/>
  <c r="C138" i="12"/>
  <c r="E137" i="12"/>
  <c r="C137" i="12"/>
  <c r="E136" i="12"/>
  <c r="C136" i="12"/>
  <c r="E135" i="12"/>
  <c r="C135" i="12"/>
  <c r="E134" i="12"/>
  <c r="C134" i="12"/>
  <c r="E133" i="12"/>
  <c r="C133" i="12"/>
  <c r="E132" i="12"/>
  <c r="C132" i="12"/>
  <c r="E131" i="12"/>
  <c r="C131" i="12"/>
  <c r="E130" i="12"/>
  <c r="C130" i="12"/>
  <c r="E129" i="12"/>
  <c r="C129" i="12"/>
  <c r="E128" i="12"/>
  <c r="C128" i="12"/>
  <c r="E127" i="12"/>
  <c r="C127" i="12"/>
  <c r="E126" i="12"/>
  <c r="C126" i="12"/>
  <c r="E125" i="12"/>
  <c r="C125" i="12"/>
  <c r="E124" i="12"/>
  <c r="C124" i="12"/>
  <c r="E123" i="12"/>
  <c r="C123" i="12"/>
  <c r="E122" i="12"/>
  <c r="C122" i="12"/>
  <c r="E121" i="12"/>
  <c r="C121" i="12"/>
  <c r="E120" i="12"/>
  <c r="C120" i="12"/>
  <c r="E119" i="12"/>
  <c r="C119" i="12"/>
  <c r="E118" i="12"/>
  <c r="C118" i="12"/>
  <c r="E117" i="12"/>
  <c r="C117" i="12"/>
  <c r="E116" i="12"/>
  <c r="C116" i="12"/>
  <c r="E115" i="12"/>
  <c r="C115" i="12"/>
  <c r="E114" i="12"/>
  <c r="C114" i="12"/>
  <c r="E113" i="12"/>
  <c r="C113" i="12"/>
  <c r="E112" i="12"/>
  <c r="C112" i="12"/>
  <c r="E111" i="12"/>
  <c r="C111" i="12"/>
  <c r="E110" i="12"/>
  <c r="C110" i="12"/>
  <c r="E109" i="12"/>
  <c r="C109" i="12"/>
  <c r="E108" i="12"/>
  <c r="C108" i="12"/>
  <c r="E107" i="12"/>
  <c r="C107" i="12"/>
  <c r="E106" i="12"/>
  <c r="C106" i="12"/>
  <c r="E105" i="12"/>
  <c r="C105" i="12"/>
  <c r="E104" i="12"/>
  <c r="C104" i="12"/>
  <c r="E103" i="12"/>
  <c r="C103" i="12"/>
  <c r="E102" i="12"/>
  <c r="C102" i="12"/>
  <c r="E101" i="12"/>
  <c r="C101" i="12"/>
  <c r="E100" i="12"/>
  <c r="C100" i="12"/>
  <c r="E99" i="12"/>
  <c r="C99" i="12"/>
  <c r="E98" i="12"/>
  <c r="C98" i="12"/>
  <c r="E97" i="12"/>
  <c r="C97" i="12"/>
  <c r="E96" i="12"/>
  <c r="C96" i="12"/>
  <c r="E95" i="12"/>
  <c r="C95" i="12"/>
  <c r="E94" i="12"/>
  <c r="C94" i="12"/>
  <c r="E93" i="12"/>
  <c r="C93" i="12"/>
  <c r="E92" i="12"/>
  <c r="C92" i="12"/>
  <c r="E91" i="12"/>
  <c r="C91" i="12"/>
  <c r="E90" i="12"/>
  <c r="C90" i="12"/>
  <c r="E89" i="12"/>
  <c r="C89" i="12"/>
  <c r="E88" i="12"/>
  <c r="C88" i="12"/>
  <c r="E87" i="12"/>
  <c r="C87" i="12"/>
  <c r="E86" i="12"/>
  <c r="C86" i="12"/>
  <c r="E85" i="12"/>
  <c r="C85" i="12"/>
  <c r="E84" i="12"/>
  <c r="C84" i="12"/>
  <c r="E83" i="12"/>
  <c r="C83" i="12"/>
  <c r="E82" i="12"/>
  <c r="C82" i="12"/>
  <c r="E81" i="12"/>
  <c r="C81" i="12"/>
  <c r="E80" i="12"/>
  <c r="C80" i="12"/>
  <c r="E79" i="12"/>
  <c r="C79" i="12"/>
  <c r="E78" i="12"/>
  <c r="C78" i="12"/>
  <c r="E77" i="12"/>
  <c r="C77" i="12"/>
  <c r="E76" i="12"/>
  <c r="C76" i="12"/>
  <c r="E75" i="12"/>
  <c r="C75" i="12"/>
  <c r="E74" i="12"/>
  <c r="C74" i="12"/>
  <c r="E73" i="12"/>
  <c r="C73" i="12"/>
  <c r="E72" i="12"/>
  <c r="C72" i="12"/>
  <c r="E71" i="12"/>
  <c r="C71" i="12"/>
  <c r="E70" i="12"/>
  <c r="C70" i="12"/>
  <c r="E69" i="12"/>
  <c r="C69" i="12"/>
  <c r="E68" i="12"/>
  <c r="C68" i="12"/>
  <c r="E67" i="12"/>
  <c r="C67" i="12"/>
  <c r="E66" i="12"/>
  <c r="C66" i="12"/>
  <c r="E65" i="12"/>
  <c r="C65" i="12"/>
  <c r="E64" i="12"/>
  <c r="C64" i="12"/>
  <c r="E63" i="12"/>
  <c r="C63" i="12"/>
  <c r="E62" i="12"/>
  <c r="C62" i="12"/>
  <c r="E61" i="12"/>
  <c r="C61" i="12"/>
  <c r="E60" i="12"/>
  <c r="C60" i="12"/>
  <c r="E59" i="12"/>
  <c r="C59" i="12"/>
  <c r="E58" i="12"/>
  <c r="C58" i="12"/>
  <c r="E57" i="12"/>
  <c r="C57" i="12"/>
  <c r="E56" i="12"/>
  <c r="C56" i="12"/>
  <c r="E55" i="12"/>
  <c r="C55" i="12"/>
  <c r="E54" i="12"/>
  <c r="C54" i="12"/>
  <c r="E53" i="12"/>
  <c r="C53" i="12"/>
  <c r="E52" i="12"/>
  <c r="C52" i="12"/>
  <c r="E51" i="12"/>
  <c r="C51" i="12"/>
  <c r="E50" i="12"/>
  <c r="C50" i="12"/>
  <c r="E49" i="12"/>
  <c r="C49" i="12"/>
  <c r="E48" i="12"/>
  <c r="C48" i="12"/>
  <c r="E47" i="12"/>
  <c r="C47" i="12"/>
  <c r="E46" i="12"/>
  <c r="C46" i="12"/>
  <c r="E45" i="12"/>
  <c r="C45" i="12"/>
  <c r="E44" i="12"/>
  <c r="C44" i="12"/>
  <c r="E43" i="12"/>
  <c r="C43" i="12"/>
  <c r="E42" i="12"/>
  <c r="C42" i="12"/>
  <c r="E41" i="12"/>
  <c r="C41" i="12"/>
  <c r="E40" i="12"/>
  <c r="C40" i="12"/>
  <c r="E39" i="12"/>
  <c r="C39" i="12"/>
  <c r="E38" i="12"/>
  <c r="C38" i="12"/>
  <c r="E37" i="12"/>
  <c r="C37" i="12"/>
  <c r="E36" i="12"/>
  <c r="C36" i="12"/>
  <c r="E35" i="12"/>
  <c r="C35" i="12"/>
  <c r="E34" i="12"/>
  <c r="C34" i="12"/>
  <c r="E33" i="12"/>
  <c r="C33" i="12"/>
  <c r="E32" i="12"/>
  <c r="C32" i="12"/>
  <c r="E31" i="12"/>
  <c r="C31" i="12"/>
  <c r="E30" i="12"/>
  <c r="C30" i="12"/>
  <c r="E29" i="12"/>
  <c r="C29" i="12"/>
  <c r="E28" i="12"/>
  <c r="C28" i="12"/>
  <c r="E27" i="12"/>
  <c r="C27" i="12"/>
  <c r="E26" i="12"/>
  <c r="C26" i="12"/>
  <c r="E25" i="12"/>
  <c r="C25" i="12"/>
  <c r="E24" i="12"/>
  <c r="C24" i="12"/>
  <c r="E23" i="12"/>
  <c r="C23" i="12"/>
  <c r="E22" i="12"/>
  <c r="C22" i="12"/>
  <c r="E21" i="12"/>
  <c r="C21" i="12"/>
  <c r="E20" i="12"/>
  <c r="C20" i="12"/>
  <c r="E19" i="12"/>
  <c r="C19" i="12"/>
  <c r="E18" i="12"/>
  <c r="C18" i="12"/>
  <c r="E17" i="12"/>
  <c r="E16" i="12"/>
  <c r="E15" i="12"/>
  <c r="E14" i="12"/>
  <c r="E13" i="12"/>
  <c r="E12" i="12"/>
  <c r="E11" i="12"/>
  <c r="B11" i="11"/>
  <c r="B10" i="11"/>
  <c r="B9" i="11"/>
  <c r="B8" i="11"/>
  <c r="B7" i="11"/>
  <c r="B6" i="11"/>
  <c r="B5" i="11"/>
  <c r="B4" i="11"/>
  <c r="B3" i="11"/>
  <c r="H21" i="1"/>
  <c r="H20" i="1"/>
  <c r="H19" i="1"/>
  <c r="H18" i="1"/>
  <c r="B17" i="1"/>
  <c r="B15" i="1"/>
  <c r="J14" i="1"/>
  <c r="E14" i="1"/>
  <c r="J13" i="1"/>
  <c r="H13" i="1"/>
  <c r="E13" i="1"/>
  <c r="B13" i="1"/>
  <c r="J12" i="1"/>
  <c r="H12" i="1"/>
  <c r="E12" i="1"/>
  <c r="J11" i="1"/>
  <c r="H11" i="1"/>
  <c r="E11" i="1"/>
  <c r="B11" i="1"/>
  <c r="J10" i="1"/>
  <c r="H10" i="1"/>
  <c r="E10" i="1"/>
  <c r="J9" i="1"/>
  <c r="H9" i="1"/>
  <c r="E9" i="1"/>
  <c r="B9" i="1"/>
  <c r="B8" i="1"/>
  <c r="E6" i="1"/>
  <c r="B6" i="1"/>
  <c r="B474" i="16" l="1"/>
  <c r="B6" i="16"/>
  <c r="B12" i="16"/>
  <c r="C23" i="16"/>
  <c r="F41" i="16"/>
  <c r="I61" i="16"/>
  <c r="I73" i="16"/>
  <c r="C270" i="16"/>
  <c r="F280" i="16"/>
  <c r="G292" i="16"/>
  <c r="E372" i="16"/>
  <c r="F393" i="16"/>
  <c r="D41" i="16"/>
  <c r="B421" i="16"/>
  <c r="C6" i="16"/>
  <c r="C12" i="16"/>
  <c r="E23" i="16"/>
  <c r="I292" i="16"/>
  <c r="G304" i="16"/>
  <c r="F372" i="16"/>
  <c r="C422" i="16"/>
  <c r="C462" i="16"/>
  <c r="I285" i="14"/>
  <c r="J448" i="14"/>
  <c r="E6" i="16"/>
  <c r="F23" i="16"/>
  <c r="I372" i="16"/>
  <c r="I189" i="14"/>
  <c r="J200" i="14"/>
  <c r="I425" i="14"/>
  <c r="G23" i="16"/>
  <c r="C141" i="16"/>
  <c r="C167" i="16"/>
  <c r="F177" i="16"/>
  <c r="C207" i="16"/>
  <c r="G320" i="16"/>
  <c r="E331" i="16"/>
  <c r="G141" i="16"/>
  <c r="D100" i="16"/>
  <c r="B465" i="16"/>
  <c r="J68" i="14"/>
  <c r="I174" i="14"/>
  <c r="I193" i="14"/>
  <c r="I375" i="14"/>
  <c r="C7" i="16"/>
  <c r="C34" i="16"/>
  <c r="I141" i="16"/>
  <c r="I250" i="16"/>
  <c r="F494" i="16"/>
  <c r="B386" i="16"/>
  <c r="D492" i="16"/>
  <c r="I57" i="14"/>
  <c r="I313" i="14"/>
  <c r="E7" i="16"/>
  <c r="G25" i="16"/>
  <c r="C55" i="16"/>
  <c r="C65" i="16"/>
  <c r="F274" i="16"/>
  <c r="C285" i="16"/>
  <c r="F466" i="16"/>
  <c r="D64" i="16"/>
  <c r="D270" i="16"/>
  <c r="B360" i="16"/>
  <c r="I271" i="14"/>
  <c r="J298" i="14"/>
  <c r="E55" i="16"/>
  <c r="I274" i="16"/>
  <c r="I285" i="16"/>
  <c r="C388" i="16"/>
  <c r="E440" i="16"/>
  <c r="B101" i="16"/>
  <c r="B138" i="16"/>
  <c r="D408" i="16"/>
  <c r="B466" i="16"/>
  <c r="J61" i="14"/>
  <c r="J167" i="14"/>
  <c r="J213" i="14"/>
  <c r="I248" i="14"/>
  <c r="I430" i="14"/>
  <c r="I55" i="16"/>
  <c r="F377" i="16"/>
  <c r="E388" i="16"/>
  <c r="I440" i="16"/>
  <c r="B260" i="16"/>
  <c r="D345" i="16"/>
  <c r="B493" i="16"/>
  <c r="J108" i="14"/>
  <c r="J252" i="14"/>
  <c r="I275" i="14"/>
  <c r="E3" i="16"/>
  <c r="G18" i="16"/>
  <c r="E47" i="16"/>
  <c r="C94" i="16"/>
  <c r="I133" i="16"/>
  <c r="F388" i="16"/>
  <c r="F378" i="16"/>
  <c r="I388" i="16"/>
  <c r="F401" i="16"/>
  <c r="G430" i="16"/>
  <c r="D23" i="16"/>
  <c r="D86" i="16"/>
  <c r="B224" i="16"/>
  <c r="F229" i="13"/>
  <c r="D250" i="16"/>
  <c r="B282" i="16"/>
  <c r="D303" i="16"/>
  <c r="D356" i="16"/>
  <c r="B372" i="16"/>
  <c r="C110" i="16"/>
  <c r="F229" i="16"/>
  <c r="C267" i="16"/>
  <c r="B292" i="16"/>
  <c r="B166" i="16"/>
  <c r="B494" i="16"/>
  <c r="E20" i="16"/>
  <c r="E110" i="16"/>
  <c r="I135" i="16"/>
  <c r="C147" i="16"/>
  <c r="G229" i="16"/>
  <c r="F267" i="16"/>
  <c r="I314" i="16"/>
  <c r="C431" i="16"/>
  <c r="D177" i="16"/>
  <c r="I307" i="14"/>
  <c r="I416" i="14"/>
  <c r="I478" i="14"/>
  <c r="F110" i="16"/>
  <c r="I147" i="16"/>
  <c r="I229" i="16"/>
  <c r="I431" i="16"/>
  <c r="B61" i="16"/>
  <c r="B140" i="16"/>
  <c r="B156" i="16"/>
  <c r="B246" i="16"/>
  <c r="B304" i="16"/>
  <c r="B452" i="16"/>
  <c r="J98" i="14"/>
  <c r="I137" i="14"/>
  <c r="J195" i="14"/>
  <c r="I230" i="14"/>
  <c r="I334" i="14"/>
  <c r="J377" i="14"/>
  <c r="I11" i="16"/>
  <c r="E30" i="16"/>
  <c r="I110" i="16"/>
  <c r="C124" i="16"/>
  <c r="I291" i="16"/>
  <c r="I91" i="14"/>
  <c r="J238" i="14"/>
  <c r="I257" i="14"/>
  <c r="I321" i="14"/>
  <c r="J385" i="14"/>
  <c r="I396" i="14"/>
  <c r="I487" i="14"/>
  <c r="J494" i="14"/>
  <c r="G155" i="16"/>
  <c r="I207" i="16"/>
  <c r="C254" i="16"/>
  <c r="F322" i="16"/>
  <c r="E416" i="16"/>
  <c r="E10" i="16"/>
  <c r="E18" i="16"/>
  <c r="G122" i="16"/>
  <c r="G244" i="16"/>
  <c r="E254" i="16"/>
  <c r="E264" i="16"/>
  <c r="G313" i="16"/>
  <c r="G372" i="16"/>
  <c r="F391" i="16"/>
  <c r="C426" i="16"/>
  <c r="I445" i="16"/>
  <c r="E426" i="16"/>
  <c r="F405" i="13"/>
  <c r="J84" i="14"/>
  <c r="J145" i="14"/>
  <c r="I225" i="14"/>
  <c r="J228" i="14"/>
  <c r="I231" i="14"/>
  <c r="J423" i="14"/>
  <c r="I484" i="14"/>
  <c r="I18" i="16"/>
  <c r="E73" i="16"/>
  <c r="G93" i="16"/>
  <c r="G254" i="16"/>
  <c r="G274" i="16"/>
  <c r="E314" i="16"/>
  <c r="C417" i="16"/>
  <c r="F426" i="16"/>
  <c r="E446" i="16"/>
  <c r="I458" i="16"/>
  <c r="I481" i="16"/>
  <c r="G493" i="16"/>
  <c r="F73" i="16"/>
  <c r="J73" i="16" s="1"/>
  <c r="G417" i="16"/>
  <c r="F446" i="16"/>
  <c r="I493" i="16"/>
  <c r="J39" i="14"/>
  <c r="I65" i="14"/>
  <c r="G73" i="16"/>
  <c r="I28" i="16"/>
  <c r="F84" i="16"/>
  <c r="H84" i="16" s="1"/>
  <c r="K84" i="16" s="1"/>
  <c r="L84" i="16" s="1"/>
  <c r="E116" i="16"/>
  <c r="C160" i="16"/>
  <c r="I177" i="16"/>
  <c r="G203" i="16"/>
  <c r="C237" i="16"/>
  <c r="I248" i="16"/>
  <c r="E308" i="16"/>
  <c r="F387" i="16"/>
  <c r="I418" i="16"/>
  <c r="B28" i="16"/>
  <c r="J43" i="14"/>
  <c r="I127" i="14"/>
  <c r="J177" i="14"/>
  <c r="J226" i="14"/>
  <c r="I229" i="14"/>
  <c r="I301" i="14"/>
  <c r="I462" i="14"/>
  <c r="I116" i="16"/>
  <c r="F160" i="16"/>
  <c r="F308" i="16"/>
  <c r="G439" i="16"/>
  <c r="E472" i="16"/>
  <c r="I131" i="14"/>
  <c r="I387" i="14"/>
  <c r="I493" i="14"/>
  <c r="G160" i="16"/>
  <c r="G269" i="16"/>
  <c r="C299" i="16"/>
  <c r="E317" i="16"/>
  <c r="I377" i="16"/>
  <c r="I160" i="16"/>
  <c r="F487" i="16"/>
  <c r="C311" i="16"/>
  <c r="E371" i="16"/>
  <c r="G78" i="16"/>
  <c r="E100" i="16"/>
  <c r="H100" i="16" s="1"/>
  <c r="K100" i="16" s="1"/>
  <c r="L100" i="16" s="1"/>
  <c r="G119" i="16"/>
  <c r="C155" i="16"/>
  <c r="E173" i="16"/>
  <c r="E196" i="16"/>
  <c r="E207" i="16"/>
  <c r="C230" i="16"/>
  <c r="G242" i="16"/>
  <c r="G311" i="16"/>
  <c r="I371" i="16"/>
  <c r="J388" i="16"/>
  <c r="E431" i="16"/>
  <c r="F488" i="16"/>
  <c r="F56" i="13"/>
  <c r="D56" i="16" s="1"/>
  <c r="F61" i="13"/>
  <c r="D61" i="16" s="1"/>
  <c r="I41" i="14"/>
  <c r="I102" i="14"/>
  <c r="J171" i="14"/>
  <c r="J186" i="14"/>
  <c r="I328" i="14"/>
  <c r="I388" i="14"/>
  <c r="I415" i="14"/>
  <c r="J418" i="14"/>
  <c r="J437" i="14"/>
  <c r="G3" i="16"/>
  <c r="F70" i="16"/>
  <c r="I78" i="16"/>
  <c r="F100" i="16"/>
  <c r="E155" i="16"/>
  <c r="G173" i="16"/>
  <c r="F196" i="16"/>
  <c r="F207" i="16"/>
  <c r="F230" i="16"/>
  <c r="I242" i="16"/>
  <c r="F431" i="16"/>
  <c r="J121" i="14"/>
  <c r="I343" i="14"/>
  <c r="I441" i="14"/>
  <c r="I173" i="16"/>
  <c r="G230" i="16"/>
  <c r="J337" i="14"/>
  <c r="I337" i="14"/>
  <c r="C471" i="16"/>
  <c r="I471" i="16"/>
  <c r="G471" i="16"/>
  <c r="F471" i="16"/>
  <c r="E471" i="16"/>
  <c r="I106" i="14"/>
  <c r="J106" i="14"/>
  <c r="J393" i="14"/>
  <c r="I393" i="14"/>
  <c r="I2" i="16"/>
  <c r="G2" i="16"/>
  <c r="F2" i="16"/>
  <c r="E2" i="16"/>
  <c r="D2" i="16"/>
  <c r="C2" i="16"/>
  <c r="F130" i="16"/>
  <c r="I130" i="16"/>
  <c r="G130" i="16"/>
  <c r="I183" i="16"/>
  <c r="F183" i="16"/>
  <c r="G402" i="16"/>
  <c r="F402" i="16"/>
  <c r="J28" i="14"/>
  <c r="I28" i="14"/>
  <c r="J118" i="14"/>
  <c r="I118" i="14"/>
  <c r="J197" i="14"/>
  <c r="I197" i="14"/>
  <c r="B2" i="16"/>
  <c r="F20" i="16"/>
  <c r="C57" i="16"/>
  <c r="E65" i="16"/>
  <c r="E130" i="16"/>
  <c r="F149" i="16"/>
  <c r="F167" i="16"/>
  <c r="C183" i="16"/>
  <c r="G227" i="16"/>
  <c r="E245" i="16"/>
  <c r="I245" i="16"/>
  <c r="G245" i="16"/>
  <c r="F245" i="16"/>
  <c r="C245" i="16"/>
  <c r="G270" i="16"/>
  <c r="E276" i="16"/>
  <c r="G341" i="16"/>
  <c r="I341" i="16"/>
  <c r="E341" i="16"/>
  <c r="J103" i="14"/>
  <c r="I103" i="14"/>
  <c r="J305" i="14"/>
  <c r="I305" i="14"/>
  <c r="I483" i="14"/>
  <c r="J483" i="14"/>
  <c r="I486" i="14"/>
  <c r="E57" i="16"/>
  <c r="F65" i="16"/>
  <c r="G167" i="16"/>
  <c r="E183" i="16"/>
  <c r="I227" i="16"/>
  <c r="I270" i="16"/>
  <c r="F276" i="16"/>
  <c r="J92" i="14"/>
  <c r="I92" i="14"/>
  <c r="I194" i="14"/>
  <c r="J194" i="14"/>
  <c r="I475" i="14"/>
  <c r="F57" i="16"/>
  <c r="G168" i="16"/>
  <c r="I168" i="16"/>
  <c r="I228" i="16"/>
  <c r="G228" i="16"/>
  <c r="F228" i="16"/>
  <c r="G276" i="16"/>
  <c r="C369" i="16"/>
  <c r="F432" i="16"/>
  <c r="J176" i="14"/>
  <c r="I176" i="14"/>
  <c r="J468" i="14"/>
  <c r="I468" i="14"/>
  <c r="I472" i="14"/>
  <c r="J472" i="14"/>
  <c r="G57" i="16"/>
  <c r="E66" i="16"/>
  <c r="F66" i="16"/>
  <c r="E369" i="16"/>
  <c r="I463" i="16"/>
  <c r="C463" i="16"/>
  <c r="J302" i="14"/>
  <c r="I302" i="14"/>
  <c r="D329" i="16"/>
  <c r="J81" i="14"/>
  <c r="I81" i="14"/>
  <c r="J283" i="14"/>
  <c r="J369" i="14"/>
  <c r="I369" i="14"/>
  <c r="I438" i="14"/>
  <c r="F7" i="16"/>
  <c r="E51" i="16"/>
  <c r="E94" i="16"/>
  <c r="F168" i="16"/>
  <c r="E228" i="16"/>
  <c r="E256" i="16"/>
  <c r="G322" i="16"/>
  <c r="G332" i="16"/>
  <c r="F332" i="16"/>
  <c r="E332" i="16"/>
  <c r="C332" i="16"/>
  <c r="C359" i="16"/>
  <c r="I434" i="16"/>
  <c r="F434" i="16"/>
  <c r="E434" i="16"/>
  <c r="C434" i="16"/>
  <c r="I69" i="14"/>
  <c r="I165" i="14"/>
  <c r="I265" i="14"/>
  <c r="J299" i="14"/>
  <c r="I299" i="14"/>
  <c r="J453" i="14"/>
  <c r="G115" i="16"/>
  <c r="E115" i="16"/>
  <c r="C115" i="16"/>
  <c r="G219" i="16"/>
  <c r="F256" i="16"/>
  <c r="E265" i="16"/>
  <c r="F395" i="16"/>
  <c r="C456" i="16"/>
  <c r="F476" i="16"/>
  <c r="G476" i="16"/>
  <c r="F245" i="13"/>
  <c r="D245" i="16" s="1"/>
  <c r="D340" i="16"/>
  <c r="I51" i="14"/>
  <c r="J158" i="14"/>
  <c r="I158" i="14"/>
  <c r="J235" i="14"/>
  <c r="I272" i="14"/>
  <c r="I295" i="14"/>
  <c r="J365" i="14"/>
  <c r="J413" i="14"/>
  <c r="J424" i="14"/>
  <c r="I424" i="14"/>
  <c r="F8" i="16"/>
  <c r="I8" i="16"/>
  <c r="G8" i="16"/>
  <c r="C53" i="16"/>
  <c r="G53" i="16"/>
  <c r="I143" i="16"/>
  <c r="G143" i="16"/>
  <c r="E143" i="16"/>
  <c r="I219" i="16"/>
  <c r="J314" i="16"/>
  <c r="E456" i="16"/>
  <c r="F172" i="13"/>
  <c r="J66" i="14"/>
  <c r="I362" i="14"/>
  <c r="J362" i="14"/>
  <c r="G4" i="16"/>
  <c r="I4" i="16"/>
  <c r="F4" i="16"/>
  <c r="E4" i="16"/>
  <c r="E96" i="16"/>
  <c r="I96" i="16"/>
  <c r="F250" i="16"/>
  <c r="C308" i="16"/>
  <c r="C324" i="16"/>
  <c r="G324" i="16"/>
  <c r="F324" i="16"/>
  <c r="E324" i="16"/>
  <c r="E360" i="16"/>
  <c r="E418" i="16"/>
  <c r="G428" i="16"/>
  <c r="I428" i="16"/>
  <c r="G456" i="16"/>
  <c r="I190" i="16"/>
  <c r="G190" i="16"/>
  <c r="G258" i="16"/>
  <c r="F258" i="16"/>
  <c r="J308" i="16"/>
  <c r="I421" i="14"/>
  <c r="J421" i="14"/>
  <c r="I89" i="16"/>
  <c r="G89" i="16"/>
  <c r="F89" i="16"/>
  <c r="C190" i="16"/>
  <c r="I208" i="16"/>
  <c r="C258" i="16"/>
  <c r="I362" i="16"/>
  <c r="G362" i="16"/>
  <c r="E362" i="16"/>
  <c r="G488" i="16"/>
  <c r="B142" i="16"/>
  <c r="D168" i="16"/>
  <c r="J219" i="14"/>
  <c r="I219" i="14"/>
  <c r="G24" i="16"/>
  <c r="C89" i="16"/>
  <c r="E136" i="16"/>
  <c r="E190" i="16"/>
  <c r="G308" i="16"/>
  <c r="C316" i="16"/>
  <c r="F316" i="16"/>
  <c r="G390" i="16"/>
  <c r="F390" i="16"/>
  <c r="E390" i="16"/>
  <c r="G413" i="16"/>
  <c r="I413" i="16"/>
  <c r="I488" i="16"/>
  <c r="F142" i="13"/>
  <c r="D142" i="16" s="1"/>
  <c r="I30" i="14"/>
  <c r="I132" i="14"/>
  <c r="J132" i="14"/>
  <c r="J355" i="14"/>
  <c r="I355" i="14"/>
  <c r="J403" i="14"/>
  <c r="I403" i="14"/>
  <c r="J407" i="14"/>
  <c r="I407" i="14"/>
  <c r="E89" i="16"/>
  <c r="C128" i="16"/>
  <c r="G136" i="16"/>
  <c r="F164" i="16"/>
  <c r="I164" i="16"/>
  <c r="G164" i="16"/>
  <c r="E164" i="16"/>
  <c r="C164" i="16"/>
  <c r="F190" i="16"/>
  <c r="E252" i="16"/>
  <c r="I252" i="16"/>
  <c r="G252" i="16"/>
  <c r="C292" i="16"/>
  <c r="C390" i="16"/>
  <c r="C400" i="16"/>
  <c r="C413" i="16"/>
  <c r="I489" i="16"/>
  <c r="F489" i="16"/>
  <c r="J34" i="14"/>
  <c r="I140" i="14"/>
  <c r="J140" i="14"/>
  <c r="I318" i="14"/>
  <c r="J347" i="14"/>
  <c r="I399" i="14"/>
  <c r="C25" i="16"/>
  <c r="I25" i="16"/>
  <c r="E128" i="16"/>
  <c r="C156" i="16"/>
  <c r="I156" i="16"/>
  <c r="G156" i="16"/>
  <c r="E292" i="16"/>
  <c r="J292" i="16" s="1"/>
  <c r="I352" i="16"/>
  <c r="C352" i="16"/>
  <c r="J31" i="14"/>
  <c r="I31" i="14"/>
  <c r="J125" i="14"/>
  <c r="I125" i="14"/>
  <c r="J208" i="14"/>
  <c r="I208" i="14"/>
  <c r="I340" i="14"/>
  <c r="J344" i="14"/>
  <c r="I344" i="14"/>
  <c r="E25" i="16"/>
  <c r="I32" i="16"/>
  <c r="E32" i="16"/>
  <c r="G82" i="16"/>
  <c r="I82" i="16"/>
  <c r="F82" i="16"/>
  <c r="E82" i="16"/>
  <c r="E156" i="16"/>
  <c r="E283" i="16"/>
  <c r="F440" i="16"/>
  <c r="G449" i="16"/>
  <c r="F449" i="16"/>
  <c r="G470" i="16"/>
  <c r="E481" i="16"/>
  <c r="B277" i="16"/>
  <c r="B480" i="16"/>
  <c r="C370" i="16"/>
  <c r="B25" i="16"/>
  <c r="D209" i="16"/>
  <c r="D256" i="16"/>
  <c r="B309" i="16"/>
  <c r="B413" i="16"/>
  <c r="B418" i="16"/>
  <c r="D475" i="16"/>
  <c r="B496" i="16"/>
  <c r="C39" i="16"/>
  <c r="F46" i="16"/>
  <c r="E108" i="16"/>
  <c r="I286" i="16"/>
  <c r="F309" i="16"/>
  <c r="G376" i="16"/>
  <c r="F384" i="16"/>
  <c r="E397" i="16"/>
  <c r="E414" i="16"/>
  <c r="C429" i="16"/>
  <c r="G444" i="16"/>
  <c r="F457" i="16"/>
  <c r="C477" i="16"/>
  <c r="D66" i="16"/>
  <c r="B164" i="16"/>
  <c r="B174" i="16"/>
  <c r="B189" i="16"/>
  <c r="B220" i="16"/>
  <c r="D283" i="16"/>
  <c r="D351" i="16"/>
  <c r="B449" i="16"/>
  <c r="G39" i="16"/>
  <c r="I414" i="16"/>
  <c r="E477" i="16"/>
  <c r="D103" i="16"/>
  <c r="B108" i="16"/>
  <c r="B113" i="16"/>
  <c r="F133" i="13"/>
  <c r="D133" i="16" s="1"/>
  <c r="B393" i="16"/>
  <c r="B429" i="16"/>
  <c r="B434" i="16"/>
  <c r="J42" i="14"/>
  <c r="I45" i="14"/>
  <c r="I144" i="14"/>
  <c r="J155" i="14"/>
  <c r="I233" i="14"/>
  <c r="J255" i="14"/>
  <c r="I316" i="14"/>
  <c r="I359" i="14"/>
  <c r="I366" i="14"/>
  <c r="I380" i="14"/>
  <c r="I397" i="14"/>
  <c r="I400" i="14"/>
  <c r="I465" i="14"/>
  <c r="E61" i="16"/>
  <c r="F124" i="16"/>
  <c r="C131" i="16"/>
  <c r="E152" i="16"/>
  <c r="I157" i="16"/>
  <c r="C184" i="16"/>
  <c r="G237" i="16"/>
  <c r="C280" i="16"/>
  <c r="C295" i="16"/>
  <c r="C304" i="16"/>
  <c r="G317" i="16"/>
  <c r="F342" i="16"/>
  <c r="G354" i="16"/>
  <c r="F371" i="16"/>
  <c r="J371" i="16" s="1"/>
  <c r="C377" i="16"/>
  <c r="C391" i="16"/>
  <c r="E398" i="16"/>
  <c r="E405" i="16"/>
  <c r="F445" i="16"/>
  <c r="E451" i="16"/>
  <c r="E465" i="16"/>
  <c r="F477" i="16"/>
  <c r="F485" i="16"/>
  <c r="E491" i="16"/>
  <c r="B294" i="16"/>
  <c r="D429" i="16"/>
  <c r="D434" i="16"/>
  <c r="B476" i="16"/>
  <c r="D481" i="16"/>
  <c r="I152" i="16"/>
  <c r="F304" i="16"/>
  <c r="G371" i="16"/>
  <c r="E391" i="16"/>
  <c r="E430" i="16"/>
  <c r="C472" i="16"/>
  <c r="G477" i="16"/>
  <c r="D57" i="16"/>
  <c r="D149" i="16"/>
  <c r="B190" i="16"/>
  <c r="B221" i="16"/>
  <c r="D362" i="16"/>
  <c r="D383" i="16"/>
  <c r="B32" i="16"/>
  <c r="B37" i="16"/>
  <c r="D104" i="16"/>
  <c r="F180" i="13"/>
  <c r="F185" i="13"/>
  <c r="D185" i="16" s="1"/>
  <c r="F190" i="13"/>
  <c r="D190" i="16" s="1"/>
  <c r="D300" i="16"/>
  <c r="B321" i="16"/>
  <c r="D347" i="16"/>
  <c r="B394" i="16"/>
  <c r="F17" i="16"/>
  <c r="C78" i="16"/>
  <c r="I125" i="16"/>
  <c r="C140" i="16"/>
  <c r="G146" i="16"/>
  <c r="F166" i="16"/>
  <c r="C185" i="16"/>
  <c r="G213" i="16"/>
  <c r="C225" i="16"/>
  <c r="J254" i="16"/>
  <c r="I304" i="16"/>
  <c r="J304" i="16" s="1"/>
  <c r="E365" i="16"/>
  <c r="C399" i="16"/>
  <c r="C452" i="16"/>
  <c r="G466" i="16"/>
  <c r="F472" i="16"/>
  <c r="J472" i="16" s="1"/>
  <c r="C493" i="16"/>
  <c r="D73" i="16"/>
  <c r="D332" i="16"/>
  <c r="B389" i="16"/>
  <c r="B420" i="16"/>
  <c r="D456" i="16"/>
  <c r="B477" i="16"/>
  <c r="E78" i="16"/>
  <c r="G133" i="16"/>
  <c r="E140" i="16"/>
  <c r="G166" i="16"/>
  <c r="I185" i="16"/>
  <c r="G225" i="16"/>
  <c r="F320" i="16"/>
  <c r="G345" i="16"/>
  <c r="F399" i="16"/>
  <c r="G472" i="16"/>
  <c r="E493" i="16"/>
  <c r="J493" i="16" s="1"/>
  <c r="D53" i="16"/>
  <c r="B89" i="16"/>
  <c r="B130" i="16"/>
  <c r="B285" i="16"/>
  <c r="B384" i="16"/>
  <c r="B410" i="16"/>
  <c r="I14" i="14"/>
  <c r="J50" i="14"/>
  <c r="I75" i="14"/>
  <c r="I156" i="14"/>
  <c r="I206" i="14"/>
  <c r="I245" i="14"/>
  <c r="J324" i="14"/>
  <c r="I481" i="14"/>
  <c r="J23" i="16"/>
  <c r="I166" i="16"/>
  <c r="I399" i="16"/>
  <c r="J431" i="16"/>
  <c r="E487" i="16"/>
  <c r="B208" i="16"/>
  <c r="F208" i="13"/>
  <c r="D208" i="16" s="1"/>
  <c r="I138" i="14"/>
  <c r="J138" i="14"/>
  <c r="J249" i="14"/>
  <c r="I249" i="14"/>
  <c r="J260" i="14"/>
  <c r="I260" i="14"/>
  <c r="I335" i="14"/>
  <c r="J335" i="14"/>
  <c r="J452" i="14"/>
  <c r="I452" i="14"/>
  <c r="G114" i="16"/>
  <c r="C114" i="16"/>
  <c r="I114" i="16"/>
  <c r="I412" i="16"/>
  <c r="E412" i="16"/>
  <c r="C412" i="16"/>
  <c r="B276" i="16"/>
  <c r="F276" i="13"/>
  <c r="D276" i="16" s="1"/>
  <c r="J87" i="14"/>
  <c r="I87" i="14"/>
  <c r="J120" i="14"/>
  <c r="I120" i="14"/>
  <c r="J286" i="14"/>
  <c r="I286" i="14"/>
  <c r="I378" i="14"/>
  <c r="J378" i="14"/>
  <c r="J485" i="14"/>
  <c r="I485" i="14"/>
  <c r="G76" i="16"/>
  <c r="E114" i="16"/>
  <c r="E121" i="16"/>
  <c r="I121" i="16"/>
  <c r="G121" i="16"/>
  <c r="F121" i="16"/>
  <c r="C121" i="16"/>
  <c r="C287" i="16"/>
  <c r="I287" i="16"/>
  <c r="G287" i="16"/>
  <c r="F287" i="16"/>
  <c r="E287" i="16"/>
  <c r="B214" i="16"/>
  <c r="F214" i="13"/>
  <c r="D214" i="16" s="1"/>
  <c r="J72" i="14"/>
  <c r="I72" i="14"/>
  <c r="J445" i="14"/>
  <c r="I445" i="14"/>
  <c r="F29" i="16"/>
  <c r="I29" i="16"/>
  <c r="G29" i="16"/>
  <c r="F114" i="16"/>
  <c r="C182" i="16"/>
  <c r="F182" i="16"/>
  <c r="I182" i="16"/>
  <c r="G182" i="16"/>
  <c r="E182" i="16"/>
  <c r="B128" i="16"/>
  <c r="F128" i="13"/>
  <c r="D128" i="16" s="1"/>
  <c r="B261" i="16"/>
  <c r="F261" i="13"/>
  <c r="B462" i="16"/>
  <c r="F462" i="13"/>
  <c r="J19" i="14"/>
  <c r="I19" i="14"/>
  <c r="J80" i="14"/>
  <c r="I80" i="14"/>
  <c r="J135" i="14"/>
  <c r="I135" i="14"/>
  <c r="J182" i="14"/>
  <c r="I182" i="14"/>
  <c r="J246" i="14"/>
  <c r="I246" i="14"/>
  <c r="J279" i="14"/>
  <c r="I279" i="14"/>
  <c r="I325" i="14"/>
  <c r="J325" i="14"/>
  <c r="I482" i="14"/>
  <c r="J482" i="14"/>
  <c r="E29" i="16"/>
  <c r="J29" i="16" s="1"/>
  <c r="E198" i="16"/>
  <c r="G198" i="16"/>
  <c r="I198" i="16"/>
  <c r="F318" i="16"/>
  <c r="I318" i="16"/>
  <c r="G318" i="16"/>
  <c r="G482" i="16"/>
  <c r="F482" i="16"/>
  <c r="I482" i="16"/>
  <c r="F452" i="13"/>
  <c r="D452" i="16" s="1"/>
  <c r="I55" i="14"/>
  <c r="J55" i="14"/>
  <c r="I109" i="14"/>
  <c r="J109" i="14"/>
  <c r="C198" i="16"/>
  <c r="C318" i="16"/>
  <c r="E403" i="16"/>
  <c r="G403" i="16"/>
  <c r="F403" i="16"/>
  <c r="C482" i="16"/>
  <c r="F277" i="13"/>
  <c r="J128" i="14"/>
  <c r="I128" i="14"/>
  <c r="J287" i="14"/>
  <c r="I287" i="14"/>
  <c r="I358" i="14"/>
  <c r="J358" i="14"/>
  <c r="I372" i="14"/>
  <c r="J372" i="14"/>
  <c r="I435" i="14"/>
  <c r="J435" i="14"/>
  <c r="J464" i="14"/>
  <c r="I464" i="14"/>
  <c r="F198" i="16"/>
  <c r="I262" i="16"/>
  <c r="F262" i="16"/>
  <c r="E262" i="16"/>
  <c r="E281" i="16"/>
  <c r="G281" i="16"/>
  <c r="C281" i="16"/>
  <c r="E318" i="16"/>
  <c r="G385" i="16"/>
  <c r="C385" i="16"/>
  <c r="E482" i="16"/>
  <c r="B262" i="16"/>
  <c r="I48" i="14"/>
  <c r="J48" i="14"/>
  <c r="J479" i="14"/>
  <c r="I479" i="14"/>
  <c r="F137" i="16"/>
  <c r="E137" i="16"/>
  <c r="I137" i="16"/>
  <c r="G137" i="16"/>
  <c r="G176" i="16"/>
  <c r="E176" i="16"/>
  <c r="I176" i="16"/>
  <c r="F176" i="16"/>
  <c r="C176" i="16"/>
  <c r="F218" i="16"/>
  <c r="I218" i="16"/>
  <c r="C262" i="16"/>
  <c r="F386" i="16"/>
  <c r="E386" i="16"/>
  <c r="F262" i="13"/>
  <c r="D262" i="16" s="1"/>
  <c r="J16" i="14"/>
  <c r="I16" i="14"/>
  <c r="J269" i="14"/>
  <c r="I269" i="14"/>
  <c r="J276" i="14"/>
  <c r="I276" i="14"/>
  <c r="I50" i="16"/>
  <c r="G50" i="16"/>
  <c r="F50" i="16"/>
  <c r="E50" i="16"/>
  <c r="C137" i="16"/>
  <c r="E169" i="16"/>
  <c r="F169" i="16"/>
  <c r="E218" i="16"/>
  <c r="G262" i="16"/>
  <c r="C386" i="16"/>
  <c r="H73" i="16"/>
  <c r="B428" i="16"/>
  <c r="F428" i="13"/>
  <c r="D428" i="16" s="1"/>
  <c r="J110" i="14"/>
  <c r="I110" i="14"/>
  <c r="J151" i="14"/>
  <c r="I151" i="14"/>
  <c r="J236" i="14"/>
  <c r="I236" i="14"/>
  <c r="J376" i="14"/>
  <c r="I376" i="14"/>
  <c r="G218" i="16"/>
  <c r="B150" i="16"/>
  <c r="F150" i="13"/>
  <c r="D150" i="16" s="1"/>
  <c r="I266" i="14"/>
  <c r="J266" i="14"/>
  <c r="J476" i="14"/>
  <c r="I476" i="14"/>
  <c r="E44" i="16"/>
  <c r="C44" i="16"/>
  <c r="I44" i="16"/>
  <c r="G171" i="16"/>
  <c r="I171" i="16"/>
  <c r="F171" i="16"/>
  <c r="E171" i="16"/>
  <c r="B176" i="16"/>
  <c r="F176" i="13"/>
  <c r="D176" i="16" s="1"/>
  <c r="B258" i="16"/>
  <c r="F258" i="13"/>
  <c r="D258" i="16" s="1"/>
  <c r="I122" i="14"/>
  <c r="J122" i="14"/>
  <c r="J216" i="14"/>
  <c r="I216" i="14"/>
  <c r="J244" i="14"/>
  <c r="I244" i="14"/>
  <c r="I296" i="14"/>
  <c r="J296" i="14"/>
  <c r="J309" i="14"/>
  <c r="I309" i="14"/>
  <c r="F193" i="16"/>
  <c r="E193" i="16"/>
  <c r="I193" i="16"/>
  <c r="G193" i="16"/>
  <c r="C193" i="16"/>
  <c r="F166" i="13"/>
  <c r="D166" i="16" s="1"/>
  <c r="F253" i="13"/>
  <c r="D253" i="16" s="1"/>
  <c r="B352" i="16"/>
  <c r="F352" i="13"/>
  <c r="D352" i="16" s="1"/>
  <c r="B388" i="16"/>
  <c r="F388" i="13"/>
  <c r="D388" i="16" s="1"/>
  <c r="I25" i="14"/>
  <c r="J25" i="14"/>
  <c r="I394" i="14"/>
  <c r="J394" i="14"/>
  <c r="F126" i="16"/>
  <c r="I126" i="16"/>
  <c r="G126" i="16"/>
  <c r="E126" i="16"/>
  <c r="F159" i="16"/>
  <c r="I159" i="16"/>
  <c r="G159" i="16"/>
  <c r="E159" i="16"/>
  <c r="E358" i="16"/>
  <c r="C358" i="16"/>
  <c r="F321" i="13"/>
  <c r="D321" i="16" s="1"/>
  <c r="J148" i="14"/>
  <c r="I148" i="14"/>
  <c r="J159" i="14"/>
  <c r="I159" i="14"/>
  <c r="J263" i="14"/>
  <c r="I263" i="14"/>
  <c r="J404" i="14"/>
  <c r="I404" i="14"/>
  <c r="G88" i="16"/>
  <c r="G102" i="16"/>
  <c r="C126" i="16"/>
  <c r="E211" i="16"/>
  <c r="I211" i="16"/>
  <c r="G211" i="16"/>
  <c r="I348" i="16"/>
  <c r="C348" i="16"/>
  <c r="D29" i="16"/>
  <c r="J119" i="14"/>
  <c r="I119" i="14"/>
  <c r="J141" i="14"/>
  <c r="I141" i="14"/>
  <c r="J293" i="14"/>
  <c r="I293" i="14"/>
  <c r="B9" i="16"/>
  <c r="C9" i="16"/>
  <c r="E9" i="16"/>
  <c r="E59" i="16"/>
  <c r="F59" i="16"/>
  <c r="C59" i="16"/>
  <c r="G154" i="16"/>
  <c r="E154" i="16"/>
  <c r="C211" i="16"/>
  <c r="E348" i="16"/>
  <c r="D121" i="16"/>
  <c r="B182" i="16"/>
  <c r="F182" i="13"/>
  <c r="D182" i="16" s="1"/>
  <c r="J391" i="14"/>
  <c r="I391" i="14"/>
  <c r="F60" i="16"/>
  <c r="E60" i="16"/>
  <c r="G205" i="16"/>
  <c r="I205" i="16"/>
  <c r="C205" i="16"/>
  <c r="F211" i="16"/>
  <c r="I340" i="16"/>
  <c r="G340" i="16"/>
  <c r="F340" i="16"/>
  <c r="B358" i="16"/>
  <c r="F358" i="13"/>
  <c r="D358" i="16" s="1"/>
  <c r="F384" i="13"/>
  <c r="D384" i="16" s="1"/>
  <c r="F389" i="13"/>
  <c r="J79" i="14"/>
  <c r="I79" i="14"/>
  <c r="C60" i="16"/>
  <c r="J82" i="16"/>
  <c r="C187" i="16"/>
  <c r="I187" i="16"/>
  <c r="E187" i="16"/>
  <c r="E205" i="16"/>
  <c r="C340" i="16"/>
  <c r="B114" i="16"/>
  <c r="D205" i="16"/>
  <c r="B482" i="16"/>
  <c r="J456" i="14"/>
  <c r="I456" i="14"/>
  <c r="F77" i="16"/>
  <c r="G77" i="16"/>
  <c r="F103" i="16"/>
  <c r="E103" i="16"/>
  <c r="E142" i="16"/>
  <c r="I142" i="16"/>
  <c r="C142" i="16"/>
  <c r="D114" i="16"/>
  <c r="F365" i="13"/>
  <c r="D365" i="16" s="1"/>
  <c r="F482" i="13"/>
  <c r="D482" i="16" s="1"/>
  <c r="I306" i="14"/>
  <c r="J306" i="14"/>
  <c r="D10" i="16"/>
  <c r="H10" i="16" s="1"/>
  <c r="K10" i="16" s="1"/>
  <c r="L10" i="16" s="1"/>
  <c r="G20" i="16"/>
  <c r="C20" i="16"/>
  <c r="F61" i="16"/>
  <c r="J61" i="16" s="1"/>
  <c r="C77" i="16"/>
  <c r="C103" i="16"/>
  <c r="F115" i="16"/>
  <c r="I115" i="16"/>
  <c r="F142" i="16"/>
  <c r="G300" i="16"/>
  <c r="C300" i="16"/>
  <c r="G367" i="16"/>
  <c r="F367" i="16"/>
  <c r="E367" i="16"/>
  <c r="C367" i="16"/>
  <c r="E453" i="16"/>
  <c r="C453" i="16"/>
  <c r="F459" i="16"/>
  <c r="I459" i="16"/>
  <c r="G459" i="16"/>
  <c r="J449" i="14"/>
  <c r="I449" i="14"/>
  <c r="I15" i="16"/>
  <c r="E15" i="16"/>
  <c r="J20" i="16"/>
  <c r="I188" i="16"/>
  <c r="G188" i="16"/>
  <c r="C282" i="16"/>
  <c r="G282" i="16"/>
  <c r="G351" i="16"/>
  <c r="F351" i="16"/>
  <c r="E351" i="16"/>
  <c r="C351" i="16"/>
  <c r="F453" i="16"/>
  <c r="C459" i="16"/>
  <c r="D36" i="16"/>
  <c r="F230" i="13"/>
  <c r="D230" i="16" s="1"/>
  <c r="F308" i="13"/>
  <c r="D308" i="16" s="1"/>
  <c r="B318" i="16"/>
  <c r="F453" i="13"/>
  <c r="I264" i="14"/>
  <c r="J264" i="14"/>
  <c r="C15" i="16"/>
  <c r="C41" i="16"/>
  <c r="E46" i="16"/>
  <c r="C46" i="16"/>
  <c r="C51" i="16"/>
  <c r="E56" i="16"/>
  <c r="C66" i="16"/>
  <c r="C104" i="16"/>
  <c r="C138" i="16"/>
  <c r="G138" i="16"/>
  <c r="C177" i="16"/>
  <c r="E177" i="16"/>
  <c r="J177" i="16" s="1"/>
  <c r="E188" i="16"/>
  <c r="E194" i="16"/>
  <c r="F194" i="16"/>
  <c r="I194" i="16"/>
  <c r="C194" i="16"/>
  <c r="J207" i="16"/>
  <c r="C241" i="16"/>
  <c r="E282" i="16"/>
  <c r="I294" i="16"/>
  <c r="C294" i="16"/>
  <c r="F300" i="16"/>
  <c r="I351" i="16"/>
  <c r="F405" i="16"/>
  <c r="G453" i="16"/>
  <c r="E459" i="16"/>
  <c r="F497" i="16"/>
  <c r="G497" i="16"/>
  <c r="G36" i="16"/>
  <c r="F150" i="16"/>
  <c r="G150" i="16"/>
  <c r="E150" i="16"/>
  <c r="C220" i="16"/>
  <c r="G220" i="16"/>
  <c r="E220" i="16"/>
  <c r="E241" i="16"/>
  <c r="G246" i="16"/>
  <c r="E246" i="16"/>
  <c r="C246" i="16"/>
  <c r="G321" i="16"/>
  <c r="I321" i="16"/>
  <c r="J321" i="16" s="1"/>
  <c r="F321" i="16"/>
  <c r="C321" i="16"/>
  <c r="C497" i="16"/>
  <c r="B76" i="16"/>
  <c r="D187" i="16"/>
  <c r="J90" i="14"/>
  <c r="I117" i="14"/>
  <c r="I126" i="14"/>
  <c r="I129" i="14"/>
  <c r="J162" i="14"/>
  <c r="I196" i="14"/>
  <c r="I199" i="14"/>
  <c r="J224" i="14"/>
  <c r="J267" i="14"/>
  <c r="I336" i="14"/>
  <c r="I339" i="14"/>
  <c r="I429" i="14"/>
  <c r="I490" i="14"/>
  <c r="J490" i="14"/>
  <c r="B18" i="1"/>
  <c r="G15" i="16"/>
  <c r="E36" i="16"/>
  <c r="G41" i="16"/>
  <c r="I51" i="16"/>
  <c r="F97" i="16"/>
  <c r="C105" i="16"/>
  <c r="C134" i="16"/>
  <c r="E139" i="16"/>
  <c r="F139" i="16"/>
  <c r="C150" i="16"/>
  <c r="C189" i="16"/>
  <c r="E201" i="16"/>
  <c r="F220" i="16"/>
  <c r="G231" i="16"/>
  <c r="G241" i="16"/>
  <c r="F246" i="16"/>
  <c r="I282" i="16"/>
  <c r="I289" i="16"/>
  <c r="G301" i="16"/>
  <c r="E321" i="16"/>
  <c r="I392" i="16"/>
  <c r="F392" i="16"/>
  <c r="E392" i="16"/>
  <c r="C392" i="16"/>
  <c r="C442" i="16"/>
  <c r="G448" i="16"/>
  <c r="F448" i="16"/>
  <c r="I448" i="16"/>
  <c r="E448" i="16"/>
  <c r="E497" i="16"/>
  <c r="B10" i="1"/>
  <c r="F32" i="13"/>
  <c r="D32" i="16" s="1"/>
  <c r="F164" i="13"/>
  <c r="D164" i="16" s="1"/>
  <c r="H164" i="16" s="1"/>
  <c r="F173" i="13"/>
  <c r="D173" i="16" s="1"/>
  <c r="F289" i="13"/>
  <c r="D289" i="16" s="1"/>
  <c r="F338" i="13"/>
  <c r="D338" i="16" s="1"/>
  <c r="F401" i="13"/>
  <c r="D401" i="16" s="1"/>
  <c r="I23" i="14"/>
  <c r="J26" i="14"/>
  <c r="I56" i="14"/>
  <c r="J97" i="14"/>
  <c r="I139" i="14"/>
  <c r="J152" i="14"/>
  <c r="J180" i="14"/>
  <c r="I180" i="14"/>
  <c r="I190" i="14"/>
  <c r="I310" i="14"/>
  <c r="J443" i="14"/>
  <c r="I467" i="14"/>
  <c r="J500" i="14"/>
  <c r="F36" i="16"/>
  <c r="I41" i="16"/>
  <c r="J41" i="16" s="1"/>
  <c r="I46" i="16"/>
  <c r="G52" i="16"/>
  <c r="E52" i="16"/>
  <c r="C62" i="16"/>
  <c r="E68" i="16"/>
  <c r="I68" i="16"/>
  <c r="J68" i="16" s="1"/>
  <c r="E105" i="16"/>
  <c r="C139" i="16"/>
  <c r="I150" i="16"/>
  <c r="E189" i="16"/>
  <c r="F201" i="16"/>
  <c r="C214" i="16"/>
  <c r="I214" i="16"/>
  <c r="F214" i="16"/>
  <c r="I220" i="16"/>
  <c r="I241" i="16"/>
  <c r="I246" i="16"/>
  <c r="F260" i="16"/>
  <c r="C260" i="16"/>
  <c r="G379" i="16"/>
  <c r="E379" i="16"/>
  <c r="E421" i="16"/>
  <c r="G421" i="16"/>
  <c r="F421" i="16"/>
  <c r="C421" i="16"/>
  <c r="E442" i="16"/>
  <c r="F13" i="13"/>
  <c r="F42" i="13"/>
  <c r="B42" i="16"/>
  <c r="F130" i="13"/>
  <c r="B154" i="16"/>
  <c r="F197" i="13"/>
  <c r="F260" i="13"/>
  <c r="D260" i="16" s="1"/>
  <c r="F294" i="13"/>
  <c r="F309" i="13"/>
  <c r="B348" i="16"/>
  <c r="B16" i="1"/>
  <c r="I258" i="14"/>
  <c r="J258" i="14"/>
  <c r="C11" i="16"/>
  <c r="E22" i="16"/>
  <c r="I36" i="16"/>
  <c r="F52" i="16"/>
  <c r="E62" i="16"/>
  <c r="F68" i="16"/>
  <c r="F105" i="16"/>
  <c r="I139" i="16"/>
  <c r="G201" i="16"/>
  <c r="E214" i="16"/>
  <c r="E260" i="16"/>
  <c r="E277" i="16"/>
  <c r="G277" i="16"/>
  <c r="F277" i="16"/>
  <c r="G291" i="16"/>
  <c r="C291" i="16"/>
  <c r="F295" i="16"/>
  <c r="I329" i="16"/>
  <c r="F329" i="16"/>
  <c r="E329" i="16"/>
  <c r="F343" i="16"/>
  <c r="E343" i="16"/>
  <c r="C374" i="16"/>
  <c r="G380" i="16"/>
  <c r="F380" i="16"/>
  <c r="F18" i="13"/>
  <c r="B92" i="16"/>
  <c r="F140" i="13"/>
  <c r="D140" i="16" s="1"/>
  <c r="D169" i="16"/>
  <c r="D193" i="16"/>
  <c r="F246" i="13"/>
  <c r="D246" i="16" s="1"/>
  <c r="H246" i="16" s="1"/>
  <c r="F324" i="13"/>
  <c r="D324" i="16" s="1"/>
  <c r="F348" i="13"/>
  <c r="D348" i="16" s="1"/>
  <c r="F372" i="13"/>
  <c r="D372" i="16" s="1"/>
  <c r="F421" i="13"/>
  <c r="D421" i="16" s="1"/>
  <c r="F494" i="13"/>
  <c r="I17" i="14"/>
  <c r="I20" i="14"/>
  <c r="I40" i="14"/>
  <c r="I94" i="14"/>
  <c r="I101" i="14"/>
  <c r="J149" i="14"/>
  <c r="J207" i="14"/>
  <c r="I261" i="14"/>
  <c r="J274" i="14"/>
  <c r="I277" i="14"/>
  <c r="J314" i="14"/>
  <c r="I317" i="14"/>
  <c r="I320" i="14"/>
  <c r="I353" i="14"/>
  <c r="J356" i="14"/>
  <c r="J426" i="14"/>
  <c r="J440" i="14"/>
  <c r="I497" i="14"/>
  <c r="F11" i="16"/>
  <c r="F62" i="16"/>
  <c r="G68" i="16"/>
  <c r="J78" i="16"/>
  <c r="F86" i="16"/>
  <c r="E86" i="16"/>
  <c r="G105" i="16"/>
  <c r="I140" i="16"/>
  <c r="G140" i="16"/>
  <c r="C151" i="16"/>
  <c r="J173" i="16"/>
  <c r="G214" i="16"/>
  <c r="J228" i="16"/>
  <c r="G260" i="16"/>
  <c r="I267" i="16"/>
  <c r="J267" i="16" s="1"/>
  <c r="G267" i="16"/>
  <c r="C277" i="16"/>
  <c r="E291" i="16"/>
  <c r="C303" i="16"/>
  <c r="I303" i="16"/>
  <c r="C322" i="16"/>
  <c r="C329" i="16"/>
  <c r="E374" i="16"/>
  <c r="G408" i="16"/>
  <c r="C408" i="16"/>
  <c r="C468" i="16"/>
  <c r="D102" i="16"/>
  <c r="B121" i="16"/>
  <c r="B126" i="16"/>
  <c r="B305" i="16"/>
  <c r="I434" i="14"/>
  <c r="J434" i="14"/>
  <c r="I62" i="16"/>
  <c r="E209" i="16"/>
  <c r="F209" i="16"/>
  <c r="E338" i="16"/>
  <c r="G338" i="16"/>
  <c r="C338" i="16"/>
  <c r="E468" i="16"/>
  <c r="D412" i="16"/>
  <c r="J427" i="14"/>
  <c r="I427" i="14"/>
  <c r="E75" i="16"/>
  <c r="G87" i="16"/>
  <c r="C87" i="16"/>
  <c r="G224" i="16"/>
  <c r="I224" i="16"/>
  <c r="F310" i="16"/>
  <c r="C310" i="16"/>
  <c r="I355" i="16"/>
  <c r="G355" i="16"/>
  <c r="F355" i="16"/>
  <c r="E355" i="16"/>
  <c r="C355" i="16"/>
  <c r="F410" i="16"/>
  <c r="E410" i="16"/>
  <c r="B88" i="16"/>
  <c r="I18" i="14"/>
  <c r="J18" i="14"/>
  <c r="J2" i="16"/>
  <c r="E43" i="16"/>
  <c r="F43" i="16"/>
  <c r="E54" i="16"/>
  <c r="C70" i="16"/>
  <c r="C75" i="16"/>
  <c r="E87" i="16"/>
  <c r="F108" i="16"/>
  <c r="I108" i="16"/>
  <c r="C113" i="16"/>
  <c r="I181" i="16"/>
  <c r="F181" i="16"/>
  <c r="G197" i="16"/>
  <c r="E197" i="16"/>
  <c r="G209" i="16"/>
  <c r="C224" i="16"/>
  <c r="E243" i="16"/>
  <c r="E310" i="16"/>
  <c r="I338" i="16"/>
  <c r="G356" i="16"/>
  <c r="E356" i="16"/>
  <c r="C356" i="16"/>
  <c r="C394" i="16"/>
  <c r="G410" i="16"/>
  <c r="F88" i="13"/>
  <c r="D88" i="16" s="1"/>
  <c r="F93" i="13"/>
  <c r="F194" i="13"/>
  <c r="D194" i="16" s="1"/>
  <c r="F266" i="13"/>
  <c r="F325" i="13"/>
  <c r="B340" i="16"/>
  <c r="F446" i="13"/>
  <c r="B14" i="1"/>
  <c r="J24" i="14"/>
  <c r="I54" i="14"/>
  <c r="J78" i="14"/>
  <c r="I178" i="14"/>
  <c r="J178" i="14"/>
  <c r="J222" i="14"/>
  <c r="C43" i="16"/>
  <c r="E70" i="16"/>
  <c r="F75" i="16"/>
  <c r="I87" i="16"/>
  <c r="I94" i="16"/>
  <c r="J94" i="16" s="1"/>
  <c r="G94" i="16"/>
  <c r="G101" i="16"/>
  <c r="C101" i="16"/>
  <c r="C108" i="16"/>
  <c r="F113" i="16"/>
  <c r="I131" i="16"/>
  <c r="E131" i="16"/>
  <c r="E147" i="16"/>
  <c r="F147" i="16"/>
  <c r="C181" i="16"/>
  <c r="C197" i="16"/>
  <c r="E224" i="16"/>
  <c r="E311" i="16"/>
  <c r="F311" i="16"/>
  <c r="I347" i="16"/>
  <c r="G347" i="16"/>
  <c r="E347" i="16"/>
  <c r="F356" i="16"/>
  <c r="I410" i="16"/>
  <c r="J488" i="16"/>
  <c r="B23" i="16"/>
  <c r="E478" i="16"/>
  <c r="C478" i="16"/>
  <c r="F122" i="16"/>
  <c r="E166" i="16"/>
  <c r="J183" i="16"/>
  <c r="G208" i="16"/>
  <c r="C219" i="16"/>
  <c r="E258" i="16"/>
  <c r="I258" i="16"/>
  <c r="E274" i="16"/>
  <c r="J274" i="16" s="1"/>
  <c r="C283" i="16"/>
  <c r="E309" i="16"/>
  <c r="C341" i="16"/>
  <c r="C354" i="16"/>
  <c r="I359" i="16"/>
  <c r="G359" i="16"/>
  <c r="C365" i="16"/>
  <c r="J391" i="16"/>
  <c r="I401" i="16"/>
  <c r="G401" i="16"/>
  <c r="G406" i="16"/>
  <c r="C428" i="16"/>
  <c r="F478" i="16"/>
  <c r="E489" i="16"/>
  <c r="J489" i="16" s="1"/>
  <c r="C489" i="16"/>
  <c r="F341" i="16"/>
  <c r="E359" i="16"/>
  <c r="C397" i="16"/>
  <c r="E401" i="16"/>
  <c r="E413" i="16"/>
  <c r="F417" i="16"/>
  <c r="F428" i="16"/>
  <c r="C432" i="16"/>
  <c r="F439" i="16"/>
  <c r="E445" i="16"/>
  <c r="J445" i="16" s="1"/>
  <c r="C445" i="16"/>
  <c r="C449" i="16"/>
  <c r="C460" i="16"/>
  <c r="C465" i="16"/>
  <c r="F475" i="16"/>
  <c r="E475" i="16"/>
  <c r="I478" i="16"/>
  <c r="G489" i="16"/>
  <c r="E494" i="16"/>
  <c r="J494" i="16" s="1"/>
  <c r="J156" i="16"/>
  <c r="E237" i="16"/>
  <c r="F397" i="16"/>
  <c r="J397" i="16" s="1"/>
  <c r="I429" i="16"/>
  <c r="G429" i="16"/>
  <c r="G432" i="16"/>
  <c r="I460" i="16"/>
  <c r="F465" i="16"/>
  <c r="J465" i="16" s="1"/>
  <c r="G494" i="16"/>
  <c r="E500" i="16"/>
  <c r="G397" i="16"/>
  <c r="G461" i="16"/>
  <c r="F461" i="16"/>
  <c r="G465" i="16"/>
  <c r="G500" i="16"/>
  <c r="D327" i="16"/>
  <c r="H332" i="16"/>
  <c r="B356" i="16"/>
  <c r="B385" i="16"/>
  <c r="I290" i="14"/>
  <c r="J290" i="14"/>
  <c r="F152" i="16"/>
  <c r="J152" i="16" s="1"/>
  <c r="E167" i="16"/>
  <c r="E185" i="16"/>
  <c r="E230" i="16"/>
  <c r="J230" i="16" s="1"/>
  <c r="I237" i="16"/>
  <c r="F270" i="16"/>
  <c r="H270" i="16" s="1"/>
  <c r="K270" i="16" s="1"/>
  <c r="L270" i="16" s="1"/>
  <c r="I324" i="16"/>
  <c r="J324" i="16" s="1"/>
  <c r="C384" i="16"/>
  <c r="C414" i="16"/>
  <c r="C418" i="16"/>
  <c r="E429" i="16"/>
  <c r="C461" i="16"/>
  <c r="E476" i="16"/>
  <c r="G495" i="16"/>
  <c r="I495" i="16"/>
  <c r="J372" i="16"/>
  <c r="G384" i="16"/>
  <c r="H384" i="16" s="1"/>
  <c r="F414" i="16"/>
  <c r="J414" i="16" s="1"/>
  <c r="F418" i="16"/>
  <c r="J418" i="16" s="1"/>
  <c r="I461" i="16"/>
  <c r="I476" i="16"/>
  <c r="J476" i="16" s="1"/>
  <c r="F481" i="16"/>
  <c r="H481" i="16" s="1"/>
  <c r="K481" i="16" s="1"/>
  <c r="L481" i="16" s="1"/>
  <c r="F491" i="16"/>
  <c r="H491" i="16" s="1"/>
  <c r="K491" i="16" s="1"/>
  <c r="L491" i="16" s="1"/>
  <c r="E495" i="16"/>
  <c r="H2" i="16"/>
  <c r="K2" i="16" s="1"/>
  <c r="L2" i="16" s="1"/>
  <c r="J4" i="16"/>
  <c r="C136" i="16"/>
  <c r="F136" i="16"/>
  <c r="J245" i="16"/>
  <c r="C317" i="16"/>
  <c r="I384" i="16"/>
  <c r="J384" i="16" s="1"/>
  <c r="J434" i="16"/>
  <c r="G446" i="16"/>
  <c r="F458" i="16"/>
  <c r="E458" i="16"/>
  <c r="F495" i="16"/>
  <c r="J30" i="16"/>
  <c r="H300" i="16"/>
  <c r="K300" i="16" s="1"/>
  <c r="H68" i="16"/>
  <c r="K68" i="16" s="1"/>
  <c r="L68" i="16" s="1"/>
  <c r="H36" i="16"/>
  <c r="K36" i="16" s="1"/>
  <c r="L36" i="16" s="1"/>
  <c r="H241" i="16"/>
  <c r="K241" i="16" s="1"/>
  <c r="L241" i="16" s="1"/>
  <c r="H497" i="16"/>
  <c r="K497" i="16" s="1"/>
  <c r="L497" i="16" s="1"/>
  <c r="H29" i="16"/>
  <c r="K29" i="16" s="1"/>
  <c r="L29" i="16" s="1"/>
  <c r="H57" i="16"/>
  <c r="K57" i="16" s="1"/>
  <c r="L57" i="16" s="1"/>
  <c r="H193" i="16"/>
  <c r="K193" i="16" s="1"/>
  <c r="L193" i="16" s="1"/>
  <c r="H256" i="16"/>
  <c r="K256" i="16" s="1"/>
  <c r="L256" i="16" s="1"/>
  <c r="B115" i="16"/>
  <c r="F115" i="13"/>
  <c r="D115" i="16" s="1"/>
  <c r="H150" i="16"/>
  <c r="K150" i="16" s="1"/>
  <c r="L150" i="16" s="1"/>
  <c r="H173" i="16"/>
  <c r="K173" i="16" s="1"/>
  <c r="L173" i="16" s="1"/>
  <c r="H276" i="16"/>
  <c r="K276" i="16" s="1"/>
  <c r="L276" i="16" s="1"/>
  <c r="B447" i="16"/>
  <c r="F447" i="13"/>
  <c r="I85" i="14"/>
  <c r="J85" i="14"/>
  <c r="I88" i="14"/>
  <c r="J88" i="14"/>
  <c r="J184" i="14"/>
  <c r="I184" i="14"/>
  <c r="J259" i="14"/>
  <c r="I259" i="14"/>
  <c r="J383" i="14"/>
  <c r="I383" i="14"/>
  <c r="J451" i="14"/>
  <c r="I451" i="14"/>
  <c r="I458" i="14"/>
  <c r="J458" i="14"/>
  <c r="F38" i="13"/>
  <c r="B38" i="16"/>
  <c r="B70" i="16"/>
  <c r="F70" i="13"/>
  <c r="D70" i="16" s="1"/>
  <c r="B111" i="16"/>
  <c r="F111" i="13"/>
  <c r="F160" i="13"/>
  <c r="D160" i="16" s="1"/>
  <c r="F254" i="13"/>
  <c r="D254" i="16" s="1"/>
  <c r="B281" i="16"/>
  <c r="F281" i="13"/>
  <c r="D281" i="16" s="1"/>
  <c r="F465" i="13"/>
  <c r="D465" i="16" s="1"/>
  <c r="I136" i="14"/>
  <c r="J136" i="14"/>
  <c r="J256" i="14"/>
  <c r="I256" i="14"/>
  <c r="J319" i="14"/>
  <c r="I319" i="14"/>
  <c r="I322" i="14"/>
  <c r="J322" i="14"/>
  <c r="I354" i="14"/>
  <c r="J354" i="14"/>
  <c r="I367" i="14"/>
  <c r="J367" i="14"/>
  <c r="J432" i="14"/>
  <c r="I432" i="14"/>
  <c r="B43" i="16"/>
  <c r="F43" i="13"/>
  <c r="D43" i="16" s="1"/>
  <c r="H61" i="16"/>
  <c r="K61" i="16" s="1"/>
  <c r="L61" i="16" s="1"/>
  <c r="B75" i="16"/>
  <c r="F75" i="13"/>
  <c r="D75" i="16" s="1"/>
  <c r="F107" i="13"/>
  <c r="B107" i="16"/>
  <c r="H142" i="16"/>
  <c r="K142" i="16" s="1"/>
  <c r="L142" i="16" s="1"/>
  <c r="H182" i="16"/>
  <c r="K182" i="16" s="1"/>
  <c r="L182" i="16" s="1"/>
  <c r="H245" i="16"/>
  <c r="K245" i="16" s="1"/>
  <c r="L245" i="16" s="1"/>
  <c r="H308" i="16"/>
  <c r="K308" i="16" s="1"/>
  <c r="L308" i="16" s="1"/>
  <c r="B371" i="16"/>
  <c r="F371" i="13"/>
  <c r="D371" i="16" s="1"/>
  <c r="B425" i="16"/>
  <c r="F425" i="13"/>
  <c r="B461" i="16"/>
  <c r="F461" i="13"/>
  <c r="D461" i="16" s="1"/>
  <c r="I82" i="14"/>
  <c r="J82" i="14"/>
  <c r="J133" i="14"/>
  <c r="I133" i="14"/>
  <c r="J188" i="14"/>
  <c r="I188" i="14"/>
  <c r="J239" i="14"/>
  <c r="I239" i="14"/>
  <c r="J364" i="14"/>
  <c r="I364" i="14"/>
  <c r="B102" i="16"/>
  <c r="F16" i="13"/>
  <c r="D16" i="16" s="1"/>
  <c r="F151" i="13"/>
  <c r="B151" i="16"/>
  <c r="F156" i="13"/>
  <c r="D156" i="16" s="1"/>
  <c r="B219" i="16"/>
  <c r="F219" i="13"/>
  <c r="D219" i="16" s="1"/>
  <c r="F304" i="13"/>
  <c r="D304" i="16" s="1"/>
  <c r="F349" i="13"/>
  <c r="H367" i="16"/>
  <c r="K367" i="16" s="1"/>
  <c r="L367" i="16" s="1"/>
  <c r="B407" i="16"/>
  <c r="F407" i="13"/>
  <c r="J70" i="14"/>
  <c r="I70" i="14"/>
  <c r="I76" i="14"/>
  <c r="J114" i="14"/>
  <c r="J124" i="14"/>
  <c r="I124" i="14"/>
  <c r="I168" i="14"/>
  <c r="J172" i="14"/>
  <c r="I172" i="14"/>
  <c r="I175" i="14"/>
  <c r="J223" i="14"/>
  <c r="I351" i="14"/>
  <c r="J351" i="14"/>
  <c r="I357" i="14"/>
  <c r="J409" i="14"/>
  <c r="I409" i="14"/>
  <c r="J422" i="14"/>
  <c r="J436" i="14"/>
  <c r="I436" i="14"/>
  <c r="J501" i="14"/>
  <c r="I501" i="14"/>
  <c r="I49" i="16"/>
  <c r="E49" i="16"/>
  <c r="D49" i="16"/>
  <c r="C49" i="16"/>
  <c r="B49" i="16"/>
  <c r="F25" i="13"/>
  <c r="D25" i="16" s="1"/>
  <c r="F89" i="13"/>
  <c r="D89" i="16" s="1"/>
  <c r="F138" i="13"/>
  <c r="B147" i="16"/>
  <c r="F147" i="13"/>
  <c r="D147" i="16" s="1"/>
  <c r="F174" i="13"/>
  <c r="D174" i="16" s="1"/>
  <c r="F228" i="13"/>
  <c r="D228" i="16" s="1"/>
  <c r="H228" i="16" s="1"/>
  <c r="F237" i="13"/>
  <c r="D237" i="16" s="1"/>
  <c r="B291" i="16"/>
  <c r="F291" i="13"/>
  <c r="D291" i="16" s="1"/>
  <c r="F385" i="13"/>
  <c r="D385" i="16" s="1"/>
  <c r="F394" i="13"/>
  <c r="D394" i="16" s="1"/>
  <c r="B403" i="16"/>
  <c r="F403" i="13"/>
  <c r="D403" i="16" s="1"/>
  <c r="F430" i="13"/>
  <c r="F448" i="13"/>
  <c r="D448" i="16" s="1"/>
  <c r="I33" i="14"/>
  <c r="I64" i="14"/>
  <c r="I67" i="14"/>
  <c r="I73" i="14"/>
  <c r="J95" i="14"/>
  <c r="I95" i="14"/>
  <c r="I181" i="14"/>
  <c r="J220" i="14"/>
  <c r="F49" i="16"/>
  <c r="D98" i="16"/>
  <c r="I98" i="16"/>
  <c r="F98" i="16"/>
  <c r="G98" i="16"/>
  <c r="B30" i="16"/>
  <c r="F30" i="13"/>
  <c r="D30" i="16" s="1"/>
  <c r="B62" i="16"/>
  <c r="F62" i="13"/>
  <c r="D62" i="16" s="1"/>
  <c r="B94" i="16"/>
  <c r="F94" i="13"/>
  <c r="D94" i="16" s="1"/>
  <c r="B188" i="16"/>
  <c r="F188" i="13"/>
  <c r="D188" i="16" s="1"/>
  <c r="F210" i="13"/>
  <c r="D210" i="16" s="1"/>
  <c r="F224" i="13"/>
  <c r="D224" i="16" s="1"/>
  <c r="B264" i="16"/>
  <c r="F264" i="13"/>
  <c r="D264" i="16" s="1"/>
  <c r="F273" i="13"/>
  <c r="H287" i="16"/>
  <c r="K287" i="16" s="1"/>
  <c r="L287" i="16" s="1"/>
  <c r="F318" i="13"/>
  <c r="D318" i="16" s="1"/>
  <c r="F354" i="13"/>
  <c r="B399" i="16"/>
  <c r="F399" i="13"/>
  <c r="D399" i="16" s="1"/>
  <c r="H417" i="16"/>
  <c r="K417" i="16" s="1"/>
  <c r="L417" i="16" s="1"/>
  <c r="B426" i="16"/>
  <c r="F426" i="13"/>
  <c r="F466" i="13"/>
  <c r="F480" i="13"/>
  <c r="F493" i="13"/>
  <c r="D493" i="16" s="1"/>
  <c r="J15" i="14"/>
  <c r="I52" i="14"/>
  <c r="I115" i="14"/>
  <c r="J115" i="14"/>
  <c r="J217" i="14"/>
  <c r="J288" i="14"/>
  <c r="I288" i="14"/>
  <c r="I348" i="14"/>
  <c r="J348" i="14"/>
  <c r="J419" i="14"/>
  <c r="J433" i="14"/>
  <c r="I433" i="14"/>
  <c r="G49" i="16"/>
  <c r="B98" i="16"/>
  <c r="F21" i="13"/>
  <c r="D21" i="16" s="1"/>
  <c r="B35" i="16"/>
  <c r="F35" i="13"/>
  <c r="D35" i="16" s="1"/>
  <c r="F76" i="13"/>
  <c r="F85" i="13"/>
  <c r="D85" i="16" s="1"/>
  <c r="F108" i="13"/>
  <c r="D108" i="16" s="1"/>
  <c r="H152" i="16"/>
  <c r="K152" i="16" s="1"/>
  <c r="L152" i="16" s="1"/>
  <c r="B251" i="16"/>
  <c r="F251" i="13"/>
  <c r="D251" i="16" s="1"/>
  <c r="B269" i="16"/>
  <c r="F269" i="13"/>
  <c r="H372" i="16"/>
  <c r="B489" i="16"/>
  <c r="F489" i="13"/>
  <c r="D489" i="16" s="1"/>
  <c r="I37" i="14"/>
  <c r="J49" i="14"/>
  <c r="J58" i="14"/>
  <c r="I74" i="14"/>
  <c r="J74" i="14"/>
  <c r="J99" i="14"/>
  <c r="I99" i="14"/>
  <c r="I111" i="14"/>
  <c r="I146" i="14"/>
  <c r="J146" i="14"/>
  <c r="J169" i="14"/>
  <c r="I169" i="14"/>
  <c r="I214" i="14"/>
  <c r="I282" i="14"/>
  <c r="J282" i="14"/>
  <c r="J292" i="14"/>
  <c r="I292" i="14"/>
  <c r="J326" i="14"/>
  <c r="I326" i="14"/>
  <c r="J332" i="14"/>
  <c r="I498" i="14"/>
  <c r="J498" i="14"/>
  <c r="C98" i="16"/>
  <c r="I129" i="16"/>
  <c r="G129" i="16"/>
  <c r="F129" i="16"/>
  <c r="E129" i="16"/>
  <c r="D129" i="16"/>
  <c r="C129" i="16"/>
  <c r="B129" i="16"/>
  <c r="F139" i="13"/>
  <c r="D139" i="16" s="1"/>
  <c r="B139" i="16"/>
  <c r="F220" i="13"/>
  <c r="D220" i="16" s="1"/>
  <c r="F305" i="13"/>
  <c r="B314" i="16"/>
  <c r="F314" i="13"/>
  <c r="D314" i="16" s="1"/>
  <c r="B323" i="16"/>
  <c r="F323" i="13"/>
  <c r="F390" i="13"/>
  <c r="D390" i="16" s="1"/>
  <c r="F413" i="13"/>
  <c r="D413" i="16" s="1"/>
  <c r="B431" i="16"/>
  <c r="F431" i="13"/>
  <c r="D431" i="16" s="1"/>
  <c r="B471" i="16"/>
  <c r="F471" i="13"/>
  <c r="D471" i="16" s="1"/>
  <c r="F476" i="13"/>
  <c r="D476" i="16" s="1"/>
  <c r="H476" i="16" s="1"/>
  <c r="I46" i="14"/>
  <c r="J71" i="14"/>
  <c r="I71" i="14"/>
  <c r="I86" i="14"/>
  <c r="I89" i="14"/>
  <c r="J163" i="14"/>
  <c r="I163" i="14"/>
  <c r="J185" i="14"/>
  <c r="I211" i="14"/>
  <c r="I218" i="14"/>
  <c r="J218" i="14"/>
  <c r="J329" i="14"/>
  <c r="J342" i="14"/>
  <c r="I342" i="14"/>
  <c r="I406" i="14"/>
  <c r="J420" i="14"/>
  <c r="I420" i="14"/>
  <c r="D31" i="16"/>
  <c r="C31" i="16"/>
  <c r="E31" i="16"/>
  <c r="I31" i="16"/>
  <c r="G31" i="16"/>
  <c r="E98" i="16"/>
  <c r="B19" i="1"/>
  <c r="B95" i="16"/>
  <c r="F95" i="13"/>
  <c r="D95" i="16" s="1"/>
  <c r="H166" i="16"/>
  <c r="K166" i="16" s="1"/>
  <c r="L166" i="16" s="1"/>
  <c r="B211" i="16"/>
  <c r="F211" i="13"/>
  <c r="D211" i="16" s="1"/>
  <c r="F292" i="13"/>
  <c r="D292" i="16" s="1"/>
  <c r="B355" i="16"/>
  <c r="F355" i="13"/>
  <c r="D355" i="16" s="1"/>
  <c r="F386" i="13"/>
  <c r="D386" i="16" s="1"/>
  <c r="F449" i="13"/>
  <c r="D449" i="16" s="1"/>
  <c r="F458" i="13"/>
  <c r="D458" i="16" s="1"/>
  <c r="B467" i="16"/>
  <c r="F467" i="13"/>
  <c r="I77" i="14"/>
  <c r="J96" i="14"/>
  <c r="I96" i="14"/>
  <c r="I143" i="14"/>
  <c r="J166" i="14"/>
  <c r="J198" i="14"/>
  <c r="I198" i="14"/>
  <c r="J215" i="14"/>
  <c r="I215" i="14"/>
  <c r="I323" i="14"/>
  <c r="J333" i="14"/>
  <c r="I333" i="14"/>
  <c r="J463" i="14"/>
  <c r="I463" i="14"/>
  <c r="J492" i="14"/>
  <c r="I492" i="14"/>
  <c r="B31" i="16"/>
  <c r="B67" i="16"/>
  <c r="B22" i="16"/>
  <c r="F22" i="13"/>
  <c r="D22" i="16" s="1"/>
  <c r="B54" i="16"/>
  <c r="F54" i="13"/>
  <c r="D54" i="16" s="1"/>
  <c r="F113" i="13"/>
  <c r="D113" i="16" s="1"/>
  <c r="F126" i="13"/>
  <c r="D126" i="16" s="1"/>
  <c r="F189" i="13"/>
  <c r="D189" i="16" s="1"/>
  <c r="B207" i="16"/>
  <c r="F207" i="13"/>
  <c r="D207" i="16" s="1"/>
  <c r="F274" i="13"/>
  <c r="D274" i="16" s="1"/>
  <c r="H274" i="16" s="1"/>
  <c r="H351" i="16"/>
  <c r="K351" i="16" s="1"/>
  <c r="L351" i="16" s="1"/>
  <c r="F418" i="13"/>
  <c r="D418" i="16" s="1"/>
  <c r="F445" i="13"/>
  <c r="D445" i="16" s="1"/>
  <c r="B463" i="16"/>
  <c r="F463" i="13"/>
  <c r="D463" i="16" s="1"/>
  <c r="I83" i="14"/>
  <c r="J116" i="14"/>
  <c r="I116" i="14"/>
  <c r="J134" i="14"/>
  <c r="I192" i="14"/>
  <c r="J205" i="14"/>
  <c r="J289" i="14"/>
  <c r="I289" i="14"/>
  <c r="J414" i="14"/>
  <c r="I414" i="14"/>
  <c r="J446" i="14"/>
  <c r="I446" i="14"/>
  <c r="F31" i="16"/>
  <c r="E40" i="16"/>
  <c r="C40" i="16"/>
  <c r="I40" i="16"/>
  <c r="G40" i="16"/>
  <c r="F40" i="16"/>
  <c r="D63" i="16"/>
  <c r="C63" i="16"/>
  <c r="E63" i="16"/>
  <c r="I63" i="16"/>
  <c r="G63" i="16"/>
  <c r="F63" i="16"/>
  <c r="H121" i="16"/>
  <c r="K121" i="16" s="1"/>
  <c r="L121" i="16" s="1"/>
  <c r="F77" i="13"/>
  <c r="D77" i="16" s="1"/>
  <c r="H77" i="16" s="1"/>
  <c r="B333" i="16"/>
  <c r="F333" i="13"/>
  <c r="B414" i="16"/>
  <c r="F414" i="13"/>
  <c r="H472" i="16"/>
  <c r="I62" i="14"/>
  <c r="J100" i="14"/>
  <c r="I100" i="14"/>
  <c r="I160" i="14"/>
  <c r="J160" i="14"/>
  <c r="J212" i="14"/>
  <c r="I212" i="14"/>
  <c r="J241" i="14"/>
  <c r="I241" i="14"/>
  <c r="J410" i="14"/>
  <c r="J470" i="14"/>
  <c r="I470" i="14"/>
  <c r="J473" i="14"/>
  <c r="C5" i="16"/>
  <c r="G5" i="16"/>
  <c r="F5" i="16"/>
  <c r="E5" i="16"/>
  <c r="D5" i="16"/>
  <c r="B40" i="16"/>
  <c r="B63" i="16"/>
  <c r="B50" i="16"/>
  <c r="F50" i="13"/>
  <c r="D50" i="16" s="1"/>
  <c r="B82" i="16"/>
  <c r="F82" i="13"/>
  <c r="D82" i="16" s="1"/>
  <c r="B131" i="16"/>
  <c r="F131" i="13"/>
  <c r="D131" i="16" s="1"/>
  <c r="H176" i="16"/>
  <c r="K176" i="16" s="1"/>
  <c r="L176" i="16" s="1"/>
  <c r="F198" i="13"/>
  <c r="D198" i="16" s="1"/>
  <c r="F221" i="13"/>
  <c r="F306" i="13"/>
  <c r="H324" i="16"/>
  <c r="K324" i="16" s="1"/>
  <c r="L324" i="16" s="1"/>
  <c r="F360" i="13"/>
  <c r="F432" i="13"/>
  <c r="D432" i="16" s="1"/>
  <c r="B459" i="16"/>
  <c r="F459" i="13"/>
  <c r="D459" i="16" s="1"/>
  <c r="H459" i="16" s="1"/>
  <c r="F477" i="13"/>
  <c r="D477" i="16" s="1"/>
  <c r="I13" i="14"/>
  <c r="J22" i="14"/>
  <c r="J35" i="14"/>
  <c r="I35" i="14"/>
  <c r="I53" i="14"/>
  <c r="J157" i="14"/>
  <c r="I157" i="14"/>
  <c r="I308" i="14"/>
  <c r="J489" i="14"/>
  <c r="I489" i="14"/>
  <c r="B5" i="16"/>
  <c r="D40" i="16"/>
  <c r="H41" i="16"/>
  <c r="K41" i="16" s="1"/>
  <c r="L41" i="16" s="1"/>
  <c r="B55" i="16"/>
  <c r="F55" i="13"/>
  <c r="D55" i="16" s="1"/>
  <c r="B87" i="16"/>
  <c r="F87" i="13"/>
  <c r="D87" i="16" s="1"/>
  <c r="H105" i="16"/>
  <c r="K105" i="16" s="1"/>
  <c r="L105" i="16" s="1"/>
  <c r="H194" i="16"/>
  <c r="K194" i="16" s="1"/>
  <c r="L194" i="16" s="1"/>
  <c r="H230" i="16"/>
  <c r="H329" i="16"/>
  <c r="K329" i="16" s="1"/>
  <c r="L329" i="16" s="1"/>
  <c r="H356" i="16"/>
  <c r="H428" i="16"/>
  <c r="K428" i="16" s="1"/>
  <c r="L428" i="16" s="1"/>
  <c r="B495" i="16"/>
  <c r="F495" i="13"/>
  <c r="D495" i="16" s="1"/>
  <c r="J38" i="14"/>
  <c r="J47" i="14"/>
  <c r="I93" i="14"/>
  <c r="J113" i="14"/>
  <c r="I113" i="14"/>
  <c r="I154" i="14"/>
  <c r="J154" i="14"/>
  <c r="I183" i="14"/>
  <c r="J183" i="14"/>
  <c r="J209" i="14"/>
  <c r="I209" i="14"/>
  <c r="I312" i="14"/>
  <c r="J312" i="14"/>
  <c r="J373" i="14"/>
  <c r="I373" i="14"/>
  <c r="J395" i="14"/>
  <c r="I395" i="14"/>
  <c r="J398" i="14"/>
  <c r="I398" i="14"/>
  <c r="J401" i="14"/>
  <c r="I401" i="14"/>
  <c r="J457" i="14"/>
  <c r="I457" i="14"/>
  <c r="I474" i="14"/>
  <c r="J474" i="14"/>
  <c r="B86" i="16"/>
  <c r="B46" i="16"/>
  <c r="F46" i="13"/>
  <c r="D46" i="16" s="1"/>
  <c r="B78" i="16"/>
  <c r="F78" i="13"/>
  <c r="D78" i="16" s="1"/>
  <c r="H114" i="16"/>
  <c r="K114" i="16" s="1"/>
  <c r="L114" i="16" s="1"/>
  <c r="B123" i="16"/>
  <c r="F123" i="13"/>
  <c r="B136" i="16"/>
  <c r="F136" i="13"/>
  <c r="D136" i="16" s="1"/>
  <c r="B159" i="16"/>
  <c r="F159" i="13"/>
  <c r="K190" i="16"/>
  <c r="L190" i="16" s="1"/>
  <c r="H190" i="16"/>
  <c r="B316" i="16"/>
  <c r="F316" i="13"/>
  <c r="D316" i="16" s="1"/>
  <c r="H392" i="16"/>
  <c r="K392" i="16" s="1"/>
  <c r="L392" i="16" s="1"/>
  <c r="H401" i="16"/>
  <c r="K401" i="16" s="1"/>
  <c r="L401" i="16" s="1"/>
  <c r="H482" i="16"/>
  <c r="K482" i="16" s="1"/>
  <c r="L482" i="16" s="1"/>
  <c r="J29" i="14"/>
  <c r="I29" i="14"/>
  <c r="J32" i="14"/>
  <c r="I32" i="14"/>
  <c r="J60" i="14"/>
  <c r="I60" i="14"/>
  <c r="J63" i="14"/>
  <c r="I63" i="14"/>
  <c r="J392" i="14"/>
  <c r="I392" i="14"/>
  <c r="B105" i="16"/>
  <c r="F28" i="13"/>
  <c r="D28" i="16" s="1"/>
  <c r="F37" i="13"/>
  <c r="F51" i="13"/>
  <c r="B51" i="16"/>
  <c r="F92" i="13"/>
  <c r="D92" i="16" s="1"/>
  <c r="F101" i="13"/>
  <c r="D101" i="16" s="1"/>
  <c r="F110" i="13"/>
  <c r="D110" i="16" s="1"/>
  <c r="B141" i="16"/>
  <c r="F141" i="13"/>
  <c r="D141" i="16" s="1"/>
  <c r="F181" i="13"/>
  <c r="D181" i="16" s="1"/>
  <c r="B280" i="16"/>
  <c r="F280" i="13"/>
  <c r="D280" i="16" s="1"/>
  <c r="B379" i="16"/>
  <c r="F379" i="13"/>
  <c r="D379" i="16" s="1"/>
  <c r="B397" i="16"/>
  <c r="F397" i="13"/>
  <c r="D397" i="16" s="1"/>
  <c r="F437" i="13"/>
  <c r="B478" i="16"/>
  <c r="F478" i="13"/>
  <c r="J107" i="14"/>
  <c r="I107" i="14"/>
  <c r="J161" i="14"/>
  <c r="I161" i="14"/>
  <c r="J187" i="14"/>
  <c r="I187" i="14"/>
  <c r="I203" i="14"/>
  <c r="J203" i="14"/>
  <c r="J280" i="14"/>
  <c r="I280" i="14"/>
  <c r="J300" i="14"/>
  <c r="I300" i="14"/>
  <c r="J303" i="14"/>
  <c r="I303" i="14"/>
  <c r="J363" i="14"/>
  <c r="I363" i="14"/>
  <c r="J454" i="14"/>
  <c r="I454" i="14"/>
  <c r="J461" i="14"/>
  <c r="I461" i="14"/>
  <c r="J471" i="14"/>
  <c r="I471" i="14"/>
  <c r="J3" i="16"/>
  <c r="B15" i="16"/>
  <c r="F15" i="13"/>
  <c r="B155" i="16"/>
  <c r="F155" i="13"/>
  <c r="D155" i="16" s="1"/>
  <c r="H168" i="16"/>
  <c r="K168" i="16" s="1"/>
  <c r="L168" i="16" s="1"/>
  <c r="H177" i="16"/>
  <c r="K177" i="16" s="1"/>
  <c r="L177" i="16" s="1"/>
  <c r="H262" i="16"/>
  <c r="K262" i="16"/>
  <c r="L262" i="16" s="1"/>
  <c r="B267" i="16"/>
  <c r="F267" i="13"/>
  <c r="D267" i="16" s="1"/>
  <c r="B343" i="16"/>
  <c r="F343" i="13"/>
  <c r="H388" i="16"/>
  <c r="K388" i="16" s="1"/>
  <c r="L388" i="16" s="1"/>
  <c r="B411" i="16"/>
  <c r="F411" i="13"/>
  <c r="D411" i="16" s="1"/>
  <c r="B442" i="16"/>
  <c r="F442" i="13"/>
  <c r="D442" i="16" s="1"/>
  <c r="I104" i="14"/>
  <c r="J104" i="14"/>
  <c r="J123" i="14"/>
  <c r="I123" i="14"/>
  <c r="I370" i="14"/>
  <c r="J370" i="14"/>
  <c r="J105" i="16"/>
  <c r="M105" i="16" s="1"/>
  <c r="J173" i="14"/>
  <c r="I173" i="14"/>
  <c r="J191" i="14"/>
  <c r="I191" i="14"/>
  <c r="J243" i="14"/>
  <c r="I243" i="14"/>
  <c r="J294" i="14"/>
  <c r="I294" i="14"/>
  <c r="J297" i="14"/>
  <c r="I297" i="14"/>
  <c r="I330" i="14"/>
  <c r="J330" i="14"/>
  <c r="J345" i="14"/>
  <c r="I345" i="14"/>
  <c r="J411" i="14"/>
  <c r="I411" i="14"/>
  <c r="J439" i="14"/>
  <c r="I439" i="14"/>
  <c r="J477" i="14"/>
  <c r="I477" i="14"/>
  <c r="J480" i="14"/>
  <c r="I480" i="14"/>
  <c r="B13" i="16"/>
  <c r="I13" i="16"/>
  <c r="G13" i="16"/>
  <c r="F13" i="16"/>
  <c r="E13" i="16"/>
  <c r="E58" i="16"/>
  <c r="D58" i="16"/>
  <c r="F58" i="16"/>
  <c r="B58" i="16"/>
  <c r="I130" i="14"/>
  <c r="J130" i="14"/>
  <c r="J253" i="14"/>
  <c r="I253" i="14"/>
  <c r="J284" i="14"/>
  <c r="I284" i="14"/>
  <c r="J361" i="14"/>
  <c r="I361" i="14"/>
  <c r="J371" i="14"/>
  <c r="I371" i="14"/>
  <c r="J455" i="14"/>
  <c r="I455" i="14"/>
  <c r="C13" i="16"/>
  <c r="E26" i="16"/>
  <c r="D26" i="16"/>
  <c r="F26" i="16"/>
  <c r="C26" i="16"/>
  <c r="G26" i="16"/>
  <c r="B26" i="16"/>
  <c r="C58" i="16"/>
  <c r="H340" i="16"/>
  <c r="K340" i="16"/>
  <c r="L340" i="16" s="1"/>
  <c r="H421" i="16"/>
  <c r="K421" i="16" s="1"/>
  <c r="L421" i="16" s="1"/>
  <c r="J21" i="14"/>
  <c r="I21" i="14"/>
  <c r="J112" i="14"/>
  <c r="I112" i="14"/>
  <c r="I164" i="14"/>
  <c r="J164" i="14"/>
  <c r="I170" i="14"/>
  <c r="J170" i="14"/>
  <c r="J204" i="14"/>
  <c r="I204" i="14"/>
  <c r="J352" i="14"/>
  <c r="I352" i="14"/>
  <c r="F9" i="16"/>
  <c r="I9" i="16"/>
  <c r="G9" i="16"/>
  <c r="D13" i="16"/>
  <c r="G58" i="16"/>
  <c r="J240" i="14"/>
  <c r="I240" i="14"/>
  <c r="J278" i="14"/>
  <c r="I278" i="14"/>
  <c r="J281" i="14"/>
  <c r="I281" i="14"/>
  <c r="J291" i="14"/>
  <c r="I291" i="14"/>
  <c r="I327" i="14"/>
  <c r="J349" i="14"/>
  <c r="I349" i="14"/>
  <c r="J368" i="14"/>
  <c r="I368" i="14"/>
  <c r="J386" i="14"/>
  <c r="I389" i="14"/>
  <c r="I402" i="14"/>
  <c r="J402" i="14"/>
  <c r="J405" i="14"/>
  <c r="I405" i="14"/>
  <c r="I495" i="14"/>
  <c r="F16" i="16"/>
  <c r="I16" i="16"/>
  <c r="G16" i="16"/>
  <c r="I38" i="16"/>
  <c r="D38" i="16"/>
  <c r="G38" i="16"/>
  <c r="F38" i="16"/>
  <c r="H38" i="16" s="1"/>
  <c r="E72" i="16"/>
  <c r="C72" i="16"/>
  <c r="G72" i="16"/>
  <c r="F72" i="16"/>
  <c r="D72" i="16"/>
  <c r="B72" i="16"/>
  <c r="I222" i="16"/>
  <c r="F222" i="16"/>
  <c r="D222" i="16"/>
  <c r="B222" i="16"/>
  <c r="G222" i="16"/>
  <c r="E222" i="16"/>
  <c r="I250" i="14"/>
  <c r="J250" i="14"/>
  <c r="I346" i="14"/>
  <c r="J346" i="14"/>
  <c r="J412" i="14"/>
  <c r="I412" i="14"/>
  <c r="E14" i="16"/>
  <c r="D14" i="16"/>
  <c r="G14" i="16"/>
  <c r="F14" i="16"/>
  <c r="C14" i="16"/>
  <c r="G19" i="16"/>
  <c r="I19" i="16"/>
  <c r="F19" i="16"/>
  <c r="D19" i="16"/>
  <c r="C19" i="16"/>
  <c r="B19" i="16"/>
  <c r="G112" i="16"/>
  <c r="F112" i="16"/>
  <c r="B112" i="16"/>
  <c r="D112" i="16"/>
  <c r="C112" i="16"/>
  <c r="C222" i="16"/>
  <c r="B183" i="16"/>
  <c r="F183" i="13"/>
  <c r="B311" i="16"/>
  <c r="F311" i="13"/>
  <c r="D311" i="16" s="1"/>
  <c r="J36" i="14"/>
  <c r="J201" i="14"/>
  <c r="I201" i="14"/>
  <c r="J234" i="14"/>
  <c r="I237" i="14"/>
  <c r="J247" i="14"/>
  <c r="I247" i="14"/>
  <c r="J254" i="14"/>
  <c r="I254" i="14"/>
  <c r="J390" i="14"/>
  <c r="I390" i="14"/>
  <c r="J408" i="14"/>
  <c r="D9" i="16"/>
  <c r="B14" i="16"/>
  <c r="C16" i="16"/>
  <c r="E19" i="16"/>
  <c r="J19" i="16" s="1"/>
  <c r="C38" i="16"/>
  <c r="J47" i="16"/>
  <c r="E112" i="16"/>
  <c r="E148" i="16"/>
  <c r="D148" i="16"/>
  <c r="G148" i="16"/>
  <c r="I148" i="16"/>
  <c r="F148" i="16"/>
  <c r="C148" i="16"/>
  <c r="I92" i="16"/>
  <c r="F92" i="16"/>
  <c r="G92" i="16"/>
  <c r="E92" i="16"/>
  <c r="I112" i="16"/>
  <c r="B148" i="16"/>
  <c r="G27" i="16"/>
  <c r="B27" i="16"/>
  <c r="F27" i="16"/>
  <c r="E27" i="16"/>
  <c r="D27" i="16"/>
  <c r="C27" i="16"/>
  <c r="I33" i="16"/>
  <c r="D33" i="16"/>
  <c r="B33" i="16"/>
  <c r="G33" i="16"/>
  <c r="I145" i="16"/>
  <c r="G145" i="16"/>
  <c r="F145" i="16"/>
  <c r="E145" i="16"/>
  <c r="D145" i="16"/>
  <c r="I192" i="16"/>
  <c r="G192" i="16"/>
  <c r="F192" i="16"/>
  <c r="E192" i="16"/>
  <c r="D192" i="16"/>
  <c r="H171" i="16"/>
  <c r="B299" i="16"/>
  <c r="F299" i="13"/>
  <c r="B363" i="16"/>
  <c r="F363" i="13"/>
  <c r="J147" i="14"/>
  <c r="I147" i="14"/>
  <c r="J150" i="14"/>
  <c r="I150" i="14"/>
  <c r="J232" i="14"/>
  <c r="I232" i="14"/>
  <c r="J251" i="14"/>
  <c r="I251" i="14"/>
  <c r="J273" i="14"/>
  <c r="I273" i="14"/>
  <c r="I27" i="16"/>
  <c r="C33" i="16"/>
  <c r="D79" i="16"/>
  <c r="C79" i="16"/>
  <c r="B79" i="16"/>
  <c r="I79" i="16"/>
  <c r="G79" i="16"/>
  <c r="F79" i="16"/>
  <c r="E79" i="16"/>
  <c r="C92" i="16"/>
  <c r="B145" i="16"/>
  <c r="B192" i="16"/>
  <c r="F137" i="13"/>
  <c r="D137" i="16" s="1"/>
  <c r="F154" i="13"/>
  <c r="D154" i="16" s="1"/>
  <c r="B167" i="16"/>
  <c r="F167" i="13"/>
  <c r="F282" i="13"/>
  <c r="D282" i="16" s="1"/>
  <c r="B295" i="16"/>
  <c r="F295" i="13"/>
  <c r="D295" i="16" s="1"/>
  <c r="F312" i="13"/>
  <c r="B359" i="16"/>
  <c r="F359" i="13"/>
  <c r="D359" i="16" s="1"/>
  <c r="H359" i="16" s="1"/>
  <c r="F393" i="13"/>
  <c r="D393" i="16" s="1"/>
  <c r="F410" i="13"/>
  <c r="D410" i="16" s="1"/>
  <c r="F474" i="13"/>
  <c r="D474" i="16" s="1"/>
  <c r="B487" i="16"/>
  <c r="F487" i="13"/>
  <c r="I202" i="14"/>
  <c r="J202" i="14"/>
  <c r="J270" i="14"/>
  <c r="I270" i="14"/>
  <c r="J460" i="14"/>
  <c r="I460" i="14"/>
  <c r="I17" i="16"/>
  <c r="B17" i="16"/>
  <c r="E17" i="16"/>
  <c r="D17" i="16"/>
  <c r="C17" i="16"/>
  <c r="E33" i="16"/>
  <c r="J33" i="16" s="1"/>
  <c r="G48" i="16"/>
  <c r="F48" i="16"/>
  <c r="I48" i="16"/>
  <c r="E48" i="16"/>
  <c r="D48" i="16"/>
  <c r="C48" i="16"/>
  <c r="B48" i="16"/>
  <c r="C145" i="16"/>
  <c r="C192" i="16"/>
  <c r="J360" i="14"/>
  <c r="I360" i="14"/>
  <c r="J428" i="14"/>
  <c r="I428" i="14"/>
  <c r="J431" i="14"/>
  <c r="I431" i="14"/>
  <c r="I466" i="14"/>
  <c r="J466" i="14"/>
  <c r="J469" i="14"/>
  <c r="I469" i="14"/>
  <c r="E290" i="16"/>
  <c r="C290" i="16"/>
  <c r="D290" i="16"/>
  <c r="B290" i="16"/>
  <c r="G290" i="16"/>
  <c r="I290" i="16"/>
  <c r="F290" i="16"/>
  <c r="J311" i="14"/>
  <c r="I311" i="14"/>
  <c r="J499" i="14"/>
  <c r="I499" i="14"/>
  <c r="F6" i="16"/>
  <c r="I6" i="16"/>
  <c r="I34" i="16"/>
  <c r="G34" i="16"/>
  <c r="B34" i="16"/>
  <c r="E34" i="16"/>
  <c r="D34" i="16"/>
  <c r="F83" i="16"/>
  <c r="D83" i="16"/>
  <c r="I83" i="16"/>
  <c r="G83" i="16"/>
  <c r="E83" i="16"/>
  <c r="C83" i="16"/>
  <c r="B83" i="16"/>
  <c r="G96" i="16"/>
  <c r="F96" i="16"/>
  <c r="D96" i="16"/>
  <c r="B96" i="16"/>
  <c r="J96" i="16"/>
  <c r="I134" i="16"/>
  <c r="F134" i="16"/>
  <c r="E134" i="16"/>
  <c r="D134" i="16"/>
  <c r="B134" i="16"/>
  <c r="J496" i="14"/>
  <c r="I496" i="14"/>
  <c r="G28" i="16"/>
  <c r="I45" i="16"/>
  <c r="D45" i="16"/>
  <c r="F45" i="16"/>
  <c r="E45" i="16"/>
  <c r="C45" i="16"/>
  <c r="B45" i="16"/>
  <c r="F69" i="16"/>
  <c r="E69" i="16"/>
  <c r="D69" i="16"/>
  <c r="I69" i="16"/>
  <c r="G69" i="16"/>
  <c r="C69" i="16"/>
  <c r="B69" i="16"/>
  <c r="E74" i="16"/>
  <c r="D74" i="16"/>
  <c r="G74" i="16"/>
  <c r="B74" i="16"/>
  <c r="I74" i="16"/>
  <c r="F74" i="16"/>
  <c r="C74" i="16"/>
  <c r="J126" i="16"/>
  <c r="G67" i="16"/>
  <c r="D67" i="16"/>
  <c r="I67" i="16"/>
  <c r="G107" i="16"/>
  <c r="F107" i="16"/>
  <c r="E107" i="16"/>
  <c r="D107" i="16"/>
  <c r="C107" i="16"/>
  <c r="G234" i="16"/>
  <c r="F234" i="16"/>
  <c r="I234" i="16"/>
  <c r="B234" i="16"/>
  <c r="E234" i="16"/>
  <c r="D234" i="16"/>
  <c r="C234" i="16"/>
  <c r="M245" i="16"/>
  <c r="B161" i="16"/>
  <c r="F161" i="16"/>
  <c r="E161" i="16"/>
  <c r="D161" i="16"/>
  <c r="I161" i="16"/>
  <c r="G161" i="16"/>
  <c r="J221" i="14"/>
  <c r="I221" i="14"/>
  <c r="J262" i="14"/>
  <c r="I262" i="14"/>
  <c r="J379" i="14"/>
  <c r="I379" i="14"/>
  <c r="J382" i="14"/>
  <c r="I382" i="14"/>
  <c r="J417" i="14"/>
  <c r="I417" i="14"/>
  <c r="J491" i="14"/>
  <c r="I491" i="14"/>
  <c r="G6" i="16"/>
  <c r="G12" i="16"/>
  <c r="F12" i="16"/>
  <c r="H12" i="16" s="1"/>
  <c r="E12" i="16"/>
  <c r="D12" i="16"/>
  <c r="E28" i="16"/>
  <c r="F53" i="16"/>
  <c r="E53" i="16"/>
  <c r="I53" i="16"/>
  <c r="J60" i="16"/>
  <c r="G60" i="16"/>
  <c r="D60" i="16"/>
  <c r="I60" i="16"/>
  <c r="C67" i="16"/>
  <c r="E90" i="16"/>
  <c r="D90" i="16"/>
  <c r="G90" i="16"/>
  <c r="C90" i="16"/>
  <c r="I90" i="16"/>
  <c r="I107" i="16"/>
  <c r="C161" i="16"/>
  <c r="I338" i="14"/>
  <c r="J338" i="14"/>
  <c r="J341" i="14"/>
  <c r="I341" i="14"/>
  <c r="J488" i="14"/>
  <c r="I488" i="14"/>
  <c r="D3" i="16"/>
  <c r="H3" i="16" s="1"/>
  <c r="E16" i="1"/>
  <c r="I22" i="16"/>
  <c r="J22" i="16" s="1"/>
  <c r="C22" i="16"/>
  <c r="G22" i="16"/>
  <c r="H22" i="16" s="1"/>
  <c r="F24" i="16"/>
  <c r="E24" i="16"/>
  <c r="D24" i="16"/>
  <c r="C24" i="16"/>
  <c r="B24" i="16"/>
  <c r="F28" i="16"/>
  <c r="G35" i="16"/>
  <c r="I35" i="16"/>
  <c r="F35" i="16"/>
  <c r="E35" i="16"/>
  <c r="B53" i="16"/>
  <c r="B60" i="16"/>
  <c r="E67" i="16"/>
  <c r="I81" i="16"/>
  <c r="E81" i="16"/>
  <c r="D81" i="16"/>
  <c r="B81" i="16"/>
  <c r="G81" i="16"/>
  <c r="F81" i="16"/>
  <c r="B90" i="16"/>
  <c r="J142" i="14"/>
  <c r="I142" i="14"/>
  <c r="I210" i="14"/>
  <c r="J210" i="14"/>
  <c r="J447" i="14"/>
  <c r="I447" i="14"/>
  <c r="I450" i="14"/>
  <c r="J450" i="14"/>
  <c r="I7" i="16"/>
  <c r="J7" i="16" s="1"/>
  <c r="D7" i="16"/>
  <c r="I65" i="16"/>
  <c r="J65" i="16" s="1"/>
  <c r="D65" i="16"/>
  <c r="B65" i="16"/>
  <c r="F67" i="16"/>
  <c r="F88" i="16"/>
  <c r="E88" i="16"/>
  <c r="C88" i="16"/>
  <c r="F90" i="16"/>
  <c r="D151" i="16"/>
  <c r="F151" i="16"/>
  <c r="I151" i="16"/>
  <c r="G151" i="16"/>
  <c r="I175" i="16"/>
  <c r="D175" i="16"/>
  <c r="G175" i="16"/>
  <c r="F175" i="16"/>
  <c r="E175" i="16"/>
  <c r="C175" i="16"/>
  <c r="B175" i="16"/>
  <c r="D263" i="16"/>
  <c r="C263" i="16"/>
  <c r="B263" i="16"/>
  <c r="I263" i="16"/>
  <c r="E263" i="16"/>
  <c r="G263" i="16"/>
  <c r="F263" i="16"/>
  <c r="C8" i="16"/>
  <c r="B57" i="16"/>
  <c r="I71" i="16"/>
  <c r="F71" i="16"/>
  <c r="I99" i="16"/>
  <c r="E99" i="16"/>
  <c r="C99" i="16"/>
  <c r="F117" i="16"/>
  <c r="E117" i="16"/>
  <c r="I117" i="16"/>
  <c r="G117" i="16"/>
  <c r="I120" i="16"/>
  <c r="G120" i="16"/>
  <c r="F120" i="16"/>
  <c r="B8" i="16"/>
  <c r="C18" i="16"/>
  <c r="F21" i="16"/>
  <c r="E21" i="16"/>
  <c r="I21" i="16"/>
  <c r="G32" i="16"/>
  <c r="F32" i="16"/>
  <c r="J32" i="16" s="1"/>
  <c r="F37" i="16"/>
  <c r="E37" i="16"/>
  <c r="J37" i="16" s="1"/>
  <c r="D37" i="16"/>
  <c r="B71" i="16"/>
  <c r="F76" i="16"/>
  <c r="D76" i="16"/>
  <c r="F85" i="16"/>
  <c r="E85" i="16"/>
  <c r="I85" i="16"/>
  <c r="F93" i="16"/>
  <c r="H93" i="16" s="1"/>
  <c r="D93" i="16"/>
  <c r="B99" i="16"/>
  <c r="B117" i="16"/>
  <c r="B120" i="16"/>
  <c r="D127" i="16"/>
  <c r="C127" i="16"/>
  <c r="G127" i="16"/>
  <c r="B127" i="16"/>
  <c r="M173" i="16"/>
  <c r="G200" i="16"/>
  <c r="F200" i="16"/>
  <c r="D200" i="16"/>
  <c r="B200" i="16"/>
  <c r="I200" i="16"/>
  <c r="E200" i="16"/>
  <c r="C200" i="16"/>
  <c r="C279" i="16"/>
  <c r="D279" i="16"/>
  <c r="E279" i="16"/>
  <c r="B279" i="16"/>
  <c r="I279" i="16"/>
  <c r="G279" i="16"/>
  <c r="F279" i="16"/>
  <c r="B319" i="16"/>
  <c r="F319" i="16"/>
  <c r="E319" i="16"/>
  <c r="G319" i="16"/>
  <c r="D319" i="16"/>
  <c r="C319" i="16"/>
  <c r="D8" i="16"/>
  <c r="E11" i="16"/>
  <c r="H11" i="16" s="1"/>
  <c r="M29" i="16"/>
  <c r="C29" i="16"/>
  <c r="I39" i="16"/>
  <c r="J50" i="16"/>
  <c r="G64" i="16"/>
  <c r="F64" i="16"/>
  <c r="E64" i="16"/>
  <c r="C71" i="16"/>
  <c r="I97" i="16"/>
  <c r="J97" i="16" s="1"/>
  <c r="C97" i="16"/>
  <c r="B97" i="16"/>
  <c r="D99" i="16"/>
  <c r="C117" i="16"/>
  <c r="C120" i="16"/>
  <c r="E127" i="16"/>
  <c r="F135" i="16"/>
  <c r="E135" i="16"/>
  <c r="D135" i="16"/>
  <c r="C135" i="16"/>
  <c r="B135" i="16"/>
  <c r="I319" i="16"/>
  <c r="B329" i="16"/>
  <c r="J442" i="14"/>
  <c r="B4" i="16"/>
  <c r="E8" i="16"/>
  <c r="J8" i="16" s="1"/>
  <c r="B11" i="16"/>
  <c r="D18" i="16"/>
  <c r="C21" i="16"/>
  <c r="B29" i="16"/>
  <c r="B39" i="16"/>
  <c r="E42" i="16"/>
  <c r="J42" i="16" s="1"/>
  <c r="D42" i="16"/>
  <c r="G42" i="16"/>
  <c r="D47" i="16"/>
  <c r="C47" i="16"/>
  <c r="B47" i="16"/>
  <c r="C52" i="16"/>
  <c r="B52" i="16"/>
  <c r="I52" i="16"/>
  <c r="J52" i="16" s="1"/>
  <c r="D52" i="16"/>
  <c r="H52" i="16" s="1"/>
  <c r="J57" i="16"/>
  <c r="M57" i="16" s="1"/>
  <c r="G59" i="16"/>
  <c r="H59" i="16" s="1"/>
  <c r="I59" i="16"/>
  <c r="J59" i="16" s="1"/>
  <c r="B59" i="16"/>
  <c r="B64" i="16"/>
  <c r="I66" i="16"/>
  <c r="J66" i="16" s="1"/>
  <c r="G66" i="16"/>
  <c r="B66" i="16"/>
  <c r="D71" i="16"/>
  <c r="C76" i="16"/>
  <c r="C85" i="16"/>
  <c r="C93" i="16"/>
  <c r="D97" i="16"/>
  <c r="F99" i="16"/>
  <c r="E106" i="16"/>
  <c r="D106" i="16"/>
  <c r="I106" i="16"/>
  <c r="G106" i="16"/>
  <c r="F106" i="16"/>
  <c r="B106" i="16"/>
  <c r="D111" i="16"/>
  <c r="C111" i="16"/>
  <c r="I111" i="16"/>
  <c r="D117" i="16"/>
  <c r="D120" i="16"/>
  <c r="F127" i="16"/>
  <c r="C132" i="16"/>
  <c r="B132" i="16"/>
  <c r="G132" i="16"/>
  <c r="F132" i="16"/>
  <c r="E132" i="16"/>
  <c r="D132" i="16"/>
  <c r="I163" i="16"/>
  <c r="G163" i="16"/>
  <c r="F163" i="16"/>
  <c r="E163" i="16"/>
  <c r="D163" i="16"/>
  <c r="C163" i="16"/>
  <c r="B163" i="16"/>
  <c r="M228" i="16"/>
  <c r="G91" i="16"/>
  <c r="D91" i="16"/>
  <c r="C91" i="16"/>
  <c r="B91" i="16"/>
  <c r="C95" i="16"/>
  <c r="G95" i="16"/>
  <c r="I95" i="16"/>
  <c r="F95" i="16"/>
  <c r="G99" i="16"/>
  <c r="F109" i="16"/>
  <c r="E109" i="16"/>
  <c r="D109" i="16"/>
  <c r="B109" i="16"/>
  <c r="E120" i="16"/>
  <c r="G80" i="16"/>
  <c r="F80" i="16"/>
  <c r="I80" i="16"/>
  <c r="E80" i="16"/>
  <c r="I118" i="16"/>
  <c r="E118" i="16"/>
  <c r="C118" i="16"/>
  <c r="B118" i="16"/>
  <c r="I127" i="16"/>
  <c r="F44" i="16"/>
  <c r="J44" i="16" s="1"/>
  <c r="D44" i="16"/>
  <c r="B80" i="16"/>
  <c r="F91" i="16"/>
  <c r="E95" i="16"/>
  <c r="G97" i="16"/>
  <c r="G104" i="16"/>
  <c r="F104" i="16"/>
  <c r="E104" i="16"/>
  <c r="G109" i="16"/>
  <c r="F111" i="16"/>
  <c r="D118" i="16"/>
  <c r="J130" i="16"/>
  <c r="M177" i="16"/>
  <c r="I239" i="16"/>
  <c r="C239" i="16"/>
  <c r="G239" i="16"/>
  <c r="E239" i="16"/>
  <c r="F239" i="16"/>
  <c r="D239" i="16"/>
  <c r="B239" i="16"/>
  <c r="I10" i="16"/>
  <c r="J10" i="16" s="1"/>
  <c r="B10" i="16"/>
  <c r="B20" i="16"/>
  <c r="D20" i="16"/>
  <c r="H20" i="16" s="1"/>
  <c r="E20" i="1" s="1"/>
  <c r="F39" i="16"/>
  <c r="B44" i="16"/>
  <c r="F56" i="16"/>
  <c r="J56" i="16" s="1"/>
  <c r="C56" i="16"/>
  <c r="I64" i="16"/>
  <c r="I76" i="16"/>
  <c r="C80" i="16"/>
  <c r="I91" i="16"/>
  <c r="I93" i="16"/>
  <c r="B104" i="16"/>
  <c r="I109" i="16"/>
  <c r="G111" i="16"/>
  <c r="F118" i="16"/>
  <c r="G123" i="16"/>
  <c r="D123" i="16"/>
  <c r="I123" i="16"/>
  <c r="F123" i="16"/>
  <c r="E123" i="16"/>
  <c r="J164" i="16"/>
  <c r="M164" i="16" s="1"/>
  <c r="J167" i="16"/>
  <c r="F51" i="16"/>
  <c r="J51" i="16" s="1"/>
  <c r="D51" i="16"/>
  <c r="D80" i="16"/>
  <c r="J136" i="16"/>
  <c r="G153" i="16"/>
  <c r="F153" i="16"/>
  <c r="E153" i="16"/>
  <c r="I158" i="16"/>
  <c r="I179" i="16"/>
  <c r="F179" i="16"/>
  <c r="E179" i="16"/>
  <c r="D179" i="16"/>
  <c r="D235" i="16"/>
  <c r="I235" i="16"/>
  <c r="F235" i="16"/>
  <c r="E235" i="16"/>
  <c r="C235" i="16"/>
  <c r="I70" i="16"/>
  <c r="J70" i="16" s="1"/>
  <c r="M70" i="16" s="1"/>
  <c r="H70" i="16"/>
  <c r="I113" i="16"/>
  <c r="J113" i="16" s="1"/>
  <c r="G113" i="16"/>
  <c r="E138" i="16"/>
  <c r="D138" i="16"/>
  <c r="I138" i="16"/>
  <c r="F141" i="16"/>
  <c r="B153" i="16"/>
  <c r="B158" i="16"/>
  <c r="J166" i="16"/>
  <c r="M166" i="16" s="1"/>
  <c r="B179" i="16"/>
  <c r="G217" i="16"/>
  <c r="F217" i="16"/>
  <c r="E217" i="16"/>
  <c r="I217" i="16"/>
  <c r="D217" i="16"/>
  <c r="C217" i="16"/>
  <c r="B235" i="16"/>
  <c r="E268" i="16"/>
  <c r="F268" i="16"/>
  <c r="I268" i="16"/>
  <c r="D268" i="16"/>
  <c r="G268" i="16"/>
  <c r="C268" i="16"/>
  <c r="B268" i="16"/>
  <c r="C119" i="16"/>
  <c r="C153" i="16"/>
  <c r="C158" i="16"/>
  <c r="G170" i="16"/>
  <c r="F170" i="16"/>
  <c r="C179" i="16"/>
  <c r="C204" i="16"/>
  <c r="G204" i="16"/>
  <c r="F204" i="16"/>
  <c r="I204" i="16"/>
  <c r="E204" i="16"/>
  <c r="D204" i="16"/>
  <c r="B217" i="16"/>
  <c r="D231" i="16"/>
  <c r="E231" i="16"/>
  <c r="F231" i="16"/>
  <c r="G235" i="16"/>
  <c r="G240" i="16"/>
  <c r="F240" i="16"/>
  <c r="E240" i="16"/>
  <c r="D240" i="16"/>
  <c r="C240" i="16"/>
  <c r="B240" i="16"/>
  <c r="E272" i="16"/>
  <c r="F272" i="16"/>
  <c r="G272" i="16"/>
  <c r="D272" i="16"/>
  <c r="I272" i="16"/>
  <c r="C84" i="16"/>
  <c r="B84" i="16"/>
  <c r="C100" i="16"/>
  <c r="B100" i="16"/>
  <c r="C116" i="16"/>
  <c r="B116" i="16"/>
  <c r="F116" i="16"/>
  <c r="J116" i="16" s="1"/>
  <c r="B119" i="16"/>
  <c r="E122" i="16"/>
  <c r="D122" i="16"/>
  <c r="B125" i="16"/>
  <c r="G144" i="16"/>
  <c r="F144" i="16"/>
  <c r="B144" i="16"/>
  <c r="D153" i="16"/>
  <c r="D158" i="16"/>
  <c r="B170" i="16"/>
  <c r="G179" i="16"/>
  <c r="B204" i="16"/>
  <c r="E226" i="16"/>
  <c r="I226" i="16"/>
  <c r="B226" i="16"/>
  <c r="F226" i="16"/>
  <c r="D226" i="16"/>
  <c r="G226" i="16"/>
  <c r="C226" i="16"/>
  <c r="B231" i="16"/>
  <c r="I240" i="16"/>
  <c r="B272" i="16"/>
  <c r="B41" i="16"/>
  <c r="B73" i="16"/>
  <c r="B103" i="16"/>
  <c r="J110" i="16"/>
  <c r="D116" i="16"/>
  <c r="D119" i="16"/>
  <c r="B122" i="16"/>
  <c r="C125" i="16"/>
  <c r="G128" i="16"/>
  <c r="F128" i="16"/>
  <c r="H128" i="16" s="1"/>
  <c r="C144" i="16"/>
  <c r="E158" i="16"/>
  <c r="J168" i="16"/>
  <c r="M168" i="16" s="1"/>
  <c r="C170" i="16"/>
  <c r="C172" i="16"/>
  <c r="I172" i="16"/>
  <c r="J172" i="16" s="1"/>
  <c r="G172" i="16"/>
  <c r="D172" i="16"/>
  <c r="J190" i="16"/>
  <c r="M190" i="16" s="1"/>
  <c r="C231" i="16"/>
  <c r="I243" i="16"/>
  <c r="B243" i="16"/>
  <c r="G243" i="16"/>
  <c r="D243" i="16"/>
  <c r="F243" i="16"/>
  <c r="J243" i="16" s="1"/>
  <c r="C272" i="16"/>
  <c r="F158" i="16"/>
  <c r="E165" i="16"/>
  <c r="F165" i="16"/>
  <c r="D165" i="16"/>
  <c r="C165" i="16"/>
  <c r="I165" i="16"/>
  <c r="I202" i="16"/>
  <c r="G202" i="16"/>
  <c r="F202" i="16"/>
  <c r="E202" i="16"/>
  <c r="F119" i="16"/>
  <c r="E125" i="16"/>
  <c r="G158" i="16"/>
  <c r="J160" i="16"/>
  <c r="B165" i="16"/>
  <c r="E170" i="16"/>
  <c r="E180" i="16"/>
  <c r="D180" i="16"/>
  <c r="C180" i="16"/>
  <c r="D199" i="16"/>
  <c r="C199" i="16"/>
  <c r="B199" i="16"/>
  <c r="G199" i="16"/>
  <c r="F199" i="16"/>
  <c r="E199" i="16"/>
  <c r="B202" i="16"/>
  <c r="E146" i="16"/>
  <c r="I149" i="16"/>
  <c r="E162" i="16"/>
  <c r="I162" i="16"/>
  <c r="D162" i="16"/>
  <c r="G165" i="16"/>
  <c r="I170" i="16"/>
  <c r="C186" i="16"/>
  <c r="B186" i="16"/>
  <c r="G186" i="16"/>
  <c r="F186" i="16"/>
  <c r="E186" i="16"/>
  <c r="E195" i="16"/>
  <c r="D195" i="16"/>
  <c r="C202" i="16"/>
  <c r="I124" i="16"/>
  <c r="J124" i="16" s="1"/>
  <c r="G125" i="16"/>
  <c r="D143" i="16"/>
  <c r="C143" i="16"/>
  <c r="I144" i="16"/>
  <c r="B146" i="16"/>
  <c r="B149" i="16"/>
  <c r="H155" i="16"/>
  <c r="K155" i="16" s="1"/>
  <c r="L155" i="16" s="1"/>
  <c r="F157" i="16"/>
  <c r="G157" i="16"/>
  <c r="E157" i="16"/>
  <c r="D157" i="16"/>
  <c r="B162" i="16"/>
  <c r="F180" i="16"/>
  <c r="D186" i="16"/>
  <c r="B195" i="16"/>
  <c r="D202" i="16"/>
  <c r="E212" i="16"/>
  <c r="D212" i="16"/>
  <c r="B212" i="16"/>
  <c r="I212" i="16"/>
  <c r="G212" i="16"/>
  <c r="F212" i="16"/>
  <c r="D215" i="16"/>
  <c r="B215" i="16"/>
  <c r="G215" i="16"/>
  <c r="E215" i="16"/>
  <c r="C215" i="16"/>
  <c r="J224" i="16"/>
  <c r="I54" i="16"/>
  <c r="J54" i="16" s="1"/>
  <c r="H54" i="16"/>
  <c r="F55" i="16"/>
  <c r="J55" i="16" s="1"/>
  <c r="K70" i="16"/>
  <c r="L70" i="16" s="1"/>
  <c r="I77" i="16"/>
  <c r="J77" i="16" s="1"/>
  <c r="M77" i="16" s="1"/>
  <c r="I84" i="16"/>
  <c r="J84" i="16" s="1"/>
  <c r="I86" i="16"/>
  <c r="J86" i="16" s="1"/>
  <c r="H86" i="16"/>
  <c r="K86" i="16" s="1"/>
  <c r="L86" i="16" s="1"/>
  <c r="F87" i="16"/>
  <c r="J87" i="16" s="1"/>
  <c r="I100" i="16"/>
  <c r="J100" i="16" s="1"/>
  <c r="I102" i="16"/>
  <c r="F102" i="16"/>
  <c r="G103" i="16"/>
  <c r="H103" i="16" s="1"/>
  <c r="I119" i="16"/>
  <c r="I122" i="16"/>
  <c r="B124" i="16"/>
  <c r="D130" i="16"/>
  <c r="G131" i="16"/>
  <c r="J141" i="16"/>
  <c r="B143" i="16"/>
  <c r="C146" i="16"/>
  <c r="C149" i="16"/>
  <c r="I154" i="16"/>
  <c r="F154" i="16"/>
  <c r="I155" i="16"/>
  <c r="J155" i="16" s="1"/>
  <c r="B157" i="16"/>
  <c r="D159" i="16"/>
  <c r="C162" i="16"/>
  <c r="G180" i="16"/>
  <c r="G184" i="16"/>
  <c r="B184" i="16"/>
  <c r="I184" i="16"/>
  <c r="F184" i="16"/>
  <c r="F191" i="16"/>
  <c r="E191" i="16"/>
  <c r="D191" i="16"/>
  <c r="G191" i="16"/>
  <c r="C191" i="16"/>
  <c r="B191" i="16"/>
  <c r="C195" i="16"/>
  <c r="E210" i="16"/>
  <c r="I210" i="16"/>
  <c r="G210" i="16"/>
  <c r="F210" i="16"/>
  <c r="C212" i="16"/>
  <c r="F215" i="16"/>
  <c r="F221" i="16"/>
  <c r="G221" i="16"/>
  <c r="E221" i="16"/>
  <c r="I221" i="16"/>
  <c r="D221" i="16"/>
  <c r="C221" i="16"/>
  <c r="D247" i="16"/>
  <c r="G247" i="16"/>
  <c r="E247" i="16"/>
  <c r="B247" i="16"/>
  <c r="I247" i="16"/>
  <c r="F247" i="16"/>
  <c r="C247" i="16"/>
  <c r="D146" i="16"/>
  <c r="E178" i="16"/>
  <c r="F178" i="16"/>
  <c r="D178" i="16"/>
  <c r="B178" i="16"/>
  <c r="I178" i="16"/>
  <c r="F195" i="16"/>
  <c r="C203" i="16"/>
  <c r="B203" i="16"/>
  <c r="F203" i="16"/>
  <c r="D203" i="16"/>
  <c r="I213" i="16"/>
  <c r="F213" i="16"/>
  <c r="E213" i="16"/>
  <c r="D213" i="16"/>
  <c r="C233" i="16"/>
  <c r="B233" i="16"/>
  <c r="D233" i="16"/>
  <c r="I233" i="16"/>
  <c r="F233" i="16"/>
  <c r="E233" i="16"/>
  <c r="G248" i="16"/>
  <c r="D248" i="16"/>
  <c r="C248" i="16"/>
  <c r="E248" i="16"/>
  <c r="J248" i="16" s="1"/>
  <c r="F255" i="16"/>
  <c r="E255" i="16"/>
  <c r="C255" i="16"/>
  <c r="I255" i="16"/>
  <c r="B255" i="16"/>
  <c r="G255" i="16"/>
  <c r="D255" i="16"/>
  <c r="H23" i="16"/>
  <c r="K23" i="16" s="1"/>
  <c r="L23" i="16" s="1"/>
  <c r="C36" i="16"/>
  <c r="B36" i="16"/>
  <c r="G43" i="16"/>
  <c r="H43" i="16" s="1"/>
  <c r="C54" i="16"/>
  <c r="H55" i="16"/>
  <c r="K55" i="16" s="1"/>
  <c r="L55" i="16" s="1"/>
  <c r="C61" i="16"/>
  <c r="C68" i="16"/>
  <c r="B68" i="16"/>
  <c r="G75" i="16"/>
  <c r="H75" i="16" s="1"/>
  <c r="K77" i="16"/>
  <c r="L77" i="16" s="1"/>
  <c r="C86" i="16"/>
  <c r="C102" i="16"/>
  <c r="I103" i="16"/>
  <c r="J103" i="16" s="1"/>
  <c r="D124" i="16"/>
  <c r="H124" i="16" s="1"/>
  <c r="C130" i="16"/>
  <c r="J131" i="16"/>
  <c r="G139" i="16"/>
  <c r="H139" i="16" s="1"/>
  <c r="F143" i="16"/>
  <c r="J143" i="16" s="1"/>
  <c r="F146" i="16"/>
  <c r="E149" i="16"/>
  <c r="J149" i="16" s="1"/>
  <c r="C154" i="16"/>
  <c r="C159" i="16"/>
  <c r="G162" i="16"/>
  <c r="C169" i="16"/>
  <c r="B169" i="16"/>
  <c r="I169" i="16"/>
  <c r="J169" i="16" s="1"/>
  <c r="G169" i="16"/>
  <c r="H169" i="16" s="1"/>
  <c r="C178" i="16"/>
  <c r="I180" i="16"/>
  <c r="J182" i="16"/>
  <c r="M182" i="16" s="1"/>
  <c r="D184" i="16"/>
  <c r="G195" i="16"/>
  <c r="E203" i="16"/>
  <c r="C210" i="16"/>
  <c r="B213" i="16"/>
  <c r="I215" i="16"/>
  <c r="G233" i="16"/>
  <c r="B248" i="16"/>
  <c r="M274" i="16"/>
  <c r="E223" i="16"/>
  <c r="F223" i="16"/>
  <c r="D223" i="16"/>
  <c r="C223" i="16"/>
  <c r="B223" i="16"/>
  <c r="I238" i="16"/>
  <c r="F238" i="16"/>
  <c r="E238" i="16"/>
  <c r="G238" i="16"/>
  <c r="D238" i="16"/>
  <c r="C238" i="16"/>
  <c r="B238" i="16"/>
  <c r="G249" i="16"/>
  <c r="B249" i="16"/>
  <c r="I249" i="16"/>
  <c r="F249" i="16"/>
  <c r="C249" i="16"/>
  <c r="G297" i="16"/>
  <c r="C297" i="16"/>
  <c r="B297" i="16"/>
  <c r="F297" i="16"/>
  <c r="E297" i="16"/>
  <c r="I297" i="16"/>
  <c r="D297" i="16"/>
  <c r="F101" i="16"/>
  <c r="E101" i="16"/>
  <c r="J108" i="16"/>
  <c r="F133" i="16"/>
  <c r="E133" i="16"/>
  <c r="J140" i="16"/>
  <c r="D167" i="16"/>
  <c r="H167" i="16" s="1"/>
  <c r="J176" i="16"/>
  <c r="M176" i="16" s="1"/>
  <c r="F205" i="16"/>
  <c r="H205" i="16" s="1"/>
  <c r="G223" i="16"/>
  <c r="G232" i="16"/>
  <c r="I232" i="16"/>
  <c r="F232" i="16"/>
  <c r="E232" i="16"/>
  <c r="D232" i="16"/>
  <c r="C232" i="16"/>
  <c r="D249" i="16"/>
  <c r="J181" i="16"/>
  <c r="F185" i="16"/>
  <c r="G187" i="16"/>
  <c r="F187" i="16"/>
  <c r="B187" i="16"/>
  <c r="F189" i="16"/>
  <c r="I189" i="16"/>
  <c r="B205" i="16"/>
  <c r="B232" i="16"/>
  <c r="E249" i="16"/>
  <c r="I306" i="16"/>
  <c r="G306" i="16"/>
  <c r="F306" i="16"/>
  <c r="E306" i="16"/>
  <c r="D306" i="16"/>
  <c r="C306" i="16"/>
  <c r="F253" i="16"/>
  <c r="G253" i="16"/>
  <c r="I253" i="16"/>
  <c r="C253" i="16"/>
  <c r="C298" i="16"/>
  <c r="G298" i="16"/>
  <c r="D298" i="16"/>
  <c r="B298" i="16"/>
  <c r="I298" i="16"/>
  <c r="F298" i="16"/>
  <c r="J298" i="16" s="1"/>
  <c r="E259" i="16"/>
  <c r="D259" i="16"/>
  <c r="G259" i="16"/>
  <c r="C259" i="16"/>
  <c r="F259" i="16"/>
  <c r="I284" i="16"/>
  <c r="F284" i="16"/>
  <c r="D284" i="16"/>
  <c r="J284" i="16"/>
  <c r="G284" i="16"/>
  <c r="C307" i="16"/>
  <c r="G307" i="16"/>
  <c r="F307" i="16"/>
  <c r="I307" i="16"/>
  <c r="C236" i="16"/>
  <c r="F236" i="16"/>
  <c r="D236" i="16"/>
  <c r="I236" i="16"/>
  <c r="G236" i="16"/>
  <c r="E236" i="16"/>
  <c r="B236" i="16"/>
  <c r="E253" i="16"/>
  <c r="B259" i="16"/>
  <c r="B284" i="16"/>
  <c r="B307" i="16"/>
  <c r="F197" i="16"/>
  <c r="D197" i="16"/>
  <c r="I197" i="16"/>
  <c r="I259" i="16"/>
  <c r="C284" i="16"/>
  <c r="D307" i="16"/>
  <c r="I350" i="16"/>
  <c r="G350" i="16"/>
  <c r="F350" i="16"/>
  <c r="E350" i="16"/>
  <c r="D350" i="16"/>
  <c r="C350" i="16"/>
  <c r="B350" i="16"/>
  <c r="G251" i="16"/>
  <c r="F251" i="16"/>
  <c r="I251" i="16"/>
  <c r="C251" i="16"/>
  <c r="B257" i="16"/>
  <c r="G257" i="16"/>
  <c r="F257" i="16"/>
  <c r="E257" i="16"/>
  <c r="I257" i="16"/>
  <c r="D257" i="16"/>
  <c r="J262" i="16"/>
  <c r="M262" i="16" s="1"/>
  <c r="D265" i="16"/>
  <c r="C265" i="16"/>
  <c r="B265" i="16"/>
  <c r="I265" i="16"/>
  <c r="F265" i="16"/>
  <c r="D273" i="16"/>
  <c r="C273" i="16"/>
  <c r="E275" i="16"/>
  <c r="B275" i="16"/>
  <c r="I275" i="16"/>
  <c r="G275" i="16"/>
  <c r="F275" i="16"/>
  <c r="E288" i="16"/>
  <c r="F288" i="16"/>
  <c r="I288" i="16"/>
  <c r="C288" i="16"/>
  <c r="B288" i="16"/>
  <c r="D353" i="16"/>
  <c r="C353" i="16"/>
  <c r="B353" i="16"/>
  <c r="I353" i="16"/>
  <c r="G353" i="16"/>
  <c r="F353" i="16"/>
  <c r="E353" i="16"/>
  <c r="F366" i="16"/>
  <c r="D366" i="16"/>
  <c r="C366" i="16"/>
  <c r="I366" i="16"/>
  <c r="G366" i="16"/>
  <c r="E366" i="16"/>
  <c r="D288" i="16"/>
  <c r="B366" i="16"/>
  <c r="E409" i="16"/>
  <c r="G409" i="16"/>
  <c r="F409" i="16"/>
  <c r="I409" i="16"/>
  <c r="F273" i="16"/>
  <c r="G278" i="16"/>
  <c r="F278" i="16"/>
  <c r="I278" i="16"/>
  <c r="E278" i="16"/>
  <c r="G288" i="16"/>
  <c r="D293" i="16"/>
  <c r="C293" i="16"/>
  <c r="B293" i="16"/>
  <c r="C334" i="16"/>
  <c r="B334" i="16"/>
  <c r="I334" i="16"/>
  <c r="G334" i="16"/>
  <c r="F334" i="16"/>
  <c r="E334" i="16"/>
  <c r="B409" i="16"/>
  <c r="I196" i="16"/>
  <c r="J196" i="16" s="1"/>
  <c r="I206" i="16"/>
  <c r="E206" i="16"/>
  <c r="C206" i="16"/>
  <c r="F266" i="16"/>
  <c r="I266" i="16"/>
  <c r="G266" i="16"/>
  <c r="E266" i="16"/>
  <c r="G273" i="16"/>
  <c r="H273" i="16" s="1"/>
  <c r="B278" i="16"/>
  <c r="E293" i="16"/>
  <c r="M308" i="16"/>
  <c r="C409" i="16"/>
  <c r="K171" i="16"/>
  <c r="L171" i="16" s="1"/>
  <c r="J171" i="16"/>
  <c r="M171" i="16" s="1"/>
  <c r="B196" i="16"/>
  <c r="J201" i="16"/>
  <c r="H201" i="16"/>
  <c r="K201" i="16" s="1"/>
  <c r="L201" i="16" s="1"/>
  <c r="B206" i="16"/>
  <c r="G216" i="16"/>
  <c r="C216" i="16"/>
  <c r="B216" i="16"/>
  <c r="I216" i="16"/>
  <c r="F216" i="16"/>
  <c r="J218" i="16"/>
  <c r="B218" i="16"/>
  <c r="F227" i="16"/>
  <c r="J227" i="16" s="1"/>
  <c r="B227" i="16"/>
  <c r="I273" i="16"/>
  <c r="C278" i="16"/>
  <c r="F293" i="16"/>
  <c r="C296" i="16"/>
  <c r="B296" i="16"/>
  <c r="G296" i="16"/>
  <c r="I296" i="16"/>
  <c r="F296" i="16"/>
  <c r="J296" i="16" s="1"/>
  <c r="G326" i="16"/>
  <c r="C326" i="16"/>
  <c r="D326" i="16"/>
  <c r="B326" i="16"/>
  <c r="I326" i="16"/>
  <c r="F326" i="16"/>
  <c r="D409" i="16"/>
  <c r="B152" i="16"/>
  <c r="B168" i="16"/>
  <c r="B171" i="16"/>
  <c r="C188" i="16"/>
  <c r="F188" i="16"/>
  <c r="C196" i="16"/>
  <c r="B201" i="16"/>
  <c r="D206" i="16"/>
  <c r="D216" i="16"/>
  <c r="C218" i="16"/>
  <c r="B225" i="16"/>
  <c r="F225" i="16"/>
  <c r="E225" i="16"/>
  <c r="D225" i="16"/>
  <c r="C227" i="16"/>
  <c r="E242" i="16"/>
  <c r="F242" i="16"/>
  <c r="D242" i="16"/>
  <c r="F244" i="16"/>
  <c r="J244" i="16" s="1"/>
  <c r="D244" i="16"/>
  <c r="B244" i="16"/>
  <c r="B271" i="16"/>
  <c r="F271" i="16"/>
  <c r="D271" i="16"/>
  <c r="I271" i="16"/>
  <c r="D278" i="16"/>
  <c r="G293" i="16"/>
  <c r="D296" i="16"/>
  <c r="E305" i="16"/>
  <c r="G305" i="16"/>
  <c r="F305" i="16"/>
  <c r="I305" i="16"/>
  <c r="D305" i="16"/>
  <c r="C305" i="16"/>
  <c r="E326" i="16"/>
  <c r="H147" i="16"/>
  <c r="C152" i="16"/>
  <c r="C168" i="16"/>
  <c r="C171" i="16"/>
  <c r="I174" i="16"/>
  <c r="F174" i="16"/>
  <c r="E174" i="16"/>
  <c r="D183" i="16"/>
  <c r="G183" i="16"/>
  <c r="D196" i="16"/>
  <c r="H196" i="16" s="1"/>
  <c r="K196" i="16" s="1"/>
  <c r="L196" i="16" s="1"/>
  <c r="C201" i="16"/>
  <c r="F206" i="16"/>
  <c r="F208" i="16"/>
  <c r="E208" i="16"/>
  <c r="E216" i="16"/>
  <c r="D218" i="16"/>
  <c r="H218" i="16" s="1"/>
  <c r="D227" i="16"/>
  <c r="B242" i="16"/>
  <c r="C244" i="16"/>
  <c r="D266" i="16"/>
  <c r="C271" i="16"/>
  <c r="I293" i="16"/>
  <c r="F363" i="16"/>
  <c r="I363" i="16"/>
  <c r="E363" i="16"/>
  <c r="D363" i="16"/>
  <c r="C363" i="16"/>
  <c r="E229" i="16"/>
  <c r="J229" i="16" s="1"/>
  <c r="D229" i="16"/>
  <c r="C252" i="16"/>
  <c r="D252" i="16"/>
  <c r="B252" i="16"/>
  <c r="F252" i="16"/>
  <c r="J252" i="16" s="1"/>
  <c r="I269" i="16"/>
  <c r="F269" i="16"/>
  <c r="E269" i="16"/>
  <c r="D269" i="16"/>
  <c r="B303" i="16"/>
  <c r="F303" i="16"/>
  <c r="E303" i="16"/>
  <c r="G303" i="16"/>
  <c r="D286" i="16"/>
  <c r="G286" i="16"/>
  <c r="F286" i="16"/>
  <c r="E286" i="16"/>
  <c r="F301" i="16"/>
  <c r="E301" i="16"/>
  <c r="D301" i="16"/>
  <c r="I301" i="16"/>
  <c r="G344" i="16"/>
  <c r="F344" i="16"/>
  <c r="E344" i="16"/>
  <c r="D344" i="16"/>
  <c r="C344" i="16"/>
  <c r="B344" i="16"/>
  <c r="G381" i="16"/>
  <c r="F381" i="16"/>
  <c r="C381" i="16"/>
  <c r="B381" i="16"/>
  <c r="E381" i="16"/>
  <c r="D381" i="16"/>
  <c r="I433" i="16"/>
  <c r="G433" i="16"/>
  <c r="F433" i="16"/>
  <c r="B433" i="16"/>
  <c r="E433" i="16"/>
  <c r="D433" i="16"/>
  <c r="C250" i="16"/>
  <c r="B250" i="16"/>
  <c r="G264" i="16"/>
  <c r="F264" i="16"/>
  <c r="B286" i="16"/>
  <c r="B301" i="16"/>
  <c r="G310" i="16"/>
  <c r="H310" i="16"/>
  <c r="B310" i="16"/>
  <c r="I310" i="16"/>
  <c r="J310" i="16" s="1"/>
  <c r="F312" i="16"/>
  <c r="E312" i="16"/>
  <c r="G312" i="16"/>
  <c r="D312" i="16"/>
  <c r="C312" i="16"/>
  <c r="B317" i="16"/>
  <c r="D317" i="16"/>
  <c r="H317" i="16" s="1"/>
  <c r="I317" i="16"/>
  <c r="J317" i="16" s="1"/>
  <c r="I344" i="16"/>
  <c r="I364" i="16"/>
  <c r="C364" i="16"/>
  <c r="B364" i="16"/>
  <c r="G364" i="16"/>
  <c r="F364" i="16"/>
  <c r="E364" i="16"/>
  <c r="D364" i="16"/>
  <c r="D373" i="16"/>
  <c r="I373" i="16"/>
  <c r="B373" i="16"/>
  <c r="F373" i="16"/>
  <c r="E373" i="16"/>
  <c r="C373" i="16"/>
  <c r="G373" i="16"/>
  <c r="M388" i="16"/>
  <c r="C433" i="16"/>
  <c r="F315" i="16"/>
  <c r="C315" i="16"/>
  <c r="B315" i="16"/>
  <c r="I315" i="16"/>
  <c r="E336" i="16"/>
  <c r="F336" i="16"/>
  <c r="D336" i="16"/>
  <c r="C336" i="16"/>
  <c r="I336" i="16"/>
  <c r="G336" i="16"/>
  <c r="D357" i="16"/>
  <c r="I357" i="16"/>
  <c r="B357" i="16"/>
  <c r="F357" i="16"/>
  <c r="E357" i="16"/>
  <c r="C357" i="16"/>
  <c r="G357" i="16"/>
  <c r="D315" i="16"/>
  <c r="B336" i="16"/>
  <c r="G361" i="16"/>
  <c r="B361" i="16"/>
  <c r="I361" i="16"/>
  <c r="F361" i="16"/>
  <c r="E361" i="16"/>
  <c r="E368" i="16"/>
  <c r="F368" i="16"/>
  <c r="C368" i="16"/>
  <c r="B368" i="16"/>
  <c r="I368" i="16"/>
  <c r="I382" i="16"/>
  <c r="C382" i="16"/>
  <c r="G382" i="16"/>
  <c r="F382" i="16"/>
  <c r="E382" i="16"/>
  <c r="D382" i="16"/>
  <c r="B382" i="16"/>
  <c r="B209" i="16"/>
  <c r="I209" i="16"/>
  <c r="J209" i="16" s="1"/>
  <c r="F219" i="16"/>
  <c r="H250" i="16"/>
  <c r="K250" i="16" s="1"/>
  <c r="L250" i="16" s="1"/>
  <c r="F261" i="16"/>
  <c r="E261" i="16"/>
  <c r="D261" i="16"/>
  <c r="I264" i="16"/>
  <c r="J270" i="16"/>
  <c r="G289" i="16"/>
  <c r="F289" i="16"/>
  <c r="E289" i="16"/>
  <c r="I295" i="16"/>
  <c r="J295" i="16" s="1"/>
  <c r="M295" i="16" s="1"/>
  <c r="G295" i="16"/>
  <c r="H295" i="16" s="1"/>
  <c r="E315" i="16"/>
  <c r="E320" i="16"/>
  <c r="J320" i="16" s="1"/>
  <c r="D320" i="16"/>
  <c r="C320" i="16"/>
  <c r="B320" i="16"/>
  <c r="C361" i="16"/>
  <c r="D368" i="16"/>
  <c r="I302" i="16"/>
  <c r="F302" i="16"/>
  <c r="G302" i="16"/>
  <c r="E302" i="16"/>
  <c r="C313" i="16"/>
  <c r="D313" i="16"/>
  <c r="E313" i="16"/>
  <c r="B313" i="16"/>
  <c r="G315" i="16"/>
  <c r="D325" i="16"/>
  <c r="I325" i="16"/>
  <c r="G325" i="16"/>
  <c r="F325" i="16"/>
  <c r="C325" i="16"/>
  <c r="I328" i="16"/>
  <c r="B328" i="16"/>
  <c r="G328" i="16"/>
  <c r="F328" i="16"/>
  <c r="E328" i="16"/>
  <c r="C337" i="16"/>
  <c r="B337" i="16"/>
  <c r="G337" i="16"/>
  <c r="F337" i="16"/>
  <c r="E337" i="16"/>
  <c r="D337" i="16"/>
  <c r="D361" i="16"/>
  <c r="G368" i="16"/>
  <c r="B193" i="16"/>
  <c r="J250" i="16"/>
  <c r="F281" i="16"/>
  <c r="I281" i="16"/>
  <c r="G285" i="16"/>
  <c r="F285" i="16"/>
  <c r="J285" i="16" s="1"/>
  <c r="J291" i="16"/>
  <c r="B302" i="16"/>
  <c r="F313" i="16"/>
  <c r="C346" i="16"/>
  <c r="I346" i="16"/>
  <c r="D346" i="16"/>
  <c r="G346" i="16"/>
  <c r="F346" i="16"/>
  <c r="E346" i="16"/>
  <c r="B346" i="16"/>
  <c r="G280" i="16"/>
  <c r="I280" i="16"/>
  <c r="J280" i="16" s="1"/>
  <c r="F283" i="16"/>
  <c r="J283" i="16" s="1"/>
  <c r="B283" i="16"/>
  <c r="G283" i="16"/>
  <c r="F299" i="16"/>
  <c r="J299" i="16" s="1"/>
  <c r="D299" i="16"/>
  <c r="C330" i="16"/>
  <c r="B330" i="16"/>
  <c r="G330" i="16"/>
  <c r="F330" i="16"/>
  <c r="E330" i="16"/>
  <c r="D330" i="16"/>
  <c r="J338" i="16"/>
  <c r="G342" i="16"/>
  <c r="C342" i="16"/>
  <c r="B342" i="16"/>
  <c r="B256" i="16"/>
  <c r="B383" i="16"/>
  <c r="I383" i="16"/>
  <c r="G383" i="16"/>
  <c r="F383" i="16"/>
  <c r="G395" i="16"/>
  <c r="D395" i="16"/>
  <c r="C395" i="16"/>
  <c r="B395" i="16"/>
  <c r="J410" i="16"/>
  <c r="E443" i="16"/>
  <c r="D443" i="16"/>
  <c r="I443" i="16"/>
  <c r="G443" i="16"/>
  <c r="F443" i="16"/>
  <c r="C443" i="16"/>
  <c r="B443" i="16"/>
  <c r="C256" i="16"/>
  <c r="D277" i="16"/>
  <c r="G294" i="16"/>
  <c r="E294" i="16"/>
  <c r="J294" i="16" s="1"/>
  <c r="D294" i="16"/>
  <c r="D309" i="16"/>
  <c r="H309" i="16" s="1"/>
  <c r="K309" i="16" s="1"/>
  <c r="L309" i="16" s="1"/>
  <c r="C309" i="16"/>
  <c r="I309" i="16"/>
  <c r="J309" i="16" s="1"/>
  <c r="I316" i="16"/>
  <c r="G316" i="16"/>
  <c r="E316" i="16"/>
  <c r="E342" i="16"/>
  <c r="C383" i="16"/>
  <c r="E395" i="16"/>
  <c r="J395" i="16" s="1"/>
  <c r="I323" i="16"/>
  <c r="G323" i="16"/>
  <c r="F323" i="16"/>
  <c r="D323" i="16"/>
  <c r="E407" i="16"/>
  <c r="D407" i="16"/>
  <c r="G407" i="16"/>
  <c r="F407" i="16"/>
  <c r="C407" i="16"/>
  <c r="J413" i="16"/>
  <c r="J428" i="16"/>
  <c r="M428" i="16" s="1"/>
  <c r="F404" i="16"/>
  <c r="G404" i="16"/>
  <c r="I404" i="16"/>
  <c r="B424" i="16"/>
  <c r="F424" i="16"/>
  <c r="E424" i="16"/>
  <c r="D424" i="16"/>
  <c r="I424" i="16"/>
  <c r="B404" i="16"/>
  <c r="C424" i="16"/>
  <c r="E323" i="16"/>
  <c r="G327" i="16"/>
  <c r="I327" i="16"/>
  <c r="C327" i="16"/>
  <c r="B327" i="16"/>
  <c r="F333" i="16"/>
  <c r="E333" i="16"/>
  <c r="I333" i="16"/>
  <c r="B335" i="16"/>
  <c r="G335" i="16"/>
  <c r="F335" i="16"/>
  <c r="E335" i="16"/>
  <c r="E349" i="16"/>
  <c r="I349" i="16"/>
  <c r="G349" i="16"/>
  <c r="J355" i="16"/>
  <c r="C404" i="16"/>
  <c r="G424" i="16"/>
  <c r="F331" i="16"/>
  <c r="J331" i="16" s="1"/>
  <c r="G331" i="16"/>
  <c r="B331" i="16"/>
  <c r="F339" i="16"/>
  <c r="E339" i="16"/>
  <c r="D339" i="16"/>
  <c r="C339" i="16"/>
  <c r="J367" i="16"/>
  <c r="M367" i="16" s="1"/>
  <c r="D375" i="16"/>
  <c r="C375" i="16"/>
  <c r="F375" i="16"/>
  <c r="E375" i="16"/>
  <c r="B375" i="16"/>
  <c r="E396" i="16"/>
  <c r="D396" i="16"/>
  <c r="C396" i="16"/>
  <c r="B396" i="16"/>
  <c r="I396" i="16"/>
  <c r="G396" i="16"/>
  <c r="F396" i="16"/>
  <c r="D404" i="16"/>
  <c r="I256" i="16"/>
  <c r="J256" i="16" s="1"/>
  <c r="M256" i="16" s="1"/>
  <c r="H260" i="16"/>
  <c r="K260" i="16" s="1"/>
  <c r="L260" i="16" s="1"/>
  <c r="B270" i="16"/>
  <c r="H277" i="16"/>
  <c r="J318" i="16"/>
  <c r="E327" i="16"/>
  <c r="C331" i="16"/>
  <c r="C333" i="16"/>
  <c r="D335" i="16"/>
  <c r="B339" i="16"/>
  <c r="C345" i="16"/>
  <c r="B345" i="16"/>
  <c r="F345" i="16"/>
  <c r="E345" i="16"/>
  <c r="C349" i="16"/>
  <c r="D360" i="16"/>
  <c r="C360" i="16"/>
  <c r="I360" i="16"/>
  <c r="J360" i="16" s="1"/>
  <c r="G360" i="16"/>
  <c r="G375" i="16"/>
  <c r="E404" i="16"/>
  <c r="K164" i="16"/>
  <c r="L164" i="16" s="1"/>
  <c r="B177" i="16"/>
  <c r="H211" i="16"/>
  <c r="K228" i="16"/>
  <c r="L228" i="16" s="1"/>
  <c r="B241" i="16"/>
  <c r="I260" i="16"/>
  <c r="J260" i="16" s="1"/>
  <c r="I277" i="16"/>
  <c r="J277" i="16" s="1"/>
  <c r="I300" i="16"/>
  <c r="J300" i="16" s="1"/>
  <c r="M300" i="16" s="1"/>
  <c r="B300" i="16"/>
  <c r="L300" i="16"/>
  <c r="F327" i="16"/>
  <c r="D331" i="16"/>
  <c r="D333" i="16"/>
  <c r="I335" i="16"/>
  <c r="G339" i="16"/>
  <c r="D341" i="16"/>
  <c r="H341" i="16" s="1"/>
  <c r="J341" i="16"/>
  <c r="B341" i="16"/>
  <c r="D343" i="16"/>
  <c r="C343" i="16"/>
  <c r="I343" i="16"/>
  <c r="J343" i="16" s="1"/>
  <c r="G343" i="16"/>
  <c r="D349" i="16"/>
  <c r="G358" i="16"/>
  <c r="F358" i="16"/>
  <c r="I358" i="16"/>
  <c r="E402" i="16"/>
  <c r="J402" i="16" s="1"/>
  <c r="C402" i="16"/>
  <c r="B402" i="16"/>
  <c r="I402" i="16"/>
  <c r="I437" i="16"/>
  <c r="D437" i="16"/>
  <c r="F437" i="16"/>
  <c r="E437" i="16"/>
  <c r="C437" i="16"/>
  <c r="I380" i="16"/>
  <c r="C380" i="16"/>
  <c r="B380" i="16"/>
  <c r="M476" i="16"/>
  <c r="F484" i="16"/>
  <c r="I484" i="16"/>
  <c r="G484" i="16"/>
  <c r="E484" i="16"/>
  <c r="D484" i="16"/>
  <c r="C314" i="16"/>
  <c r="G314" i="16"/>
  <c r="G370" i="16"/>
  <c r="F370" i="16"/>
  <c r="E370" i="16"/>
  <c r="J370" i="16" s="1"/>
  <c r="D370" i="16"/>
  <c r="G374" i="16"/>
  <c r="H374" i="16" s="1"/>
  <c r="I374" i="16"/>
  <c r="J374" i="16" s="1"/>
  <c r="D376" i="16"/>
  <c r="C376" i="16"/>
  <c r="I376" i="16"/>
  <c r="B376" i="16"/>
  <c r="C378" i="16"/>
  <c r="D378" i="16"/>
  <c r="B378" i="16"/>
  <c r="D380" i="16"/>
  <c r="I438" i="16"/>
  <c r="G438" i="16"/>
  <c r="F438" i="16"/>
  <c r="C438" i="16"/>
  <c r="B484" i="16"/>
  <c r="C499" i="16"/>
  <c r="G499" i="16"/>
  <c r="F499" i="16"/>
  <c r="I499" i="16"/>
  <c r="E499" i="16"/>
  <c r="D499" i="16"/>
  <c r="B370" i="16"/>
  <c r="B374" i="16"/>
  <c r="E376" i="16"/>
  <c r="E378" i="16"/>
  <c r="J378" i="16" s="1"/>
  <c r="E380" i="16"/>
  <c r="I405" i="16"/>
  <c r="J405" i="16" s="1"/>
  <c r="D405" i="16"/>
  <c r="H405" i="16" s="1"/>
  <c r="K405" i="16" s="1"/>
  <c r="L405" i="16" s="1"/>
  <c r="C405" i="16"/>
  <c r="B438" i="16"/>
  <c r="C484" i="16"/>
  <c r="B499" i="16"/>
  <c r="E438" i="16"/>
  <c r="I454" i="16"/>
  <c r="G454" i="16"/>
  <c r="C454" i="16"/>
  <c r="F454" i="16"/>
  <c r="E454" i="16"/>
  <c r="D454" i="16"/>
  <c r="J417" i="16"/>
  <c r="M417" i="16" s="1"/>
  <c r="C451" i="16"/>
  <c r="B451" i="16"/>
  <c r="I451" i="16"/>
  <c r="J451" i="16" s="1"/>
  <c r="D451" i="16"/>
  <c r="B454" i="16"/>
  <c r="J460" i="16"/>
  <c r="D423" i="16"/>
  <c r="G423" i="16"/>
  <c r="I423" i="16"/>
  <c r="C387" i="16"/>
  <c r="B387" i="16"/>
  <c r="I387" i="16"/>
  <c r="D406" i="16"/>
  <c r="E406" i="16"/>
  <c r="C406" i="16"/>
  <c r="B423" i="16"/>
  <c r="C435" i="16"/>
  <c r="I435" i="16"/>
  <c r="E435" i="16"/>
  <c r="J435" i="16" s="1"/>
  <c r="D435" i="16"/>
  <c r="B435" i="16"/>
  <c r="G435" i="16"/>
  <c r="I332" i="16"/>
  <c r="J332" i="16" s="1"/>
  <c r="M332" i="16" s="1"/>
  <c r="K332" i="16"/>
  <c r="L332" i="16" s="1"/>
  <c r="D387" i="16"/>
  <c r="B406" i="16"/>
  <c r="C423" i="16"/>
  <c r="F435" i="16"/>
  <c r="G451" i="16"/>
  <c r="B332" i="16"/>
  <c r="J340" i="16"/>
  <c r="M340" i="16" s="1"/>
  <c r="F347" i="16"/>
  <c r="C347" i="16"/>
  <c r="B347" i="16"/>
  <c r="E352" i="16"/>
  <c r="G352" i="16"/>
  <c r="F352" i="16"/>
  <c r="F354" i="16"/>
  <c r="E354" i="16"/>
  <c r="D354" i="16"/>
  <c r="I369" i="16"/>
  <c r="J369" i="16" s="1"/>
  <c r="G369" i="16"/>
  <c r="H369" i="16" s="1"/>
  <c r="B369" i="16"/>
  <c r="E387" i="16"/>
  <c r="E393" i="16"/>
  <c r="J393" i="16" s="1"/>
  <c r="C393" i="16"/>
  <c r="G393" i="16"/>
  <c r="F406" i="16"/>
  <c r="G411" i="16"/>
  <c r="F411" i="16"/>
  <c r="I411" i="16"/>
  <c r="E411" i="16"/>
  <c r="G415" i="16"/>
  <c r="E415" i="16"/>
  <c r="I415" i="16"/>
  <c r="B415" i="16"/>
  <c r="F415" i="16"/>
  <c r="D415" i="16"/>
  <c r="E423" i="16"/>
  <c r="E473" i="16"/>
  <c r="F473" i="16"/>
  <c r="I473" i="16"/>
  <c r="C473" i="16"/>
  <c r="B473" i="16"/>
  <c r="E490" i="16"/>
  <c r="I490" i="16"/>
  <c r="G490" i="16"/>
  <c r="J440" i="16"/>
  <c r="D473" i="16"/>
  <c r="B490" i="16"/>
  <c r="G473" i="16"/>
  <c r="C490" i="16"/>
  <c r="I469" i="16"/>
  <c r="F469" i="16"/>
  <c r="D469" i="16"/>
  <c r="C469" i="16"/>
  <c r="D490" i="16"/>
  <c r="F436" i="16"/>
  <c r="D436" i="16"/>
  <c r="E436" i="16"/>
  <c r="C436" i="16"/>
  <c r="B455" i="16"/>
  <c r="I455" i="16"/>
  <c r="G455" i="16"/>
  <c r="B469" i="16"/>
  <c r="F490" i="16"/>
  <c r="B436" i="16"/>
  <c r="E441" i="16"/>
  <c r="G441" i="16"/>
  <c r="C455" i="16"/>
  <c r="E469" i="16"/>
  <c r="G479" i="16"/>
  <c r="E479" i="16"/>
  <c r="F479" i="16"/>
  <c r="D479" i="16"/>
  <c r="C479" i="16"/>
  <c r="B479" i="16"/>
  <c r="C427" i="16"/>
  <c r="I427" i="16"/>
  <c r="E427" i="16"/>
  <c r="D427" i="16"/>
  <c r="B427" i="16"/>
  <c r="G436" i="16"/>
  <c r="B441" i="16"/>
  <c r="D455" i="16"/>
  <c r="C464" i="16"/>
  <c r="G464" i="16"/>
  <c r="F464" i="16"/>
  <c r="E464" i="16"/>
  <c r="D464" i="16"/>
  <c r="B464" i="16"/>
  <c r="G469" i="16"/>
  <c r="E322" i="16"/>
  <c r="C362" i="16"/>
  <c r="F362" i="16"/>
  <c r="H377" i="16"/>
  <c r="G377" i="16"/>
  <c r="J377" i="16"/>
  <c r="D398" i="16"/>
  <c r="F398" i="16"/>
  <c r="I398" i="16"/>
  <c r="G412" i="16"/>
  <c r="F412" i="16"/>
  <c r="F427" i="16"/>
  <c r="C441" i="16"/>
  <c r="E455" i="16"/>
  <c r="I479" i="16"/>
  <c r="J311" i="16"/>
  <c r="B322" i="16"/>
  <c r="J359" i="16"/>
  <c r="M359" i="16" s="1"/>
  <c r="K359" i="16"/>
  <c r="L359" i="16" s="1"/>
  <c r="B362" i="16"/>
  <c r="B377" i="16"/>
  <c r="B398" i="16"/>
  <c r="B412" i="16"/>
  <c r="F420" i="16"/>
  <c r="I420" i="16"/>
  <c r="G420" i="16"/>
  <c r="E420" i="16"/>
  <c r="D420" i="16"/>
  <c r="G427" i="16"/>
  <c r="I436" i="16"/>
  <c r="D441" i="16"/>
  <c r="D446" i="16"/>
  <c r="H446" i="16" s="1"/>
  <c r="J446" i="16"/>
  <c r="I450" i="16"/>
  <c r="C450" i="16"/>
  <c r="B450" i="16"/>
  <c r="F450" i="16"/>
  <c r="E450" i="16"/>
  <c r="D450" i="16"/>
  <c r="F455" i="16"/>
  <c r="C467" i="16"/>
  <c r="I467" i="16"/>
  <c r="E467" i="16"/>
  <c r="D467" i="16"/>
  <c r="G475" i="16"/>
  <c r="H475" i="16" s="1"/>
  <c r="C475" i="16"/>
  <c r="B475" i="16"/>
  <c r="J475" i="16"/>
  <c r="F486" i="16"/>
  <c r="I486" i="16"/>
  <c r="G486" i="16"/>
  <c r="D486" i="16"/>
  <c r="C486" i="16"/>
  <c r="B486" i="16"/>
  <c r="F379" i="16"/>
  <c r="I379" i="16"/>
  <c r="C379" i="16"/>
  <c r="I386" i="16"/>
  <c r="J386" i="16" s="1"/>
  <c r="G386" i="16"/>
  <c r="I389" i="16"/>
  <c r="D389" i="16"/>
  <c r="E389" i="16"/>
  <c r="J389" i="16" s="1"/>
  <c r="C389" i="16"/>
  <c r="G389" i="16"/>
  <c r="G391" i="16"/>
  <c r="H391" i="16" s="1"/>
  <c r="M391" i="16" s="1"/>
  <c r="B391" i="16"/>
  <c r="C398" i="16"/>
  <c r="B408" i="16"/>
  <c r="I408" i="16"/>
  <c r="F408" i="16"/>
  <c r="E408" i="16"/>
  <c r="E425" i="16"/>
  <c r="D425" i="16"/>
  <c r="C425" i="16"/>
  <c r="I425" i="16"/>
  <c r="G425" i="16"/>
  <c r="F441" i="16"/>
  <c r="D462" i="16"/>
  <c r="F462" i="16"/>
  <c r="G462" i="16"/>
  <c r="E462" i="16"/>
  <c r="F400" i="16"/>
  <c r="E400" i="16"/>
  <c r="D430" i="16"/>
  <c r="F430" i="16"/>
  <c r="F452" i="16"/>
  <c r="G452" i="16"/>
  <c r="E457" i="16"/>
  <c r="H457" i="16" s="1"/>
  <c r="C457" i="16"/>
  <c r="I457" i="16"/>
  <c r="B457" i="16"/>
  <c r="E466" i="16"/>
  <c r="J466" i="16" s="1"/>
  <c r="D466" i="16"/>
  <c r="C466" i="16"/>
  <c r="F468" i="16"/>
  <c r="H468" i="16" s="1"/>
  <c r="B468" i="16"/>
  <c r="J477" i="16"/>
  <c r="D487" i="16"/>
  <c r="I487" i="16"/>
  <c r="J487" i="16" s="1"/>
  <c r="F385" i="16"/>
  <c r="E385" i="16"/>
  <c r="G394" i="16"/>
  <c r="B400" i="16"/>
  <c r="G422" i="16"/>
  <c r="F422" i="16"/>
  <c r="B422" i="16"/>
  <c r="D470" i="16"/>
  <c r="I470" i="16"/>
  <c r="E470" i="16"/>
  <c r="C470" i="16"/>
  <c r="G447" i="16"/>
  <c r="E447" i="16"/>
  <c r="D447" i="16"/>
  <c r="B470" i="16"/>
  <c r="C474" i="16"/>
  <c r="I474" i="16"/>
  <c r="I480" i="16"/>
  <c r="F480" i="16"/>
  <c r="E480" i="16"/>
  <c r="D480" i="16"/>
  <c r="K476" i="16"/>
  <c r="L476" i="16" s="1"/>
  <c r="I501" i="16"/>
  <c r="G501" i="16"/>
  <c r="F501" i="16"/>
  <c r="E501" i="16"/>
  <c r="D501" i="16"/>
  <c r="C501" i="16"/>
  <c r="J416" i="16"/>
  <c r="I416" i="16"/>
  <c r="G416" i="16"/>
  <c r="C419" i="16"/>
  <c r="E419" i="16"/>
  <c r="I419" i="16"/>
  <c r="D419" i="16"/>
  <c r="C439" i="16"/>
  <c r="B439" i="16"/>
  <c r="C444" i="16"/>
  <c r="I444" i="16"/>
  <c r="E444" i="16"/>
  <c r="F447" i="16"/>
  <c r="E474" i="16"/>
  <c r="G480" i="16"/>
  <c r="G487" i="16"/>
  <c r="B501" i="16"/>
  <c r="K274" i="16"/>
  <c r="L274" i="16" s="1"/>
  <c r="B287" i="16"/>
  <c r="H321" i="16"/>
  <c r="F348" i="16"/>
  <c r="B351" i="16"/>
  <c r="F365" i="16"/>
  <c r="I385" i="16"/>
  <c r="F394" i="16"/>
  <c r="I400" i="16"/>
  <c r="B416" i="16"/>
  <c r="B419" i="16"/>
  <c r="I422" i="16"/>
  <c r="I426" i="16"/>
  <c r="J426" i="16" s="1"/>
  <c r="D426" i="16"/>
  <c r="I430" i="16"/>
  <c r="G434" i="16"/>
  <c r="H434" i="16" s="1"/>
  <c r="M434" i="16" s="1"/>
  <c r="D439" i="16"/>
  <c r="F442" i="16"/>
  <c r="J442" i="16" s="1"/>
  <c r="B444" i="16"/>
  <c r="E449" i="16"/>
  <c r="I449" i="16"/>
  <c r="I452" i="16"/>
  <c r="I468" i="16"/>
  <c r="F474" i="16"/>
  <c r="C481" i="16"/>
  <c r="J481" i="16"/>
  <c r="G348" i="16"/>
  <c r="G365" i="16"/>
  <c r="H390" i="16"/>
  <c r="I390" i="16"/>
  <c r="J390" i="16" s="1"/>
  <c r="I394" i="16"/>
  <c r="C416" i="16"/>
  <c r="F419" i="16"/>
  <c r="E439" i="16"/>
  <c r="J439" i="16" s="1"/>
  <c r="G442" i="16"/>
  <c r="D444" i="16"/>
  <c r="I447" i="16"/>
  <c r="G458" i="16"/>
  <c r="H458" i="16" s="1"/>
  <c r="J458" i="16"/>
  <c r="H471" i="16"/>
  <c r="K471" i="16" s="1"/>
  <c r="L471" i="16" s="1"/>
  <c r="J471" i="16"/>
  <c r="G474" i="16"/>
  <c r="B481" i="16"/>
  <c r="E496" i="16"/>
  <c r="I496" i="16"/>
  <c r="G496" i="16"/>
  <c r="F496" i="16"/>
  <c r="D496" i="16"/>
  <c r="C483" i="16"/>
  <c r="E483" i="16"/>
  <c r="G492" i="16"/>
  <c r="B483" i="16"/>
  <c r="B492" i="16"/>
  <c r="C498" i="16"/>
  <c r="B498" i="16"/>
  <c r="B440" i="16"/>
  <c r="D440" i="16"/>
  <c r="B460" i="16"/>
  <c r="G463" i="16"/>
  <c r="D483" i="16"/>
  <c r="C492" i="16"/>
  <c r="D498" i="16"/>
  <c r="G483" i="16"/>
  <c r="E492" i="16"/>
  <c r="F498" i="16"/>
  <c r="I485" i="16"/>
  <c r="J485" i="16" s="1"/>
  <c r="B485" i="16"/>
  <c r="B488" i="16"/>
  <c r="F492" i="16"/>
  <c r="G498" i="16"/>
  <c r="F500" i="16"/>
  <c r="J500" i="16" s="1"/>
  <c r="D500" i="16"/>
  <c r="H500" i="16" s="1"/>
  <c r="B367" i="16"/>
  <c r="B392" i="16"/>
  <c r="C403" i="16"/>
  <c r="I403" i="16"/>
  <c r="J403" i="16" s="1"/>
  <c r="H410" i="16"/>
  <c r="C410" i="16"/>
  <c r="I421" i="16"/>
  <c r="J421" i="16" s="1"/>
  <c r="M421" i="16" s="1"/>
  <c r="J429" i="16"/>
  <c r="E432" i="16"/>
  <c r="J432" i="16" s="1"/>
  <c r="G440" i="16"/>
  <c r="I453" i="16"/>
  <c r="J453" i="16" s="1"/>
  <c r="D453" i="16"/>
  <c r="H453" i="16" s="1"/>
  <c r="B456" i="16"/>
  <c r="F456" i="16"/>
  <c r="G460" i="16"/>
  <c r="H460" i="16" s="1"/>
  <c r="E463" i="16"/>
  <c r="I483" i="16"/>
  <c r="C485" i="16"/>
  <c r="C488" i="16"/>
  <c r="I491" i="16"/>
  <c r="J491" i="16" s="1"/>
  <c r="C491" i="16"/>
  <c r="I497" i="16"/>
  <c r="J497" i="16" s="1"/>
  <c r="M497" i="16" s="1"/>
  <c r="B500" i="16"/>
  <c r="G399" i="16"/>
  <c r="J399" i="16"/>
  <c r="F463" i="16"/>
  <c r="D485" i="16"/>
  <c r="D488" i="16"/>
  <c r="H488" i="16" s="1"/>
  <c r="M488" i="16" s="1"/>
  <c r="B491" i="16"/>
  <c r="I492" i="16"/>
  <c r="D494" i="16"/>
  <c r="C494" i="16"/>
  <c r="B497" i="16"/>
  <c r="I498" i="16"/>
  <c r="C500" i="16"/>
  <c r="D414" i="16"/>
  <c r="J448" i="16"/>
  <c r="D478" i="16"/>
  <c r="K459" i="16"/>
  <c r="L459" i="16" s="1"/>
  <c r="B472" i="16"/>
  <c r="M374" i="16" l="1"/>
  <c r="H4" i="16"/>
  <c r="K4" i="16" s="1"/>
  <c r="L4" i="16" s="1"/>
  <c r="H398" i="16"/>
  <c r="J242" i="16"/>
  <c r="H409" i="16"/>
  <c r="M73" i="16"/>
  <c r="M341" i="16"/>
  <c r="J327" i="16"/>
  <c r="J325" i="16"/>
  <c r="J381" i="16"/>
  <c r="J305" i="16"/>
  <c r="M84" i="16"/>
  <c r="J212" i="16"/>
  <c r="H492" i="16"/>
  <c r="J483" i="16"/>
  <c r="J93" i="16"/>
  <c r="J91" i="16"/>
  <c r="H470" i="16"/>
  <c r="J157" i="16"/>
  <c r="M372" i="16"/>
  <c r="J71" i="16"/>
  <c r="H175" i="16"/>
  <c r="M3" i="16"/>
  <c r="H424" i="16"/>
  <c r="H336" i="16"/>
  <c r="H172" i="16"/>
  <c r="K172" i="16" s="1"/>
  <c r="L172" i="16" s="1"/>
  <c r="H442" i="16"/>
  <c r="J232" i="16"/>
  <c r="M93" i="16"/>
  <c r="J319" i="16"/>
  <c r="M319" i="16" s="1"/>
  <c r="H263" i="16"/>
  <c r="J79" i="16"/>
  <c r="H360" i="16"/>
  <c r="H44" i="16"/>
  <c r="K44" i="16" s="1"/>
  <c r="L44" i="16" s="1"/>
  <c r="J258" i="16"/>
  <c r="K468" i="16"/>
  <c r="L468" i="16" s="1"/>
  <c r="J462" i="16"/>
  <c r="M446" i="16"/>
  <c r="J484" i="16"/>
  <c r="J478" i="16"/>
  <c r="J351" i="16"/>
  <c r="M351" i="16" s="1"/>
  <c r="J406" i="16"/>
  <c r="J376" i="16"/>
  <c r="J225" i="16"/>
  <c r="M169" i="16"/>
  <c r="H255" i="16"/>
  <c r="K255" i="16" s="1"/>
  <c r="L255" i="16" s="1"/>
  <c r="H5" i="16"/>
  <c r="K5" i="16" s="1"/>
  <c r="L5" i="16" s="1"/>
  <c r="J339" i="16"/>
  <c r="J264" i="16"/>
  <c r="M100" i="16"/>
  <c r="J235" i="16"/>
  <c r="J461" i="16"/>
  <c r="J63" i="16"/>
  <c r="J214" i="16"/>
  <c r="H27" i="16"/>
  <c r="J269" i="16"/>
  <c r="J16" i="16"/>
  <c r="H474" i="16"/>
  <c r="J467" i="16"/>
  <c r="J420" i="16"/>
  <c r="J302" i="16"/>
  <c r="H187" i="16"/>
  <c r="H91" i="16"/>
  <c r="H135" i="16"/>
  <c r="J40" i="16"/>
  <c r="H212" i="16"/>
  <c r="M212" i="16" s="1"/>
  <c r="H71" i="16"/>
  <c r="M71" i="16" s="1"/>
  <c r="J18" i="16"/>
  <c r="H299" i="16"/>
  <c r="K299" i="16" s="1"/>
  <c r="L299" i="16" s="1"/>
  <c r="M201" i="16"/>
  <c r="J231" i="16"/>
  <c r="H104" i="16"/>
  <c r="J468" i="16"/>
  <c r="M468" i="16" s="1"/>
  <c r="H383" i="16"/>
  <c r="K383" i="16" s="1"/>
  <c r="L383" i="16" s="1"/>
  <c r="H251" i="16"/>
  <c r="K251" i="16" s="1"/>
  <c r="L251" i="16" s="1"/>
  <c r="H238" i="16"/>
  <c r="M124" i="16"/>
  <c r="H119" i="16"/>
  <c r="J179" i="16"/>
  <c r="J15" i="16"/>
  <c r="H368" i="16"/>
  <c r="H253" i="16"/>
  <c r="K124" i="16"/>
  <c r="L124" i="16" s="1"/>
  <c r="K246" i="16"/>
  <c r="L246" i="16" s="1"/>
  <c r="J238" i="16"/>
  <c r="M54" i="16"/>
  <c r="H186" i="16"/>
  <c r="K186" i="16" s="1"/>
  <c r="L186" i="16" s="1"/>
  <c r="H199" i="16"/>
  <c r="J92" i="16"/>
  <c r="H9" i="16"/>
  <c r="J198" i="16"/>
  <c r="J25" i="16"/>
  <c r="H95" i="16"/>
  <c r="K95" i="16" s="1"/>
  <c r="L95" i="16" s="1"/>
  <c r="H455" i="16"/>
  <c r="H223" i="16"/>
  <c r="M103" i="16"/>
  <c r="J202" i="16"/>
  <c r="J98" i="16"/>
  <c r="M4" i="16"/>
  <c r="J385" i="16"/>
  <c r="J499" i="16"/>
  <c r="H349" i="16"/>
  <c r="K349" i="16" s="1"/>
  <c r="L349" i="16" s="1"/>
  <c r="H316" i="16"/>
  <c r="J301" i="16"/>
  <c r="H326" i="16"/>
  <c r="H293" i="16"/>
  <c r="H284" i="16"/>
  <c r="K167" i="16"/>
  <c r="L167" i="16" s="1"/>
  <c r="J153" i="16"/>
  <c r="J21" i="16"/>
  <c r="J137" i="16"/>
  <c r="J89" i="16"/>
  <c r="M491" i="16"/>
  <c r="J138" i="16"/>
  <c r="H28" i="16"/>
  <c r="K28" i="16" s="1"/>
  <c r="L28" i="16" s="1"/>
  <c r="J112" i="16"/>
  <c r="M230" i="16"/>
  <c r="M472" i="16"/>
  <c r="M324" i="16"/>
  <c r="J329" i="16"/>
  <c r="M329" i="16" s="1"/>
  <c r="J115" i="16"/>
  <c r="J211" i="16"/>
  <c r="M211" i="16" s="1"/>
  <c r="H486" i="16"/>
  <c r="J438" i="16"/>
  <c r="H331" i="16"/>
  <c r="M331" i="16" s="1"/>
  <c r="J443" i="16"/>
  <c r="H325" i="16"/>
  <c r="J361" i="16"/>
  <c r="J286" i="16"/>
  <c r="H305" i="16"/>
  <c r="M305" i="16" s="1"/>
  <c r="H242" i="16"/>
  <c r="J273" i="16"/>
  <c r="J102" i="16"/>
  <c r="H272" i="16"/>
  <c r="J263" i="16"/>
  <c r="H26" i="16"/>
  <c r="J58" i="16"/>
  <c r="M58" i="16" s="1"/>
  <c r="H209" i="16"/>
  <c r="K209" i="16" s="1"/>
  <c r="L209" i="16" s="1"/>
  <c r="J75" i="16"/>
  <c r="J459" i="16"/>
  <c r="M459" i="16" s="1"/>
  <c r="J415" i="16"/>
  <c r="H370" i="16"/>
  <c r="M370" i="16" s="1"/>
  <c r="J330" i="16"/>
  <c r="H259" i="16"/>
  <c r="J247" i="16"/>
  <c r="H200" i="16"/>
  <c r="H58" i="16"/>
  <c r="K58" i="16" s="1"/>
  <c r="L58" i="16" s="1"/>
  <c r="H49" i="16"/>
  <c r="K49" i="16" s="1"/>
  <c r="L49" i="16" s="1"/>
  <c r="J193" i="16"/>
  <c r="M193" i="16" s="1"/>
  <c r="J213" i="16"/>
  <c r="H109" i="16"/>
  <c r="H127" i="16"/>
  <c r="M68" i="16"/>
  <c r="M61" i="16"/>
  <c r="J411" i="16"/>
  <c r="J323" i="16"/>
  <c r="K295" i="16"/>
  <c r="L295" i="16" s="1"/>
  <c r="H363" i="16"/>
  <c r="J255" i="16"/>
  <c r="J163" i="16"/>
  <c r="J463" i="16"/>
  <c r="J474" i="16"/>
  <c r="M474" i="16" s="1"/>
  <c r="J396" i="16"/>
  <c r="H313" i="16"/>
  <c r="H315" i="16"/>
  <c r="K315" i="16" s="1"/>
  <c r="L315" i="16" s="1"/>
  <c r="H183" i="16"/>
  <c r="M183" i="16" s="1"/>
  <c r="M218" i="16"/>
  <c r="J109" i="16"/>
  <c r="H163" i="16"/>
  <c r="K163" i="16" s="1"/>
  <c r="L163" i="16" s="1"/>
  <c r="J134" i="16"/>
  <c r="H441" i="16"/>
  <c r="M152" i="16"/>
  <c r="H217" i="16"/>
  <c r="K217" i="16" s="1"/>
  <c r="L217" i="16" s="1"/>
  <c r="J76" i="16"/>
  <c r="J24" i="16"/>
  <c r="J14" i="16"/>
  <c r="K73" i="16"/>
  <c r="L73" i="16" s="1"/>
  <c r="K475" i="16"/>
  <c r="L475" i="16" s="1"/>
  <c r="J117" i="16"/>
  <c r="J69" i="16"/>
  <c r="H490" i="16"/>
  <c r="J106" i="16"/>
  <c r="M52" i="16"/>
  <c r="J72" i="16"/>
  <c r="J287" i="16"/>
  <c r="M287" i="16" s="1"/>
  <c r="J276" i="16"/>
  <c r="M276" i="16" s="1"/>
  <c r="J424" i="16"/>
  <c r="M424" i="16" s="1"/>
  <c r="J383" i="16"/>
  <c r="M383" i="16" s="1"/>
  <c r="H307" i="16"/>
  <c r="K307" i="16" s="1"/>
  <c r="L307" i="16" s="1"/>
  <c r="J297" i="16"/>
  <c r="H123" i="16"/>
  <c r="K52" i="16"/>
  <c r="L52" i="16" s="1"/>
  <c r="H81" i="16"/>
  <c r="K81" i="16" s="1"/>
  <c r="L81" i="16" s="1"/>
  <c r="J90" i="16"/>
  <c r="H6" i="16"/>
  <c r="J36" i="16"/>
  <c r="M36" i="16" s="1"/>
  <c r="M453" i="16"/>
  <c r="H451" i="16"/>
  <c r="M451" i="16" s="1"/>
  <c r="J281" i="16"/>
  <c r="J373" i="16"/>
  <c r="J271" i="16"/>
  <c r="J221" i="16"/>
  <c r="J111" i="16"/>
  <c r="J81" i="16"/>
  <c r="M81" i="16" s="1"/>
  <c r="J148" i="16"/>
  <c r="H108" i="16"/>
  <c r="K108" i="16" s="1"/>
  <c r="L108" i="16" s="1"/>
  <c r="H214" i="16"/>
  <c r="M250" i="16"/>
  <c r="J261" i="16"/>
  <c r="J233" i="16"/>
  <c r="J39" i="16"/>
  <c r="J67" i="16"/>
  <c r="J17" i="16"/>
  <c r="J282" i="16"/>
  <c r="J482" i="16"/>
  <c r="M482" i="16" s="1"/>
  <c r="M91" i="16"/>
  <c r="M109" i="16"/>
  <c r="K316" i="16"/>
  <c r="L316" i="16" s="1"/>
  <c r="K384" i="16"/>
  <c r="L384" i="16" s="1"/>
  <c r="M384" i="16"/>
  <c r="M270" i="16"/>
  <c r="J419" i="16"/>
  <c r="J427" i="16"/>
  <c r="H473" i="16"/>
  <c r="H353" i="16"/>
  <c r="H247" i="16"/>
  <c r="K247" i="16" s="1"/>
  <c r="L247" i="16" s="1"/>
  <c r="K135" i="16"/>
  <c r="L135" i="16" s="1"/>
  <c r="H279" i="16"/>
  <c r="H290" i="16"/>
  <c r="J31" i="16"/>
  <c r="K434" i="16"/>
  <c r="L434" i="16" s="1"/>
  <c r="M405" i="16"/>
  <c r="H437" i="16"/>
  <c r="K218" i="16"/>
  <c r="L218" i="16" s="1"/>
  <c r="H334" i="16"/>
  <c r="K334" i="16" s="1"/>
  <c r="L334" i="16" s="1"/>
  <c r="J409" i="16"/>
  <c r="M409" i="16" s="1"/>
  <c r="J165" i="16"/>
  <c r="M44" i="16"/>
  <c r="J48" i="16"/>
  <c r="J121" i="16"/>
  <c r="J457" i="16"/>
  <c r="M457" i="16" s="1"/>
  <c r="J455" i="16"/>
  <c r="M455" i="16" s="1"/>
  <c r="H406" i="16"/>
  <c r="K406" i="16" s="1"/>
  <c r="L406" i="16" s="1"/>
  <c r="J380" i="16"/>
  <c r="M299" i="16"/>
  <c r="J313" i="16"/>
  <c r="K336" i="16"/>
  <c r="L336" i="16" s="1"/>
  <c r="J364" i="16"/>
  <c r="M310" i="16"/>
  <c r="J293" i="16"/>
  <c r="M293" i="16" s="1"/>
  <c r="J334" i="16"/>
  <c r="K253" i="16"/>
  <c r="L253" i="16" s="1"/>
  <c r="J189" i="16"/>
  <c r="K169" i="16"/>
  <c r="L169" i="16" s="1"/>
  <c r="H195" i="16"/>
  <c r="M86" i="16"/>
  <c r="H268" i="16"/>
  <c r="K268" i="16" s="1"/>
  <c r="L268" i="16" s="1"/>
  <c r="H179" i="16"/>
  <c r="M179" i="16" s="1"/>
  <c r="J123" i="16"/>
  <c r="J135" i="16"/>
  <c r="J161" i="16"/>
  <c r="J145" i="16"/>
  <c r="M41" i="16"/>
  <c r="H16" i="16"/>
  <c r="M16" i="16" s="1"/>
  <c r="H31" i="16"/>
  <c r="K31" i="16" s="1"/>
  <c r="L31" i="16" s="1"/>
  <c r="H385" i="16"/>
  <c r="K385" i="16" s="1"/>
  <c r="L385" i="16" s="1"/>
  <c r="J354" i="16"/>
  <c r="K341" i="16"/>
  <c r="L341" i="16" s="1"/>
  <c r="H396" i="16"/>
  <c r="K396" i="16" s="1"/>
  <c r="L396" i="16" s="1"/>
  <c r="J333" i="16"/>
  <c r="H191" i="16"/>
  <c r="K191" i="16" s="1"/>
  <c r="L191" i="16" s="1"/>
  <c r="H165" i="16"/>
  <c r="K272" i="16"/>
  <c r="L272" i="16" s="1"/>
  <c r="H90" i="16"/>
  <c r="H67" i="16"/>
  <c r="J194" i="16"/>
  <c r="M194" i="16" s="1"/>
  <c r="M481" i="16"/>
  <c r="J236" i="16"/>
  <c r="H487" i="16"/>
  <c r="M487" i="16" s="1"/>
  <c r="J436" i="16"/>
  <c r="H281" i="16"/>
  <c r="K281" i="16" s="1"/>
  <c r="L281" i="16" s="1"/>
  <c r="K310" i="16"/>
  <c r="L310" i="16" s="1"/>
  <c r="J266" i="16"/>
  <c r="J350" i="16"/>
  <c r="J223" i="16"/>
  <c r="M172" i="16"/>
  <c r="J268" i="16"/>
  <c r="M268" i="16" s="1"/>
  <c r="J85" i="16"/>
  <c r="J114" i="16"/>
  <c r="M114" i="16" s="1"/>
  <c r="K474" i="16"/>
  <c r="L474" i="16" s="1"/>
  <c r="H501" i="16"/>
  <c r="J452" i="16"/>
  <c r="H436" i="16"/>
  <c r="J454" i="16"/>
  <c r="J289" i="16"/>
  <c r="M289" i="16" s="1"/>
  <c r="H381" i="16"/>
  <c r="K381" i="16" s="1"/>
  <c r="L381" i="16" s="1"/>
  <c r="J216" i="16"/>
  <c r="H266" i="16"/>
  <c r="K266" i="16" s="1"/>
  <c r="L266" i="16" s="1"/>
  <c r="J288" i="16"/>
  <c r="J257" i="16"/>
  <c r="J272" i="16"/>
  <c r="J204" i="16"/>
  <c r="H319" i="16"/>
  <c r="H40" i="16"/>
  <c r="K40" i="16" s="1"/>
  <c r="L40" i="16" s="1"/>
  <c r="J501" i="16"/>
  <c r="J379" i="16"/>
  <c r="J464" i="16"/>
  <c r="M360" i="16"/>
  <c r="K424" i="16"/>
  <c r="L424" i="16" s="1"/>
  <c r="J404" i="16"/>
  <c r="J357" i="16"/>
  <c r="J208" i="16"/>
  <c r="H233" i="16"/>
  <c r="J178" i="16"/>
  <c r="J184" i="16"/>
  <c r="H202" i="16"/>
  <c r="K202" i="16" s="1"/>
  <c r="L202" i="16" s="1"/>
  <c r="J162" i="16"/>
  <c r="H118" i="16"/>
  <c r="K20" i="16"/>
  <c r="L20" i="16" s="1"/>
  <c r="J104" i="16"/>
  <c r="H99" i="16"/>
  <c r="H76" i="16"/>
  <c r="H151" i="16"/>
  <c r="K151" i="16" s="1"/>
  <c r="L151" i="16" s="1"/>
  <c r="J45" i="16"/>
  <c r="H17" i="16"/>
  <c r="K17" i="16" s="1"/>
  <c r="L17" i="16" s="1"/>
  <c r="H92" i="16"/>
  <c r="H129" i="16"/>
  <c r="J495" i="16"/>
  <c r="J147" i="16"/>
  <c r="M147" i="16" s="1"/>
  <c r="H140" i="16"/>
  <c r="K140" i="16" s="1"/>
  <c r="L140" i="16" s="1"/>
  <c r="J142" i="16"/>
  <c r="M142" i="16" s="1"/>
  <c r="K455" i="16"/>
  <c r="L455" i="16" s="1"/>
  <c r="J133" i="16"/>
  <c r="H125" i="16"/>
  <c r="J234" i="16"/>
  <c r="J400" i="16"/>
  <c r="J444" i="16"/>
  <c r="H450" i="16"/>
  <c r="K450" i="16" s="1"/>
  <c r="L450" i="16" s="1"/>
  <c r="H358" i="16"/>
  <c r="J368" i="16"/>
  <c r="M368" i="16" s="1"/>
  <c r="H264" i="16"/>
  <c r="J278" i="16"/>
  <c r="H306" i="16"/>
  <c r="J210" i="16"/>
  <c r="J158" i="16"/>
  <c r="J122" i="16"/>
  <c r="J132" i="16"/>
  <c r="J13" i="16"/>
  <c r="H98" i="16"/>
  <c r="M98" i="16" s="1"/>
  <c r="H429" i="16"/>
  <c r="M429" i="16" s="1"/>
  <c r="J139" i="16"/>
  <c r="M139" i="16" s="1"/>
  <c r="J246" i="16"/>
  <c r="M246" i="16" s="1"/>
  <c r="J470" i="16"/>
  <c r="M470" i="16" s="1"/>
  <c r="J450" i="16"/>
  <c r="H469" i="16"/>
  <c r="K469" i="16" s="1"/>
  <c r="L469" i="16" s="1"/>
  <c r="J473" i="16"/>
  <c r="J375" i="16"/>
  <c r="H443" i="16"/>
  <c r="M443" i="16" s="1"/>
  <c r="M317" i="16"/>
  <c r="H213" i="16"/>
  <c r="M213" i="16" s="1"/>
  <c r="J240" i="16"/>
  <c r="J170" i="16"/>
  <c r="J217" i="16"/>
  <c r="M10" i="16"/>
  <c r="J392" i="16"/>
  <c r="M392" i="16" s="1"/>
  <c r="M460" i="16"/>
  <c r="H499" i="16"/>
  <c r="M75" i="16"/>
  <c r="K27" i="16"/>
  <c r="L27" i="16" s="1"/>
  <c r="J237" i="16"/>
  <c r="J241" i="16"/>
  <c r="M241" i="16" s="1"/>
  <c r="J449" i="16"/>
  <c r="M309" i="16"/>
  <c r="H303" i="16"/>
  <c r="K303" i="16" s="1"/>
  <c r="L303" i="16" s="1"/>
  <c r="J199" i="16"/>
  <c r="J95" i="16"/>
  <c r="M95" i="16" s="1"/>
  <c r="H97" i="16"/>
  <c r="K97" i="16" s="1"/>
  <c r="L97" i="16" s="1"/>
  <c r="K263" i="16"/>
  <c r="L263" i="16" s="1"/>
  <c r="J74" i="16"/>
  <c r="H13" i="16"/>
  <c r="K13" i="16" s="1"/>
  <c r="L13" i="16" s="1"/>
  <c r="K230" i="16"/>
  <c r="L230" i="16" s="1"/>
  <c r="J49" i="16"/>
  <c r="J62" i="16"/>
  <c r="J220" i="16"/>
  <c r="H483" i="16"/>
  <c r="K483" i="16" s="1"/>
  <c r="L483" i="16" s="1"/>
  <c r="J486" i="16"/>
  <c r="M486" i="16" s="1"/>
  <c r="J423" i="16"/>
  <c r="J387" i="16"/>
  <c r="J349" i="16"/>
  <c r="H407" i="16"/>
  <c r="K407" i="16" s="1"/>
  <c r="L407" i="16" s="1"/>
  <c r="K409" i="16"/>
  <c r="L409" i="16" s="1"/>
  <c r="M196" i="16"/>
  <c r="J353" i="16"/>
  <c r="J251" i="16"/>
  <c r="J249" i="16"/>
  <c r="H102" i="16"/>
  <c r="M102" i="16" s="1"/>
  <c r="H235" i="16"/>
  <c r="M235" i="16" s="1"/>
  <c r="J99" i="16"/>
  <c r="M99" i="16" s="1"/>
  <c r="J27" i="16"/>
  <c r="M27" i="16" s="1"/>
  <c r="K38" i="16"/>
  <c r="L38" i="16" s="1"/>
  <c r="J401" i="16"/>
  <c r="M401" i="16" s="1"/>
  <c r="H338" i="16"/>
  <c r="K338" i="16" s="1"/>
  <c r="L338" i="16" s="1"/>
  <c r="J496" i="16"/>
  <c r="M442" i="16"/>
  <c r="J480" i="16"/>
  <c r="M475" i="16"/>
  <c r="M377" i="16"/>
  <c r="J490" i="16"/>
  <c r="M490" i="16" s="1"/>
  <c r="J335" i="16"/>
  <c r="J407" i="16"/>
  <c r="J344" i="16"/>
  <c r="J363" i="16"/>
  <c r="J265" i="16"/>
  <c r="J197" i="16"/>
  <c r="H297" i="16"/>
  <c r="K297" i="16" s="1"/>
  <c r="L297" i="16" s="1"/>
  <c r="H184" i="16"/>
  <c r="K184" i="16" s="1"/>
  <c r="L184" i="16" s="1"/>
  <c r="J191" i="16"/>
  <c r="M191" i="16" s="1"/>
  <c r="M155" i="16"/>
  <c r="J186" i="16"/>
  <c r="M186" i="16" s="1"/>
  <c r="H243" i="16"/>
  <c r="K243" i="16" s="1"/>
  <c r="L243" i="16" s="1"/>
  <c r="J226" i="16"/>
  <c r="H51" i="16"/>
  <c r="M51" i="16" s="1"/>
  <c r="J239" i="16"/>
  <c r="K91" i="16"/>
  <c r="L91" i="16" s="1"/>
  <c r="J120" i="16"/>
  <c r="J127" i="16"/>
  <c r="M127" i="16" s="1"/>
  <c r="H65" i="16"/>
  <c r="K65" i="16" s="1"/>
  <c r="L65" i="16" s="1"/>
  <c r="H107" i="16"/>
  <c r="H192" i="16"/>
  <c r="K192" i="16" s="1"/>
  <c r="L192" i="16" s="1"/>
  <c r="J5" i="16"/>
  <c r="H258" i="16"/>
  <c r="J356" i="16"/>
  <c r="M356" i="16" s="1"/>
  <c r="J43" i="16"/>
  <c r="M43" i="16" s="1"/>
  <c r="M390" i="16"/>
  <c r="H480" i="16"/>
  <c r="K480" i="16" s="1"/>
  <c r="L480" i="16" s="1"/>
  <c r="K446" i="16"/>
  <c r="L446" i="16" s="1"/>
  <c r="K377" i="16"/>
  <c r="L377" i="16" s="1"/>
  <c r="H415" i="16"/>
  <c r="K415" i="16" s="1"/>
  <c r="L415" i="16" s="1"/>
  <c r="J437" i="16"/>
  <c r="M437" i="16" s="1"/>
  <c r="H343" i="16"/>
  <c r="M343" i="16" s="1"/>
  <c r="M260" i="16"/>
  <c r="H294" i="16"/>
  <c r="M294" i="16" s="1"/>
  <c r="H337" i="16"/>
  <c r="K337" i="16" s="1"/>
  <c r="L337" i="16" s="1"/>
  <c r="J326" i="16"/>
  <c r="J154" i="16"/>
  <c r="K235" i="16"/>
  <c r="L235" i="16" s="1"/>
  <c r="H120" i="16"/>
  <c r="M120" i="16" s="1"/>
  <c r="J279" i="16"/>
  <c r="J175" i="16"/>
  <c r="M175" i="16" s="1"/>
  <c r="J107" i="16"/>
  <c r="H69" i="16"/>
  <c r="J9" i="16"/>
  <c r="M9" i="16" s="1"/>
  <c r="M2" i="16"/>
  <c r="J150" i="16"/>
  <c r="M150" i="16" s="1"/>
  <c r="J46" i="16"/>
  <c r="J159" i="16"/>
  <c r="K436" i="16"/>
  <c r="L436" i="16" s="1"/>
  <c r="K321" i="16"/>
  <c r="L321" i="16" s="1"/>
  <c r="M321" i="16"/>
  <c r="J469" i="16"/>
  <c r="H380" i="16"/>
  <c r="K380" i="16" s="1"/>
  <c r="L380" i="16" s="1"/>
  <c r="M325" i="16"/>
  <c r="J382" i="16"/>
  <c r="H382" i="16"/>
  <c r="K382" i="16" s="1"/>
  <c r="L382" i="16" s="1"/>
  <c r="H414" i="16"/>
  <c r="M414" i="16" s="1"/>
  <c r="H456" i="16"/>
  <c r="K456" i="16" s="1"/>
  <c r="L456" i="16" s="1"/>
  <c r="J456" i="16"/>
  <c r="K486" i="16"/>
  <c r="L486" i="16" s="1"/>
  <c r="H467" i="16"/>
  <c r="M467" i="16" s="1"/>
  <c r="J412" i="16"/>
  <c r="H412" i="16"/>
  <c r="K412" i="16" s="1"/>
  <c r="L412" i="16" s="1"/>
  <c r="H393" i="16"/>
  <c r="M393" i="16" s="1"/>
  <c r="K360" i="16"/>
  <c r="L360" i="16" s="1"/>
  <c r="M165" i="16"/>
  <c r="J322" i="16"/>
  <c r="H322" i="16"/>
  <c r="K322" i="16" s="1"/>
  <c r="L322" i="16" s="1"/>
  <c r="K326" i="16"/>
  <c r="L326" i="16" s="1"/>
  <c r="M500" i="16"/>
  <c r="H422" i="16"/>
  <c r="K422" i="16" s="1"/>
  <c r="L422" i="16" s="1"/>
  <c r="H339" i="16"/>
  <c r="K339" i="16" s="1"/>
  <c r="L339" i="16" s="1"/>
  <c r="K443" i="16"/>
  <c r="L443" i="16" s="1"/>
  <c r="H283" i="16"/>
  <c r="M283" i="16" s="1"/>
  <c r="M373" i="16"/>
  <c r="H498" i="16"/>
  <c r="K498" i="16" s="1"/>
  <c r="L498" i="16" s="1"/>
  <c r="K453" i="16"/>
  <c r="L453" i="16" s="1"/>
  <c r="K500" i="16"/>
  <c r="L500" i="16" s="1"/>
  <c r="M458" i="16"/>
  <c r="H416" i="16"/>
  <c r="K416" i="16" s="1"/>
  <c r="L416" i="16" s="1"/>
  <c r="J447" i="16"/>
  <c r="H462" i="16"/>
  <c r="K462" i="16" s="1"/>
  <c r="L462" i="16" s="1"/>
  <c r="K467" i="16"/>
  <c r="L467" i="16" s="1"/>
  <c r="H479" i="16"/>
  <c r="K479" i="16" s="1"/>
  <c r="L479" i="16" s="1"/>
  <c r="H352" i="16"/>
  <c r="K352" i="16" s="1"/>
  <c r="L352" i="16" s="1"/>
  <c r="H387" i="16"/>
  <c r="M387" i="16" s="1"/>
  <c r="H454" i="16"/>
  <c r="H327" i="16"/>
  <c r="K327" i="16" s="1"/>
  <c r="L327" i="16" s="1"/>
  <c r="H289" i="16"/>
  <c r="K289" i="16" s="1"/>
  <c r="L289" i="16" s="1"/>
  <c r="H426" i="16"/>
  <c r="K426" i="16" s="1"/>
  <c r="L426" i="16" s="1"/>
  <c r="K457" i="16"/>
  <c r="L457" i="16" s="1"/>
  <c r="J425" i="16"/>
  <c r="H389" i="16"/>
  <c r="M389" i="16" s="1"/>
  <c r="H427" i="16"/>
  <c r="M427" i="16" s="1"/>
  <c r="K374" i="16"/>
  <c r="L374" i="16" s="1"/>
  <c r="H375" i="16"/>
  <c r="M375" i="16" s="1"/>
  <c r="M277" i="16"/>
  <c r="H361" i="16"/>
  <c r="M361" i="16" s="1"/>
  <c r="M67" i="16"/>
  <c r="M22" i="16"/>
  <c r="H496" i="16"/>
  <c r="H408" i="16"/>
  <c r="K408" i="16" s="1"/>
  <c r="L408" i="16" s="1"/>
  <c r="K441" i="16"/>
  <c r="L441" i="16" s="1"/>
  <c r="H435" i="16"/>
  <c r="K435" i="16" s="1"/>
  <c r="L435" i="16" s="1"/>
  <c r="H376" i="16"/>
  <c r="M376" i="16" s="1"/>
  <c r="K294" i="16"/>
  <c r="L294" i="16" s="1"/>
  <c r="H320" i="16"/>
  <c r="K320" i="16" s="1"/>
  <c r="L320" i="16" s="1"/>
  <c r="H373" i="16"/>
  <c r="K373" i="16" s="1"/>
  <c r="L373" i="16" s="1"/>
  <c r="H286" i="16"/>
  <c r="K286" i="16" s="1"/>
  <c r="L286" i="16" s="1"/>
  <c r="M272" i="16"/>
  <c r="H494" i="16"/>
  <c r="M494" i="16" s="1"/>
  <c r="H464" i="16"/>
  <c r="K369" i="16"/>
  <c r="L369" i="16" s="1"/>
  <c r="J347" i="16"/>
  <c r="H347" i="16"/>
  <c r="K347" i="16" s="1"/>
  <c r="L347" i="16" s="1"/>
  <c r="H438" i="16"/>
  <c r="K438" i="16" s="1"/>
  <c r="L438" i="16" s="1"/>
  <c r="J358" i="16"/>
  <c r="M358" i="16" s="1"/>
  <c r="H335" i="16"/>
  <c r="M335" i="16" s="1"/>
  <c r="M313" i="16"/>
  <c r="H261" i="16"/>
  <c r="K261" i="16" s="1"/>
  <c r="L261" i="16" s="1"/>
  <c r="J336" i="16"/>
  <c r="M336" i="16" s="1"/>
  <c r="H229" i="16"/>
  <c r="K229" i="16" s="1"/>
  <c r="L229" i="16" s="1"/>
  <c r="M163" i="16"/>
  <c r="H452" i="16"/>
  <c r="K452" i="16" s="1"/>
  <c r="L452" i="16" s="1"/>
  <c r="J479" i="16"/>
  <c r="M369" i="16"/>
  <c r="H484" i="16"/>
  <c r="K484" i="16" s="1"/>
  <c r="L484" i="16" s="1"/>
  <c r="K358" i="16"/>
  <c r="L358" i="16" s="1"/>
  <c r="M261" i="16"/>
  <c r="H344" i="16"/>
  <c r="M344" i="16" s="1"/>
  <c r="J188" i="16"/>
  <c r="H188" i="16"/>
  <c r="K188" i="16" s="1"/>
  <c r="L188" i="16" s="1"/>
  <c r="M17" i="16"/>
  <c r="H444" i="16"/>
  <c r="H447" i="16"/>
  <c r="K447" i="16" s="1"/>
  <c r="L447" i="16" s="1"/>
  <c r="J408" i="16"/>
  <c r="H420" i="16"/>
  <c r="M420" i="16" s="1"/>
  <c r="J398" i="16"/>
  <c r="M398" i="16" s="1"/>
  <c r="J345" i="16"/>
  <c r="H345" i="16"/>
  <c r="K345" i="16" s="1"/>
  <c r="L345" i="16" s="1"/>
  <c r="K313" i="16"/>
  <c r="L313" i="16" s="1"/>
  <c r="H364" i="16"/>
  <c r="M364" i="16" s="1"/>
  <c r="K488" i="16"/>
  <c r="L488" i="16" s="1"/>
  <c r="J394" i="16"/>
  <c r="H394" i="16"/>
  <c r="K394" i="16" s="1"/>
  <c r="L394" i="16" s="1"/>
  <c r="J430" i="16"/>
  <c r="K398" i="16"/>
  <c r="L398" i="16" s="1"/>
  <c r="J441" i="16"/>
  <c r="H423" i="16"/>
  <c r="K423" i="16" s="1"/>
  <c r="L423" i="16" s="1"/>
  <c r="K277" i="16"/>
  <c r="L277" i="16" s="1"/>
  <c r="H395" i="16"/>
  <c r="M395" i="16" s="1"/>
  <c r="J328" i="16"/>
  <c r="H328" i="16"/>
  <c r="K328" i="16" s="1"/>
  <c r="L328" i="16" s="1"/>
  <c r="J433" i="16"/>
  <c r="H433" i="16"/>
  <c r="K433" i="16" s="1"/>
  <c r="L433" i="16" s="1"/>
  <c r="M217" i="16"/>
  <c r="M97" i="16"/>
  <c r="H485" i="16"/>
  <c r="M485" i="16" s="1"/>
  <c r="K470" i="16"/>
  <c r="L470" i="16" s="1"/>
  <c r="H411" i="16"/>
  <c r="K411" i="16" s="1"/>
  <c r="L411" i="16" s="1"/>
  <c r="K437" i="16"/>
  <c r="L437" i="16" s="1"/>
  <c r="H333" i="16"/>
  <c r="K333" i="16" s="1"/>
  <c r="L333" i="16" s="1"/>
  <c r="K395" i="16"/>
  <c r="L395" i="16" s="1"/>
  <c r="H302" i="16"/>
  <c r="M302" i="16" s="1"/>
  <c r="H219" i="16"/>
  <c r="J219" i="16"/>
  <c r="H439" i="16"/>
  <c r="M439" i="16" s="1"/>
  <c r="H365" i="16"/>
  <c r="K365" i="16" s="1"/>
  <c r="L365" i="16" s="1"/>
  <c r="H430" i="16"/>
  <c r="K430" i="16" s="1"/>
  <c r="L430" i="16" s="1"/>
  <c r="J342" i="16"/>
  <c r="H342" i="16"/>
  <c r="K342" i="16" s="1"/>
  <c r="L342" i="16" s="1"/>
  <c r="H346" i="16"/>
  <c r="K346" i="16" s="1"/>
  <c r="L346" i="16" s="1"/>
  <c r="M273" i="16"/>
  <c r="J422" i="16"/>
  <c r="M422" i="16" s="1"/>
  <c r="K501" i="16"/>
  <c r="L501" i="16" s="1"/>
  <c r="H466" i="16"/>
  <c r="M466" i="16" s="1"/>
  <c r="H400" i="16"/>
  <c r="K400" i="16" s="1"/>
  <c r="L400" i="16" s="1"/>
  <c r="K473" i="16"/>
  <c r="L473" i="16" s="1"/>
  <c r="K490" i="16"/>
  <c r="L490" i="16" s="1"/>
  <c r="H354" i="16"/>
  <c r="K354" i="16" s="1"/>
  <c r="L354" i="16" s="1"/>
  <c r="J316" i="16"/>
  <c r="M316" i="16" s="1"/>
  <c r="K368" i="16"/>
  <c r="L368" i="16" s="1"/>
  <c r="K273" i="16"/>
  <c r="L273" i="16" s="1"/>
  <c r="H478" i="16"/>
  <c r="M478" i="16" s="1"/>
  <c r="J498" i="16"/>
  <c r="J348" i="16"/>
  <c r="H348" i="16"/>
  <c r="K348" i="16" s="1"/>
  <c r="L348" i="16" s="1"/>
  <c r="J365" i="16"/>
  <c r="K391" i="16"/>
  <c r="L391" i="16" s="1"/>
  <c r="J362" i="16"/>
  <c r="H362" i="16"/>
  <c r="K362" i="16" s="1"/>
  <c r="L362" i="16" s="1"/>
  <c r="H402" i="16"/>
  <c r="M402" i="16" s="1"/>
  <c r="K290" i="16"/>
  <c r="L290" i="16" s="1"/>
  <c r="H440" i="16"/>
  <c r="M440" i="16" s="1"/>
  <c r="K460" i="16"/>
  <c r="L460" i="16" s="1"/>
  <c r="J492" i="16"/>
  <c r="M492" i="16" s="1"/>
  <c r="K492" i="16"/>
  <c r="L492" i="16" s="1"/>
  <c r="M471" i="16"/>
  <c r="H419" i="16"/>
  <c r="M419" i="16" s="1"/>
  <c r="H425" i="16"/>
  <c r="K425" i="16" s="1"/>
  <c r="L425" i="16" s="1"/>
  <c r="J352" i="16"/>
  <c r="M352" i="16" s="1"/>
  <c r="K387" i="16"/>
  <c r="L387" i="16" s="1"/>
  <c r="M406" i="16"/>
  <c r="H378" i="16"/>
  <c r="K378" i="16" s="1"/>
  <c r="L378" i="16" s="1"/>
  <c r="K343" i="16"/>
  <c r="L343" i="16" s="1"/>
  <c r="H404" i="16"/>
  <c r="K404" i="16" s="1"/>
  <c r="L404" i="16" s="1"/>
  <c r="H357" i="16"/>
  <c r="M357" i="16" s="1"/>
  <c r="M326" i="16"/>
  <c r="M284" i="16"/>
  <c r="K119" i="16"/>
  <c r="L119" i="16" s="1"/>
  <c r="M279" i="16"/>
  <c r="M266" i="16"/>
  <c r="H278" i="16"/>
  <c r="K278" i="16" s="1"/>
  <c r="L278" i="16" s="1"/>
  <c r="K284" i="16"/>
  <c r="L284" i="16" s="1"/>
  <c r="H185" i="16"/>
  <c r="K185" i="16" s="1"/>
  <c r="L185" i="16" s="1"/>
  <c r="J205" i="16"/>
  <c r="M205" i="16" s="1"/>
  <c r="H157" i="16"/>
  <c r="K157" i="16" s="1"/>
  <c r="L157" i="16" s="1"/>
  <c r="H221" i="16"/>
  <c r="K221" i="16" s="1"/>
  <c r="L221" i="16" s="1"/>
  <c r="K199" i="16"/>
  <c r="L199" i="16" s="1"/>
  <c r="H8" i="16"/>
  <c r="M8" i="16" s="1"/>
  <c r="K279" i="16"/>
  <c r="L279" i="16" s="1"/>
  <c r="H117" i="16"/>
  <c r="M117" i="16" s="1"/>
  <c r="K51" i="16"/>
  <c r="L51" i="16" s="1"/>
  <c r="H24" i="16"/>
  <c r="K24" i="16" s="1"/>
  <c r="L24" i="16" s="1"/>
  <c r="J192" i="16"/>
  <c r="H311" i="16"/>
  <c r="M311" i="16" s="1"/>
  <c r="M23" i="16"/>
  <c r="H379" i="16"/>
  <c r="M379" i="16" s="1"/>
  <c r="H78" i="16"/>
  <c r="M78" i="16" s="1"/>
  <c r="H403" i="16"/>
  <c r="M403" i="16" s="1"/>
  <c r="H89" i="16"/>
  <c r="M89" i="16" s="1"/>
  <c r="K89" i="16"/>
  <c r="L89" i="16" s="1"/>
  <c r="H156" i="16"/>
  <c r="M156" i="16" s="1"/>
  <c r="K187" i="16"/>
  <c r="L187" i="16" s="1"/>
  <c r="H66" i="16"/>
  <c r="M66" i="16" s="1"/>
  <c r="H269" i="16"/>
  <c r="M269" i="16" s="1"/>
  <c r="H236" i="16"/>
  <c r="K236" i="16" s="1"/>
  <c r="L236" i="16" s="1"/>
  <c r="K238" i="16"/>
  <c r="L238" i="16" s="1"/>
  <c r="J185" i="16"/>
  <c r="M185" i="16" s="1"/>
  <c r="K205" i="16"/>
  <c r="L205" i="16" s="1"/>
  <c r="K223" i="16"/>
  <c r="L223" i="16" s="1"/>
  <c r="M55" i="16"/>
  <c r="K179" i="16"/>
  <c r="L179" i="16" s="1"/>
  <c r="H239" i="16"/>
  <c r="K239" i="16" s="1"/>
  <c r="L239" i="16" s="1"/>
  <c r="M59" i="16"/>
  <c r="H42" i="16"/>
  <c r="K42" i="16" s="1"/>
  <c r="L42" i="16" s="1"/>
  <c r="K319" i="16"/>
  <c r="L319" i="16" s="1"/>
  <c r="H85" i="16"/>
  <c r="K85" i="16" s="1"/>
  <c r="L85" i="16" s="1"/>
  <c r="J151" i="16"/>
  <c r="M151" i="16" s="1"/>
  <c r="K67" i="16"/>
  <c r="L67" i="16" s="1"/>
  <c r="J290" i="16"/>
  <c r="H148" i="16"/>
  <c r="H72" i="16"/>
  <c r="K72" i="16" s="1"/>
  <c r="L72" i="16" s="1"/>
  <c r="H285" i="16"/>
  <c r="M285" i="16" s="1"/>
  <c r="H314" i="16"/>
  <c r="H39" i="16"/>
  <c r="K39" i="16" s="1"/>
  <c r="L39" i="16" s="1"/>
  <c r="H197" i="16"/>
  <c r="M197" i="16" s="1"/>
  <c r="H122" i="16"/>
  <c r="K122" i="16" s="1"/>
  <c r="L122" i="16" s="1"/>
  <c r="J187" i="16"/>
  <c r="M187" i="16" s="1"/>
  <c r="H106" i="16"/>
  <c r="K106" i="16" s="1"/>
  <c r="L106" i="16" s="1"/>
  <c r="K59" i="16"/>
  <c r="L59" i="16" s="1"/>
  <c r="K127" i="16"/>
  <c r="L127" i="16" s="1"/>
  <c r="H154" i="16"/>
  <c r="K154" i="16" s="1"/>
  <c r="L154" i="16" s="1"/>
  <c r="H267" i="16"/>
  <c r="M267" i="16" s="1"/>
  <c r="H280" i="16"/>
  <c r="M280" i="16" s="1"/>
  <c r="H46" i="16"/>
  <c r="M46" i="16" s="1"/>
  <c r="H198" i="16"/>
  <c r="M198" i="16" s="1"/>
  <c r="K104" i="16"/>
  <c r="L104" i="16" s="1"/>
  <c r="K129" i="16"/>
  <c r="L129" i="16" s="1"/>
  <c r="K372" i="16"/>
  <c r="L372" i="16" s="1"/>
  <c r="H21" i="16"/>
  <c r="M21" i="16" s="1"/>
  <c r="H493" i="16"/>
  <c r="M493" i="16" s="1"/>
  <c r="H25" i="16"/>
  <c r="M25" i="16" s="1"/>
  <c r="M242" i="16"/>
  <c r="K233" i="16"/>
  <c r="L233" i="16" s="1"/>
  <c r="J119" i="16"/>
  <c r="M119" i="16" s="1"/>
  <c r="H137" i="16"/>
  <c r="M137" i="16" s="1"/>
  <c r="H19" i="16"/>
  <c r="K19" i="16" s="1"/>
  <c r="L19" i="16" s="1"/>
  <c r="H64" i="16"/>
  <c r="K64" i="16" s="1"/>
  <c r="L64" i="16" s="1"/>
  <c r="H207" i="16"/>
  <c r="M207" i="16" s="1"/>
  <c r="H133" i="16"/>
  <c r="K133" i="16" s="1"/>
  <c r="L133" i="16" s="1"/>
  <c r="H224" i="16"/>
  <c r="K224" i="16" s="1"/>
  <c r="L224" i="16" s="1"/>
  <c r="H330" i="16"/>
  <c r="K330" i="16" s="1"/>
  <c r="L330" i="16" s="1"/>
  <c r="K242" i="16"/>
  <c r="L242" i="16" s="1"/>
  <c r="J275" i="16"/>
  <c r="H366" i="16"/>
  <c r="K366" i="16" s="1"/>
  <c r="L366" i="16" s="1"/>
  <c r="H350" i="16"/>
  <c r="K350" i="16" s="1"/>
  <c r="L350" i="16" s="1"/>
  <c r="H249" i="16"/>
  <c r="K249" i="16" s="1"/>
  <c r="L249" i="16" s="1"/>
  <c r="K195" i="16"/>
  <c r="L195" i="16" s="1"/>
  <c r="H80" i="16"/>
  <c r="K80" i="16" s="1"/>
  <c r="L80" i="16" s="1"/>
  <c r="J64" i="16"/>
  <c r="H45" i="16"/>
  <c r="K45" i="16" s="1"/>
  <c r="L45" i="16" s="1"/>
  <c r="H222" i="16"/>
  <c r="K222" i="16" s="1"/>
  <c r="L222" i="16" s="1"/>
  <c r="K9" i="16"/>
  <c r="L9" i="16" s="1"/>
  <c r="H181" i="16"/>
  <c r="M181" i="16" s="1"/>
  <c r="H208" i="16"/>
  <c r="H461" i="16"/>
  <c r="M461" i="16" s="1"/>
  <c r="H254" i="16"/>
  <c r="M254" i="16" s="1"/>
  <c r="J307" i="16"/>
  <c r="M307" i="16" s="1"/>
  <c r="M238" i="16"/>
  <c r="H162" i="16"/>
  <c r="K162" i="16" s="1"/>
  <c r="L162" i="16" s="1"/>
  <c r="H153" i="16"/>
  <c r="K153" i="16" s="1"/>
  <c r="L153" i="16" s="1"/>
  <c r="H231" i="16"/>
  <c r="K231" i="16" s="1"/>
  <c r="L231" i="16" s="1"/>
  <c r="H158" i="16"/>
  <c r="K158" i="16" s="1"/>
  <c r="L158" i="16" s="1"/>
  <c r="K175" i="16"/>
  <c r="L175" i="16" s="1"/>
  <c r="H60" i="16"/>
  <c r="M60" i="16" s="1"/>
  <c r="H83" i="16"/>
  <c r="K83" i="16" s="1"/>
  <c r="L83" i="16" s="1"/>
  <c r="K26" i="16"/>
  <c r="L26" i="16" s="1"/>
  <c r="H141" i="16"/>
  <c r="M141" i="16" s="1"/>
  <c r="K356" i="16"/>
  <c r="L356" i="16" s="1"/>
  <c r="H131" i="16"/>
  <c r="M131" i="16" s="1"/>
  <c r="H189" i="16"/>
  <c r="K189" i="16" s="1"/>
  <c r="L189" i="16" s="1"/>
  <c r="J129" i="16"/>
  <c r="M129" i="16" s="1"/>
  <c r="H291" i="16"/>
  <c r="M291" i="16" s="1"/>
  <c r="H160" i="16"/>
  <c r="K160" i="16" s="1"/>
  <c r="L160" i="16" s="1"/>
  <c r="K375" i="16"/>
  <c r="L375" i="16" s="1"/>
  <c r="J346" i="16"/>
  <c r="J337" i="16"/>
  <c r="K317" i="16"/>
  <c r="L317" i="16" s="1"/>
  <c r="H312" i="16"/>
  <c r="K312" i="16" s="1"/>
  <c r="L312" i="16" s="1"/>
  <c r="K363" i="16"/>
  <c r="L363" i="16" s="1"/>
  <c r="H227" i="16"/>
  <c r="M227" i="16" s="1"/>
  <c r="K353" i="16"/>
  <c r="L353" i="16" s="1"/>
  <c r="J144" i="16"/>
  <c r="J215" i="16"/>
  <c r="K212" i="16"/>
  <c r="L212" i="16" s="1"/>
  <c r="H170" i="16"/>
  <c r="K170" i="16" s="1"/>
  <c r="L170" i="16" s="1"/>
  <c r="K120" i="16"/>
  <c r="L120" i="16" s="1"/>
  <c r="H111" i="16"/>
  <c r="M111" i="16" s="1"/>
  <c r="H18" i="16"/>
  <c r="M18" i="16" s="1"/>
  <c r="K107" i="16"/>
  <c r="L107" i="16" s="1"/>
  <c r="J35" i="16"/>
  <c r="K12" i="16"/>
  <c r="L12" i="16" s="1"/>
  <c r="J6" i="16"/>
  <c r="M6" i="16" s="1"/>
  <c r="H145" i="16"/>
  <c r="K145" i="16" s="1"/>
  <c r="L145" i="16" s="1"/>
  <c r="J26" i="16"/>
  <c r="M26" i="16" s="1"/>
  <c r="K442" i="16"/>
  <c r="L442" i="16" s="1"/>
  <c r="H126" i="16"/>
  <c r="M126" i="16" s="1"/>
  <c r="K126" i="16"/>
  <c r="L126" i="16" s="1"/>
  <c r="K458" i="16"/>
  <c r="L458" i="16" s="1"/>
  <c r="H220" i="16"/>
  <c r="M220" i="16" s="1"/>
  <c r="H323" i="16"/>
  <c r="M323" i="16" s="1"/>
  <c r="J315" i="16"/>
  <c r="M315" i="16" s="1"/>
  <c r="H252" i="16"/>
  <c r="K252" i="16" s="1"/>
  <c r="L252" i="16" s="1"/>
  <c r="J206" i="16"/>
  <c r="H275" i="16"/>
  <c r="K275" i="16" s="1"/>
  <c r="L275" i="16" s="1"/>
  <c r="H265" i="16"/>
  <c r="K259" i="16"/>
  <c r="L259" i="16" s="1"/>
  <c r="J306" i="16"/>
  <c r="M306" i="16" s="1"/>
  <c r="H87" i="16"/>
  <c r="M87" i="16" s="1"/>
  <c r="J195" i="16"/>
  <c r="M195" i="16" s="1"/>
  <c r="H226" i="16"/>
  <c r="K99" i="16"/>
  <c r="L99" i="16" s="1"/>
  <c r="K109" i="16"/>
  <c r="L109" i="16" s="1"/>
  <c r="K22" i="16"/>
  <c r="L22" i="16" s="1"/>
  <c r="J12" i="16"/>
  <c r="M12" i="16" s="1"/>
  <c r="H134" i="16"/>
  <c r="M134" i="16" s="1"/>
  <c r="J83" i="16"/>
  <c r="K6" i="16"/>
  <c r="L6" i="16" s="1"/>
  <c r="H110" i="16"/>
  <c r="K110" i="16" s="1"/>
  <c r="L110" i="16" s="1"/>
  <c r="H477" i="16"/>
  <c r="K477" i="16" s="1"/>
  <c r="L477" i="16" s="1"/>
  <c r="H82" i="16"/>
  <c r="M82" i="16" s="1"/>
  <c r="H113" i="16"/>
  <c r="K113" i="16" s="1"/>
  <c r="L113" i="16" s="1"/>
  <c r="H449" i="16"/>
  <c r="M449" i="16" s="1"/>
  <c r="H94" i="16"/>
  <c r="M94" i="16" s="1"/>
  <c r="H237" i="16"/>
  <c r="M237" i="16" s="1"/>
  <c r="H115" i="16"/>
  <c r="M115" i="16" s="1"/>
  <c r="K128" i="16"/>
  <c r="L128" i="16" s="1"/>
  <c r="J312" i="16"/>
  <c r="M381" i="16"/>
  <c r="J303" i="16"/>
  <c r="M303" i="16" s="1"/>
  <c r="K305" i="16"/>
  <c r="L305" i="16" s="1"/>
  <c r="J366" i="16"/>
  <c r="M167" i="16"/>
  <c r="K76" i="16"/>
  <c r="L76" i="16" s="1"/>
  <c r="J88" i="16"/>
  <c r="H35" i="16"/>
  <c r="K35" i="16" s="1"/>
  <c r="L35" i="16" s="1"/>
  <c r="K410" i="16"/>
  <c r="L410" i="16" s="1"/>
  <c r="H101" i="16"/>
  <c r="K101" i="16" s="1"/>
  <c r="L101" i="16" s="1"/>
  <c r="K54" i="16"/>
  <c r="L54" i="16" s="1"/>
  <c r="K139" i="16"/>
  <c r="L139" i="16" s="1"/>
  <c r="H371" i="16"/>
  <c r="M371" i="16" s="1"/>
  <c r="K75" i="16"/>
  <c r="L75" i="16" s="1"/>
  <c r="H271" i="16"/>
  <c r="M271" i="16" s="1"/>
  <c r="H225" i="16"/>
  <c r="K225" i="16" s="1"/>
  <c r="L225" i="16" s="1"/>
  <c r="H298" i="16"/>
  <c r="M298" i="16" s="1"/>
  <c r="H232" i="16"/>
  <c r="K232" i="16" s="1"/>
  <c r="L232" i="16" s="1"/>
  <c r="H178" i="16"/>
  <c r="M178" i="16" s="1"/>
  <c r="H180" i="16"/>
  <c r="K180" i="16" s="1"/>
  <c r="L180" i="16" s="1"/>
  <c r="K103" i="16"/>
  <c r="L103" i="16" s="1"/>
  <c r="H112" i="16"/>
  <c r="M112" i="16" s="1"/>
  <c r="H50" i="16"/>
  <c r="M50" i="16" s="1"/>
  <c r="M121" i="16"/>
  <c r="H399" i="16"/>
  <c r="M399" i="16" s="1"/>
  <c r="H62" i="16"/>
  <c r="M62" i="16" s="1"/>
  <c r="H88" i="16"/>
  <c r="K88" i="16" s="1"/>
  <c r="L88" i="16" s="1"/>
  <c r="K213" i="16"/>
  <c r="L213" i="16" s="1"/>
  <c r="H159" i="16"/>
  <c r="M159" i="16" s="1"/>
  <c r="J180" i="16"/>
  <c r="J118" i="16"/>
  <c r="M118" i="16" s="1"/>
  <c r="H7" i="16"/>
  <c r="K7" i="16" s="1"/>
  <c r="L7" i="16" s="1"/>
  <c r="H74" i="16"/>
  <c r="K74" i="16" s="1"/>
  <c r="L74" i="16" s="1"/>
  <c r="K69" i="16"/>
  <c r="L69" i="16" s="1"/>
  <c r="H14" i="16"/>
  <c r="K14" i="16" s="1"/>
  <c r="L14" i="16" s="1"/>
  <c r="J222" i="16"/>
  <c r="H136" i="16"/>
  <c r="K136" i="16" s="1"/>
  <c r="L136" i="16" s="1"/>
  <c r="H32" i="16"/>
  <c r="M32" i="16" s="1"/>
  <c r="H432" i="16"/>
  <c r="M432" i="16" s="1"/>
  <c r="K472" i="16"/>
  <c r="L472" i="16" s="1"/>
  <c r="H386" i="16"/>
  <c r="K386" i="16" s="1"/>
  <c r="L386" i="16" s="1"/>
  <c r="H56" i="16"/>
  <c r="K56" i="16" s="1"/>
  <c r="L56" i="16" s="1"/>
  <c r="K125" i="16"/>
  <c r="L125" i="16" s="1"/>
  <c r="H301" i="16"/>
  <c r="M301" i="16" s="1"/>
  <c r="K183" i="16"/>
  <c r="L183" i="16" s="1"/>
  <c r="H296" i="16"/>
  <c r="K296" i="16" s="1"/>
  <c r="L296" i="16" s="1"/>
  <c r="K293" i="16"/>
  <c r="L293" i="16" s="1"/>
  <c r="H288" i="16"/>
  <c r="M288" i="16" s="1"/>
  <c r="H248" i="16"/>
  <c r="M248" i="16" s="1"/>
  <c r="H210" i="16"/>
  <c r="M210" i="16" s="1"/>
  <c r="H130" i="16"/>
  <c r="M130" i="16" s="1"/>
  <c r="H215" i="16"/>
  <c r="K215" i="16" s="1"/>
  <c r="L215" i="16" s="1"/>
  <c r="H234" i="16"/>
  <c r="M234" i="16" s="1"/>
  <c r="J28" i="16"/>
  <c r="M28" i="16" s="1"/>
  <c r="H79" i="16"/>
  <c r="M79" i="16" s="1"/>
  <c r="J38" i="16"/>
  <c r="M38" i="16" s="1"/>
  <c r="H63" i="16"/>
  <c r="K63" i="16" s="1"/>
  <c r="L63" i="16" s="1"/>
  <c r="H463" i="16"/>
  <c r="M463" i="16" s="1"/>
  <c r="H355" i="16"/>
  <c r="M355" i="16" s="1"/>
  <c r="H431" i="16"/>
  <c r="M431" i="16" s="1"/>
  <c r="H30" i="16"/>
  <c r="M30" i="16" s="1"/>
  <c r="H174" i="16"/>
  <c r="K174" i="16" s="1"/>
  <c r="L174" i="16" s="1"/>
  <c r="K331" i="16"/>
  <c r="L331" i="16" s="1"/>
  <c r="K325" i="16"/>
  <c r="L325" i="16" s="1"/>
  <c r="J174" i="16"/>
  <c r="H257" i="16"/>
  <c r="M257" i="16" s="1"/>
  <c r="J128" i="16"/>
  <c r="M128" i="16" s="1"/>
  <c r="K165" i="16"/>
  <c r="L165" i="16" s="1"/>
  <c r="H143" i="16"/>
  <c r="M143" i="16" s="1"/>
  <c r="H149" i="16"/>
  <c r="M149" i="16" s="1"/>
  <c r="H240" i="16"/>
  <c r="K240" i="16" s="1"/>
  <c r="L240" i="16" s="1"/>
  <c r="K118" i="16"/>
  <c r="L118" i="16" s="1"/>
  <c r="H37" i="16"/>
  <c r="M37" i="16" s="1"/>
  <c r="M20" i="16"/>
  <c r="H161" i="16"/>
  <c r="K161" i="16" s="1"/>
  <c r="L161" i="16" s="1"/>
  <c r="H48" i="16"/>
  <c r="D15" i="16"/>
  <c r="B12" i="1"/>
  <c r="K147" i="16"/>
  <c r="L147" i="16" s="1"/>
  <c r="K43" i="16"/>
  <c r="L43" i="16" s="1"/>
  <c r="H144" i="16"/>
  <c r="K144" i="16" s="1"/>
  <c r="L144" i="16" s="1"/>
  <c r="J259" i="16"/>
  <c r="M259" i="16" s="1"/>
  <c r="J253" i="16"/>
  <c r="M253" i="16" s="1"/>
  <c r="J125" i="16"/>
  <c r="H146" i="16"/>
  <c r="K146" i="16" s="1"/>
  <c r="L146" i="16" s="1"/>
  <c r="H116" i="16"/>
  <c r="M116" i="16" s="1"/>
  <c r="H132" i="16"/>
  <c r="M132" i="16" s="1"/>
  <c r="J200" i="16"/>
  <c r="M200" i="16" s="1"/>
  <c r="K200" i="16"/>
  <c r="L200" i="16" s="1"/>
  <c r="K93" i="16"/>
  <c r="L93" i="16" s="1"/>
  <c r="K71" i="16"/>
  <c r="L71" i="16" s="1"/>
  <c r="K90" i="16"/>
  <c r="L90" i="16" s="1"/>
  <c r="H53" i="16"/>
  <c r="K53" i="16" s="1"/>
  <c r="L53" i="16" s="1"/>
  <c r="H96" i="16"/>
  <c r="M96" i="16" s="1"/>
  <c r="H445" i="16"/>
  <c r="M445" i="16" s="1"/>
  <c r="H292" i="16"/>
  <c r="M292" i="16" s="1"/>
  <c r="H413" i="16"/>
  <c r="K413" i="16" s="1"/>
  <c r="L413" i="16" s="1"/>
  <c r="H318" i="16"/>
  <c r="M318" i="16" s="1"/>
  <c r="K98" i="16"/>
  <c r="L98" i="16" s="1"/>
  <c r="H304" i="16"/>
  <c r="M304" i="16" s="1"/>
  <c r="M410" i="16"/>
  <c r="H244" i="16"/>
  <c r="K244" i="16" s="1"/>
  <c r="L244" i="16" s="1"/>
  <c r="H216" i="16"/>
  <c r="K216" i="16" s="1"/>
  <c r="L216" i="16" s="1"/>
  <c r="K306" i="16"/>
  <c r="L306" i="16" s="1"/>
  <c r="J101" i="16"/>
  <c r="J203" i="16"/>
  <c r="H204" i="16"/>
  <c r="M204" i="16" s="1"/>
  <c r="H138" i="16"/>
  <c r="K138" i="16" s="1"/>
  <c r="L138" i="16" s="1"/>
  <c r="J80" i="16"/>
  <c r="H47" i="16"/>
  <c r="M47" i="16" s="1"/>
  <c r="K11" i="16"/>
  <c r="L11" i="16" s="1"/>
  <c r="J11" i="16"/>
  <c r="M11" i="16" s="1"/>
  <c r="K3" i="16"/>
  <c r="L3" i="16" s="1"/>
  <c r="J53" i="16"/>
  <c r="H34" i="16"/>
  <c r="K34" i="16" s="1"/>
  <c r="L34" i="16" s="1"/>
  <c r="H33" i="16"/>
  <c r="M33" i="16" s="1"/>
  <c r="H397" i="16"/>
  <c r="M397" i="16" s="1"/>
  <c r="H495" i="16"/>
  <c r="M495" i="16" s="1"/>
  <c r="H418" i="16"/>
  <c r="M418" i="16" s="1"/>
  <c r="K211" i="16"/>
  <c r="L211" i="16" s="1"/>
  <c r="K390" i="16"/>
  <c r="L390" i="16" s="1"/>
  <c r="H489" i="16"/>
  <c r="M489" i="16" s="1"/>
  <c r="H448" i="16"/>
  <c r="M448" i="16" s="1"/>
  <c r="K219" i="16"/>
  <c r="L219" i="16" s="1"/>
  <c r="H465" i="16"/>
  <c r="M465" i="16" s="1"/>
  <c r="H206" i="16"/>
  <c r="K206" i="16" s="1"/>
  <c r="L206" i="16" s="1"/>
  <c r="H203" i="16"/>
  <c r="K203" i="16" s="1"/>
  <c r="L203" i="16" s="1"/>
  <c r="J146" i="16"/>
  <c r="M136" i="16"/>
  <c r="K123" i="16"/>
  <c r="L123" i="16" s="1"/>
  <c r="J34" i="16"/>
  <c r="H282" i="16"/>
  <c r="M282" i="16" s="1"/>
  <c r="M239" i="16" l="1"/>
  <c r="K304" i="16"/>
  <c r="L304" i="16" s="1"/>
  <c r="M123" i="16"/>
  <c r="M339" i="16"/>
  <c r="M146" i="16"/>
  <c r="M222" i="16"/>
  <c r="K181" i="16"/>
  <c r="L181" i="16" s="1"/>
  <c r="M31" i="16"/>
  <c r="M436" i="16"/>
  <c r="M219" i="16"/>
  <c r="M264" i="16"/>
  <c r="M499" i="16"/>
  <c r="M363" i="16"/>
  <c r="M349" i="16"/>
  <c r="M199" i="16"/>
  <c r="K451" i="16"/>
  <c r="L451" i="16" s="1"/>
  <c r="M233" i="16"/>
  <c r="M90" i="16"/>
  <c r="M74" i="16"/>
  <c r="K311" i="16"/>
  <c r="L311" i="16" s="1"/>
  <c r="M415" i="16"/>
  <c r="K32" i="16"/>
  <c r="L32" i="16" s="1"/>
  <c r="M107" i="16"/>
  <c r="M407" i="16"/>
  <c r="M413" i="16"/>
  <c r="K466" i="16"/>
  <c r="L466" i="16" s="1"/>
  <c r="M135" i="16"/>
  <c r="K301" i="16"/>
  <c r="L301" i="16" s="1"/>
  <c r="M92" i="16"/>
  <c r="M85" i="16"/>
  <c r="M263" i="16"/>
  <c r="M255" i="16"/>
  <c r="K102" i="16"/>
  <c r="L102" i="16" s="1"/>
  <c r="K237" i="16"/>
  <c r="L237" i="16" s="1"/>
  <c r="M226" i="16"/>
  <c r="M209" i="16"/>
  <c r="M49" i="16"/>
  <c r="M76" i="16"/>
  <c r="M223" i="16"/>
  <c r="K487" i="16"/>
  <c r="L487" i="16" s="1"/>
  <c r="M247" i="16"/>
  <c r="M258" i="16"/>
  <c r="M251" i="16"/>
  <c r="M473" i="16"/>
  <c r="M501" i="16"/>
  <c r="M5" i="16"/>
  <c r="M353" i="16"/>
  <c r="M104" i="16"/>
  <c r="K463" i="16"/>
  <c r="L463" i="16" s="1"/>
  <c r="M14" i="16"/>
  <c r="K364" i="16"/>
  <c r="L364" i="16" s="1"/>
  <c r="M480" i="16"/>
  <c r="M40" i="16"/>
  <c r="M180" i="16"/>
  <c r="M83" i="16"/>
  <c r="K291" i="16"/>
  <c r="L291" i="16" s="1"/>
  <c r="K92" i="16"/>
  <c r="L92" i="16" s="1"/>
  <c r="M113" i="16"/>
  <c r="K292" i="16"/>
  <c r="L292" i="16" s="1"/>
  <c r="M39" i="16"/>
  <c r="M385" i="16"/>
  <c r="M469" i="16"/>
  <c r="M7" i="16"/>
  <c r="M188" i="16"/>
  <c r="M45" i="16"/>
  <c r="K370" i="16"/>
  <c r="L370" i="16" s="1"/>
  <c r="M208" i="16"/>
  <c r="K78" i="16"/>
  <c r="L78" i="16" s="1"/>
  <c r="K420" i="16"/>
  <c r="L420" i="16" s="1"/>
  <c r="M229" i="16"/>
  <c r="K149" i="16"/>
  <c r="L149" i="16" s="1"/>
  <c r="M48" i="16"/>
  <c r="K399" i="16"/>
  <c r="L399" i="16" s="1"/>
  <c r="K94" i="16"/>
  <c r="L94" i="16" s="1"/>
  <c r="K208" i="16"/>
  <c r="L208" i="16" s="1"/>
  <c r="K207" i="16"/>
  <c r="L207" i="16" s="1"/>
  <c r="K264" i="16"/>
  <c r="L264" i="16" s="1"/>
  <c r="M498" i="16"/>
  <c r="M281" i="16"/>
  <c r="K495" i="16"/>
  <c r="L495" i="16" s="1"/>
  <c r="K16" i="16"/>
  <c r="L16" i="16" s="1"/>
  <c r="K46" i="16"/>
  <c r="L46" i="16" s="1"/>
  <c r="M444" i="16"/>
  <c r="K414" i="16"/>
  <c r="L414" i="16" s="1"/>
  <c r="M69" i="16"/>
  <c r="K429" i="16"/>
  <c r="L429" i="16" s="1"/>
  <c r="M350" i="16"/>
  <c r="M265" i="16"/>
  <c r="M148" i="16"/>
  <c r="K148" i="16"/>
  <c r="L148" i="16" s="1"/>
  <c r="M108" i="16"/>
  <c r="K431" i="16"/>
  <c r="L431" i="16" s="1"/>
  <c r="M160" i="16"/>
  <c r="K116" i="16"/>
  <c r="L116" i="16" s="1"/>
  <c r="M240" i="16"/>
  <c r="K355" i="16"/>
  <c r="L355" i="16" s="1"/>
  <c r="M337" i="16"/>
  <c r="M290" i="16"/>
  <c r="M192" i="16"/>
  <c r="M441" i="16"/>
  <c r="M334" i="16"/>
  <c r="M243" i="16"/>
  <c r="K214" i="16"/>
  <c r="L214" i="16" s="1"/>
  <c r="M214" i="16"/>
  <c r="K499" i="16"/>
  <c r="L499" i="16" s="1"/>
  <c r="M312" i="16"/>
  <c r="K280" i="16"/>
  <c r="L280" i="16" s="1"/>
  <c r="K117" i="16"/>
  <c r="L117" i="16" s="1"/>
  <c r="M138" i="16"/>
  <c r="M342" i="16"/>
  <c r="M162" i="16"/>
  <c r="K361" i="16"/>
  <c r="L361" i="16" s="1"/>
  <c r="M426" i="16"/>
  <c r="M65" i="16"/>
  <c r="K220" i="16"/>
  <c r="L220" i="16" s="1"/>
  <c r="K18" i="16"/>
  <c r="L18" i="16" s="1"/>
  <c r="M346" i="16"/>
  <c r="K156" i="16"/>
  <c r="L156" i="16" s="1"/>
  <c r="M333" i="16"/>
  <c r="M382" i="16"/>
  <c r="M378" i="16"/>
  <c r="M106" i="16"/>
  <c r="K288" i="16"/>
  <c r="L288" i="16" s="1"/>
  <c r="M423" i="16"/>
  <c r="M496" i="16"/>
  <c r="K271" i="16"/>
  <c r="L271" i="16" s="1"/>
  <c r="M483" i="16"/>
  <c r="M202" i="16"/>
  <c r="K257" i="16"/>
  <c r="L257" i="16" s="1"/>
  <c r="K137" i="16"/>
  <c r="L137" i="16" s="1"/>
  <c r="K198" i="16"/>
  <c r="L198" i="16" s="1"/>
  <c r="K403" i="16"/>
  <c r="L403" i="16" s="1"/>
  <c r="K8" i="16"/>
  <c r="L8" i="16" s="1"/>
  <c r="M394" i="16"/>
  <c r="M330" i="16"/>
  <c r="M145" i="16"/>
  <c r="M157" i="16"/>
  <c r="K96" i="16"/>
  <c r="L96" i="16" s="1"/>
  <c r="M425" i="16"/>
  <c r="M184" i="16"/>
  <c r="M224" i="16"/>
  <c r="K134" i="16"/>
  <c r="L134" i="16" s="1"/>
  <c r="K87" i="16"/>
  <c r="L87" i="16" s="1"/>
  <c r="M231" i="16"/>
  <c r="M232" i="16"/>
  <c r="M433" i="16"/>
  <c r="M153" i="16"/>
  <c r="M338" i="16"/>
  <c r="M249" i="16"/>
  <c r="M13" i="16"/>
  <c r="M297" i="16"/>
  <c r="K465" i="16"/>
  <c r="L465" i="16" s="1"/>
  <c r="M53" i="16"/>
  <c r="M122" i="16"/>
  <c r="K197" i="16"/>
  <c r="L197" i="16" s="1"/>
  <c r="M221" i="16"/>
  <c r="M396" i="16"/>
  <c r="K267" i="16"/>
  <c r="L267" i="16" s="1"/>
  <c r="K448" i="16"/>
  <c r="L448" i="16" s="1"/>
  <c r="M125" i="16"/>
  <c r="K143" i="16"/>
  <c r="L143" i="16" s="1"/>
  <c r="K112" i="16"/>
  <c r="L112" i="16" s="1"/>
  <c r="K461" i="16"/>
  <c r="L461" i="16" s="1"/>
  <c r="M320" i="16"/>
  <c r="M140" i="16"/>
  <c r="M454" i="16"/>
  <c r="M404" i="16"/>
  <c r="M450" i="16"/>
  <c r="K258" i="16"/>
  <c r="L258" i="16" s="1"/>
  <c r="K489" i="16"/>
  <c r="L489" i="16" s="1"/>
  <c r="K248" i="16"/>
  <c r="L248" i="16" s="1"/>
  <c r="M206" i="16"/>
  <c r="M42" i="16"/>
  <c r="M244" i="16"/>
  <c r="M464" i="16"/>
  <c r="K178" i="16"/>
  <c r="L178" i="16" s="1"/>
  <c r="K427" i="16"/>
  <c r="L427" i="16" s="1"/>
  <c r="M484" i="16"/>
  <c r="K402" i="16"/>
  <c r="L402" i="16" s="1"/>
  <c r="M80" i="16"/>
  <c r="K335" i="16"/>
  <c r="L335" i="16" s="1"/>
  <c r="M56" i="16"/>
  <c r="K204" i="16"/>
  <c r="L204" i="16" s="1"/>
  <c r="K159" i="16"/>
  <c r="L159" i="16" s="1"/>
  <c r="K393" i="16"/>
  <c r="L393" i="16" s="1"/>
  <c r="K254" i="16"/>
  <c r="L254" i="16" s="1"/>
  <c r="K493" i="16"/>
  <c r="L493" i="16" s="1"/>
  <c r="M362" i="16"/>
  <c r="M435" i="16"/>
  <c r="K234" i="16"/>
  <c r="L234" i="16" s="1"/>
  <c r="M296" i="16"/>
  <c r="M19" i="16"/>
  <c r="M63" i="16"/>
  <c r="K50" i="16"/>
  <c r="L50" i="16" s="1"/>
  <c r="K376" i="16"/>
  <c r="L376" i="16" s="1"/>
  <c r="K389" i="16"/>
  <c r="L389" i="16" s="1"/>
  <c r="K131" i="16"/>
  <c r="L131" i="16" s="1"/>
  <c r="M380" i="16"/>
  <c r="M110" i="16"/>
  <c r="K30" i="16"/>
  <c r="L30" i="16" s="1"/>
  <c r="K432" i="16"/>
  <c r="L432" i="16" s="1"/>
  <c r="K132" i="16"/>
  <c r="L132" i="16" s="1"/>
  <c r="M35" i="16"/>
  <c r="K379" i="16"/>
  <c r="L379" i="16" s="1"/>
  <c r="M154" i="16"/>
  <c r="K419" i="16"/>
  <c r="L419" i="16" s="1"/>
  <c r="M72" i="16"/>
  <c r="K464" i="16"/>
  <c r="L464" i="16" s="1"/>
  <c r="K60" i="16"/>
  <c r="L60" i="16" s="1"/>
  <c r="M347" i="16"/>
  <c r="M216" i="16"/>
  <c r="K283" i="16"/>
  <c r="L283" i="16" s="1"/>
  <c r="M322" i="16"/>
  <c r="M412" i="16"/>
  <c r="M438" i="16"/>
  <c r="K397" i="16"/>
  <c r="L397" i="16" s="1"/>
  <c r="M203" i="16"/>
  <c r="K130" i="16"/>
  <c r="L130" i="16" s="1"/>
  <c r="M88" i="16"/>
  <c r="K141" i="16"/>
  <c r="L141" i="16" s="1"/>
  <c r="K21" i="16"/>
  <c r="L21" i="16" s="1"/>
  <c r="K298" i="16"/>
  <c r="L298" i="16" s="1"/>
  <c r="M365" i="16"/>
  <c r="K439" i="16"/>
  <c r="L439" i="16" s="1"/>
  <c r="M354" i="16"/>
  <c r="M170" i="16"/>
  <c r="K79" i="16"/>
  <c r="L79" i="16" s="1"/>
  <c r="K33" i="16"/>
  <c r="L33" i="16" s="1"/>
  <c r="M477" i="16"/>
  <c r="M252" i="16"/>
  <c r="K48" i="16"/>
  <c r="L48" i="16" s="1"/>
  <c r="K496" i="16"/>
  <c r="L496" i="16" s="1"/>
  <c r="M386" i="16"/>
  <c r="M327" i="16"/>
  <c r="M416" i="16"/>
  <c r="K37" i="16"/>
  <c r="L37" i="16" s="1"/>
  <c r="K454" i="16"/>
  <c r="L454" i="16" s="1"/>
  <c r="K318" i="16"/>
  <c r="L318" i="16" s="1"/>
  <c r="M133" i="16"/>
  <c r="K285" i="16"/>
  <c r="L285" i="16" s="1"/>
  <c r="K210" i="16"/>
  <c r="L210" i="16" s="1"/>
  <c r="M430" i="16"/>
  <c r="K445" i="16"/>
  <c r="L445" i="16" s="1"/>
  <c r="M225" i="16"/>
  <c r="M275" i="16"/>
  <c r="K226" i="16"/>
  <c r="L226" i="16" s="1"/>
  <c r="M158" i="16"/>
  <c r="K449" i="16"/>
  <c r="L449" i="16" s="1"/>
  <c r="M236" i="16"/>
  <c r="M447" i="16"/>
  <c r="M462" i="16"/>
  <c r="M286" i="16"/>
  <c r="K115" i="16"/>
  <c r="L115" i="16" s="1"/>
  <c r="K269" i="16"/>
  <c r="L269" i="16" s="1"/>
  <c r="M348" i="16"/>
  <c r="K344" i="16"/>
  <c r="L344" i="16" s="1"/>
  <c r="M411" i="16"/>
  <c r="K440" i="16"/>
  <c r="L440" i="16" s="1"/>
  <c r="M161" i="16"/>
  <c r="K302" i="16"/>
  <c r="L302" i="16" s="1"/>
  <c r="K265" i="16"/>
  <c r="L265" i="16" s="1"/>
  <c r="K357" i="16"/>
  <c r="L357" i="16" s="1"/>
  <c r="M408" i="16"/>
  <c r="M479" i="16"/>
  <c r="K66" i="16"/>
  <c r="L66" i="16" s="1"/>
  <c r="M314" i="16"/>
  <c r="K314" i="16"/>
  <c r="L314" i="16" s="1"/>
  <c r="M101" i="16"/>
  <c r="M366" i="16"/>
  <c r="E19" i="1"/>
  <c r="K478" i="16"/>
  <c r="L478" i="16" s="1"/>
  <c r="M278" i="16"/>
  <c r="K111" i="16"/>
  <c r="L111" i="16" s="1"/>
  <c r="K494" i="16"/>
  <c r="L494" i="16" s="1"/>
  <c r="M24" i="16"/>
  <c r="M456" i="16"/>
  <c r="K418" i="16"/>
  <c r="L418" i="16" s="1"/>
  <c r="M345" i="16"/>
  <c r="K62" i="16"/>
  <c r="L62" i="16" s="1"/>
  <c r="K485" i="16"/>
  <c r="L485" i="16" s="1"/>
  <c r="M452" i="16"/>
  <c r="M34" i="16"/>
  <c r="K323" i="16"/>
  <c r="L323" i="16" s="1"/>
  <c r="K82" i="16"/>
  <c r="L82" i="16" s="1"/>
  <c r="K444" i="16"/>
  <c r="L444" i="16" s="1"/>
  <c r="K25" i="16"/>
  <c r="L25" i="16" s="1"/>
  <c r="H15" i="16"/>
  <c r="M15" i="16" s="1"/>
  <c r="M174" i="16"/>
  <c r="M215" i="16"/>
  <c r="K227" i="16"/>
  <c r="L227" i="16" s="1"/>
  <c r="K282" i="16"/>
  <c r="L282" i="16" s="1"/>
  <c r="K47" i="16"/>
  <c r="L47" i="16" s="1"/>
  <c r="K371" i="16"/>
  <c r="L371" i="16" s="1"/>
  <c r="M144" i="16"/>
  <c r="M64" i="16"/>
  <c r="M328" i="16"/>
  <c r="M189" i="16"/>
  <c r="M400" i="16"/>
  <c r="K15" i="16" l="1"/>
  <c r="L15" i="16" s="1"/>
  <c r="E18" i="1" l="1"/>
  <c r="E17" i="1"/>
</calcChain>
</file>

<file path=xl/sharedStrings.xml><?xml version="1.0" encoding="utf-8"?>
<sst xmlns="http://schemas.openxmlformats.org/spreadsheetml/2006/main" count="2542" uniqueCount="542">
  <si>
    <t>REDBOX GIDA SANAYİ VE TİC. LTD. ŞTİ.</t>
  </si>
  <si>
    <t>LONG POTATO — 2026 CANLI YÖNETİM PANELİ</t>
  </si>
  <si>
    <t>OPERASYON AKIŞI</t>
  </si>
  <si>
    <t>1. DEPO KABUL</t>
  </si>
  <si>
    <t>→</t>
  </si>
  <si>
    <t>2. ÜRETİM</t>
  </si>
  <si>
    <t>3. PAKETLEME</t>
  </si>
  <si>
    <t>4. SEVKİYAT</t>
  </si>
  <si>
    <t>5. İZLENEBİLİRLİK</t>
  </si>
  <si>
    <t>Kabul edilen hammadde lotu</t>
  </si>
  <si>
    <t>Kabul kaydı</t>
  </si>
  <si>
    <t>Toplam üretim günü</t>
  </si>
  <si>
    <t>2026 SEVK NOKTASI</t>
  </si>
  <si>
    <t>KG</t>
  </si>
  <si>
    <t>SEVK NOKTASI</t>
  </si>
  <si>
    <t>TOPLAM PAKET</t>
  </si>
  <si>
    <t>AMBALAJ</t>
  </si>
  <si>
    <t>TOPLAM KG</t>
  </si>
  <si>
    <t>Toplam parti</t>
  </si>
  <si>
    <t>File Market</t>
  </si>
  <si>
    <t>500 g</t>
  </si>
  <si>
    <t>Teorik üretim kg</t>
  </si>
  <si>
    <t>Şehzade Market</t>
  </si>
  <si>
    <t>Üretim firesi kg</t>
  </si>
  <si>
    <t>Malatya Alek Gıda</t>
  </si>
  <si>
    <t>2,5 kg</t>
  </si>
  <si>
    <t>Net mamul kg</t>
  </si>
  <si>
    <t>Fuar aracı</t>
  </si>
  <si>
    <t>500 g paket adedi</t>
  </si>
  <si>
    <t>Festival / Fuar</t>
  </si>
  <si>
    <t>500 g paketlenen kg</t>
  </si>
  <si>
    <t>Samsun Terme Fuarı</t>
  </si>
  <si>
    <t>TEYİT</t>
  </si>
  <si>
    <t>2,5 kg paket adedi</t>
  </si>
  <si>
    <t>KÜTLE DENKLİĞİ KONTROLÜ</t>
  </si>
  <si>
    <t>DEĞER</t>
  </si>
  <si>
    <t>2,5 kg paketlenen kg</t>
  </si>
  <si>
    <t>Kontrol edilen üretim</t>
  </si>
  <si>
    <t>Paketleme firesi kg</t>
  </si>
  <si>
    <t>Kapalı denklik</t>
  </si>
  <si>
    <t>DENETİM DURUMU</t>
  </si>
  <si>
    <t>ADET</t>
  </si>
  <si>
    <t>Toplam sevk kg</t>
  </si>
  <si>
    <t>Kontrol gereken</t>
  </si>
  <si>
    <t>Gerçek veri işlendi</t>
  </si>
  <si>
    <t>Hesaplanan paketli stok kg</t>
  </si>
  <si>
    <t>Negatif paketli stok</t>
  </si>
  <si>
    <t>Açık aksiyon</t>
  </si>
  <si>
    <t>Toplam paketleme bakiyesi kg</t>
  </si>
  <si>
    <t>Kontrollü belge gerekiyor</t>
  </si>
  <si>
    <t>Revizyon kontrolü</t>
  </si>
  <si>
    <t>REV.08 PAKETLEME KAYITLARI DOLU</t>
  </si>
  <si>
    <t>2026 üretim satırı</t>
  </si>
  <si>
    <t>2026 paketleme tarih satırı</t>
  </si>
  <si>
    <t>2026 sevkiyat satırı</t>
  </si>
  <si>
    <t>2026 lot bağı satırı</t>
  </si>
  <si>
    <t>Paketleme tarih kuralı</t>
  </si>
  <si>
    <t>Üretim tarihinden sonraki gün</t>
  </si>
  <si>
    <t>2026 dolu paketleme kaydı</t>
  </si>
  <si>
    <t>Kayıt Grubu</t>
  </si>
  <si>
    <t>2025 / 2026</t>
  </si>
  <si>
    <t>Sistemdeki Durum</t>
  </si>
  <si>
    <t>Kontrol Notu</t>
  </si>
  <si>
    <t>Üretim</t>
  </si>
  <si>
    <t>2026</t>
  </si>
  <si>
    <t>11 gerçek üretim kaydı konsolide</t>
  </si>
  <si>
    <t>14.01, 17.02 ve 15.04–23.06 kayıtları</t>
  </si>
  <si>
    <t>Sevkiyat</t>
  </si>
  <si>
    <t>8 hareket konsolide</t>
  </si>
  <si>
    <t>File Market 2.880 paket 500 g dahil</t>
  </si>
  <si>
    <t>Temizlik</t>
  </si>
  <si>
    <t>9 üretim sonrası kayıt konsolide</t>
  </si>
  <si>
    <t>15.04–23.06 lot bağlantılı</t>
  </si>
  <si>
    <t>Lot İzlenebilirliği</t>
  </si>
  <si>
    <t>9 ürün lotu × 8 hammadde lotu konsolide</t>
  </si>
  <si>
    <t>270415–270623</t>
  </si>
  <si>
    <t>Paketleme</t>
  </si>
  <si>
    <t>14.01 ve 17.02 kesin; diğerleri teyit gerektiriyor</t>
  </si>
  <si>
    <t>Teorik net ürün paketlenmiş ürün kabul edilmedi</t>
  </si>
  <si>
    <t>2025 tarihsel dönem</t>
  </si>
  <si>
    <t>2025</t>
  </si>
  <si>
    <t>Ayrı sayfalarda korunuyor</t>
  </si>
  <si>
    <t>1 kg yalnızca tarihsel dönemde</t>
  </si>
  <si>
    <t>Etiket aksiyonu</t>
  </si>
  <si>
    <t>Ana operasyon verisinden ayrı kontrollü aksiyon</t>
  </si>
  <si>
    <t>Nihai reçete/alerjen doğrulaması açık</t>
  </si>
  <si>
    <t>Denetim çapraz taraması</t>
  </si>
  <si>
    <t>Belge kontrol matrisi eklendi</t>
  </si>
  <si>
    <t>Taslak statüsü, 12000 Gauss, proses adımı, koruyucu ifadesi, etiket ve açık kayıtlar işaretlendi</t>
  </si>
  <si>
    <t>Veri koruma kuralı</t>
  </si>
  <si>
    <t>TÜM DÖNEM</t>
  </si>
  <si>
    <t>Gerçek veri silinmeden revizyon</t>
  </si>
  <si>
    <t>Eksik bilgi varsa açık aksiyon; gerçekleşmemiş faaliyet geçmiş tarihli yapılmış gibi yazılmaz</t>
  </si>
  <si>
    <t>Klasör</t>
  </si>
  <si>
    <t>Belge / Kayıt</t>
  </si>
  <si>
    <t>Durum</t>
  </si>
  <si>
    <t>Gerçek Veri / Kaynak</t>
  </si>
  <si>
    <t>Aksiyon</t>
  </si>
  <si>
    <t>Geçmişe Dönük Uydurma Kayıt?</t>
  </si>
  <si>
    <t>01 HACCP</t>
  </si>
  <si>
    <t>HACCP Planı</t>
  </si>
  <si>
    <t>REVİZYON KONTROLÜ</t>
  </si>
  <si>
    <t>Mevcut taslak/çapraz kontrol</t>
  </si>
  <si>
    <t>12000 Gauss mıknatıs kontrolü ve proses adımları doğrulanacak</t>
  </si>
  <si>
    <t>HAYIR</t>
  </si>
  <si>
    <t>Tehlike Analizi / CCP</t>
  </si>
  <si>
    <t>Fiziksel tehlike ve mıknatıs kontrolü netleştirilecek</t>
  </si>
  <si>
    <t>Alerjen Yönetimi</t>
  </si>
  <si>
    <t>AÇIK AKSİYON</t>
  </si>
  <si>
    <t>Savour bileşeninde kereviz kaydı</t>
  </si>
  <si>
    <t>Nihai etiket/alerjen metni doğrulanacak</t>
  </si>
  <si>
    <t>02 Üretim</t>
  </si>
  <si>
    <t>2026 Üretim Kayıtları</t>
  </si>
  <si>
    <t>GERÇEK VERİ İŞLENDİ</t>
  </si>
  <si>
    <t>11 üretim kaydı</t>
  </si>
  <si>
    <t>Ana sistemde korunacak</t>
  </si>
  <si>
    <t>270415–270623 ürün lotları ve 8 hammadde lotu</t>
  </si>
  <si>
    <t>14.01 ve 17.02 lot bağı ayrıca mevcut kayıttan korunacak</t>
  </si>
  <si>
    <t>Fire Kayıtları</t>
  </si>
  <si>
    <t>Üretim fireleri</t>
  </si>
  <si>
    <t>Haziran sıcak hava/tepsileme nedenleri korunacak</t>
  </si>
  <si>
    <t>Kütle Denkliği</t>
  </si>
  <si>
    <t>KISMEN KAPALI</t>
  </si>
  <si>
    <t>14.01 ve 17.02 kesin paketleme</t>
  </si>
  <si>
    <t>Nisan–Haziran gerçek paketleme adetleri olmadan teorik net paketlenmiş sayılmayacak</t>
  </si>
  <si>
    <t>03 Kalite</t>
  </si>
  <si>
    <t>Son Ürün Spesifikasyonu</t>
  </si>
  <si>
    <t>KONTROLLÜ BELGE GEREKİYOR</t>
  </si>
  <si>
    <t>12 ay raf ömrü / -18°C</t>
  </si>
  <si>
    <t>Nihai revizyon kontrolü</t>
  </si>
  <si>
    <t>Proses Kalite Planı</t>
  </si>
  <si>
    <t>Mevcut çapraz kontrol bulgusu</t>
  </si>
  <si>
    <t>Kesme/ürün boyu adımı gerçek prosesle doğrulanacak</t>
  </si>
  <si>
    <t>04 Depo</t>
  </si>
  <si>
    <t>2025–2026 Hammadde Girişleri</t>
  </si>
  <si>
    <t>GERÇEK VERİ MEVCUT</t>
  </si>
  <si>
    <t>Kullanıcı lot ve alım beyanları + faturalar</t>
  </si>
  <si>
    <t>Ana depo kabul havuzunda konsolide edilecek</t>
  </si>
  <si>
    <t>Onaylı Tedarikçi Listesi</t>
  </si>
  <si>
    <t>Satütaş, Değirmenci, Sizin Gıda, Ankara Gıda, Metro, IMCD</t>
  </si>
  <si>
    <t>Kontrollü listeye bağlanacak</t>
  </si>
  <si>
    <t>Soğuk Oda Sıcaklık Takibi</t>
  </si>
  <si>
    <t>FORM / GÜNCEL KAYIT GEREKİYOR</t>
  </si>
  <si>
    <t>Depolama limiti -18°C</t>
  </si>
  <si>
    <t>Gerçek ölçümler günlük girilecek</t>
  </si>
  <si>
    <t>05 Temizlik</t>
  </si>
  <si>
    <t>Üretim Sonrası Temizlik</t>
  </si>
  <si>
    <t>9 lot bağlı kayıt</t>
  </si>
  <si>
    <t>15.04–23.06 kayıtları korunacak</t>
  </si>
  <si>
    <t>Haftalık / Aylık Temizlik Planı</t>
  </si>
  <si>
    <t>Denetim planında açık</t>
  </si>
  <si>
    <t>Plan ve boş devam satırları korunacak</t>
  </si>
  <si>
    <t>Kimyasal Listesi</t>
  </si>
  <si>
    <t>VERİ MEVCUT / KONTROL</t>
  </si>
  <si>
    <t>ARO marka deterjan beyanı</t>
  </si>
  <si>
    <t>Ürün tipi ve kullanım talimatı etiketten doğrulanacak</t>
  </si>
  <si>
    <t>05 Hijyen</t>
  </si>
  <si>
    <t>Personel Hijyen Formu</t>
  </si>
  <si>
    <t>Fatih Ayaz / Eda Ayaz</t>
  </si>
  <si>
    <t>Gerçek kontrol tarihinde doldurulacak</t>
  </si>
  <si>
    <t>06 Eğitim</t>
  </si>
  <si>
    <t>Yıllık Eğitim Planı / Katılım</t>
  </si>
  <si>
    <t>Gerçek eğitim tarihleriyle kayıt</t>
  </si>
  <si>
    <t>06 Personel</t>
  </si>
  <si>
    <t>Ziyaretçi Giriş / Hijyen</t>
  </si>
  <si>
    <t>Boş kontrollü form kullanılacak</t>
  </si>
  <si>
    <t>07 Sevkiyat</t>
  </si>
  <si>
    <t>File Market 18.05.2026</t>
  </si>
  <si>
    <t>2.880 paket / 500 g / 1.440 kg</t>
  </si>
  <si>
    <t>Lot dağılımı teyidi açık</t>
  </si>
  <si>
    <t>Samsun Terme 04.06.2026</t>
  </si>
  <si>
    <t>114 kg / 2,5 kg</t>
  </si>
  <si>
    <t>Paket/lot dağılımı teyidi açık</t>
  </si>
  <si>
    <t>Şehzade 24.06.2026</t>
  </si>
  <si>
    <t>672 paket / 500 g / 336 kg</t>
  </si>
  <si>
    <t>Araç Sevkiyat Kontrol Formu</t>
  </si>
  <si>
    <t>Araç/plaka kayıtları mevcut olan sevkler var</t>
  </si>
  <si>
    <t>Gerçek sevklerde doldurulacak</t>
  </si>
  <si>
    <t>08 DÖF</t>
  </si>
  <si>
    <t>DÖF Formu / Takip</t>
  </si>
  <si>
    <t>Etiket ve çapraz kontrol bulguları mevcut</t>
  </si>
  <si>
    <t>Açık aksiyonlar DÖF mantığında izlenecek</t>
  </si>
  <si>
    <t>08 İç Tetkik</t>
  </si>
  <si>
    <t>İç Tetkik Planı / Rapor</t>
  </si>
  <si>
    <t>Mevcut taslak ve sonuç notu</t>
  </si>
  <si>
    <t>Taslak statüleri kapatılmadan nihai sayılmayacak</t>
  </si>
  <si>
    <t>09 Denetim</t>
  </si>
  <si>
    <t>Belge İndeksi / Hazırlık Listesi</t>
  </si>
  <si>
    <t>Ana klasör planı mevcut</t>
  </si>
  <si>
    <t>Son dosya setine göre otomatik güncellenecek</t>
  </si>
  <si>
    <t>Haşere</t>
  </si>
  <si>
    <t>İlaçlama</t>
  </si>
  <si>
    <t>GERÇEK VERİ BEYANI</t>
  </si>
  <si>
    <t>Postallı İlaçlama; son 22.04.2026</t>
  </si>
  <si>
    <t>Yeni servis gerçekleşince gerçek tarih ve servis belgesi eklenecek</t>
  </si>
  <si>
    <t>Etiket</t>
  </si>
  <si>
    <t>500 g etiket uygunluk aksiyonu</t>
  </si>
  <si>
    <t>Yaklaşık 5.000 etiket; reçete/alerjen kontrolü</t>
  </si>
  <si>
    <t>Yeni baskı öncesi nihai içerik doğrulaması</t>
  </si>
  <si>
    <t>KONTROL</t>
  </si>
  <si>
    <t>KAYNAK</t>
  </si>
  <si>
    <t>ANA SİSTEM</t>
  </si>
  <si>
    <t>SONUÇ</t>
  </si>
  <si>
    <t>NOT</t>
  </si>
  <si>
    <t>2026 Ocak-Şubat üretim</t>
  </si>
  <si>
    <t>FR-GV-001: 2 satır</t>
  </si>
  <si>
    <t>21 2026 ÜRETİM: 2 satır</t>
  </si>
  <si>
    <t>EŞLEŞTİ</t>
  </si>
  <si>
    <t>14.01 ve 17.02 geri eklendi</t>
  </si>
  <si>
    <t>2026 Nisan-Haziran üretim</t>
  </si>
  <si>
    <t>Gerçek kayıt: 9 satır</t>
  </si>
  <si>
    <t>21 2026 ÜRETİM: 9 satır</t>
  </si>
  <si>
    <t>15.04–23.06</t>
  </si>
  <si>
    <t>2026 paketleme kesin kayıt</t>
  </si>
  <si>
    <t>22 2026 PAKETLEME: 2 kesin satır</t>
  </si>
  <si>
    <t>Ocak-Şubat</t>
  </si>
  <si>
    <t>2026 sevkiyat Ocak-Mart</t>
  </si>
  <si>
    <t>FR-GV-001: 4 satır</t>
  </si>
  <si>
    <t>23 2026 SEVKİYAT: 4 satır</t>
  </si>
  <si>
    <t>1 sevk tarihi açık</t>
  </si>
  <si>
    <t>2026 sevkiyat Mayıs-Haziran</t>
  </si>
  <si>
    <t>Gerçek kayıt: 3 satır</t>
  </si>
  <si>
    <t>23 2026 SEVKİYAT: 3 satır</t>
  </si>
  <si>
    <t>File/Samsun/Şehzade</t>
  </si>
  <si>
    <t>File Market paket</t>
  </si>
  <si>
    <t>2.880 paket / 1.440 kg</t>
  </si>
  <si>
    <t>Samsun Terme</t>
  </si>
  <si>
    <t>114 kg / paket adedi teyitsiz</t>
  </si>
  <si>
    <t>114 kg / paket adedi TEYİT</t>
  </si>
  <si>
    <t>45,6 paket hatası kaldırıldı</t>
  </si>
  <si>
    <t>2026 lot bağı</t>
  </si>
  <si>
    <t>Ocak-Şubat + Nisan-Haziran</t>
  </si>
  <si>
    <t>Tüm 11 üretim tarihi bağlı</t>
  </si>
  <si>
    <t>Lot satırları birleştirildi</t>
  </si>
  <si>
    <t>2026 üretim/paketleme tarih kuralı</t>
  </si>
  <si>
    <t>Her üretim +1 gün</t>
  </si>
  <si>
    <t>11 üretim / 11 paketleme tarihi</t>
  </si>
  <si>
    <t>Gündüz paketleme, akşam yeni üretim yapılabilir; kayıtlar üretim lotuna göre bağlı</t>
  </si>
  <si>
    <t>Paket adedi veri kuralı</t>
  </si>
  <si>
    <t>Kesin kayıt varsa doldur</t>
  </si>
  <si>
    <t>Teyitsiz adet boş</t>
  </si>
  <si>
    <t>Paketleme tarihi oluşturuldu; paket adetleri uydurulmadı</t>
  </si>
  <si>
    <t>2026 paketleme ambalaj kaydı</t>
  </si>
  <si>
    <t>Önceki kayıtlarla dolduruldu</t>
  </si>
  <si>
    <t>Ocak-Şubat karma; Nisan-Haziran 500 g</t>
  </si>
  <si>
    <t>Üretim kayıtlarındaki ambalaj bilgisi paketleme sayfasına aktarıldı; boş teyit satırları kaldırıldı.</t>
  </si>
  <si>
    <t>Hammadde</t>
  </si>
  <si>
    <t>Varsayılan Tedarikçi</t>
  </si>
  <si>
    <t>Birim</t>
  </si>
  <si>
    <t>Ambalaj</t>
  </si>
  <si>
    <t>Temizlik Durumu</t>
  </si>
  <si>
    <t>Patates unu</t>
  </si>
  <si>
    <t>Satütaş</t>
  </si>
  <si>
    <t>kg</t>
  </si>
  <si>
    <t>KABUL</t>
  </si>
  <si>
    <t>Tamamlandı</t>
  </si>
  <si>
    <t>Mısır nişastası</t>
  </si>
  <si>
    <t>Değirmenci Gıda</t>
  </si>
  <si>
    <t>ŞARTLI KABUL</t>
  </si>
  <si>
    <t>Açık</t>
  </si>
  <si>
    <t>Tat mısır unu</t>
  </si>
  <si>
    <t>Sizin Gıda</t>
  </si>
  <si>
    <t>RED</t>
  </si>
  <si>
    <t>Savour tavuk çeşnisi</t>
  </si>
  <si>
    <t>Ankara Gıda</t>
  </si>
  <si>
    <t>Sarımsak tozu</t>
  </si>
  <si>
    <t>Karabiber</t>
  </si>
  <si>
    <t>Metro Market</t>
  </si>
  <si>
    <t>Tuz</t>
  </si>
  <si>
    <t>BENECEL A4M</t>
  </si>
  <si>
    <t>IMCD Türkiye</t>
  </si>
  <si>
    <t>Kontrol</t>
  </si>
  <si>
    <t>Sonuç</t>
  </si>
  <si>
    <t>Açıklama</t>
  </si>
  <si>
    <t>Formül referans hatası</t>
  </si>
  <si>
    <t>UYGUN</t>
  </si>
  <si>
    <t>0 hata</t>
  </si>
  <si>
    <t>Eski sayfa adına bağlı formül</t>
  </si>
  <si>
    <t>0 eski referans</t>
  </si>
  <si>
    <t>502+ sabit veri bloğu</t>
  </si>
  <si>
    <t>Mükerrer alt veri bloğu yok</t>
  </si>
  <si>
    <t>Birebir aynı satır tekrarı</t>
  </si>
  <si>
    <t>0 satır; boş/formül şablonları hariç</t>
  </si>
  <si>
    <t>Paketleme ertesi gün kontrolü</t>
  </si>
  <si>
    <t>0 tarih sapması</t>
  </si>
  <si>
    <t>Sevkiyat aynı kimlikte tekrar</t>
  </si>
  <si>
    <t>{}</t>
  </si>
  <si>
    <t>2025 dönem yapısı</t>
  </si>
  <si>
    <t>KORUNDU</t>
  </si>
  <si>
    <t>Kapanmış tarihsel kayıt sekmeleri değiştirilmedi</t>
  </si>
  <si>
    <t>2026 operasyon sırası</t>
  </si>
  <si>
    <t>Depo Kabul → Üretim → Paketleme → Sevkiyat → Kütle Denkliği → Lot Bağı → Temizlik</t>
  </si>
  <si>
    <t>251011</t>
  </si>
  <si>
    <t>57108774</t>
  </si>
  <si>
    <t>9222</t>
  </si>
  <si>
    <t>01.09.EY</t>
  </si>
  <si>
    <t>040126-141</t>
  </si>
  <si>
    <t>170126-678</t>
  </si>
  <si>
    <t>20423</t>
  </si>
  <si>
    <t>2743063</t>
  </si>
  <si>
    <t>251212</t>
  </si>
  <si>
    <t>58138875</t>
  </si>
  <si>
    <t>8825</t>
  </si>
  <si>
    <t>170226-157</t>
  </si>
  <si>
    <t>161125-567</t>
  </si>
  <si>
    <t>20425</t>
  </si>
  <si>
    <t>9226</t>
  </si>
  <si>
    <t>070426-693</t>
  </si>
  <si>
    <t>Üretim Tarihi</t>
  </si>
  <si>
    <t>Parti</t>
  </si>
  <si>
    <t>kg/Parti</t>
  </si>
  <si>
    <t>Teorik kg</t>
  </si>
  <si>
    <t>Üretim Firesi kg</t>
  </si>
  <si>
    <t>Net Mamul kg</t>
  </si>
  <si>
    <t>18.09.2025</t>
  </si>
  <si>
    <t>19.09.2025</t>
  </si>
  <si>
    <t>20.09.2025</t>
  </si>
  <si>
    <t>21.09.2025</t>
  </si>
  <si>
    <t>22.09.2025</t>
  </si>
  <si>
    <t>23.09.2025</t>
  </si>
  <si>
    <t>20.10.2025</t>
  </si>
  <si>
    <t>1 kg — TARİHSEL</t>
  </si>
  <si>
    <t>23.12.2025</t>
  </si>
  <si>
    <t>1 kg + 2,5 kg — TARİHSEL</t>
  </si>
  <si>
    <t>Üretim Bağı</t>
  </si>
  <si>
    <t>500 g Paket</t>
  </si>
  <si>
    <t>500 g kg</t>
  </si>
  <si>
    <t>1 kg Paket TARİHSEL</t>
  </si>
  <si>
    <t>1 kg kg</t>
  </si>
  <si>
    <t>2,5 kg Paket</t>
  </si>
  <si>
    <t>2,5 kg kg</t>
  </si>
  <si>
    <t>Paketleme Firesi kg</t>
  </si>
  <si>
    <t>18–23.09.2025</t>
  </si>
  <si>
    <t>Sevk Tarihi</t>
  </si>
  <si>
    <t>Alıcı</t>
  </si>
  <si>
    <t>Lojistik</t>
  </si>
  <si>
    <t>Plaka</t>
  </si>
  <si>
    <t>Paket</t>
  </si>
  <si>
    <t>01.10.2025</t>
  </si>
  <si>
    <t>Narlog Lojistik</t>
  </si>
  <si>
    <t>34 AAB 37</t>
  </si>
  <si>
    <t>22.10.2025</t>
  </si>
  <si>
    <t>Arca Burger</t>
  </si>
  <si>
    <t>PolarXP</t>
  </si>
  <si>
    <t>BİLDİRİLMİYOR</t>
  </si>
  <si>
    <t>1 kg TARİHSEL</t>
  </si>
  <si>
    <t>03.12.2025</t>
  </si>
  <si>
    <t>Carnaval</t>
  </si>
  <si>
    <t>16.12.2025</t>
  </si>
  <si>
    <t>Senem Değerli</t>
  </si>
  <si>
    <t>25.12.2025</t>
  </si>
  <si>
    <t>2025 TARİHSEL YIL ÖZETİ</t>
  </si>
  <si>
    <t>500 g paket</t>
  </si>
  <si>
    <t>1 kg paket — tarihsel</t>
  </si>
  <si>
    <t>2,5 kg paket</t>
  </si>
  <si>
    <t>Doğrulanmış sevk kg</t>
  </si>
  <si>
    <t>Giriş Tarihi</t>
  </si>
  <si>
    <t>Hammadde Seç</t>
  </si>
  <si>
    <t>Tedarikçi Otomatik</t>
  </si>
  <si>
    <t>Miktar</t>
  </si>
  <si>
    <t>Birim Otomatik</t>
  </si>
  <si>
    <t>Lot No</t>
  </si>
  <si>
    <t>ÜRT</t>
  </si>
  <si>
    <t>SKT</t>
  </si>
  <si>
    <t>Kabul Durumu</t>
  </si>
  <si>
    <t>⌂ ANA SAYFA</t>
  </si>
  <si>
    <t>02.01.2026</t>
  </si>
  <si>
    <t>→ ÜRETİM</t>
  </si>
  <si>
    <t>05.01.2026</t>
  </si>
  <si>
    <t>05.01.2028</t>
  </si>
  <si>
    <t>→ LOT BAĞI</t>
  </si>
  <si>
    <t>08.01.2026</t>
  </si>
  <si>
    <t>08.01.2028</t>
  </si>
  <si>
    <t>16.11.2025</t>
  </si>
  <si>
    <t>16.11.2029</t>
  </si>
  <si>
    <t>13.01.2026</t>
  </si>
  <si>
    <t>13.01.2027</t>
  </si>
  <si>
    <t>Kronoloji doğrulama</t>
  </si>
  <si>
    <t>17.01.2026</t>
  </si>
  <si>
    <t>17.01.2028</t>
  </si>
  <si>
    <t>04.01.2026</t>
  </si>
  <si>
    <t>04.01.2028</t>
  </si>
  <si>
    <t>02.02.2026</t>
  </si>
  <si>
    <t>05.12.2025</t>
  </si>
  <si>
    <t>05.12.2026</t>
  </si>
  <si>
    <t>16.11.2027</t>
  </si>
  <si>
    <t>12.12.2025</t>
  </si>
  <si>
    <t>12.12.2026</t>
  </si>
  <si>
    <t>TARİHSEL LOT KAYDI — giriş/alım tarihi satın alma kaydıyla eşleştirilecek</t>
  </si>
  <si>
    <t>09.09.2025</t>
  </si>
  <si>
    <t>09.09.2027</t>
  </si>
  <si>
    <t>20.02.2026</t>
  </si>
  <si>
    <t>20.02.2027</t>
  </si>
  <si>
    <t>17.02.2026</t>
  </si>
  <si>
    <t>17.02.2028</t>
  </si>
  <si>
    <t>07.04.2026</t>
  </si>
  <si>
    <t>07.04.2028</t>
  </si>
  <si>
    <t>23.07.2025</t>
  </si>
  <si>
    <t>23.07.2026</t>
  </si>
  <si>
    <t>Üretim Lot No</t>
  </si>
  <si>
    <t>14.01.2026</t>
  </si>
  <si>
    <t>270114</t>
  </si>
  <si>
    <t>Ocak geçmiş kayıt; FR-GV-001 ile doğrulandı</t>
  </si>
  <si>
    <t>270217</t>
  </si>
  <si>
    <t>Şubat geçmiş kayıt; FR-GV-001 ile doğrulandı</t>
  </si>
  <si>
    <t>15.04.2026</t>
  </si>
  <si>
    <t>270415</t>
  </si>
  <si>
    <t>Kullanıcı beyanı: 260 kg ürün</t>
  </si>
  <si>
    <t>27.04.2026</t>
  </si>
  <si>
    <t>270427</t>
  </si>
  <si>
    <t>Hesaplanan net</t>
  </si>
  <si>
    <t>04.05.2026</t>
  </si>
  <si>
    <t>270504</t>
  </si>
  <si>
    <t>05.05.2026</t>
  </si>
  <si>
    <t>270505</t>
  </si>
  <si>
    <t>07.05.2026</t>
  </si>
  <si>
    <t>270507</t>
  </si>
  <si>
    <t>12.05.2026</t>
  </si>
  <si>
    <t>270512</t>
  </si>
  <si>
    <t>15.06.2026</t>
  </si>
  <si>
    <t>270615</t>
  </si>
  <si>
    <t>Sıcak hava / tepsileme makinesi ürünü tepsiye alamadı</t>
  </si>
  <si>
    <t>17.06.2026</t>
  </si>
  <si>
    <t>270617</t>
  </si>
  <si>
    <t>Sıcak hava / tepsileme kaynaklı fire</t>
  </si>
  <si>
    <t>23.06.2026</t>
  </si>
  <si>
    <t>270623</t>
  </si>
  <si>
    <t>Paketleme Tarihi</t>
  </si>
  <si>
    <t>Bakiye kg</t>
  </si>
  <si>
    <t>15.01.2026</t>
  </si>
  <si>
    <t>100 kg ALEK + 140 kg festival/fuar</t>
  </si>
  <si>
    <t>18.02.2026</t>
  </si>
  <si>
    <t>11 koli 500 g; kalan 2,5 kg</t>
  </si>
  <si>
    <t>16.04.2026</t>
  </si>
  <si>
    <t>28.04.2026</t>
  </si>
  <si>
    <t>06.05.2026</t>
  </si>
  <si>
    <t>08.05.2026</t>
  </si>
  <si>
    <t>13.05.2026</t>
  </si>
  <si>
    <t>16.06.2026</t>
  </si>
  <si>
    <t>18.06.2026</t>
  </si>
  <si>
    <t>24.06.2026</t>
  </si>
  <si>
    <t>Alıcı / Hedef</t>
  </si>
  <si>
    <t>Not</t>
  </si>
  <si>
    <t>16.01.2026</t>
  </si>
  <si>
    <t>Malatya ALEK Gıda</t>
  </si>
  <si>
    <t>Kendi / bildirilen araç</t>
  </si>
  <si>
    <t>34 AU 125</t>
  </si>
  <si>
    <t>Gerçek kayıt</t>
  </si>
  <si>
    <t>Sevk tarihi kesin kanıtı ayrıca kontrol</t>
  </si>
  <si>
    <t>Kendi araç</t>
  </si>
  <si>
    <t>77 AAG 036</t>
  </si>
  <si>
    <t>4 koli × 32</t>
  </si>
  <si>
    <t>25.02.2026</t>
  </si>
  <si>
    <t>27.03.2026</t>
  </si>
  <si>
    <t>7 koli × 32</t>
  </si>
  <si>
    <t>18.05.2026</t>
  </si>
  <si>
    <t>34 AAB 26</t>
  </si>
  <si>
    <t>LOT DAĞILIMI TEYİT</t>
  </si>
  <si>
    <t>90 koli / soğuk zincir</t>
  </si>
  <si>
    <t>04.06.2026</t>
  </si>
  <si>
    <t>Firma aracı</t>
  </si>
  <si>
    <t>Paket adedi kesinleştirilmedi; kg gerçek kayıt</t>
  </si>
  <si>
    <t>21 koli / gerçek sevkiyat</t>
  </si>
  <si>
    <t>Teorik Üretim kg</t>
  </si>
  <si>
    <t>500 g Paket kg</t>
  </si>
  <si>
    <t>2,5 kg Paket kg</t>
  </si>
  <si>
    <t>Paketleme Bakiye kg</t>
  </si>
  <si>
    <t>Sevk Edilen kg</t>
  </si>
  <si>
    <t>Hesaplanan Paketli Stok kg</t>
  </si>
  <si>
    <t>Kütle Denkliği Farkı kg</t>
  </si>
  <si>
    <t>Patates unu Lot</t>
  </si>
  <si>
    <t>Mısır nişastası Lot</t>
  </si>
  <si>
    <t>Tat mısır unu Lot</t>
  </si>
  <si>
    <t>Savour Lot</t>
  </si>
  <si>
    <t>Sarımsak tozu Lot</t>
  </si>
  <si>
    <t>Karabiber Lot</t>
  </si>
  <si>
    <t>Tuz Lot</t>
  </si>
  <si>
    <t>BENECEL A4M Lot</t>
  </si>
  <si>
    <t>Kontrol Eden</t>
  </si>
  <si>
    <t>Eda Ayaz</t>
  </si>
  <si>
    <t>EKSİK LOT</t>
  </si>
  <si>
    <t>LOT BAĞI TAMAM</t>
  </si>
  <si>
    <t>Tarih</t>
  </si>
  <si>
    <t>Bağlı Üretim Lotu</t>
  </si>
  <si>
    <t>Alan / Ekipman</t>
  </si>
  <si>
    <t>Temizlik Zamanı</t>
  </si>
  <si>
    <t>Kullanılan Kimyasal</t>
  </si>
  <si>
    <t>Temizliği Yapan</t>
  </si>
  <si>
    <t>Mikser/hamur yoğurma, şekillendirme makinesi, tepsileme makinesi, çalışma yüzeyleri ve üretim yapılan zemin</t>
  </si>
  <si>
    <t>Üretim sonrası</t>
  </si>
  <si>
    <t>Köpük deterjan ve dezenfektan</t>
  </si>
  <si>
    <t>Üretim yapılan alan ve ekipmanlar</t>
  </si>
  <si>
    <t>Paketlenen kg</t>
  </si>
  <si>
    <t>Sevk kg</t>
  </si>
  <si>
    <t>Paketli Stok kg</t>
  </si>
  <si>
    <t>Kütle Farkı kg</t>
  </si>
  <si>
    <t>Kontrol Sonucu</t>
  </si>
  <si>
    <t>ÇAPRAZ KONTROL SONUCU</t>
  </si>
  <si>
    <t>14.01.2026 üretimi: 240,000 kg paketlenmiş ürünün tamamı 100 kg ALEK + 140 kg festival/fuar hareketiyle kapanıyor.</t>
  </si>
  <si>
    <t>17.02.2026 üretimi: 221,000 kg paketlenmiş ürünün tamamı 64 kg + 45 kg + 112 kg sevkiyatla kapanıyor.</t>
  </si>
  <si>
    <t>Her iki üretimde paketleme öncesi bakiye, kayıtlı paketleme firesiyle birlikte matematiksel olarak sıfırlanıyor. Kütle farkı 0,000 kg.</t>
  </si>
  <si>
    <t>KULLANIM KURALI</t>
  </si>
  <si>
    <t>ANA AKIŞ</t>
  </si>
  <si>
    <t>00 ANA SAYFA → 20 DEPO KABUL → 21 ÜRETİM → 22 PAKETLEME → 23 SEVKİYAT → 24 KÜTLE DENKLİĞİ → 25 LOT BAĞI → 26 TEMİZLİK</t>
  </si>
  <si>
    <t>DEPO KABUL</t>
  </si>
  <si>
    <t>Hammaddeyi açılır listeden seç. Tedarikçi ve birim otomatik gelir. Lotu yalnız kabulde bir kez yaz.</t>
  </si>
  <si>
    <t>ÜRETİM</t>
  </si>
  <si>
    <t>Tarih, parti ve gerçek üretim firesini gir. kg/parti, teorik kg, net mamul ve üretim lotu otomatik oluşur.</t>
  </si>
  <si>
    <t>PAKETLEME</t>
  </si>
  <si>
    <t>Üretim tarihini listeden seç. Paketleme tarihi ertesi gün, net mamul ve paket kg hesapları otomatik gelir. Sadece paket adetleri ve gerçek paketleme firesini gir.</t>
  </si>
  <si>
    <t>SEVKİYAT</t>
  </si>
  <si>
    <t>Üretim bağını ve ambalajı listeden seç. Paket adedi girildiğinde kg otomatik hesaplanır.</t>
  </si>
  <si>
    <t>LOT BAĞI</t>
  </si>
  <si>
    <t>Her üretim tek satırdır. Aynı üretim lotunu 8 kez tekrar yazma. Mevcut lot bağları konsolide edildi.</t>
  </si>
  <si>
    <t>TEMİZLİK</t>
  </si>
  <si>
    <t>Üretim lotunu seç. Tarih ve standart üretim sonrası temizlik alanları otomatik gelir.</t>
  </si>
  <si>
    <t>Kapanmış tarihsel dönemdir; değiştirme.</t>
  </si>
  <si>
    <t>KURAL</t>
  </si>
  <si>
    <t>Sarı/açık giriş alanlarına gerçek veri gir. Geçmişe dönük tahmini kayıt oluşturma.</t>
  </si>
  <si>
    <t>REV10 DÜZELTME</t>
  </si>
  <si>
    <t>21 ÜRETİM ve 23 SEVKİYAT sayfalarında 502+ satırlara taşınmış mükerrer veri blokları kaldırıldı; gerçek kayıtlar üstte tek blokta konsolide edildi.</t>
  </si>
  <si>
    <t>REV12 LOT SEÇİMİ</t>
  </si>
  <si>
    <t>25 LOT BAĞI: her hammadde sütununda yalnız 20 DEPO KABUL'de o hammadde için kayıtlı lotlar açılır listede görünür. Lot tekrar yazılmaz; seçilir. BENECEL kabul lotu 2743063 olarak düzeltildi.</t>
  </si>
  <si>
    <t>REV13 DÜZELTME</t>
  </si>
  <si>
    <t>Lot bağı içinde fiilen kullanılan ancak depo kabul listesinden düşmüş tarihsel lotlar depo kabul lot havuzuna geri alındı. Teyitsiz kabul tarihleri uydurulmadı; notla işaretlendi. Ana panel üretim günü COUNTA ile düzeltildi ve sevk noktası SUMIF satır referansları düzeltildi.</t>
  </si>
  <si>
    <t>Hammadde Lot No</t>
  </si>
  <si>
    <t>Hammadde Otomatik</t>
  </si>
  <si>
    <t>Kullanılan Miktar</t>
  </si>
  <si>
    <t>ÜRT Otomatik</t>
  </si>
  <si>
    <t>SKT Otomatik</t>
  </si>
  <si>
    <t>11.10.2026</t>
  </si>
  <si>
    <t>Geçmiş kayıt lot bağı</t>
  </si>
  <si>
    <t>2732248</t>
  </si>
  <si>
    <t>BENECEL</t>
  </si>
  <si>
    <t>14.08.2025</t>
  </si>
  <si>
    <t>14.08.2027</t>
  </si>
  <si>
    <t>Mısır unu</t>
  </si>
  <si>
    <t>2026 üretim lot bağı</t>
  </si>
  <si>
    <t>280108-234</t>
  </si>
  <si>
    <t>09.2026</t>
  </si>
  <si>
    <t>Gerçek lot matrisi kaynağından konsolide</t>
  </si>
  <si>
    <t>Savour Tavuk Çeşnisi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</si>
</sst>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dd\.mm\.yyyy"/>
  </numFmts>
  <fonts count="9" x14ac:knownFonts="1">
    <font>
      <sz val="11"/>
      <color theme="1"/>
      <name val="Calibri"/>
      <family val="2"/>
      <scheme val="minor"/>
    </font>
    <font>
      <b/>
      <sz val="15"/>
      <color rgb="FFFFFFFF"/>
      <name val="Arial"/>
      <family val="2"/>
    </font>
    <font>
      <sz val="11"/>
      <color theme="1"/>
      <name val="Calibri"/>
      <family val="2"/>
      <charset val="1"/>
    </font>
    <font>
      <b/>
      <sz val="11"/>
      <color rgb="FFFFFFFF"/>
      <name val="Cambria"/>
      <family val="1"/>
    </font>
    <font>
      <b/>
      <sz val="11"/>
      <name val="Cambria"/>
      <family val="1"/>
    </font>
    <font>
      <sz val="9"/>
      <name val="Arial"/>
      <family val="2"/>
    </font>
    <font>
      <b/>
      <sz val="11"/>
      <color rgb="FFFFFFFF"/>
      <name val="Calibri"/>
      <family val="2"/>
    </font>
    <font>
      <b/>
      <sz val="11"/>
      <color rgb="FFFFFFFF"/>
      <name val="Arial"/>
      <family val="2"/>
    </font>
    <font>
      <sz val="12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DDEBF7"/>
      </patternFill>
    </fill>
    <fill>
      <patternFill patternType="solid">
        <fgColor rgb="FFDDEBF7"/>
        <bgColor rgb="FFD9EAF7"/>
      </patternFill>
    </fill>
    <fill>
      <patternFill patternType="solid">
        <fgColor rgb="FFE2F0D9"/>
        <bgColor rgb="FFDDEBF7"/>
      </patternFill>
    </fill>
    <fill>
      <patternFill patternType="solid">
        <fgColor rgb="FFFFF2CC"/>
        <bgColor rgb="FFE2F0D9"/>
      </patternFill>
    </fill>
    <fill>
      <patternFill patternType="solid">
        <fgColor rgb="FFF4CCCC"/>
        <bgColor rgb="FFCCCCFF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70AD47"/>
      </patternFill>
    </fill>
  </fills>
  <borders count="3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84">
    <xf numFmtId="0" fontId="0" fillId="0" borderId="0" xfId="0"/>
    <xf numFmtId="0" fontId="2" fillId="0" borderId="1" xfId="0" applyFont="1" applyBorder="1" applyAlignment="1">
      <alignment vertical="top" wrapText="1"/>
    </xf>
    <xf numFmtId="0" fontId="3" fillId="2" borderId="0" xfId="0" applyFont="1" applyFill="1" applyAlignment="1">
      <alignment horizontal="center"/>
    </xf>
    <xf numFmtId="0" fontId="2" fillId="0" borderId="0" xfId="0" applyFont="1"/>
    <xf numFmtId="0" fontId="4" fillId="3" borderId="0" xfId="0" applyFont="1" applyFill="1"/>
    <xf numFmtId="0" fontId="5" fillId="4" borderId="1" xfId="0" applyFont="1" applyFill="1" applyBorder="1" applyAlignment="1">
      <alignment vertical="top" wrapText="1"/>
    </xf>
    <xf numFmtId="164" fontId="2" fillId="5" borderId="1" xfId="0" applyNumberFormat="1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3" fillId="2" borderId="0" xfId="0" applyFont="1" applyFill="1" applyAlignment="1">
      <alignment horizontal="center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3" fillId="2" borderId="0" xfId="0" applyFont="1" applyFill="1"/>
    <xf numFmtId="0" fontId="6" fillId="8" borderId="0" xfId="0" applyFont="1" applyFill="1"/>
    <xf numFmtId="0" fontId="7" fillId="2" borderId="1" xfId="0" applyFont="1" applyFill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0" fontId="6" fillId="8" borderId="4" xfId="1" applyFont="1" applyFill="1" applyBorder="1" applyAlignment="1">
      <alignment horizontal="center"/>
    </xf>
    <xf numFmtId="0" fontId="6" fillId="10" borderId="4" xfId="1" applyFont="1" applyFill="1" applyBorder="1" applyAlignment="1">
      <alignment horizontal="center"/>
    </xf>
    <xf numFmtId="0" fontId="6" fillId="11" borderId="4" xfId="1" applyFont="1" applyFill="1" applyBorder="1" applyAlignment="1">
      <alignment horizontal="center"/>
    </xf>
    <xf numFmtId="0" fontId="1" fillId="2" borderId="1" xfId="0" applyFont="1" applyFill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5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0" borderId="5" xfId="0" applyFont="1" applyBorder="1" applyAlignment="1">
      <alignment vertical="center" wrapText="1"/>
    </xf>
    <xf numFmtId="0" fontId="2" fillId="6" borderId="5" xfId="0" applyFont="1" applyFill="1" applyBorder="1" applyAlignment="1">
      <alignment vertical="center" wrapText="1"/>
    </xf>
    <xf numFmtId="0" fontId="0" fillId="0" borderId="5" xfId="0" applyBorder="1"/>
    <xf numFmtId="0" fontId="2" fillId="0" borderId="6" xfId="0" applyFont="1" applyBorder="1" applyAlignment="1">
      <alignment vertical="center" wrapText="1"/>
    </xf>
    <xf numFmtId="0" fontId="2" fillId="9" borderId="5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165" fontId="2" fillId="0" borderId="10" xfId="0" applyNumberFormat="1" applyFont="1" applyBorder="1" applyAlignment="1">
      <alignment vertical="center" wrapText="1"/>
    </xf>
    <xf numFmtId="165" fontId="2" fillId="0" borderId="11" xfId="0" applyNumberFormat="1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9" borderId="11" xfId="0" applyFont="1" applyFill="1" applyBorder="1" applyAlignment="1">
      <alignment vertical="center" wrapText="1"/>
    </xf>
    <xf numFmtId="0" fontId="0" fillId="0" borderId="11" xfId="0" applyBorder="1"/>
    <xf numFmtId="0" fontId="3" fillId="2" borderId="12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9" borderId="14" xfId="0" applyFont="1" applyFill="1" applyBorder="1" applyAlignment="1">
      <alignment vertical="center" wrapText="1"/>
    </xf>
    <xf numFmtId="0" fontId="0" fillId="0" borderId="14" xfId="0" applyBorder="1"/>
    <xf numFmtId="0" fontId="3" fillId="2" borderId="7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2" fillId="9" borderId="16" xfId="0" applyFont="1" applyFill="1" applyBorder="1" applyAlignment="1">
      <alignment vertical="center" wrapText="1"/>
    </xf>
    <xf numFmtId="0" fontId="0" fillId="0" borderId="16" xfId="0" applyBorder="1"/>
    <xf numFmtId="0" fontId="3" fillId="2" borderId="17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2" fillId="9" borderId="19" xfId="0" applyFont="1" applyFill="1" applyBorder="1" applyAlignment="1">
      <alignment vertical="center" wrapText="1"/>
    </xf>
    <xf numFmtId="0" fontId="0" fillId="0" borderId="19" xfId="0" applyBorder="1"/>
    <xf numFmtId="0" fontId="2" fillId="6" borderId="14" xfId="0" applyFont="1" applyFill="1" applyBorder="1" applyAlignment="1">
      <alignment vertical="center" wrapText="1"/>
    </xf>
    <xf numFmtId="0" fontId="2" fillId="6" borderId="16" xfId="0" applyFont="1" applyFill="1" applyBorder="1" applyAlignment="1">
      <alignment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2" fillId="6" borderId="19" xfId="0" applyFont="1" applyFill="1" applyBorder="1" applyAlignment="1">
      <alignment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2" fillId="0" borderId="25" xfId="0" applyFont="1" applyBorder="1" applyAlignment="1">
      <alignment vertical="center" wrapText="1"/>
    </xf>
    <xf numFmtId="0" fontId="2" fillId="6" borderId="25" xfId="0" applyFont="1" applyFill="1" applyBorder="1" applyAlignment="1">
      <alignment vertical="center" wrapText="1"/>
    </xf>
    <xf numFmtId="0" fontId="0" fillId="0" borderId="25" xfId="0" applyBorder="1"/>
    <xf numFmtId="0" fontId="2" fillId="0" borderId="10" xfId="0" applyFont="1" applyBorder="1" applyAlignment="1">
      <alignment vertical="center" wrapText="1"/>
    </xf>
    <xf numFmtId="0" fontId="2" fillId="0" borderId="26" xfId="0" applyFont="1" applyBorder="1" applyAlignment="1">
      <alignment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top" wrapText="1"/>
    </xf>
    <xf numFmtId="0" fontId="2" fillId="0" borderId="14" xfId="0" applyFont="1" applyBorder="1" applyAlignment="1">
      <alignment vertical="top" wrapText="1"/>
    </xf>
    <xf numFmtId="0" fontId="2" fillId="0" borderId="16" xfId="0" applyFont="1" applyBorder="1" applyAlignment="1">
      <alignment vertical="top" wrapText="1"/>
    </xf>
    <xf numFmtId="0" fontId="2" fillId="0" borderId="28" xfId="0" applyFont="1" applyBorder="1" applyAlignment="1">
      <alignment vertical="center" wrapText="1"/>
    </xf>
    <xf numFmtId="0" fontId="2" fillId="6" borderId="28" xfId="0" applyFont="1" applyFill="1" applyBorder="1" applyAlignment="1">
      <alignment vertical="center" wrapText="1"/>
    </xf>
    <xf numFmtId="0" fontId="2" fillId="9" borderId="28" xfId="0" applyFont="1" applyFill="1" applyBorder="1" applyAlignment="1">
      <alignment vertical="center" wrapText="1"/>
    </xf>
    <xf numFmtId="0" fontId="2" fillId="0" borderId="28" xfId="0" applyFont="1" applyBorder="1" applyAlignment="1">
      <alignment vertical="top" wrapText="1"/>
    </xf>
    <xf numFmtId="0" fontId="0" fillId="0" borderId="28" xfId="0" applyBorder="1"/>
    <xf numFmtId="0" fontId="2" fillId="0" borderId="19" xfId="0" applyFont="1" applyBorder="1" applyAlignment="1">
      <alignment vertical="top" wrapText="1"/>
    </xf>
    <xf numFmtId="0" fontId="2" fillId="0" borderId="29" xfId="0" applyFont="1" applyBorder="1" applyAlignment="1">
      <alignment vertical="center" wrapText="1"/>
    </xf>
    <xf numFmtId="0" fontId="3" fillId="2" borderId="30" xfId="0" applyFont="1" applyFill="1" applyBorder="1" applyAlignment="1">
      <alignment horizontal="center" vertical="center" wrapText="1"/>
    </xf>
    <xf numFmtId="164" fontId="2" fillId="6" borderId="16" xfId="0" applyNumberFormat="1" applyFont="1" applyFill="1" applyBorder="1" applyAlignment="1">
      <alignment vertical="center" wrapText="1"/>
    </xf>
    <xf numFmtId="164" fontId="2" fillId="6" borderId="19" xfId="0" applyNumberFormat="1" applyFont="1" applyFill="1" applyBorder="1" applyAlignment="1">
      <alignment vertical="center" wrapText="1"/>
    </xf>
    <xf numFmtId="0" fontId="2" fillId="0" borderId="5" xfId="0" applyFont="1" applyBorder="1"/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J33"/>
  <sheetViews>
    <sheetView showGridLines="0" tabSelected="1" workbookViewId="0">
      <selection activeCell="D28" sqref="D28"/>
    </sheetView>
  </sheetViews>
  <sheetFormatPr baseColWidth="10" defaultColWidth="8.83203125" defaultRowHeight="15" x14ac:dyDescent="0.2"/>
  <cols>
    <col min="1" max="1" width="34" customWidth="1"/>
    <col min="2" max="2" width="20" customWidth="1"/>
    <col min="3" max="3" width="14" customWidth="1"/>
    <col min="4" max="4" width="28" customWidth="1"/>
    <col min="5" max="5" width="18" customWidth="1"/>
    <col min="6" max="6" width="14" customWidth="1"/>
    <col min="7" max="7" width="27" customWidth="1"/>
    <col min="8" max="8" width="18" customWidth="1"/>
    <col min="9" max="9" width="15" customWidth="1"/>
    <col min="10" max="10" width="18" customWidth="1"/>
  </cols>
  <sheetData>
    <row r="1" spans="1:10" ht="18.5" customHeight="1" x14ac:dyDescent="0.2">
      <c r="A1" s="22" t="s">
        <v>0</v>
      </c>
      <c r="B1" s="23"/>
      <c r="C1" s="23"/>
      <c r="D1" s="23"/>
      <c r="E1" s="23"/>
      <c r="F1" s="24"/>
      <c r="G1" s="1"/>
      <c r="H1" s="1"/>
      <c r="I1" s="1"/>
      <c r="J1" s="1"/>
    </row>
    <row r="2" spans="1:10" ht="18.5" customHeight="1" x14ac:dyDescent="0.2">
      <c r="A2" s="22" t="s">
        <v>1</v>
      </c>
      <c r="B2" s="23"/>
      <c r="C2" s="23"/>
      <c r="D2" s="23"/>
      <c r="E2" s="23"/>
      <c r="F2" s="24"/>
      <c r="G2" s="1"/>
      <c r="H2" s="1"/>
      <c r="I2" s="1"/>
      <c r="J2" s="1"/>
    </row>
    <row r="3" spans="1:10" ht="1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" customHeight="1" x14ac:dyDescent="0.2">
      <c r="A4" s="2" t="s">
        <v>2</v>
      </c>
      <c r="B4" s="2" t="s">
        <v>3</v>
      </c>
      <c r="C4" s="2" t="s">
        <v>4</v>
      </c>
      <c r="D4" s="2" t="s">
        <v>5</v>
      </c>
      <c r="E4" s="2" t="s">
        <v>4</v>
      </c>
      <c r="F4" s="2" t="s">
        <v>6</v>
      </c>
      <c r="G4" s="2" t="s">
        <v>4</v>
      </c>
      <c r="H4" s="2" t="s">
        <v>7</v>
      </c>
      <c r="I4" s="2" t="s">
        <v>4</v>
      </c>
      <c r="J4" s="2" t="s">
        <v>8</v>
      </c>
    </row>
    <row r="5" spans="1:10" x14ac:dyDescent="0.2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ht="15" customHeight="1" x14ac:dyDescent="0.2">
      <c r="A6" s="4" t="s">
        <v>9</v>
      </c>
      <c r="B6" s="3">
        <f>COUNTA('20 2026 DEPO KABUL'!F2:F501)</f>
        <v>16</v>
      </c>
      <c r="C6" s="3"/>
      <c r="D6" s="4" t="s">
        <v>10</v>
      </c>
      <c r="E6" s="3">
        <f>COUNTIF('20 2026 DEPO KABUL'!I2:I501,"KABUL")</f>
        <v>9</v>
      </c>
      <c r="F6" s="3"/>
      <c r="G6" s="3"/>
      <c r="H6" s="3"/>
      <c r="I6" s="3"/>
      <c r="J6" s="3"/>
    </row>
    <row r="7" spans="1:10" x14ac:dyDescent="0.2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ht="15" customHeight="1" x14ac:dyDescent="0.2">
      <c r="A8" s="5" t="s">
        <v>11</v>
      </c>
      <c r="B8" s="6">
        <f>COUNTA('21 2026 ÜRETİM'!A2:A501)</f>
        <v>11</v>
      </c>
      <c r="C8" s="1"/>
      <c r="D8" s="7" t="s">
        <v>12</v>
      </c>
      <c r="E8" s="7" t="s">
        <v>13</v>
      </c>
      <c r="F8" s="1"/>
      <c r="G8" s="8" t="s">
        <v>14</v>
      </c>
      <c r="H8" s="8" t="s">
        <v>15</v>
      </c>
      <c r="I8" s="8" t="s">
        <v>16</v>
      </c>
      <c r="J8" s="8" t="s">
        <v>17</v>
      </c>
    </row>
    <row r="9" spans="1:10" ht="15" customHeight="1" x14ac:dyDescent="0.2">
      <c r="A9" s="5" t="s">
        <v>18</v>
      </c>
      <c r="B9" s="6">
        <f>SUM('21 2026 ÜRETİM'!B2:B501)</f>
        <v>121</v>
      </c>
      <c r="C9" s="1"/>
      <c r="D9" s="9" t="s">
        <v>19</v>
      </c>
      <c r="E9" s="10">
        <f>SUMIF('23 2026 SEVKİYAT'!$B$2:$B$501,D9,'23 2026 SEVKİYAT'!$H$2:$H$501)</f>
        <v>1440</v>
      </c>
      <c r="F9" s="1"/>
      <c r="G9" s="9" t="s">
        <v>19</v>
      </c>
      <c r="H9" s="10">
        <f>SUMIFS('23 2026 SEVKİYAT'!$G$2:$G$501,'23 2026 SEVKİYAT'!$B$2:$B$501,G5,'23 2026 SEVKİYAT'!$F$2:$F$501,I5)</f>
        <v>0</v>
      </c>
      <c r="I9" s="9" t="s">
        <v>20</v>
      </c>
      <c r="J9" s="10">
        <f>SUMIFS('23 2026 SEVKİYAT'!$H$2:$H$501,'23 2026 SEVKİYAT'!$B$2:$B$501,G5,'23 2026 SEVKİYAT'!$F$2:$F$501,I5)</f>
        <v>0</v>
      </c>
    </row>
    <row r="10" spans="1:10" ht="15" customHeight="1" x14ac:dyDescent="0.2">
      <c r="A10" s="5" t="s">
        <v>21</v>
      </c>
      <c r="B10" s="6">
        <f>SUM('21 2026 ÜRETİM'!D2:D501)</f>
        <v>2469.8520000000003</v>
      </c>
      <c r="C10" s="1"/>
      <c r="D10" s="9" t="s">
        <v>22</v>
      </c>
      <c r="E10" s="10">
        <f>SUMIF('23 2026 SEVKİYAT'!$B$2:$B$501,D10,'23 2026 SEVKİYAT'!$H$2:$H$501)</f>
        <v>512</v>
      </c>
      <c r="F10" s="1"/>
      <c r="G10" s="9" t="s">
        <v>22</v>
      </c>
      <c r="H10" s="10">
        <f>SUMIFS('23 2026 SEVKİYAT'!$G$2:$G$501,'23 2026 SEVKİYAT'!$B$2:$B$501,G6,'23 2026 SEVKİYAT'!$F$2:$F$501,I6)</f>
        <v>0</v>
      </c>
      <c r="I10" s="9" t="s">
        <v>20</v>
      </c>
      <c r="J10" s="10">
        <f>SUMIFS('23 2026 SEVKİYAT'!$H$2:$H$501,'23 2026 SEVKİYAT'!$B$2:$B$501,G6,'23 2026 SEVKİYAT'!$F$2:$F$501,I6)</f>
        <v>0</v>
      </c>
    </row>
    <row r="11" spans="1:10" ht="15" customHeight="1" x14ac:dyDescent="0.2">
      <c r="A11" s="5" t="s">
        <v>23</v>
      </c>
      <c r="B11" s="6">
        <f>SUM('21 2026 ÜRETİM'!E2:E501)</f>
        <v>103</v>
      </c>
      <c r="C11" s="1"/>
      <c r="D11" s="9" t="s">
        <v>24</v>
      </c>
      <c r="E11" s="10">
        <f>SUMIF('23 2026 SEVKİYAT'!$B$2:$B$501,D11,'23 2026 SEVKİYAT'!$H$2:$H$501)</f>
        <v>100</v>
      </c>
      <c r="F11" s="1"/>
      <c r="G11" s="9" t="s">
        <v>24</v>
      </c>
      <c r="H11" s="10">
        <f>SUMIFS('23 2026 SEVKİYAT'!$G$2:$G$501,'23 2026 SEVKİYAT'!$B$2:$B$501,G7,'23 2026 SEVKİYAT'!$F$2:$F$501,I7)</f>
        <v>0</v>
      </c>
      <c r="I11" s="9" t="s">
        <v>25</v>
      </c>
      <c r="J11" s="10">
        <f>SUMIFS('23 2026 SEVKİYAT'!$H$2:$H$501,'23 2026 SEVKİYAT'!$B$2:$B$501,G7,'23 2026 SEVKİYAT'!$F$2:$F$501,I7)</f>
        <v>0</v>
      </c>
    </row>
    <row r="12" spans="1:10" ht="15" customHeight="1" x14ac:dyDescent="0.2">
      <c r="A12" s="5" t="s">
        <v>26</v>
      </c>
      <c r="B12" s="6">
        <f>SUM('21 2026 ÜRETİM'!F2:F501)</f>
        <v>2366.4960000000001</v>
      </c>
      <c r="C12" s="1"/>
      <c r="D12" s="9" t="s">
        <v>27</v>
      </c>
      <c r="E12" s="10">
        <f>SUMIF('23 2026 SEVKİYAT'!$B$2:$B$501,D12,'23 2026 SEVKİYAT'!$H$2:$H$501)</f>
        <v>45</v>
      </c>
      <c r="F12" s="1"/>
      <c r="G12" s="9" t="s">
        <v>27</v>
      </c>
      <c r="H12" s="10">
        <f>SUMIFS('23 2026 SEVKİYAT'!$G$2:$G$501,'23 2026 SEVKİYAT'!$B$2:$B$501,G8,'23 2026 SEVKİYAT'!$F$2:$F$501,I8)</f>
        <v>0</v>
      </c>
      <c r="I12" s="9" t="s">
        <v>25</v>
      </c>
      <c r="J12" s="10">
        <f>SUMIFS('23 2026 SEVKİYAT'!$H$2:$H$501,'23 2026 SEVKİYAT'!$B$2:$B$501,G8,'23 2026 SEVKİYAT'!$F$2:$F$501,I8)</f>
        <v>0</v>
      </c>
    </row>
    <row r="13" spans="1:10" ht="15" customHeight="1" x14ac:dyDescent="0.2">
      <c r="A13" s="5" t="s">
        <v>28</v>
      </c>
      <c r="B13" s="6">
        <f>SUM('22 2026 PAKETLEME'!D2:D501)</f>
        <v>4154</v>
      </c>
      <c r="C13" s="1"/>
      <c r="D13" s="1" t="s">
        <v>29</v>
      </c>
      <c r="E13" s="1">
        <f>SUMIF('23 2026 SEVKİYAT'!$B$2:$B$501,D13,'23 2026 SEVKİYAT'!$H$2:$H$501)</f>
        <v>140</v>
      </c>
      <c r="F13" s="1"/>
      <c r="G13" s="9" t="s">
        <v>29</v>
      </c>
      <c r="H13" s="10">
        <f>SUMIFS('23 2026 SEVKİYAT'!$G$2:$G$501,'23 2026 SEVKİYAT'!$B$2:$B$501,G9,'23 2026 SEVKİYAT'!$F$2:$F$501,I9)</f>
        <v>2880</v>
      </c>
      <c r="I13" s="9" t="s">
        <v>25</v>
      </c>
      <c r="J13" s="10">
        <f>SUMIFS('23 2026 SEVKİYAT'!$H$2:$H$501,'23 2026 SEVKİYAT'!$B$2:$B$501,G9,'23 2026 SEVKİYAT'!$F$2:$F$501,I9)</f>
        <v>1440</v>
      </c>
    </row>
    <row r="14" spans="1:10" ht="15" customHeight="1" x14ac:dyDescent="0.2">
      <c r="A14" s="5" t="s">
        <v>30</v>
      </c>
      <c r="B14" s="6">
        <f>SUM('22 2026 PAKETLEME'!E2:E501)</f>
        <v>2077</v>
      </c>
      <c r="C14" s="1"/>
      <c r="D14" s="1" t="s">
        <v>31</v>
      </c>
      <c r="E14" s="1">
        <f>SUMIF('23 2026 SEVKİYAT'!$B$2:$B$501,D14,'23 2026 SEVKİYAT'!$H$2:$H$501)</f>
        <v>114</v>
      </c>
      <c r="F14" s="1"/>
      <c r="G14" s="9" t="s">
        <v>31</v>
      </c>
      <c r="H14" s="10" t="s">
        <v>32</v>
      </c>
      <c r="I14" s="9" t="s">
        <v>25</v>
      </c>
      <c r="J14" s="10">
        <f>SUMIF('23 2026 SEVKİYAT'!$B$2:$B$501,G10,'23 2026 SEVKİYAT'!$H$2:$H$501)</f>
        <v>512</v>
      </c>
    </row>
    <row r="15" spans="1:10" ht="15" customHeight="1" x14ac:dyDescent="0.2">
      <c r="A15" s="5" t="s">
        <v>33</v>
      </c>
      <c r="B15" s="6">
        <f>SUM('22 2026 PAKETLEME'!F2:F501)</f>
        <v>114</v>
      </c>
      <c r="C15" s="1"/>
      <c r="D15" s="8" t="s">
        <v>34</v>
      </c>
      <c r="E15" s="8" t="s">
        <v>35</v>
      </c>
      <c r="F15" s="1"/>
      <c r="G15" s="1"/>
      <c r="H15" s="1"/>
      <c r="I15" s="1"/>
      <c r="J15" s="1"/>
    </row>
    <row r="16" spans="1:10" ht="15" customHeight="1" x14ac:dyDescent="0.2">
      <c r="A16" s="5" t="s">
        <v>36</v>
      </c>
      <c r="B16" s="6">
        <f>SUM('22 2026 PAKETLEME'!G2:G501)</f>
        <v>285</v>
      </c>
      <c r="C16" s="1"/>
      <c r="D16" s="11" t="s">
        <v>37</v>
      </c>
      <c r="E16" s="10">
        <f>COUNTA('24 2026 KÜTLE DENKLİĞİ'!A2:A501)</f>
        <v>500</v>
      </c>
      <c r="F16" s="1"/>
      <c r="G16" s="1"/>
      <c r="H16" s="1"/>
      <c r="I16" s="1"/>
      <c r="J16" s="1"/>
    </row>
    <row r="17" spans="1:10" ht="15" customHeight="1" x14ac:dyDescent="0.2">
      <c r="A17" s="5" t="s">
        <v>38</v>
      </c>
      <c r="B17" s="6">
        <f>SUM('22 2026 PAKETLEME'!H2:H501)</f>
        <v>4.4959999999999996</v>
      </c>
      <c r="C17" s="1"/>
      <c r="D17" s="11" t="s">
        <v>39</v>
      </c>
      <c r="E17" s="10">
        <f>COUNTIF('24 2026 KÜTLE DENKLİĞİ'!L2:L501,"KAPALI")</f>
        <v>11</v>
      </c>
      <c r="F17" s="1"/>
      <c r="G17" s="8" t="s">
        <v>40</v>
      </c>
      <c r="H17" s="8" t="s">
        <v>41</v>
      </c>
      <c r="I17" s="1"/>
      <c r="J17" s="1"/>
    </row>
    <row r="18" spans="1:10" ht="15" customHeight="1" x14ac:dyDescent="0.2">
      <c r="A18" s="5" t="s">
        <v>42</v>
      </c>
      <c r="B18" s="6">
        <f>SUM('23 2026 SEVKİYAT'!H2:H501)</f>
        <v>2351</v>
      </c>
      <c r="C18" s="1"/>
      <c r="D18" s="11" t="s">
        <v>43</v>
      </c>
      <c r="E18" s="10">
        <f>COUNTIF('24 2026 KÜTLE DENKLİĞİ'!L2:L501,"KONTROL")</f>
        <v>0</v>
      </c>
      <c r="F18" s="1"/>
      <c r="G18" s="9" t="s">
        <v>44</v>
      </c>
      <c r="H18" s="10">
        <f>COUNTIF('02 DENETİM KONTROL'!C2:C100,"*İŞLENDİ*")</f>
        <v>7</v>
      </c>
      <c r="I18" s="1"/>
      <c r="J18" s="1"/>
    </row>
    <row r="19" spans="1:10" ht="15" customHeight="1" x14ac:dyDescent="0.2">
      <c r="A19" s="5" t="s">
        <v>45</v>
      </c>
      <c r="B19" s="6">
        <f>SUM('22 2026 PAKETLEME'!E2:E501)+SUM('22 2026 PAKETLEME'!G2:G501)-SUM('23 2026 SEVKİYAT'!H2:H501)</f>
        <v>11</v>
      </c>
      <c r="C19" s="1"/>
      <c r="D19" s="11" t="s">
        <v>46</v>
      </c>
      <c r="E19" s="10">
        <f>COUNTIF('24 2026 KÜTLE DENKLİĞİ'!J2:J501,"&lt;0")</f>
        <v>0</v>
      </c>
      <c r="F19" s="1"/>
      <c r="G19" s="9" t="s">
        <v>47</v>
      </c>
      <c r="H19" s="10">
        <f>COUNTIF('02 DENETİM KONTROL'!C2:C100,"AÇIK AKSİYON")</f>
        <v>2</v>
      </c>
      <c r="I19" s="1"/>
      <c r="J19" s="1"/>
    </row>
    <row r="20" spans="1:10" ht="28.25" customHeight="1" x14ac:dyDescent="0.2">
      <c r="A20" s="1"/>
      <c r="B20" s="1"/>
      <c r="C20" s="1"/>
      <c r="D20" s="11" t="s">
        <v>48</v>
      </c>
      <c r="E20" s="6">
        <f>SUMPRODUCT(IFERROR('24 2026 KÜTLE DENKLİĞİ'!H2:H501,0))</f>
        <v>0</v>
      </c>
      <c r="F20" s="1"/>
      <c r="G20" s="9" t="s">
        <v>49</v>
      </c>
      <c r="H20" s="10">
        <f>COUNTIF('02 DENETİM KONTROL'!C2:C100,"KONTROLLÜ BELGE GEREKİYOR")</f>
        <v>8</v>
      </c>
      <c r="I20" s="1"/>
      <c r="J20" s="1"/>
    </row>
    <row r="21" spans="1:10" ht="15" customHeight="1" x14ac:dyDescent="0.2">
      <c r="A21" s="1"/>
      <c r="B21" s="1"/>
      <c r="C21" s="1"/>
      <c r="D21" s="1"/>
      <c r="E21" s="1"/>
      <c r="F21" s="1"/>
      <c r="G21" s="9" t="s">
        <v>50</v>
      </c>
      <c r="H21" s="10">
        <f>COUNTIF('02 DENETİM KONTROL'!C2:C100,"REVİZYON KONTROLÜ")</f>
        <v>4</v>
      </c>
      <c r="I21" s="1"/>
      <c r="J21" s="1"/>
    </row>
    <row r="22" spans="1:10" ht="1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28.25" customHeight="1" x14ac:dyDescent="0.2">
      <c r="A23" s="1"/>
      <c r="B23" s="1"/>
      <c r="C23" s="1"/>
      <c r="D23" s="1"/>
      <c r="E23" s="1"/>
      <c r="F23" s="1"/>
      <c r="G23" s="10" t="s">
        <v>51</v>
      </c>
      <c r="H23" s="10"/>
      <c r="I23" s="1"/>
      <c r="J23" s="1"/>
    </row>
    <row r="24" spans="1:10" ht="15" customHeight="1" x14ac:dyDescent="0.2">
      <c r="A24" s="1"/>
      <c r="B24" s="1"/>
      <c r="C24" s="1"/>
      <c r="D24" s="1"/>
      <c r="E24" s="1"/>
      <c r="F24" s="1"/>
      <c r="G24" s="10" t="s">
        <v>52</v>
      </c>
      <c r="H24" s="10">
        <v>11</v>
      </c>
      <c r="I24" s="1"/>
      <c r="J24" s="1"/>
    </row>
    <row r="25" spans="1:10" ht="15" customHeight="1" x14ac:dyDescent="0.2">
      <c r="A25" s="1"/>
      <c r="B25" s="1"/>
      <c r="C25" s="1"/>
      <c r="D25" s="1"/>
      <c r="E25" s="1"/>
      <c r="F25" s="1"/>
      <c r="G25" s="10" t="s">
        <v>53</v>
      </c>
      <c r="H25" s="10">
        <v>11</v>
      </c>
      <c r="I25" s="1"/>
      <c r="J25" s="1"/>
    </row>
    <row r="26" spans="1:10" ht="15" customHeight="1" x14ac:dyDescent="0.2">
      <c r="A26" s="1"/>
      <c r="B26" s="1"/>
      <c r="C26" s="1"/>
      <c r="D26" s="1"/>
      <c r="E26" s="1"/>
      <c r="F26" s="1"/>
      <c r="G26" s="10" t="s">
        <v>54</v>
      </c>
      <c r="H26" s="10">
        <v>7</v>
      </c>
      <c r="I26" s="1"/>
      <c r="J26" s="1"/>
    </row>
    <row r="27" spans="1:10" ht="15" customHeight="1" x14ac:dyDescent="0.2">
      <c r="A27" s="1"/>
      <c r="B27" s="1"/>
      <c r="C27" s="1"/>
      <c r="D27" s="1"/>
      <c r="E27" s="1"/>
      <c r="F27" s="1"/>
      <c r="G27" s="10" t="s">
        <v>55</v>
      </c>
      <c r="H27" s="10">
        <v>86</v>
      </c>
      <c r="I27" s="1"/>
      <c r="J27" s="1"/>
    </row>
    <row r="28" spans="1:10" ht="28.25" customHeight="1" x14ac:dyDescent="0.2">
      <c r="A28" s="1"/>
      <c r="B28" s="1"/>
      <c r="C28" s="1"/>
      <c r="D28" s="1"/>
      <c r="E28" s="1"/>
      <c r="F28" s="1"/>
      <c r="G28" s="10" t="s">
        <v>56</v>
      </c>
      <c r="H28" s="10" t="s">
        <v>57</v>
      </c>
      <c r="I28" s="1"/>
      <c r="J28" s="1"/>
    </row>
    <row r="29" spans="1:10" ht="15" customHeight="1" x14ac:dyDescent="0.2">
      <c r="A29" s="1"/>
      <c r="B29" s="1"/>
      <c r="C29" s="1"/>
      <c r="D29" s="1"/>
      <c r="E29" s="1"/>
      <c r="F29" s="1"/>
      <c r="G29" s="1" t="s">
        <v>58</v>
      </c>
      <c r="H29" s="1">
        <v>11</v>
      </c>
      <c r="I29" s="1"/>
      <c r="J29" s="1"/>
    </row>
    <row r="30" spans="1:10" ht="1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showGridLines="0" workbookViewId="0"/>
  </sheetViews>
  <sheetFormatPr baseColWidth="10" defaultColWidth="8.83203125" defaultRowHeight="15" x14ac:dyDescent="0.2"/>
  <cols>
    <col min="1" max="1" width="28" customWidth="1"/>
    <col min="2" max="2" width="15" customWidth="1"/>
    <col min="3" max="3" width="42" customWidth="1"/>
    <col min="4" max="4" width="65" customWidth="1"/>
  </cols>
  <sheetData>
    <row r="1" spans="1:4" ht="15" customHeight="1" x14ac:dyDescent="0.2">
      <c r="A1" s="8" t="s">
        <v>59</v>
      </c>
      <c r="B1" s="8" t="s">
        <v>60</v>
      </c>
      <c r="C1" s="8" t="s">
        <v>61</v>
      </c>
      <c r="D1" s="8" t="s">
        <v>62</v>
      </c>
    </row>
    <row r="2" spans="1:4" ht="15" customHeight="1" x14ac:dyDescent="0.2">
      <c r="A2" s="1" t="s">
        <v>63</v>
      </c>
      <c r="B2" s="1" t="s">
        <v>64</v>
      </c>
      <c r="C2" s="1" t="s">
        <v>65</v>
      </c>
      <c r="D2" s="1" t="s">
        <v>66</v>
      </c>
    </row>
    <row r="3" spans="1:4" ht="15" customHeight="1" x14ac:dyDescent="0.2">
      <c r="A3" s="1" t="s">
        <v>67</v>
      </c>
      <c r="B3" s="1" t="s">
        <v>64</v>
      </c>
      <c r="C3" s="1" t="s">
        <v>68</v>
      </c>
      <c r="D3" s="1" t="s">
        <v>69</v>
      </c>
    </row>
    <row r="4" spans="1:4" ht="15" customHeight="1" x14ac:dyDescent="0.2">
      <c r="A4" s="1" t="s">
        <v>70</v>
      </c>
      <c r="B4" s="1" t="s">
        <v>64</v>
      </c>
      <c r="C4" s="1" t="s">
        <v>71</v>
      </c>
      <c r="D4" s="1" t="s">
        <v>72</v>
      </c>
    </row>
    <row r="5" spans="1:4" ht="15" customHeight="1" x14ac:dyDescent="0.2">
      <c r="A5" s="1" t="s">
        <v>73</v>
      </c>
      <c r="B5" s="1" t="s">
        <v>64</v>
      </c>
      <c r="C5" s="1" t="s">
        <v>74</v>
      </c>
      <c r="D5" s="1" t="s">
        <v>75</v>
      </c>
    </row>
    <row r="6" spans="1:4" ht="15" customHeight="1" x14ac:dyDescent="0.2">
      <c r="A6" s="1" t="s">
        <v>76</v>
      </c>
      <c r="B6" s="1" t="s">
        <v>64</v>
      </c>
      <c r="C6" s="1" t="s">
        <v>77</v>
      </c>
      <c r="D6" s="1" t="s">
        <v>78</v>
      </c>
    </row>
    <row r="7" spans="1:4" ht="15" customHeight="1" x14ac:dyDescent="0.2">
      <c r="A7" s="1" t="s">
        <v>79</v>
      </c>
      <c r="B7" s="1" t="s">
        <v>80</v>
      </c>
      <c r="C7" s="1" t="s">
        <v>81</v>
      </c>
      <c r="D7" s="1" t="s">
        <v>82</v>
      </c>
    </row>
    <row r="8" spans="1:4" ht="15" customHeight="1" x14ac:dyDescent="0.2">
      <c r="A8" s="1" t="s">
        <v>83</v>
      </c>
      <c r="B8" s="1" t="s">
        <v>64</v>
      </c>
      <c r="C8" s="1" t="s">
        <v>84</v>
      </c>
      <c r="D8" s="1" t="s">
        <v>85</v>
      </c>
    </row>
    <row r="9" spans="1:4" ht="15" customHeight="1" x14ac:dyDescent="0.2">
      <c r="A9" s="3" t="s">
        <v>86</v>
      </c>
      <c r="B9" s="3" t="s">
        <v>60</v>
      </c>
      <c r="C9" s="3" t="s">
        <v>87</v>
      </c>
      <c r="D9" s="3" t="s">
        <v>88</v>
      </c>
    </row>
    <row r="10" spans="1:4" ht="15" customHeight="1" x14ac:dyDescent="0.2">
      <c r="A10" s="3" t="s">
        <v>89</v>
      </c>
      <c r="B10" s="3" t="s">
        <v>90</v>
      </c>
      <c r="C10" s="3" t="s">
        <v>91</v>
      </c>
      <c r="D10" s="3" t="s">
        <v>92</v>
      </c>
    </row>
  </sheetData>
  <autoFilter ref="A1:D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38" customWidth="1"/>
    <col min="3" max="3" width="27" customWidth="1"/>
    <col min="4" max="4" width="48" customWidth="1"/>
    <col min="5" max="5" width="55" customWidth="1"/>
    <col min="6" max="6" width="24" customWidth="1"/>
  </cols>
  <sheetData>
    <row r="1" spans="1:6" ht="28.25" customHeight="1" x14ac:dyDescent="0.2">
      <c r="A1" s="12" t="s">
        <v>93</v>
      </c>
      <c r="B1" s="12" t="s">
        <v>94</v>
      </c>
      <c r="C1" s="12" t="s">
        <v>95</v>
      </c>
      <c r="D1" s="12" t="s">
        <v>96</v>
      </c>
      <c r="E1" s="12" t="s">
        <v>97</v>
      </c>
      <c r="F1" s="12" t="s">
        <v>98</v>
      </c>
    </row>
    <row r="2" spans="1:6" ht="15" customHeight="1" x14ac:dyDescent="0.2">
      <c r="A2" s="1" t="s">
        <v>99</v>
      </c>
      <c r="B2" s="1" t="s">
        <v>100</v>
      </c>
      <c r="C2" s="13" t="s">
        <v>101</v>
      </c>
      <c r="D2" s="1" t="s">
        <v>102</v>
      </c>
      <c r="E2" s="1" t="s">
        <v>103</v>
      </c>
      <c r="F2" s="1" t="s">
        <v>104</v>
      </c>
    </row>
    <row r="3" spans="1:6" ht="15" customHeight="1" x14ac:dyDescent="0.2">
      <c r="A3" s="1" t="s">
        <v>99</v>
      </c>
      <c r="B3" s="1" t="s">
        <v>105</v>
      </c>
      <c r="C3" s="13" t="s">
        <v>101</v>
      </c>
      <c r="D3" s="1" t="s">
        <v>102</v>
      </c>
      <c r="E3" s="1" t="s">
        <v>106</v>
      </c>
      <c r="F3" s="1" t="s">
        <v>104</v>
      </c>
    </row>
    <row r="4" spans="1:6" ht="15" customHeight="1" x14ac:dyDescent="0.2">
      <c r="A4" s="1" t="s">
        <v>99</v>
      </c>
      <c r="B4" s="1" t="s">
        <v>107</v>
      </c>
      <c r="C4" s="14" t="s">
        <v>108</v>
      </c>
      <c r="D4" s="1" t="s">
        <v>109</v>
      </c>
      <c r="E4" s="1" t="s">
        <v>110</v>
      </c>
      <c r="F4" s="1" t="s">
        <v>104</v>
      </c>
    </row>
    <row r="5" spans="1:6" ht="15" customHeight="1" x14ac:dyDescent="0.2">
      <c r="A5" s="1" t="s">
        <v>111</v>
      </c>
      <c r="B5" s="1" t="s">
        <v>112</v>
      </c>
      <c r="C5" s="10" t="s">
        <v>113</v>
      </c>
      <c r="D5" s="1" t="s">
        <v>114</v>
      </c>
      <c r="E5" s="1" t="s">
        <v>115</v>
      </c>
      <c r="F5" s="1" t="s">
        <v>104</v>
      </c>
    </row>
    <row r="6" spans="1:6" ht="15" customHeight="1" x14ac:dyDescent="0.2">
      <c r="A6" s="1" t="s">
        <v>111</v>
      </c>
      <c r="B6" s="1" t="s">
        <v>73</v>
      </c>
      <c r="C6" s="10" t="s">
        <v>113</v>
      </c>
      <c r="D6" s="1" t="s">
        <v>116</v>
      </c>
      <c r="E6" s="1" t="s">
        <v>117</v>
      </c>
      <c r="F6" s="1" t="s">
        <v>104</v>
      </c>
    </row>
    <row r="7" spans="1:6" ht="15" customHeight="1" x14ac:dyDescent="0.2">
      <c r="A7" s="1" t="s">
        <v>111</v>
      </c>
      <c r="B7" s="1" t="s">
        <v>118</v>
      </c>
      <c r="C7" s="10" t="s">
        <v>113</v>
      </c>
      <c r="D7" s="1" t="s">
        <v>119</v>
      </c>
      <c r="E7" s="1" t="s">
        <v>120</v>
      </c>
      <c r="F7" s="1" t="s">
        <v>104</v>
      </c>
    </row>
    <row r="8" spans="1:6" ht="28.25" customHeight="1" x14ac:dyDescent="0.2">
      <c r="A8" s="1" t="s">
        <v>111</v>
      </c>
      <c r="B8" s="1" t="s">
        <v>121</v>
      </c>
      <c r="C8" s="13" t="s">
        <v>122</v>
      </c>
      <c r="D8" s="1" t="s">
        <v>123</v>
      </c>
      <c r="E8" s="1" t="s">
        <v>124</v>
      </c>
      <c r="F8" s="1" t="s">
        <v>104</v>
      </c>
    </row>
    <row r="9" spans="1:6" ht="15" customHeight="1" x14ac:dyDescent="0.2">
      <c r="A9" s="1" t="s">
        <v>125</v>
      </c>
      <c r="B9" s="1" t="s">
        <v>126</v>
      </c>
      <c r="C9" s="13" t="s">
        <v>127</v>
      </c>
      <c r="D9" s="1" t="s">
        <v>128</v>
      </c>
      <c r="E9" s="1" t="s">
        <v>129</v>
      </c>
      <c r="F9" s="1" t="s">
        <v>104</v>
      </c>
    </row>
    <row r="10" spans="1:6" ht="15" customHeight="1" x14ac:dyDescent="0.2">
      <c r="A10" s="1" t="s">
        <v>125</v>
      </c>
      <c r="B10" s="1" t="s">
        <v>130</v>
      </c>
      <c r="C10" s="13" t="s">
        <v>101</v>
      </c>
      <c r="D10" s="1" t="s">
        <v>131</v>
      </c>
      <c r="E10" s="1" t="s">
        <v>132</v>
      </c>
      <c r="F10" s="1" t="s">
        <v>104</v>
      </c>
    </row>
    <row r="11" spans="1:6" ht="15" customHeight="1" x14ac:dyDescent="0.2">
      <c r="A11" s="1" t="s">
        <v>133</v>
      </c>
      <c r="B11" s="1" t="s">
        <v>134</v>
      </c>
      <c r="C11" s="10" t="s">
        <v>135</v>
      </c>
      <c r="D11" s="1" t="s">
        <v>136</v>
      </c>
      <c r="E11" s="1" t="s">
        <v>137</v>
      </c>
      <c r="F11" s="1" t="s">
        <v>104</v>
      </c>
    </row>
    <row r="12" spans="1:6" ht="28.25" customHeight="1" x14ac:dyDescent="0.2">
      <c r="A12" s="1" t="s">
        <v>133</v>
      </c>
      <c r="B12" s="1" t="s">
        <v>138</v>
      </c>
      <c r="C12" s="10" t="s">
        <v>135</v>
      </c>
      <c r="D12" s="1" t="s">
        <v>139</v>
      </c>
      <c r="E12" s="1" t="s">
        <v>140</v>
      </c>
      <c r="F12" s="1" t="s">
        <v>104</v>
      </c>
    </row>
    <row r="13" spans="1:6" ht="28.25" customHeight="1" x14ac:dyDescent="0.2">
      <c r="A13" s="1" t="s">
        <v>133</v>
      </c>
      <c r="B13" s="1" t="s">
        <v>141</v>
      </c>
      <c r="C13" s="13" t="s">
        <v>142</v>
      </c>
      <c r="D13" s="1" t="s">
        <v>143</v>
      </c>
      <c r="E13" s="1" t="s">
        <v>144</v>
      </c>
      <c r="F13" s="1" t="s">
        <v>104</v>
      </c>
    </row>
    <row r="14" spans="1:6" ht="15" customHeight="1" x14ac:dyDescent="0.2">
      <c r="A14" s="1" t="s">
        <v>145</v>
      </c>
      <c r="B14" s="1" t="s">
        <v>146</v>
      </c>
      <c r="C14" s="10" t="s">
        <v>113</v>
      </c>
      <c r="D14" s="1" t="s">
        <v>147</v>
      </c>
      <c r="E14" s="1" t="s">
        <v>148</v>
      </c>
      <c r="F14" s="1" t="s">
        <v>104</v>
      </c>
    </row>
    <row r="15" spans="1:6" ht="15" customHeight="1" x14ac:dyDescent="0.2">
      <c r="A15" s="1" t="s">
        <v>145</v>
      </c>
      <c r="B15" s="1" t="s">
        <v>149</v>
      </c>
      <c r="C15" s="13" t="s">
        <v>127</v>
      </c>
      <c r="D15" s="1" t="s">
        <v>150</v>
      </c>
      <c r="E15" s="1" t="s">
        <v>151</v>
      </c>
      <c r="F15" s="1" t="s">
        <v>104</v>
      </c>
    </row>
    <row r="16" spans="1:6" ht="15" customHeight="1" x14ac:dyDescent="0.2">
      <c r="A16" s="1" t="s">
        <v>145</v>
      </c>
      <c r="B16" s="1" t="s">
        <v>152</v>
      </c>
      <c r="C16" s="13" t="s">
        <v>153</v>
      </c>
      <c r="D16" s="1" t="s">
        <v>154</v>
      </c>
      <c r="E16" s="1" t="s">
        <v>155</v>
      </c>
      <c r="F16" s="1" t="s">
        <v>104</v>
      </c>
    </row>
    <row r="17" spans="1:6" ht="15" customHeight="1" x14ac:dyDescent="0.2">
      <c r="A17" s="1" t="s">
        <v>156</v>
      </c>
      <c r="B17" s="1" t="s">
        <v>157</v>
      </c>
      <c r="C17" s="13" t="s">
        <v>127</v>
      </c>
      <c r="D17" s="1" t="s">
        <v>158</v>
      </c>
      <c r="E17" s="1" t="s">
        <v>159</v>
      </c>
      <c r="F17" s="1" t="s">
        <v>104</v>
      </c>
    </row>
    <row r="18" spans="1:6" ht="15" customHeight="1" x14ac:dyDescent="0.2">
      <c r="A18" s="1" t="s">
        <v>160</v>
      </c>
      <c r="B18" s="1" t="s">
        <v>161</v>
      </c>
      <c r="C18" s="13" t="s">
        <v>127</v>
      </c>
      <c r="D18" s="1" t="s">
        <v>150</v>
      </c>
      <c r="E18" s="1" t="s">
        <v>162</v>
      </c>
      <c r="F18" s="1" t="s">
        <v>104</v>
      </c>
    </row>
    <row r="19" spans="1:6" ht="15" customHeight="1" x14ac:dyDescent="0.2">
      <c r="A19" s="1" t="s">
        <v>163</v>
      </c>
      <c r="B19" s="1" t="s">
        <v>164</v>
      </c>
      <c r="C19" s="13" t="s">
        <v>127</v>
      </c>
      <c r="D19" s="1" t="s">
        <v>150</v>
      </c>
      <c r="E19" s="1" t="s">
        <v>165</v>
      </c>
      <c r="F19" s="1" t="s">
        <v>104</v>
      </c>
    </row>
    <row r="20" spans="1:6" ht="15" customHeight="1" x14ac:dyDescent="0.2">
      <c r="A20" s="1" t="s">
        <v>166</v>
      </c>
      <c r="B20" s="1" t="s">
        <v>167</v>
      </c>
      <c r="C20" s="10" t="s">
        <v>113</v>
      </c>
      <c r="D20" s="1" t="s">
        <v>168</v>
      </c>
      <c r="E20" s="1" t="s">
        <v>169</v>
      </c>
      <c r="F20" s="1" t="s">
        <v>104</v>
      </c>
    </row>
    <row r="21" spans="1:6" ht="15" customHeight="1" x14ac:dyDescent="0.2">
      <c r="A21" s="1" t="s">
        <v>166</v>
      </c>
      <c r="B21" s="1" t="s">
        <v>170</v>
      </c>
      <c r="C21" s="10" t="s">
        <v>113</v>
      </c>
      <c r="D21" s="1" t="s">
        <v>171</v>
      </c>
      <c r="E21" s="1" t="s">
        <v>172</v>
      </c>
      <c r="F21" s="1" t="s">
        <v>104</v>
      </c>
    </row>
    <row r="22" spans="1:6" ht="15" customHeight="1" x14ac:dyDescent="0.2">
      <c r="A22" s="1" t="s">
        <v>166</v>
      </c>
      <c r="B22" s="1" t="s">
        <v>173</v>
      </c>
      <c r="C22" s="10" t="s">
        <v>113</v>
      </c>
      <c r="D22" s="1" t="s">
        <v>174</v>
      </c>
      <c r="E22" s="1" t="s">
        <v>169</v>
      </c>
      <c r="F22" s="1" t="s">
        <v>104</v>
      </c>
    </row>
    <row r="23" spans="1:6" ht="15" customHeight="1" x14ac:dyDescent="0.2">
      <c r="A23" s="1" t="s">
        <v>166</v>
      </c>
      <c r="B23" s="1" t="s">
        <v>175</v>
      </c>
      <c r="C23" s="13" t="s">
        <v>127</v>
      </c>
      <c r="D23" s="1" t="s">
        <v>176</v>
      </c>
      <c r="E23" s="1" t="s">
        <v>177</v>
      </c>
      <c r="F23" s="1" t="s">
        <v>104</v>
      </c>
    </row>
    <row r="24" spans="1:6" ht="15" customHeight="1" x14ac:dyDescent="0.2">
      <c r="A24" s="1" t="s">
        <v>178</v>
      </c>
      <c r="B24" s="1" t="s">
        <v>179</v>
      </c>
      <c r="C24" s="13" t="s">
        <v>127</v>
      </c>
      <c r="D24" s="1" t="s">
        <v>180</v>
      </c>
      <c r="E24" s="1" t="s">
        <v>181</v>
      </c>
      <c r="F24" s="1" t="s">
        <v>104</v>
      </c>
    </row>
    <row r="25" spans="1:6" ht="15" customHeight="1" x14ac:dyDescent="0.2">
      <c r="A25" s="1" t="s">
        <v>182</v>
      </c>
      <c r="B25" s="1" t="s">
        <v>183</v>
      </c>
      <c r="C25" s="13" t="s">
        <v>101</v>
      </c>
      <c r="D25" s="1" t="s">
        <v>184</v>
      </c>
      <c r="E25" s="1" t="s">
        <v>185</v>
      </c>
      <c r="F25" s="1" t="s">
        <v>104</v>
      </c>
    </row>
    <row r="26" spans="1:6" ht="15" customHeight="1" x14ac:dyDescent="0.2">
      <c r="A26" s="1" t="s">
        <v>186</v>
      </c>
      <c r="B26" s="1" t="s">
        <v>187</v>
      </c>
      <c r="C26" s="13" t="s">
        <v>127</v>
      </c>
      <c r="D26" s="1" t="s">
        <v>188</v>
      </c>
      <c r="E26" s="1" t="s">
        <v>189</v>
      </c>
      <c r="F26" s="1" t="s">
        <v>104</v>
      </c>
    </row>
    <row r="27" spans="1:6" ht="15" customHeight="1" x14ac:dyDescent="0.2">
      <c r="A27" s="1" t="s">
        <v>190</v>
      </c>
      <c r="B27" s="1" t="s">
        <v>191</v>
      </c>
      <c r="C27" s="13" t="s">
        <v>192</v>
      </c>
      <c r="D27" s="1" t="s">
        <v>193</v>
      </c>
      <c r="E27" s="1" t="s">
        <v>194</v>
      </c>
      <c r="F27" s="1" t="s">
        <v>104</v>
      </c>
    </row>
    <row r="28" spans="1:6" ht="15" customHeight="1" x14ac:dyDescent="0.2">
      <c r="A28" s="1" t="s">
        <v>195</v>
      </c>
      <c r="B28" s="1" t="s">
        <v>196</v>
      </c>
      <c r="C28" s="14" t="s">
        <v>108</v>
      </c>
      <c r="D28" s="1" t="s">
        <v>197</v>
      </c>
      <c r="E28" s="1" t="s">
        <v>198</v>
      </c>
      <c r="F28" s="1" t="s">
        <v>104</v>
      </c>
    </row>
  </sheetData>
  <autoFilter ref="A1:F2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32" customWidth="1"/>
    <col min="3" max="3" width="34" customWidth="1"/>
    <col min="4" max="4" width="16" customWidth="1"/>
    <col min="5" max="5" width="45" customWidth="1"/>
  </cols>
  <sheetData>
    <row r="1" spans="1:5" ht="15" customHeight="1" x14ac:dyDescent="0.2">
      <c r="A1" s="15" t="s">
        <v>199</v>
      </c>
      <c r="B1" s="15" t="s">
        <v>200</v>
      </c>
      <c r="C1" s="15" t="s">
        <v>201</v>
      </c>
      <c r="D1" s="15" t="s">
        <v>202</v>
      </c>
      <c r="E1" s="15" t="s">
        <v>203</v>
      </c>
    </row>
    <row r="2" spans="1:5" ht="15" customHeight="1" x14ac:dyDescent="0.2">
      <c r="A2" s="3" t="s">
        <v>204</v>
      </c>
      <c r="B2" s="3" t="s">
        <v>205</v>
      </c>
      <c r="C2" s="3" t="s">
        <v>206</v>
      </c>
      <c r="D2" s="3" t="s">
        <v>207</v>
      </c>
      <c r="E2" s="3" t="s">
        <v>208</v>
      </c>
    </row>
    <row r="3" spans="1:5" ht="15" customHeight="1" x14ac:dyDescent="0.2">
      <c r="A3" s="3" t="s">
        <v>209</v>
      </c>
      <c r="B3" s="3" t="s">
        <v>210</v>
      </c>
      <c r="C3" s="3" t="s">
        <v>211</v>
      </c>
      <c r="D3" s="3" t="s">
        <v>207</v>
      </c>
      <c r="E3" s="3" t="s">
        <v>212</v>
      </c>
    </row>
    <row r="4" spans="1:5" ht="15" customHeight="1" x14ac:dyDescent="0.2">
      <c r="A4" s="3" t="s">
        <v>213</v>
      </c>
      <c r="B4" s="3" t="s">
        <v>205</v>
      </c>
      <c r="C4" s="3" t="s">
        <v>214</v>
      </c>
      <c r="D4" s="3" t="s">
        <v>207</v>
      </c>
      <c r="E4" s="3" t="s">
        <v>215</v>
      </c>
    </row>
    <row r="5" spans="1:5" ht="15" customHeight="1" x14ac:dyDescent="0.2">
      <c r="A5" s="3" t="s">
        <v>216</v>
      </c>
      <c r="B5" s="3" t="s">
        <v>217</v>
      </c>
      <c r="C5" s="3" t="s">
        <v>218</v>
      </c>
      <c r="D5" s="3" t="s">
        <v>207</v>
      </c>
      <c r="E5" s="3" t="s">
        <v>219</v>
      </c>
    </row>
    <row r="6" spans="1:5" ht="15" customHeight="1" x14ac:dyDescent="0.2">
      <c r="A6" s="3" t="s">
        <v>220</v>
      </c>
      <c r="B6" s="3" t="s">
        <v>221</v>
      </c>
      <c r="C6" s="3" t="s">
        <v>222</v>
      </c>
      <c r="D6" s="3" t="s">
        <v>207</v>
      </c>
      <c r="E6" s="3" t="s">
        <v>223</v>
      </c>
    </row>
    <row r="7" spans="1:5" ht="15" customHeight="1" x14ac:dyDescent="0.2">
      <c r="A7" s="3" t="s">
        <v>224</v>
      </c>
      <c r="B7" s="3" t="s">
        <v>225</v>
      </c>
      <c r="C7" s="3" t="s">
        <v>225</v>
      </c>
      <c r="D7" s="3" t="s">
        <v>207</v>
      </c>
      <c r="E7" s="3" t="s">
        <v>20</v>
      </c>
    </row>
    <row r="8" spans="1:5" ht="15" customHeight="1" x14ac:dyDescent="0.2">
      <c r="A8" s="3" t="s">
        <v>226</v>
      </c>
      <c r="B8" s="3" t="s">
        <v>227</v>
      </c>
      <c r="C8" s="3" t="s">
        <v>228</v>
      </c>
      <c r="D8" s="3" t="s">
        <v>207</v>
      </c>
      <c r="E8" s="3" t="s">
        <v>229</v>
      </c>
    </row>
    <row r="9" spans="1:5" ht="15" customHeight="1" x14ac:dyDescent="0.2">
      <c r="A9" s="3" t="s">
        <v>230</v>
      </c>
      <c r="B9" s="3" t="s">
        <v>231</v>
      </c>
      <c r="C9" s="3" t="s">
        <v>232</v>
      </c>
      <c r="D9" s="3" t="s">
        <v>207</v>
      </c>
      <c r="E9" s="3" t="s">
        <v>233</v>
      </c>
    </row>
    <row r="10" spans="1:5" ht="15" customHeight="1" x14ac:dyDescent="0.2">
      <c r="A10" s="3" t="s">
        <v>234</v>
      </c>
      <c r="B10" s="3" t="s">
        <v>235</v>
      </c>
      <c r="C10" s="3" t="s">
        <v>236</v>
      </c>
      <c r="D10" s="3" t="s">
        <v>207</v>
      </c>
      <c r="E10" s="3" t="s">
        <v>237</v>
      </c>
    </row>
    <row r="11" spans="1:5" ht="15" customHeight="1" x14ac:dyDescent="0.2">
      <c r="A11" s="3" t="s">
        <v>238</v>
      </c>
      <c r="B11" s="3" t="s">
        <v>239</v>
      </c>
      <c r="C11" s="3" t="s">
        <v>240</v>
      </c>
      <c r="D11" s="3" t="s">
        <v>207</v>
      </c>
      <c r="E11" s="3" t="s">
        <v>241</v>
      </c>
    </row>
    <row r="12" spans="1:5" ht="15" customHeight="1" x14ac:dyDescent="0.2">
      <c r="A12" s="3" t="s">
        <v>242</v>
      </c>
      <c r="B12" s="3" t="s">
        <v>243</v>
      </c>
      <c r="C12" s="3" t="s">
        <v>244</v>
      </c>
      <c r="D12" s="3" t="s">
        <v>207</v>
      </c>
      <c r="E12" s="3" t="s">
        <v>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"/>
  <sheetViews>
    <sheetView workbookViewId="0"/>
  </sheetViews>
  <sheetFormatPr baseColWidth="10" defaultColWidth="8.83203125" defaultRowHeight="15" x14ac:dyDescent="0.2"/>
  <sheetData>
    <row r="1" spans="1:9" ht="15" customHeight="1" x14ac:dyDescent="0.2">
      <c r="A1" s="15" t="s">
        <v>246</v>
      </c>
      <c r="B1" s="15" t="s">
        <v>247</v>
      </c>
      <c r="C1" s="15" t="s">
        <v>248</v>
      </c>
      <c r="D1" s="15"/>
      <c r="E1" s="15" t="s">
        <v>249</v>
      </c>
      <c r="F1" s="15"/>
      <c r="G1" s="15" t="s">
        <v>95</v>
      </c>
      <c r="H1" s="15"/>
      <c r="I1" s="15" t="s">
        <v>250</v>
      </c>
    </row>
    <row r="2" spans="1:9" ht="15" customHeight="1" x14ac:dyDescent="0.2">
      <c r="A2" s="3" t="s">
        <v>251</v>
      </c>
      <c r="B2" s="3" t="s">
        <v>252</v>
      </c>
      <c r="C2" s="3" t="s">
        <v>253</v>
      </c>
      <c r="D2" s="3"/>
      <c r="E2" s="3" t="s">
        <v>20</v>
      </c>
      <c r="F2" s="3"/>
      <c r="G2" s="3" t="s">
        <v>254</v>
      </c>
      <c r="H2" s="3"/>
      <c r="I2" s="3" t="s">
        <v>255</v>
      </c>
    </row>
    <row r="3" spans="1:9" ht="15" customHeight="1" x14ac:dyDescent="0.2">
      <c r="A3" s="3" t="s">
        <v>256</v>
      </c>
      <c r="B3" s="3" t="s">
        <v>257</v>
      </c>
      <c r="C3" s="3" t="s">
        <v>253</v>
      </c>
      <c r="D3" s="3"/>
      <c r="E3" s="3" t="s">
        <v>25</v>
      </c>
      <c r="F3" s="3"/>
      <c r="G3" s="3" t="s">
        <v>258</v>
      </c>
      <c r="H3" s="3"/>
      <c r="I3" s="3" t="s">
        <v>259</v>
      </c>
    </row>
    <row r="4" spans="1:9" ht="15" customHeight="1" x14ac:dyDescent="0.2">
      <c r="A4" s="3" t="s">
        <v>260</v>
      </c>
      <c r="B4" s="3" t="s">
        <v>261</v>
      </c>
      <c r="C4" s="3" t="s">
        <v>253</v>
      </c>
      <c r="D4" s="3"/>
      <c r="E4" s="3"/>
      <c r="F4" s="3"/>
      <c r="G4" s="3" t="s">
        <v>262</v>
      </c>
      <c r="H4" s="3"/>
      <c r="I4" s="3"/>
    </row>
    <row r="5" spans="1:9" ht="15" customHeight="1" x14ac:dyDescent="0.2">
      <c r="A5" s="3" t="s">
        <v>263</v>
      </c>
      <c r="B5" s="3" t="s">
        <v>264</v>
      </c>
      <c r="C5" s="3" t="s">
        <v>253</v>
      </c>
      <c r="D5" s="3"/>
      <c r="E5" s="3"/>
      <c r="F5" s="3"/>
      <c r="G5" s="3"/>
      <c r="H5" s="3"/>
      <c r="I5" s="3"/>
    </row>
    <row r="6" spans="1:9" ht="15" customHeight="1" x14ac:dyDescent="0.2">
      <c r="A6" s="3" t="s">
        <v>265</v>
      </c>
      <c r="B6" s="3" t="s">
        <v>261</v>
      </c>
      <c r="C6" s="3" t="s">
        <v>253</v>
      </c>
      <c r="D6" s="3"/>
      <c r="E6" s="3"/>
      <c r="F6" s="3"/>
      <c r="G6" s="3"/>
      <c r="H6" s="3"/>
      <c r="I6" s="3"/>
    </row>
    <row r="7" spans="1:9" ht="15" customHeight="1" x14ac:dyDescent="0.2">
      <c r="A7" s="3" t="s">
        <v>266</v>
      </c>
      <c r="B7" s="3" t="s">
        <v>267</v>
      </c>
      <c r="C7" s="3" t="s">
        <v>253</v>
      </c>
      <c r="D7" s="3"/>
      <c r="E7" s="3"/>
      <c r="F7" s="3"/>
      <c r="G7" s="3"/>
      <c r="H7" s="3"/>
      <c r="I7" s="3"/>
    </row>
    <row r="8" spans="1:9" ht="15" customHeight="1" x14ac:dyDescent="0.2">
      <c r="A8" s="3" t="s">
        <v>268</v>
      </c>
      <c r="B8" s="3" t="s">
        <v>261</v>
      </c>
      <c r="C8" s="3" t="s">
        <v>253</v>
      </c>
      <c r="D8" s="3"/>
      <c r="E8" s="3"/>
      <c r="F8" s="3"/>
      <c r="G8" s="3"/>
      <c r="H8" s="3"/>
      <c r="I8" s="3"/>
    </row>
    <row r="9" spans="1:9" ht="15" customHeight="1" x14ac:dyDescent="0.2">
      <c r="A9" s="3" t="s">
        <v>269</v>
      </c>
      <c r="B9" s="3" t="s">
        <v>270</v>
      </c>
      <c r="C9" s="3" t="s">
        <v>253</v>
      </c>
      <c r="D9" s="3"/>
      <c r="E9" s="3"/>
      <c r="F9" s="3"/>
      <c r="G9" s="3"/>
      <c r="H9" s="3"/>
      <c r="I9" s="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8" customWidth="1"/>
    <col min="2" max="2" width="18" customWidth="1"/>
    <col min="3" max="3" width="95" customWidth="1"/>
  </cols>
  <sheetData>
    <row r="1" spans="1:3" x14ac:dyDescent="0.2">
      <c r="A1" s="16" t="s">
        <v>271</v>
      </c>
      <c r="B1" s="16" t="s">
        <v>272</v>
      </c>
      <c r="C1" s="16" t="s">
        <v>273</v>
      </c>
    </row>
    <row r="2" spans="1:3" x14ac:dyDescent="0.2">
      <c r="A2" s="3" t="s">
        <v>274</v>
      </c>
      <c r="B2" s="3" t="s">
        <v>275</v>
      </c>
      <c r="C2" s="3" t="s">
        <v>276</v>
      </c>
    </row>
    <row r="3" spans="1:3" x14ac:dyDescent="0.2">
      <c r="A3" s="3" t="s">
        <v>277</v>
      </c>
      <c r="B3" s="3" t="s">
        <v>275</v>
      </c>
      <c r="C3" s="3" t="s">
        <v>278</v>
      </c>
    </row>
    <row r="4" spans="1:3" x14ac:dyDescent="0.2">
      <c r="A4" s="3" t="s">
        <v>279</v>
      </c>
      <c r="B4" s="3" t="s">
        <v>275</v>
      </c>
      <c r="C4" s="3" t="s">
        <v>280</v>
      </c>
    </row>
    <row r="5" spans="1:3" x14ac:dyDescent="0.2">
      <c r="A5" s="3" t="s">
        <v>281</v>
      </c>
      <c r="B5" s="3" t="s">
        <v>275</v>
      </c>
      <c r="C5" s="3" t="s">
        <v>282</v>
      </c>
    </row>
    <row r="6" spans="1:3" x14ac:dyDescent="0.2">
      <c r="A6" s="3" t="s">
        <v>283</v>
      </c>
      <c r="B6" s="3" t="s">
        <v>275</v>
      </c>
      <c r="C6" s="3" t="s">
        <v>284</v>
      </c>
    </row>
    <row r="7" spans="1:3" x14ac:dyDescent="0.2">
      <c r="A7" s="3" t="s">
        <v>285</v>
      </c>
      <c r="B7" s="3" t="s">
        <v>275</v>
      </c>
      <c r="C7" s="3" t="s">
        <v>286</v>
      </c>
    </row>
    <row r="8" spans="1:3" x14ac:dyDescent="0.2">
      <c r="A8" s="3" t="s">
        <v>287</v>
      </c>
      <c r="B8" s="3" t="s">
        <v>288</v>
      </c>
      <c r="C8" s="3" t="s">
        <v>289</v>
      </c>
    </row>
    <row r="9" spans="1:3" x14ac:dyDescent="0.2">
      <c r="A9" s="3" t="s">
        <v>290</v>
      </c>
      <c r="B9" s="3" t="s">
        <v>275</v>
      </c>
      <c r="C9" s="3" t="s">
        <v>291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"/>
  <sheetViews>
    <sheetView workbookViewId="0"/>
  </sheetViews>
  <sheetFormatPr baseColWidth="10" defaultColWidth="8.83203125" defaultRowHeight="15" x14ac:dyDescent="0.2"/>
  <sheetData>
    <row r="1" spans="1:8" x14ac:dyDescent="0.2">
      <c r="A1" s="3" t="s">
        <v>251</v>
      </c>
      <c r="B1" s="3" t="s">
        <v>256</v>
      </c>
      <c r="C1" s="3" t="s">
        <v>260</v>
      </c>
      <c r="D1" s="3" t="s">
        <v>263</v>
      </c>
      <c r="E1" s="3" t="s">
        <v>265</v>
      </c>
      <c r="F1" s="3" t="s">
        <v>266</v>
      </c>
      <c r="G1" s="3" t="s">
        <v>268</v>
      </c>
      <c r="H1" s="3" t="s">
        <v>269</v>
      </c>
    </row>
    <row r="2" spans="1:8" x14ac:dyDescent="0.2">
      <c r="A2" s="3" t="s">
        <v>292</v>
      </c>
      <c r="B2" s="3" t="s">
        <v>293</v>
      </c>
      <c r="C2" s="3" t="s">
        <v>294</v>
      </c>
      <c r="D2" s="3" t="s">
        <v>295</v>
      </c>
      <c r="E2" s="3" t="s">
        <v>296</v>
      </c>
      <c r="F2" s="3" t="s">
        <v>297</v>
      </c>
      <c r="G2" s="3" t="s">
        <v>298</v>
      </c>
      <c r="H2" s="3" t="s">
        <v>299</v>
      </c>
    </row>
    <row r="3" spans="1:8" x14ac:dyDescent="0.2">
      <c r="A3" s="3" t="s">
        <v>300</v>
      </c>
      <c r="B3" s="3" t="s">
        <v>301</v>
      </c>
      <c r="C3" s="3" t="s">
        <v>302</v>
      </c>
      <c r="D3" s="3"/>
      <c r="E3" s="3" t="s">
        <v>303</v>
      </c>
      <c r="F3" s="3" t="s">
        <v>304</v>
      </c>
      <c r="G3" s="3" t="s">
        <v>305</v>
      </c>
      <c r="H3" s="3"/>
    </row>
    <row r="4" spans="1:8" x14ac:dyDescent="0.2">
      <c r="A4" s="3"/>
      <c r="B4" s="3"/>
      <c r="C4" s="3" t="s">
        <v>306</v>
      </c>
      <c r="D4" s="3"/>
      <c r="E4" s="3"/>
      <c r="F4" s="3" t="s">
        <v>307</v>
      </c>
      <c r="G4" s="3"/>
      <c r="H4" s="3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14" customWidth="1"/>
    <col min="5" max="5" width="19" customWidth="1"/>
    <col min="6" max="6" width="15" customWidth="1"/>
    <col min="7" max="7" width="27" customWidth="1"/>
  </cols>
  <sheetData>
    <row r="1" spans="1:7" ht="26.75" customHeight="1" x14ac:dyDescent="0.2">
      <c r="A1" s="17" t="s">
        <v>308</v>
      </c>
      <c r="B1" s="17" t="s">
        <v>309</v>
      </c>
      <c r="C1" s="17" t="s">
        <v>310</v>
      </c>
      <c r="D1" s="17" t="s">
        <v>311</v>
      </c>
      <c r="E1" s="17" t="s">
        <v>312</v>
      </c>
      <c r="F1" s="17" t="s">
        <v>313</v>
      </c>
      <c r="G1" s="17" t="s">
        <v>76</v>
      </c>
    </row>
    <row r="2" spans="1:7" ht="15" customHeight="1" x14ac:dyDescent="0.2">
      <c r="A2" s="1" t="s">
        <v>314</v>
      </c>
      <c r="B2" s="1">
        <v>13</v>
      </c>
      <c r="C2" s="1">
        <v>20.411999999999999</v>
      </c>
      <c r="D2" s="1">
        <v>265.35599999999999</v>
      </c>
      <c r="E2" s="1">
        <v>4</v>
      </c>
      <c r="F2" s="1">
        <v>261.35599999999999</v>
      </c>
      <c r="G2" s="1" t="s">
        <v>20</v>
      </c>
    </row>
    <row r="3" spans="1:7" ht="15" customHeight="1" x14ac:dyDescent="0.2">
      <c r="A3" s="1" t="s">
        <v>315</v>
      </c>
      <c r="B3" s="1">
        <v>13</v>
      </c>
      <c r="C3" s="1">
        <v>20.411999999999999</v>
      </c>
      <c r="D3" s="1">
        <v>265.35599999999999</v>
      </c>
      <c r="E3" s="1">
        <v>5</v>
      </c>
      <c r="F3" s="1">
        <v>260.35599999999999</v>
      </c>
      <c r="G3" s="1" t="s">
        <v>20</v>
      </c>
    </row>
    <row r="4" spans="1:7" ht="15" customHeight="1" x14ac:dyDescent="0.2">
      <c r="A4" s="1" t="s">
        <v>316</v>
      </c>
      <c r="B4" s="1">
        <v>13</v>
      </c>
      <c r="C4" s="1">
        <v>20.411999999999999</v>
      </c>
      <c r="D4" s="1">
        <v>265.35599999999999</v>
      </c>
      <c r="E4" s="1">
        <v>3</v>
      </c>
      <c r="F4" s="1">
        <v>262.35599999999999</v>
      </c>
      <c r="G4" s="1" t="s">
        <v>20</v>
      </c>
    </row>
    <row r="5" spans="1:7" ht="15" customHeight="1" x14ac:dyDescent="0.2">
      <c r="A5" s="1" t="s">
        <v>317</v>
      </c>
      <c r="B5" s="1">
        <v>13</v>
      </c>
      <c r="C5" s="1">
        <v>20.411999999999999</v>
      </c>
      <c r="D5" s="1">
        <v>265.35599999999999</v>
      </c>
      <c r="E5" s="1">
        <v>4</v>
      </c>
      <c r="F5" s="1">
        <v>261.35599999999999</v>
      </c>
      <c r="G5" s="1" t="s">
        <v>20</v>
      </c>
    </row>
    <row r="6" spans="1:7" ht="15" customHeight="1" x14ac:dyDescent="0.2">
      <c r="A6" s="1" t="s">
        <v>318</v>
      </c>
      <c r="B6" s="1">
        <v>13</v>
      </c>
      <c r="C6" s="1">
        <v>20.411999999999999</v>
      </c>
      <c r="D6" s="1">
        <v>265.35599999999999</v>
      </c>
      <c r="E6" s="1">
        <v>4</v>
      </c>
      <c r="F6" s="1">
        <v>261.35599999999999</v>
      </c>
      <c r="G6" s="1" t="s">
        <v>20</v>
      </c>
    </row>
    <row r="7" spans="1:7" ht="15" customHeight="1" x14ac:dyDescent="0.2">
      <c r="A7" s="1" t="s">
        <v>319</v>
      </c>
      <c r="B7" s="1">
        <v>9</v>
      </c>
      <c r="C7" s="1">
        <v>20.411999999999999</v>
      </c>
      <c r="D7" s="1">
        <v>183.708</v>
      </c>
      <c r="E7" s="1">
        <v>3</v>
      </c>
      <c r="F7" s="1">
        <v>180.708</v>
      </c>
      <c r="G7" s="1" t="s">
        <v>20</v>
      </c>
    </row>
    <row r="8" spans="1:7" ht="15" customHeight="1" x14ac:dyDescent="0.2">
      <c r="A8" s="1" t="s">
        <v>320</v>
      </c>
      <c r="B8" s="1">
        <v>12</v>
      </c>
      <c r="C8" s="1">
        <v>20.411999999999999</v>
      </c>
      <c r="D8" s="1">
        <v>244.94399999999999</v>
      </c>
      <c r="E8" s="1">
        <v>4</v>
      </c>
      <c r="F8" s="1">
        <v>240.94399999999999</v>
      </c>
      <c r="G8" s="1" t="s">
        <v>321</v>
      </c>
    </row>
    <row r="9" spans="1:7" ht="15" customHeight="1" x14ac:dyDescent="0.2">
      <c r="A9" s="1" t="s">
        <v>322</v>
      </c>
      <c r="B9" s="1">
        <v>12</v>
      </c>
      <c r="C9" s="1">
        <v>20.411999999999999</v>
      </c>
      <c r="D9" s="1">
        <v>244.94399999999999</v>
      </c>
      <c r="E9" s="1">
        <v>5</v>
      </c>
      <c r="F9" s="1">
        <v>239.94399999999999</v>
      </c>
      <c r="G9" s="1" t="s">
        <v>323</v>
      </c>
    </row>
  </sheetData>
  <autoFilter ref="A1:G9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14" customWidth="1"/>
    <col min="4" max="4" width="22" customWidth="1"/>
    <col min="5" max="5" width="14" customWidth="1"/>
    <col min="6" max="6" width="15" customWidth="1"/>
    <col min="7" max="7" width="14" customWidth="1"/>
    <col min="8" max="8" width="22" customWidth="1"/>
  </cols>
  <sheetData>
    <row r="1" spans="1:8" ht="26.75" customHeight="1" x14ac:dyDescent="0.2">
      <c r="A1" s="17" t="s">
        <v>324</v>
      </c>
      <c r="B1" s="17" t="s">
        <v>325</v>
      </c>
      <c r="C1" s="17" t="s">
        <v>326</v>
      </c>
      <c r="D1" s="17" t="s">
        <v>327</v>
      </c>
      <c r="E1" s="17" t="s">
        <v>328</v>
      </c>
      <c r="F1" s="17" t="s">
        <v>329</v>
      </c>
      <c r="G1" s="17" t="s">
        <v>330</v>
      </c>
      <c r="H1" s="17" t="s">
        <v>331</v>
      </c>
    </row>
    <row r="2" spans="1:8" ht="15" customHeight="1" x14ac:dyDescent="0.2">
      <c r="A2" s="1" t="s">
        <v>332</v>
      </c>
      <c r="B2" s="1">
        <v>2974</v>
      </c>
      <c r="C2" s="1">
        <v>1487</v>
      </c>
      <c r="D2" s="1">
        <v>0</v>
      </c>
      <c r="E2" s="1">
        <v>0</v>
      </c>
      <c r="F2" s="1">
        <v>0</v>
      </c>
      <c r="G2" s="1">
        <v>0</v>
      </c>
      <c r="H2" s="1">
        <v>0.48799999999999999</v>
      </c>
    </row>
    <row r="3" spans="1:8" ht="15" customHeight="1" x14ac:dyDescent="0.2">
      <c r="A3" s="1" t="s">
        <v>320</v>
      </c>
      <c r="B3" s="1">
        <v>0</v>
      </c>
      <c r="C3" s="1">
        <v>0</v>
      </c>
      <c r="D3" s="1">
        <v>240</v>
      </c>
      <c r="E3" s="1">
        <v>240</v>
      </c>
      <c r="F3" s="1">
        <v>0</v>
      </c>
      <c r="G3" s="1">
        <v>0</v>
      </c>
      <c r="H3" s="1">
        <v>0.94399999999999995</v>
      </c>
    </row>
    <row r="4" spans="1:8" ht="15" customHeight="1" x14ac:dyDescent="0.2">
      <c r="A4" s="1" t="s">
        <v>322</v>
      </c>
      <c r="B4" s="1">
        <v>0</v>
      </c>
      <c r="C4" s="1">
        <v>0</v>
      </c>
      <c r="D4" s="1">
        <v>100</v>
      </c>
      <c r="E4" s="1">
        <v>100</v>
      </c>
      <c r="F4" s="1">
        <v>55</v>
      </c>
      <c r="G4" s="1">
        <v>137.5</v>
      </c>
      <c r="H4" s="1">
        <v>2.444</v>
      </c>
    </row>
  </sheetData>
  <autoFilter ref="A1:H4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18" customWidth="1"/>
    <col min="4" max="4" width="16" customWidth="1"/>
    <col min="7" max="7" width="14" customWidth="1"/>
  </cols>
  <sheetData>
    <row r="1" spans="1:8" ht="15" customHeight="1" x14ac:dyDescent="0.2">
      <c r="A1" s="17" t="s">
        <v>333</v>
      </c>
      <c r="B1" s="17" t="s">
        <v>334</v>
      </c>
      <c r="C1" s="17" t="s">
        <v>335</v>
      </c>
      <c r="D1" s="17" t="s">
        <v>336</v>
      </c>
      <c r="E1" s="17" t="s">
        <v>324</v>
      </c>
      <c r="F1" s="17" t="s">
        <v>249</v>
      </c>
      <c r="G1" s="17" t="s">
        <v>337</v>
      </c>
      <c r="H1" s="17" t="s">
        <v>253</v>
      </c>
    </row>
    <row r="2" spans="1:8" ht="15" customHeight="1" x14ac:dyDescent="0.2">
      <c r="A2" s="1" t="s">
        <v>338</v>
      </c>
      <c r="B2" s="1" t="s">
        <v>19</v>
      </c>
      <c r="C2" s="1" t="s">
        <v>339</v>
      </c>
      <c r="D2" s="1" t="s">
        <v>340</v>
      </c>
      <c r="E2" s="1" t="s">
        <v>332</v>
      </c>
      <c r="F2" s="1" t="s">
        <v>20</v>
      </c>
      <c r="G2" s="1">
        <v>2880</v>
      </c>
      <c r="H2" s="1">
        <v>1440</v>
      </c>
    </row>
    <row r="3" spans="1:8" ht="15" customHeight="1" x14ac:dyDescent="0.2">
      <c r="A3" s="1" t="s">
        <v>341</v>
      </c>
      <c r="B3" s="1" t="s">
        <v>342</v>
      </c>
      <c r="C3" s="1" t="s">
        <v>343</v>
      </c>
      <c r="D3" s="1" t="s">
        <v>344</v>
      </c>
      <c r="E3" s="1" t="s">
        <v>320</v>
      </c>
      <c r="F3" s="1" t="s">
        <v>345</v>
      </c>
      <c r="G3" s="1">
        <v>48</v>
      </c>
      <c r="H3" s="1">
        <v>48</v>
      </c>
    </row>
    <row r="4" spans="1:8" ht="15" customHeight="1" x14ac:dyDescent="0.2">
      <c r="A4" s="1" t="s">
        <v>346</v>
      </c>
      <c r="B4" s="1" t="s">
        <v>347</v>
      </c>
      <c r="C4" s="1" t="s">
        <v>343</v>
      </c>
      <c r="D4" s="1" t="s">
        <v>344</v>
      </c>
      <c r="E4" s="1" t="s">
        <v>320</v>
      </c>
      <c r="F4" s="1" t="s">
        <v>345</v>
      </c>
      <c r="G4" s="1">
        <v>80</v>
      </c>
      <c r="H4" s="1">
        <v>80</v>
      </c>
    </row>
    <row r="5" spans="1:8" ht="15" customHeight="1" x14ac:dyDescent="0.2">
      <c r="A5" s="1" t="s">
        <v>348</v>
      </c>
      <c r="B5" s="1" t="s">
        <v>349</v>
      </c>
      <c r="C5" s="1" t="s">
        <v>343</v>
      </c>
      <c r="D5" s="1" t="s">
        <v>344</v>
      </c>
      <c r="E5" s="1" t="s">
        <v>320</v>
      </c>
      <c r="F5" s="1" t="s">
        <v>345</v>
      </c>
      <c r="G5" s="1">
        <v>80</v>
      </c>
      <c r="H5" s="1">
        <v>80</v>
      </c>
    </row>
    <row r="6" spans="1:8" ht="15" customHeight="1" x14ac:dyDescent="0.2">
      <c r="A6" s="1" t="s">
        <v>350</v>
      </c>
      <c r="B6" s="1" t="s">
        <v>347</v>
      </c>
      <c r="C6" s="1" t="s">
        <v>343</v>
      </c>
      <c r="D6" s="1" t="s">
        <v>344</v>
      </c>
      <c r="E6" s="1" t="s">
        <v>322</v>
      </c>
      <c r="F6" s="1" t="s">
        <v>345</v>
      </c>
      <c r="G6" s="1">
        <v>80</v>
      </c>
      <c r="H6" s="1">
        <v>80</v>
      </c>
    </row>
  </sheetData>
  <autoFilter ref="A1:H6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1"/>
  <sheetViews>
    <sheetView showGridLines="0" workbookViewId="0">
      <selection sqref="A1:D1"/>
    </sheetView>
  </sheetViews>
  <sheetFormatPr baseColWidth="10" defaultColWidth="8.83203125" defaultRowHeight="15" x14ac:dyDescent="0.2"/>
  <cols>
    <col min="1" max="1" width="26" customWidth="1"/>
    <col min="2" max="2" width="36" customWidth="1"/>
    <col min="3" max="3" width="14" customWidth="1"/>
  </cols>
  <sheetData>
    <row r="1" spans="1:4" ht="15" customHeight="1" x14ac:dyDescent="0.2">
      <c r="A1" s="25" t="s">
        <v>351</v>
      </c>
      <c r="B1" s="23"/>
      <c r="C1" s="23"/>
      <c r="D1" s="24"/>
    </row>
    <row r="2" spans="1:4" ht="15" customHeight="1" x14ac:dyDescent="0.2">
      <c r="A2" s="1"/>
      <c r="B2" s="1"/>
      <c r="C2" s="1"/>
      <c r="D2" s="1"/>
    </row>
    <row r="3" spans="1:4" ht="15" customHeight="1" x14ac:dyDescent="0.2">
      <c r="A3" s="9" t="s">
        <v>11</v>
      </c>
      <c r="B3" s="10">
        <f>COUNT('10 2025 ÜRETİM'!A2:A100)</f>
        <v>0</v>
      </c>
      <c r="C3" s="1"/>
      <c r="D3" s="1"/>
    </row>
    <row r="4" spans="1:4" ht="15" customHeight="1" x14ac:dyDescent="0.2">
      <c r="A4" s="9" t="s">
        <v>18</v>
      </c>
      <c r="B4" s="10">
        <f>SUM('10 2025 ÜRETİM'!B2:B100)</f>
        <v>98</v>
      </c>
      <c r="C4" s="1"/>
      <c r="D4" s="1"/>
    </row>
    <row r="5" spans="1:4" ht="15" customHeight="1" x14ac:dyDescent="0.2">
      <c r="A5" s="9" t="s">
        <v>311</v>
      </c>
      <c r="B5" s="10">
        <f>SUM('10 2025 ÜRETİM'!D2:D100)</f>
        <v>2000.376</v>
      </c>
      <c r="C5" s="1"/>
      <c r="D5" s="1"/>
    </row>
    <row r="6" spans="1:4" ht="15" customHeight="1" x14ac:dyDescent="0.2">
      <c r="A6" s="9" t="s">
        <v>23</v>
      </c>
      <c r="B6" s="10">
        <f>SUM('10 2025 ÜRETİM'!E2:E100)</f>
        <v>32</v>
      </c>
      <c r="C6" s="1"/>
      <c r="D6" s="1"/>
    </row>
    <row r="7" spans="1:4" ht="15" customHeight="1" x14ac:dyDescent="0.2">
      <c r="A7" s="9" t="s">
        <v>26</v>
      </c>
      <c r="B7" s="10">
        <f>SUM('10 2025 ÜRETİM'!F2:F100)</f>
        <v>1968.376</v>
      </c>
      <c r="C7" s="1"/>
      <c r="D7" s="1"/>
    </row>
    <row r="8" spans="1:4" ht="15" customHeight="1" x14ac:dyDescent="0.2">
      <c r="A8" s="9" t="s">
        <v>352</v>
      </c>
      <c r="B8" s="10">
        <f>SUM('11 2025 PAKETLEME'!B2:B100)</f>
        <v>2974</v>
      </c>
      <c r="C8" s="1"/>
      <c r="D8" s="1"/>
    </row>
    <row r="9" spans="1:4" ht="15" customHeight="1" x14ac:dyDescent="0.2">
      <c r="A9" s="9" t="s">
        <v>353</v>
      </c>
      <c r="B9" s="10">
        <f>SUM('11 2025 PAKETLEME'!D2:D100)</f>
        <v>340</v>
      </c>
      <c r="C9" s="1"/>
      <c r="D9" s="1"/>
    </row>
    <row r="10" spans="1:4" ht="15" customHeight="1" x14ac:dyDescent="0.2">
      <c r="A10" s="9" t="s">
        <v>354</v>
      </c>
      <c r="B10" s="10">
        <f>SUM('11 2025 PAKETLEME'!F2:F100)</f>
        <v>55</v>
      </c>
      <c r="C10" s="1"/>
      <c r="D10" s="1"/>
    </row>
    <row r="11" spans="1:4" ht="15" customHeight="1" x14ac:dyDescent="0.2">
      <c r="A11" s="9" t="s">
        <v>355</v>
      </c>
      <c r="B11" s="10">
        <f>SUM('12 2025 SEVKİYAT'!H2:H100)</f>
        <v>1728</v>
      </c>
      <c r="C11" s="1"/>
      <c r="D11" s="1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AD47"/>
  </sheetPr>
  <dimension ref="A1:V501"/>
  <sheetViews>
    <sheetView showGridLines="0" workbookViewId="0">
      <pane ySplit="1" topLeftCell="A2" activePane="bottomLeft" state="frozen"/>
      <selection pane="bottomLeft" activeCell="M15" sqref="M15"/>
    </sheetView>
  </sheetViews>
  <sheetFormatPr baseColWidth="10" defaultColWidth="8.83203125" defaultRowHeight="15" x14ac:dyDescent="0.2"/>
  <cols>
    <col min="1" max="1" width="15" style="49" customWidth="1"/>
    <col min="2" max="2" width="24" style="54" customWidth="1"/>
    <col min="3" max="3" width="8.83203125" style="49"/>
    <col min="4" max="4" width="12" style="54" customWidth="1"/>
    <col min="5" max="5" width="14" style="49" customWidth="1"/>
    <col min="6" max="6" width="18" style="54" customWidth="1"/>
    <col min="7" max="7" width="14" style="49" customWidth="1"/>
    <col min="8" max="8" width="8.83203125" style="54"/>
    <col min="9" max="9" width="18" style="49" customWidth="1"/>
    <col min="10" max="10" width="35" style="49" customWidth="1"/>
    <col min="22" max="22" width="18" customWidth="1"/>
  </cols>
  <sheetData>
    <row r="1" spans="1:22" ht="31.5" customHeight="1" thickBot="1" x14ac:dyDescent="0.25">
      <c r="A1" s="45" t="s">
        <v>356</v>
      </c>
      <c r="B1" s="57" t="s">
        <v>357</v>
      </c>
      <c r="C1" s="45" t="s">
        <v>358</v>
      </c>
      <c r="D1" s="57" t="s">
        <v>359</v>
      </c>
      <c r="E1" s="45" t="s">
        <v>360</v>
      </c>
      <c r="F1" s="57" t="s">
        <v>361</v>
      </c>
      <c r="G1" s="45" t="s">
        <v>362</v>
      </c>
      <c r="H1" s="57" t="s">
        <v>363</v>
      </c>
      <c r="I1" s="45" t="s">
        <v>364</v>
      </c>
      <c r="J1" s="45" t="s">
        <v>273</v>
      </c>
      <c r="V1" s="19" t="s">
        <v>365</v>
      </c>
    </row>
    <row r="2" spans="1:22" ht="15" customHeight="1" x14ac:dyDescent="0.2">
      <c r="A2" s="46" t="s">
        <v>366</v>
      </c>
      <c r="B2" s="51" t="s">
        <v>251</v>
      </c>
      <c r="C2" s="46" t="s">
        <v>252</v>
      </c>
      <c r="D2" s="51"/>
      <c r="E2" s="46"/>
      <c r="F2" s="51" t="s">
        <v>292</v>
      </c>
      <c r="G2" s="46" t="s">
        <v>366</v>
      </c>
      <c r="H2" s="51"/>
      <c r="I2" s="46" t="s">
        <v>254</v>
      </c>
      <c r="J2" s="46"/>
      <c r="V2" s="20" t="s">
        <v>367</v>
      </c>
    </row>
    <row r="3" spans="1:22" ht="15" customHeight="1" x14ac:dyDescent="0.2">
      <c r="A3" s="47" t="s">
        <v>366</v>
      </c>
      <c r="B3" s="52" t="s">
        <v>256</v>
      </c>
      <c r="C3" s="47" t="s">
        <v>257</v>
      </c>
      <c r="D3" s="52"/>
      <c r="E3" s="47"/>
      <c r="F3" s="52" t="s">
        <v>293</v>
      </c>
      <c r="G3" s="47" t="s">
        <v>368</v>
      </c>
      <c r="H3" s="52" t="s">
        <v>369</v>
      </c>
      <c r="I3" s="47" t="s">
        <v>254</v>
      </c>
      <c r="J3" s="47"/>
      <c r="V3" s="21" t="s">
        <v>370</v>
      </c>
    </row>
    <row r="4" spans="1:22" ht="15" customHeight="1" x14ac:dyDescent="0.2">
      <c r="A4" s="47" t="s">
        <v>366</v>
      </c>
      <c r="B4" s="52" t="s">
        <v>269</v>
      </c>
      <c r="C4" s="47" t="s">
        <v>270</v>
      </c>
      <c r="D4" s="52"/>
      <c r="E4" s="47"/>
      <c r="F4" s="52" t="s">
        <v>299</v>
      </c>
      <c r="G4" s="47" t="s">
        <v>371</v>
      </c>
      <c r="H4" s="52" t="s">
        <v>372</v>
      </c>
      <c r="I4" s="47" t="s">
        <v>254</v>
      </c>
      <c r="J4" s="47"/>
    </row>
    <row r="5" spans="1:22" ht="15" customHeight="1" x14ac:dyDescent="0.2">
      <c r="A5" s="47" t="s">
        <v>366</v>
      </c>
      <c r="B5" s="52" t="s">
        <v>268</v>
      </c>
      <c r="C5" s="47" t="s">
        <v>261</v>
      </c>
      <c r="D5" s="52"/>
      <c r="E5" s="47"/>
      <c r="F5" s="52" t="s">
        <v>298</v>
      </c>
      <c r="G5" s="47" t="s">
        <v>373</v>
      </c>
      <c r="H5" s="52" t="s">
        <v>374</v>
      </c>
      <c r="I5" s="47" t="s">
        <v>254</v>
      </c>
      <c r="J5" s="47"/>
    </row>
    <row r="6" spans="1:22" ht="15" customHeight="1" x14ac:dyDescent="0.2">
      <c r="A6" s="47" t="s">
        <v>366</v>
      </c>
      <c r="B6" s="52" t="s">
        <v>260</v>
      </c>
      <c r="C6" s="47" t="s">
        <v>261</v>
      </c>
      <c r="D6" s="52"/>
      <c r="E6" s="47"/>
      <c r="F6" s="52" t="s">
        <v>294</v>
      </c>
      <c r="G6" s="47" t="s">
        <v>375</v>
      </c>
      <c r="H6" s="52" t="s">
        <v>376</v>
      </c>
      <c r="I6" s="47" t="s">
        <v>254</v>
      </c>
      <c r="J6" s="47" t="s">
        <v>377</v>
      </c>
    </row>
    <row r="7" spans="1:22" ht="15" customHeight="1" x14ac:dyDescent="0.2">
      <c r="A7" s="47" t="s">
        <v>366</v>
      </c>
      <c r="B7" s="52" t="s">
        <v>266</v>
      </c>
      <c r="C7" s="47" t="s">
        <v>267</v>
      </c>
      <c r="D7" s="52"/>
      <c r="E7" s="47"/>
      <c r="F7" s="52" t="s">
        <v>297</v>
      </c>
      <c r="G7" s="47" t="s">
        <v>378</v>
      </c>
      <c r="H7" s="52" t="s">
        <v>379</v>
      </c>
      <c r="I7" s="47" t="s">
        <v>254</v>
      </c>
      <c r="J7" s="47" t="s">
        <v>377</v>
      </c>
    </row>
    <row r="8" spans="1:22" ht="15" customHeight="1" x14ac:dyDescent="0.2">
      <c r="A8" s="47" t="s">
        <v>366</v>
      </c>
      <c r="B8" s="52" t="s">
        <v>265</v>
      </c>
      <c r="C8" s="47" t="s">
        <v>261</v>
      </c>
      <c r="D8" s="52"/>
      <c r="E8" s="47"/>
      <c r="F8" s="52" t="s">
        <v>296</v>
      </c>
      <c r="G8" s="47" t="s">
        <v>380</v>
      </c>
      <c r="H8" s="52" t="s">
        <v>381</v>
      </c>
      <c r="I8" s="47" t="s">
        <v>254</v>
      </c>
      <c r="J8" s="47"/>
    </row>
    <row r="9" spans="1:22" ht="15" customHeight="1" x14ac:dyDescent="0.2">
      <c r="A9" s="47" t="s">
        <v>382</v>
      </c>
      <c r="B9" s="52" t="s">
        <v>260</v>
      </c>
      <c r="C9" s="47" t="s">
        <v>261</v>
      </c>
      <c r="D9" s="52"/>
      <c r="E9" s="47"/>
      <c r="F9" s="52" t="s">
        <v>302</v>
      </c>
      <c r="G9" s="47" t="s">
        <v>383</v>
      </c>
      <c r="H9" s="52" t="s">
        <v>384</v>
      </c>
      <c r="I9" s="47" t="s">
        <v>254</v>
      </c>
      <c r="J9" s="47"/>
    </row>
    <row r="10" spans="1:22" ht="15" customHeight="1" x14ac:dyDescent="0.2">
      <c r="A10" s="47" t="s">
        <v>382</v>
      </c>
      <c r="B10" s="52" t="s">
        <v>266</v>
      </c>
      <c r="C10" s="47" t="s">
        <v>267</v>
      </c>
      <c r="D10" s="52"/>
      <c r="E10" s="47"/>
      <c r="F10" s="52" t="s">
        <v>304</v>
      </c>
      <c r="G10" s="47" t="s">
        <v>373</v>
      </c>
      <c r="H10" s="52" t="s">
        <v>385</v>
      </c>
      <c r="I10" s="47" t="s">
        <v>254</v>
      </c>
      <c r="J10" s="47"/>
    </row>
    <row r="11" spans="1:22" ht="15" customHeight="1" x14ac:dyDescent="0.2">
      <c r="A11" s="56"/>
      <c r="B11" s="58" t="s">
        <v>251</v>
      </c>
      <c r="C11" s="56" t="s">
        <v>252</v>
      </c>
      <c r="D11" s="58"/>
      <c r="E11" s="56" t="str">
        <f>IF(B11="","",IFERROR(VLOOKUP(B11,'04 TANIMLAR'!$A$2:$C$9,3,FALSE()),""))</f>
        <v>kg</v>
      </c>
      <c r="F11" s="58" t="s">
        <v>300</v>
      </c>
      <c r="G11" s="56" t="s">
        <v>386</v>
      </c>
      <c r="H11" s="58" t="s">
        <v>387</v>
      </c>
      <c r="I11" s="56" t="s">
        <v>32</v>
      </c>
      <c r="J11" s="56" t="s">
        <v>388</v>
      </c>
    </row>
    <row r="12" spans="1:22" ht="15" customHeight="1" x14ac:dyDescent="0.2">
      <c r="A12" s="56"/>
      <c r="B12" s="58" t="s">
        <v>256</v>
      </c>
      <c r="C12" s="56" t="s">
        <v>257</v>
      </c>
      <c r="D12" s="58"/>
      <c r="E12" s="56" t="str">
        <f>IF(B12="","",IFERROR(VLOOKUP(B12,'04 TANIMLAR'!$A$2:$C$9,3,FALSE()),""))</f>
        <v>kg</v>
      </c>
      <c r="F12" s="58" t="s">
        <v>301</v>
      </c>
      <c r="G12" s="56" t="s">
        <v>389</v>
      </c>
      <c r="H12" s="58" t="s">
        <v>390</v>
      </c>
      <c r="I12" s="56" t="s">
        <v>32</v>
      </c>
      <c r="J12" s="56" t="s">
        <v>388</v>
      </c>
    </row>
    <row r="13" spans="1:22" ht="15" customHeight="1" x14ac:dyDescent="0.2">
      <c r="A13" s="56"/>
      <c r="B13" s="58" t="s">
        <v>260</v>
      </c>
      <c r="C13" s="56" t="s">
        <v>261</v>
      </c>
      <c r="D13" s="58"/>
      <c r="E13" s="56" t="str">
        <f>IF(B13="","",IFERROR(VLOOKUP(B13,'04 TANIMLAR'!$A$2:$C$9,3,FALSE()),""))</f>
        <v>kg</v>
      </c>
      <c r="F13" s="58" t="s">
        <v>306</v>
      </c>
      <c r="G13" s="56" t="s">
        <v>391</v>
      </c>
      <c r="H13" s="58" t="s">
        <v>392</v>
      </c>
      <c r="I13" s="56" t="s">
        <v>32</v>
      </c>
      <c r="J13" s="56" t="s">
        <v>388</v>
      </c>
    </row>
    <row r="14" spans="1:22" ht="15" customHeight="1" x14ac:dyDescent="0.2">
      <c r="A14" s="56"/>
      <c r="B14" s="58" t="s">
        <v>263</v>
      </c>
      <c r="C14" s="56" t="s">
        <v>264</v>
      </c>
      <c r="D14" s="58"/>
      <c r="E14" s="56" t="str">
        <f>IF(B14="","",IFERROR(VLOOKUP(B14,'04 TANIMLAR'!$A$2:$C$9,3,FALSE()),""))</f>
        <v>kg</v>
      </c>
      <c r="F14" s="58" t="s">
        <v>295</v>
      </c>
      <c r="G14" s="56"/>
      <c r="H14" s="58"/>
      <c r="I14" s="56" t="s">
        <v>32</v>
      </c>
      <c r="J14" s="56" t="s">
        <v>388</v>
      </c>
    </row>
    <row r="15" spans="1:22" ht="15" customHeight="1" x14ac:dyDescent="0.2">
      <c r="A15" s="56"/>
      <c r="B15" s="58" t="s">
        <v>265</v>
      </c>
      <c r="C15" s="56" t="s">
        <v>261</v>
      </c>
      <c r="D15" s="58"/>
      <c r="E15" s="56" t="str">
        <f>IF(B15="","",IFERROR(VLOOKUP(B15,'04 TANIMLAR'!$A$2:$C$9,3,FALSE()),""))</f>
        <v>kg</v>
      </c>
      <c r="F15" s="58" t="s">
        <v>303</v>
      </c>
      <c r="G15" s="56" t="s">
        <v>393</v>
      </c>
      <c r="H15" s="58" t="s">
        <v>394</v>
      </c>
      <c r="I15" s="56" t="s">
        <v>32</v>
      </c>
      <c r="J15" s="56" t="s">
        <v>388</v>
      </c>
    </row>
    <row r="16" spans="1:22" ht="15" customHeight="1" x14ac:dyDescent="0.2">
      <c r="A16" s="56"/>
      <c r="B16" s="58" t="s">
        <v>266</v>
      </c>
      <c r="C16" s="56" t="s">
        <v>267</v>
      </c>
      <c r="D16" s="58"/>
      <c r="E16" s="56" t="str">
        <f>IF(B16="","",IFERROR(VLOOKUP(B16,'04 TANIMLAR'!$A$2:$C$9,3,FALSE()),""))</f>
        <v>kg</v>
      </c>
      <c r="F16" s="58" t="s">
        <v>307</v>
      </c>
      <c r="G16" s="56" t="s">
        <v>395</v>
      </c>
      <c r="H16" s="58" t="s">
        <v>396</v>
      </c>
      <c r="I16" s="56" t="s">
        <v>32</v>
      </c>
      <c r="J16" s="56" t="s">
        <v>388</v>
      </c>
    </row>
    <row r="17" spans="1:10" ht="15" customHeight="1" x14ac:dyDescent="0.2">
      <c r="A17" s="56"/>
      <c r="B17" s="58" t="s">
        <v>268</v>
      </c>
      <c r="C17" s="56" t="s">
        <v>261</v>
      </c>
      <c r="D17" s="58"/>
      <c r="E17" s="56" t="str">
        <f>IF(B17="","",IFERROR(VLOOKUP(B17,'04 TANIMLAR'!$A$2:$C$9,3,FALSE()),""))</f>
        <v>kg</v>
      </c>
      <c r="F17" s="58" t="s">
        <v>305</v>
      </c>
      <c r="G17" s="56" t="s">
        <v>397</v>
      </c>
      <c r="H17" s="58" t="s">
        <v>398</v>
      </c>
      <c r="I17" s="56" t="s">
        <v>32</v>
      </c>
      <c r="J17" s="56" t="s">
        <v>388</v>
      </c>
    </row>
    <row r="18" spans="1:10" ht="15" customHeight="1" x14ac:dyDescent="0.2">
      <c r="A18" s="56"/>
      <c r="B18" s="58"/>
      <c r="C18" s="56" t="str">
        <f>IF(B18="","",IFERROR(VLOOKUP(B18,'04 TANIMLAR'!$A$2:$C$9,2,FALSE()),""))</f>
        <v/>
      </c>
      <c r="D18" s="58"/>
      <c r="E18" s="56" t="str">
        <f>IF(B18="","",IFERROR(VLOOKUP(B18,'04 TANIMLAR'!$A$2:$C$9,3,FALSE()),""))</f>
        <v/>
      </c>
      <c r="F18" s="58"/>
      <c r="G18" s="56"/>
      <c r="H18" s="58"/>
      <c r="I18" s="56"/>
      <c r="J18" s="56"/>
    </row>
    <row r="19" spans="1:10" ht="15" customHeight="1" x14ac:dyDescent="0.2">
      <c r="A19" s="56"/>
      <c r="B19" s="58"/>
      <c r="C19" s="56" t="str">
        <f>IF(B19="","",IFERROR(VLOOKUP(B19,'04 TANIMLAR'!$A$2:$C$9,2,FALSE()),""))</f>
        <v/>
      </c>
      <c r="D19" s="58"/>
      <c r="E19" s="56" t="str">
        <f>IF(B19="","",IFERROR(VLOOKUP(B19,'04 TANIMLAR'!$A$2:$C$9,3,FALSE()),""))</f>
        <v/>
      </c>
      <c r="F19" s="58"/>
      <c r="G19" s="56"/>
      <c r="H19" s="58"/>
      <c r="I19" s="56"/>
      <c r="J19" s="56"/>
    </row>
    <row r="20" spans="1:10" ht="15" customHeight="1" x14ac:dyDescent="0.2">
      <c r="A20" s="56"/>
      <c r="B20" s="58"/>
      <c r="C20" s="56" t="str">
        <f>IF(B20="","",IFERROR(VLOOKUP(B20,'04 TANIMLAR'!$A$2:$C$9,2,FALSE()),""))</f>
        <v/>
      </c>
      <c r="D20" s="58"/>
      <c r="E20" s="56" t="str">
        <f>IF(B20="","",IFERROR(VLOOKUP(B20,'04 TANIMLAR'!$A$2:$C$9,3,FALSE()),""))</f>
        <v/>
      </c>
      <c r="F20" s="58"/>
      <c r="G20" s="56"/>
      <c r="H20" s="58"/>
      <c r="I20" s="56"/>
      <c r="J20" s="56"/>
    </row>
    <row r="21" spans="1:10" ht="15" customHeight="1" x14ac:dyDescent="0.2">
      <c r="A21" s="56"/>
      <c r="B21" s="58"/>
      <c r="C21" s="56" t="str">
        <f>IF(B21="","",IFERROR(VLOOKUP(B21,'04 TANIMLAR'!$A$2:$C$9,2,FALSE()),""))</f>
        <v/>
      </c>
      <c r="D21" s="58"/>
      <c r="E21" s="56" t="str">
        <f>IF(B21="","",IFERROR(VLOOKUP(B21,'04 TANIMLAR'!$A$2:$C$9,3,FALSE()),""))</f>
        <v/>
      </c>
      <c r="F21" s="58"/>
      <c r="G21" s="56"/>
      <c r="H21" s="58"/>
      <c r="I21" s="56"/>
      <c r="J21" s="56"/>
    </row>
    <row r="22" spans="1:10" ht="15" customHeight="1" x14ac:dyDescent="0.2">
      <c r="A22" s="56"/>
      <c r="B22" s="58"/>
      <c r="C22" s="56" t="str">
        <f>IF(B22="","",IFERROR(VLOOKUP(B22,'04 TANIMLAR'!$A$2:$C$9,2,FALSE()),""))</f>
        <v/>
      </c>
      <c r="D22" s="58"/>
      <c r="E22" s="56" t="str">
        <f>IF(B22="","",IFERROR(VLOOKUP(B22,'04 TANIMLAR'!$A$2:$C$9,3,FALSE()),""))</f>
        <v/>
      </c>
      <c r="F22" s="58"/>
      <c r="G22" s="56"/>
      <c r="H22" s="58"/>
      <c r="I22" s="56"/>
      <c r="J22" s="56"/>
    </row>
    <row r="23" spans="1:10" ht="15" customHeight="1" x14ac:dyDescent="0.2">
      <c r="A23" s="56"/>
      <c r="B23" s="58"/>
      <c r="C23" s="56" t="str">
        <f>IF(B23="","",IFERROR(VLOOKUP(B23,'04 TANIMLAR'!$A$2:$C$9,2,FALSE()),""))</f>
        <v/>
      </c>
      <c r="D23" s="58"/>
      <c r="E23" s="56" t="str">
        <f>IF(B23="","",IFERROR(VLOOKUP(B23,'04 TANIMLAR'!$A$2:$C$9,3,FALSE()),""))</f>
        <v/>
      </c>
      <c r="F23" s="58"/>
      <c r="G23" s="56"/>
      <c r="H23" s="58"/>
      <c r="I23" s="56"/>
      <c r="J23" s="56"/>
    </row>
    <row r="24" spans="1:10" ht="15" customHeight="1" x14ac:dyDescent="0.2">
      <c r="A24" s="56"/>
      <c r="B24" s="58"/>
      <c r="C24" s="56" t="str">
        <f>IF(B24="","",IFERROR(VLOOKUP(B24,'04 TANIMLAR'!$A$2:$C$9,2,FALSE()),""))</f>
        <v/>
      </c>
      <c r="D24" s="58"/>
      <c r="E24" s="56" t="str">
        <f>IF(B24="","",IFERROR(VLOOKUP(B24,'04 TANIMLAR'!$A$2:$C$9,3,FALSE()),""))</f>
        <v/>
      </c>
      <c r="F24" s="58"/>
      <c r="G24" s="56"/>
      <c r="H24" s="58"/>
      <c r="I24" s="56"/>
      <c r="J24" s="56"/>
    </row>
    <row r="25" spans="1:10" ht="15" customHeight="1" x14ac:dyDescent="0.2">
      <c r="A25" s="56"/>
      <c r="B25" s="58"/>
      <c r="C25" s="56" t="str">
        <f>IF(B25="","",IFERROR(VLOOKUP(B25,'04 TANIMLAR'!$A$2:$C$9,2,FALSE()),""))</f>
        <v/>
      </c>
      <c r="D25" s="58"/>
      <c r="E25" s="56" t="str">
        <f>IF(B25="","",IFERROR(VLOOKUP(B25,'04 TANIMLAR'!$A$2:$C$9,3,FALSE()),""))</f>
        <v/>
      </c>
      <c r="F25" s="58"/>
      <c r="G25" s="56"/>
      <c r="H25" s="58"/>
      <c r="I25" s="56"/>
      <c r="J25" s="56"/>
    </row>
    <row r="26" spans="1:10" ht="15" customHeight="1" x14ac:dyDescent="0.2">
      <c r="A26" s="56"/>
      <c r="B26" s="58"/>
      <c r="C26" s="56" t="str">
        <f>IF(B26="","",IFERROR(VLOOKUP(B26,'04 TANIMLAR'!$A$2:$C$9,2,FALSE()),""))</f>
        <v/>
      </c>
      <c r="D26" s="58"/>
      <c r="E26" s="56" t="str">
        <f>IF(B26="","",IFERROR(VLOOKUP(B26,'04 TANIMLAR'!$A$2:$C$9,3,FALSE()),""))</f>
        <v/>
      </c>
      <c r="F26" s="58"/>
      <c r="G26" s="56"/>
      <c r="H26" s="58"/>
      <c r="I26" s="56"/>
      <c r="J26" s="56"/>
    </row>
    <row r="27" spans="1:10" ht="15" customHeight="1" x14ac:dyDescent="0.2">
      <c r="A27" s="56"/>
      <c r="B27" s="58"/>
      <c r="C27" s="56" t="str">
        <f>IF(B27="","",IFERROR(VLOOKUP(B27,'04 TANIMLAR'!$A$2:$C$9,2,FALSE()),""))</f>
        <v/>
      </c>
      <c r="D27" s="58"/>
      <c r="E27" s="56" t="str">
        <f>IF(B27="","",IFERROR(VLOOKUP(B27,'04 TANIMLAR'!$A$2:$C$9,3,FALSE()),""))</f>
        <v/>
      </c>
      <c r="F27" s="58"/>
      <c r="G27" s="56"/>
      <c r="H27" s="58"/>
      <c r="I27" s="56"/>
      <c r="J27" s="56"/>
    </row>
    <row r="28" spans="1:10" ht="15" customHeight="1" x14ac:dyDescent="0.2">
      <c r="A28" s="56"/>
      <c r="B28" s="58"/>
      <c r="C28" s="56" t="str">
        <f>IF(B28="","",IFERROR(VLOOKUP(B28,'04 TANIMLAR'!$A$2:$C$9,2,FALSE()),""))</f>
        <v/>
      </c>
      <c r="D28" s="58"/>
      <c r="E28" s="56" t="str">
        <f>IF(B28="","",IFERROR(VLOOKUP(B28,'04 TANIMLAR'!$A$2:$C$9,3,FALSE()),""))</f>
        <v/>
      </c>
      <c r="F28" s="58"/>
      <c r="G28" s="56"/>
      <c r="H28" s="58"/>
      <c r="I28" s="56"/>
      <c r="J28" s="56"/>
    </row>
    <row r="29" spans="1:10" ht="15" customHeight="1" x14ac:dyDescent="0.2">
      <c r="A29" s="56"/>
      <c r="B29" s="58"/>
      <c r="C29" s="56" t="str">
        <f>IF(B29="","",IFERROR(VLOOKUP(B29,'04 TANIMLAR'!$A$2:$C$9,2,FALSE()),""))</f>
        <v/>
      </c>
      <c r="D29" s="58"/>
      <c r="E29" s="56" t="str">
        <f>IF(B29="","",IFERROR(VLOOKUP(B29,'04 TANIMLAR'!$A$2:$C$9,3,FALSE()),""))</f>
        <v/>
      </c>
      <c r="F29" s="58"/>
      <c r="G29" s="56"/>
      <c r="H29" s="58"/>
      <c r="I29" s="56"/>
      <c r="J29" s="56"/>
    </row>
    <row r="30" spans="1:10" ht="15" customHeight="1" x14ac:dyDescent="0.2">
      <c r="A30" s="56"/>
      <c r="B30" s="58"/>
      <c r="C30" s="56" t="str">
        <f>IF(B30="","",IFERROR(VLOOKUP(B30,'04 TANIMLAR'!$A$2:$C$9,2,FALSE()),""))</f>
        <v/>
      </c>
      <c r="D30" s="58"/>
      <c r="E30" s="56" t="str">
        <f>IF(B30="","",IFERROR(VLOOKUP(B30,'04 TANIMLAR'!$A$2:$C$9,3,FALSE()),""))</f>
        <v/>
      </c>
      <c r="F30" s="58"/>
      <c r="G30" s="56"/>
      <c r="H30" s="58"/>
      <c r="I30" s="56"/>
      <c r="J30" s="56"/>
    </row>
    <row r="31" spans="1:10" ht="15" customHeight="1" x14ac:dyDescent="0.2">
      <c r="A31" s="56"/>
      <c r="B31" s="58"/>
      <c r="C31" s="56" t="str">
        <f>IF(B31="","",IFERROR(VLOOKUP(B31,'04 TANIMLAR'!$A$2:$C$9,2,FALSE()),""))</f>
        <v/>
      </c>
      <c r="D31" s="58"/>
      <c r="E31" s="56" t="str">
        <f>IF(B31="","",IFERROR(VLOOKUP(B31,'04 TANIMLAR'!$A$2:$C$9,3,FALSE()),""))</f>
        <v/>
      </c>
      <c r="F31" s="58"/>
      <c r="G31" s="56"/>
      <c r="H31" s="58"/>
      <c r="I31" s="56"/>
      <c r="J31" s="56"/>
    </row>
    <row r="32" spans="1:10" ht="15" customHeight="1" x14ac:dyDescent="0.2">
      <c r="A32" s="56"/>
      <c r="B32" s="58"/>
      <c r="C32" s="56" t="str">
        <f>IF(B32="","",IFERROR(VLOOKUP(B32,'04 TANIMLAR'!$A$2:$C$9,2,FALSE()),""))</f>
        <v/>
      </c>
      <c r="D32" s="58"/>
      <c r="E32" s="56" t="str">
        <f>IF(B32="","",IFERROR(VLOOKUP(B32,'04 TANIMLAR'!$A$2:$C$9,3,FALSE()),""))</f>
        <v/>
      </c>
      <c r="F32" s="58"/>
      <c r="G32" s="56"/>
      <c r="H32" s="58"/>
      <c r="I32" s="56"/>
      <c r="J32" s="56"/>
    </row>
    <row r="33" spans="1:10" ht="15" customHeight="1" x14ac:dyDescent="0.2">
      <c r="A33" s="56"/>
      <c r="B33" s="58"/>
      <c r="C33" s="56" t="str">
        <f>IF(B33="","",IFERROR(VLOOKUP(B33,'04 TANIMLAR'!$A$2:$C$9,2,FALSE()),""))</f>
        <v/>
      </c>
      <c r="D33" s="58"/>
      <c r="E33" s="56" t="str">
        <f>IF(B33="","",IFERROR(VLOOKUP(B33,'04 TANIMLAR'!$A$2:$C$9,3,FALSE()),""))</f>
        <v/>
      </c>
      <c r="F33" s="58"/>
      <c r="G33" s="56"/>
      <c r="H33" s="58"/>
      <c r="I33" s="56"/>
      <c r="J33" s="56"/>
    </row>
    <row r="34" spans="1:10" ht="15" customHeight="1" x14ac:dyDescent="0.2">
      <c r="A34" s="56"/>
      <c r="B34" s="58"/>
      <c r="C34" s="56" t="str">
        <f>IF(B34="","",IFERROR(VLOOKUP(B34,'04 TANIMLAR'!$A$2:$C$9,2,FALSE()),""))</f>
        <v/>
      </c>
      <c r="D34" s="58"/>
      <c r="E34" s="56" t="str">
        <f>IF(B34="","",IFERROR(VLOOKUP(B34,'04 TANIMLAR'!$A$2:$C$9,3,FALSE()),""))</f>
        <v/>
      </c>
      <c r="F34" s="58"/>
      <c r="G34" s="56"/>
      <c r="H34" s="58"/>
      <c r="I34" s="56"/>
      <c r="J34" s="56"/>
    </row>
    <row r="35" spans="1:10" ht="15" customHeight="1" x14ac:dyDescent="0.2">
      <c r="A35" s="56"/>
      <c r="B35" s="58"/>
      <c r="C35" s="56" t="str">
        <f>IF(B35="","",IFERROR(VLOOKUP(B35,'04 TANIMLAR'!$A$2:$C$9,2,FALSE()),""))</f>
        <v/>
      </c>
      <c r="D35" s="58"/>
      <c r="E35" s="56" t="str">
        <f>IF(B35="","",IFERROR(VLOOKUP(B35,'04 TANIMLAR'!$A$2:$C$9,3,FALSE()),""))</f>
        <v/>
      </c>
      <c r="F35" s="58"/>
      <c r="G35" s="56"/>
      <c r="H35" s="58"/>
      <c r="I35" s="56"/>
      <c r="J35" s="56"/>
    </row>
    <row r="36" spans="1:10" ht="15" customHeight="1" x14ac:dyDescent="0.2">
      <c r="A36" s="56"/>
      <c r="B36" s="58"/>
      <c r="C36" s="56" t="str">
        <f>IF(B36="","",IFERROR(VLOOKUP(B36,'04 TANIMLAR'!$A$2:$C$9,2,FALSE()),""))</f>
        <v/>
      </c>
      <c r="D36" s="58"/>
      <c r="E36" s="56" t="str">
        <f>IF(B36="","",IFERROR(VLOOKUP(B36,'04 TANIMLAR'!$A$2:$C$9,3,FALSE()),""))</f>
        <v/>
      </c>
      <c r="F36" s="58"/>
      <c r="G36" s="56"/>
      <c r="H36" s="58"/>
      <c r="I36" s="56"/>
      <c r="J36" s="56"/>
    </row>
    <row r="37" spans="1:10" ht="15" customHeight="1" x14ac:dyDescent="0.2">
      <c r="A37" s="56"/>
      <c r="B37" s="58"/>
      <c r="C37" s="56" t="str">
        <f>IF(B37="","",IFERROR(VLOOKUP(B37,'04 TANIMLAR'!$A$2:$C$9,2,FALSE()),""))</f>
        <v/>
      </c>
      <c r="D37" s="58"/>
      <c r="E37" s="56" t="str">
        <f>IF(B37="","",IFERROR(VLOOKUP(B37,'04 TANIMLAR'!$A$2:$C$9,3,FALSE()),""))</f>
        <v/>
      </c>
      <c r="F37" s="58"/>
      <c r="G37" s="56"/>
      <c r="H37" s="58"/>
      <c r="I37" s="56"/>
      <c r="J37" s="56"/>
    </row>
    <row r="38" spans="1:10" ht="15" customHeight="1" x14ac:dyDescent="0.2">
      <c r="A38" s="56"/>
      <c r="B38" s="58"/>
      <c r="C38" s="56" t="str">
        <f>IF(B38="","",IFERROR(VLOOKUP(B38,'04 TANIMLAR'!$A$2:$C$9,2,FALSE()),""))</f>
        <v/>
      </c>
      <c r="D38" s="58"/>
      <c r="E38" s="56" t="str">
        <f>IF(B38="","",IFERROR(VLOOKUP(B38,'04 TANIMLAR'!$A$2:$C$9,3,FALSE()),""))</f>
        <v/>
      </c>
      <c r="F38" s="58"/>
      <c r="G38" s="56"/>
      <c r="H38" s="58"/>
      <c r="I38" s="56"/>
      <c r="J38" s="56"/>
    </row>
    <row r="39" spans="1:10" ht="15" customHeight="1" x14ac:dyDescent="0.2">
      <c r="A39" s="56"/>
      <c r="B39" s="58"/>
      <c r="C39" s="56" t="str">
        <f>IF(B39="","",IFERROR(VLOOKUP(B39,'04 TANIMLAR'!$A$2:$C$9,2,FALSE()),""))</f>
        <v/>
      </c>
      <c r="D39" s="58"/>
      <c r="E39" s="56" t="str">
        <f>IF(B39="","",IFERROR(VLOOKUP(B39,'04 TANIMLAR'!$A$2:$C$9,3,FALSE()),""))</f>
        <v/>
      </c>
      <c r="F39" s="58"/>
      <c r="G39" s="56"/>
      <c r="H39" s="58"/>
      <c r="I39" s="56"/>
      <c r="J39" s="56"/>
    </row>
    <row r="40" spans="1:10" ht="15" customHeight="1" x14ac:dyDescent="0.2">
      <c r="A40" s="56"/>
      <c r="B40" s="58"/>
      <c r="C40" s="56" t="str">
        <f>IF(B40="","",IFERROR(VLOOKUP(B40,'04 TANIMLAR'!$A$2:$C$9,2,FALSE()),""))</f>
        <v/>
      </c>
      <c r="D40" s="58"/>
      <c r="E40" s="56" t="str">
        <f>IF(B40="","",IFERROR(VLOOKUP(B40,'04 TANIMLAR'!$A$2:$C$9,3,FALSE()),""))</f>
        <v/>
      </c>
      <c r="F40" s="58"/>
      <c r="G40" s="56"/>
      <c r="H40" s="58"/>
      <c r="I40" s="56"/>
      <c r="J40" s="56"/>
    </row>
    <row r="41" spans="1:10" ht="15" customHeight="1" x14ac:dyDescent="0.2">
      <c r="A41" s="56"/>
      <c r="B41" s="58"/>
      <c r="C41" s="56" t="str">
        <f>IF(B41="","",IFERROR(VLOOKUP(B41,'04 TANIMLAR'!$A$2:$C$9,2,FALSE()),""))</f>
        <v/>
      </c>
      <c r="D41" s="58"/>
      <c r="E41" s="56" t="str">
        <f>IF(B41="","",IFERROR(VLOOKUP(B41,'04 TANIMLAR'!$A$2:$C$9,3,FALSE()),""))</f>
        <v/>
      </c>
      <c r="F41" s="58"/>
      <c r="G41" s="56"/>
      <c r="H41" s="58"/>
      <c r="I41" s="56"/>
      <c r="J41" s="56"/>
    </row>
    <row r="42" spans="1:10" ht="15" customHeight="1" x14ac:dyDescent="0.2">
      <c r="A42" s="56"/>
      <c r="B42" s="58"/>
      <c r="C42" s="56" t="str">
        <f>IF(B42="","",IFERROR(VLOOKUP(B42,'04 TANIMLAR'!$A$2:$C$9,2,FALSE()),""))</f>
        <v/>
      </c>
      <c r="D42" s="58"/>
      <c r="E42" s="56" t="str">
        <f>IF(B42="","",IFERROR(VLOOKUP(B42,'04 TANIMLAR'!$A$2:$C$9,3,FALSE()),""))</f>
        <v/>
      </c>
      <c r="F42" s="58"/>
      <c r="G42" s="56"/>
      <c r="H42" s="58"/>
      <c r="I42" s="56"/>
      <c r="J42" s="56"/>
    </row>
    <row r="43" spans="1:10" ht="15" customHeight="1" x14ac:dyDescent="0.2">
      <c r="A43" s="56"/>
      <c r="B43" s="58"/>
      <c r="C43" s="56" t="str">
        <f>IF(B43="","",IFERROR(VLOOKUP(B43,'04 TANIMLAR'!$A$2:$C$9,2,FALSE()),""))</f>
        <v/>
      </c>
      <c r="D43" s="58"/>
      <c r="E43" s="56" t="str">
        <f>IF(B43="","",IFERROR(VLOOKUP(B43,'04 TANIMLAR'!$A$2:$C$9,3,FALSE()),""))</f>
        <v/>
      </c>
      <c r="F43" s="58"/>
      <c r="G43" s="56"/>
      <c r="H43" s="58"/>
      <c r="I43" s="56"/>
      <c r="J43" s="56"/>
    </row>
    <row r="44" spans="1:10" ht="15" customHeight="1" x14ac:dyDescent="0.2">
      <c r="A44" s="56"/>
      <c r="B44" s="58"/>
      <c r="C44" s="56" t="str">
        <f>IF(B44="","",IFERROR(VLOOKUP(B44,'04 TANIMLAR'!$A$2:$C$9,2,FALSE()),""))</f>
        <v/>
      </c>
      <c r="D44" s="58"/>
      <c r="E44" s="56" t="str">
        <f>IF(B44="","",IFERROR(VLOOKUP(B44,'04 TANIMLAR'!$A$2:$C$9,3,FALSE()),""))</f>
        <v/>
      </c>
      <c r="F44" s="58"/>
      <c r="G44" s="56"/>
      <c r="H44" s="58"/>
      <c r="I44" s="56"/>
      <c r="J44" s="56"/>
    </row>
    <row r="45" spans="1:10" ht="15" customHeight="1" x14ac:dyDescent="0.2">
      <c r="A45" s="56"/>
      <c r="B45" s="58"/>
      <c r="C45" s="56" t="str">
        <f>IF(B45="","",IFERROR(VLOOKUP(B45,'04 TANIMLAR'!$A$2:$C$9,2,FALSE()),""))</f>
        <v/>
      </c>
      <c r="D45" s="58"/>
      <c r="E45" s="56" t="str">
        <f>IF(B45="","",IFERROR(VLOOKUP(B45,'04 TANIMLAR'!$A$2:$C$9,3,FALSE()),""))</f>
        <v/>
      </c>
      <c r="F45" s="58"/>
      <c r="G45" s="56"/>
      <c r="H45" s="58"/>
      <c r="I45" s="56"/>
      <c r="J45" s="56"/>
    </row>
    <row r="46" spans="1:10" ht="15" customHeight="1" x14ac:dyDescent="0.2">
      <c r="A46" s="56"/>
      <c r="B46" s="58"/>
      <c r="C46" s="56" t="str">
        <f>IF(B46="","",IFERROR(VLOOKUP(B46,'04 TANIMLAR'!$A$2:$C$9,2,FALSE()),""))</f>
        <v/>
      </c>
      <c r="D46" s="58"/>
      <c r="E46" s="56" t="str">
        <f>IF(B46="","",IFERROR(VLOOKUP(B46,'04 TANIMLAR'!$A$2:$C$9,3,FALSE()),""))</f>
        <v/>
      </c>
      <c r="F46" s="58"/>
      <c r="G46" s="56"/>
      <c r="H46" s="58"/>
      <c r="I46" s="56"/>
      <c r="J46" s="56"/>
    </row>
    <row r="47" spans="1:10" ht="15" customHeight="1" x14ac:dyDescent="0.2">
      <c r="A47" s="56"/>
      <c r="B47" s="58"/>
      <c r="C47" s="56" t="str">
        <f>IF(B47="","",IFERROR(VLOOKUP(B47,'04 TANIMLAR'!$A$2:$C$9,2,FALSE()),""))</f>
        <v/>
      </c>
      <c r="D47" s="58"/>
      <c r="E47" s="56" t="str">
        <f>IF(B47="","",IFERROR(VLOOKUP(B47,'04 TANIMLAR'!$A$2:$C$9,3,FALSE()),""))</f>
        <v/>
      </c>
      <c r="F47" s="58"/>
      <c r="G47" s="56"/>
      <c r="H47" s="58"/>
      <c r="I47" s="56"/>
      <c r="J47" s="56"/>
    </row>
    <row r="48" spans="1:10" ht="15" customHeight="1" x14ac:dyDescent="0.2">
      <c r="A48" s="56"/>
      <c r="B48" s="58"/>
      <c r="C48" s="56" t="str">
        <f>IF(B48="","",IFERROR(VLOOKUP(B48,'04 TANIMLAR'!$A$2:$C$9,2,FALSE()),""))</f>
        <v/>
      </c>
      <c r="D48" s="58"/>
      <c r="E48" s="56" t="str">
        <f>IF(B48="","",IFERROR(VLOOKUP(B48,'04 TANIMLAR'!$A$2:$C$9,3,FALSE()),""))</f>
        <v/>
      </c>
      <c r="F48" s="58"/>
      <c r="G48" s="56"/>
      <c r="H48" s="58"/>
      <c r="I48" s="56"/>
      <c r="J48" s="56"/>
    </row>
    <row r="49" spans="1:10" ht="15" customHeight="1" x14ac:dyDescent="0.2">
      <c r="A49" s="56"/>
      <c r="B49" s="58"/>
      <c r="C49" s="56" t="str">
        <f>IF(B49="","",IFERROR(VLOOKUP(B49,'04 TANIMLAR'!$A$2:$C$9,2,FALSE()),""))</f>
        <v/>
      </c>
      <c r="D49" s="58"/>
      <c r="E49" s="56" t="str">
        <f>IF(B49="","",IFERROR(VLOOKUP(B49,'04 TANIMLAR'!$A$2:$C$9,3,FALSE()),""))</f>
        <v/>
      </c>
      <c r="F49" s="58"/>
      <c r="G49" s="56"/>
      <c r="H49" s="58"/>
      <c r="I49" s="56"/>
      <c r="J49" s="56"/>
    </row>
    <row r="50" spans="1:10" ht="15" customHeight="1" x14ac:dyDescent="0.2">
      <c r="A50" s="56"/>
      <c r="B50" s="58"/>
      <c r="C50" s="56" t="str">
        <f>IF(B50="","",IFERROR(VLOOKUP(B50,'04 TANIMLAR'!$A$2:$C$9,2,FALSE()),""))</f>
        <v/>
      </c>
      <c r="D50" s="58"/>
      <c r="E50" s="56" t="str">
        <f>IF(B50="","",IFERROR(VLOOKUP(B50,'04 TANIMLAR'!$A$2:$C$9,3,FALSE()),""))</f>
        <v/>
      </c>
      <c r="F50" s="58"/>
      <c r="G50" s="56"/>
      <c r="H50" s="58"/>
      <c r="I50" s="56"/>
      <c r="J50" s="56"/>
    </row>
    <row r="51" spans="1:10" ht="15" customHeight="1" x14ac:dyDescent="0.2">
      <c r="A51" s="56"/>
      <c r="B51" s="58"/>
      <c r="C51" s="56" t="str">
        <f>IF(B51="","",IFERROR(VLOOKUP(B51,'04 TANIMLAR'!$A$2:$C$9,2,FALSE()),""))</f>
        <v/>
      </c>
      <c r="D51" s="58"/>
      <c r="E51" s="56" t="str">
        <f>IF(B51="","",IFERROR(VLOOKUP(B51,'04 TANIMLAR'!$A$2:$C$9,3,FALSE()),""))</f>
        <v/>
      </c>
      <c r="F51" s="58"/>
      <c r="G51" s="56"/>
      <c r="H51" s="58"/>
      <c r="I51" s="56"/>
      <c r="J51" s="56"/>
    </row>
    <row r="52" spans="1:10" ht="15" customHeight="1" x14ac:dyDescent="0.2">
      <c r="A52" s="56"/>
      <c r="B52" s="58"/>
      <c r="C52" s="56" t="str">
        <f>IF(B52="","",IFERROR(VLOOKUP(B52,'04 TANIMLAR'!$A$2:$C$9,2,FALSE()),""))</f>
        <v/>
      </c>
      <c r="D52" s="58"/>
      <c r="E52" s="56" t="str">
        <f>IF(B52="","",IFERROR(VLOOKUP(B52,'04 TANIMLAR'!$A$2:$C$9,3,FALSE()),""))</f>
        <v/>
      </c>
      <c r="F52" s="58"/>
      <c r="G52" s="56"/>
      <c r="H52" s="58"/>
      <c r="I52" s="56"/>
      <c r="J52" s="56"/>
    </row>
    <row r="53" spans="1:10" ht="15" customHeight="1" x14ac:dyDescent="0.2">
      <c r="A53" s="56"/>
      <c r="B53" s="58"/>
      <c r="C53" s="56" t="str">
        <f>IF(B53="","",IFERROR(VLOOKUP(B53,'04 TANIMLAR'!$A$2:$C$9,2,FALSE()),""))</f>
        <v/>
      </c>
      <c r="D53" s="58"/>
      <c r="E53" s="56" t="str">
        <f>IF(B53="","",IFERROR(VLOOKUP(B53,'04 TANIMLAR'!$A$2:$C$9,3,FALSE()),""))</f>
        <v/>
      </c>
      <c r="F53" s="58"/>
      <c r="G53" s="56"/>
      <c r="H53" s="58"/>
      <c r="I53" s="56"/>
      <c r="J53" s="56"/>
    </row>
    <row r="54" spans="1:10" ht="15" customHeight="1" x14ac:dyDescent="0.2">
      <c r="A54" s="56"/>
      <c r="B54" s="58"/>
      <c r="C54" s="56" t="str">
        <f>IF(B54="","",IFERROR(VLOOKUP(B54,'04 TANIMLAR'!$A$2:$C$9,2,FALSE()),""))</f>
        <v/>
      </c>
      <c r="D54" s="58"/>
      <c r="E54" s="56" t="str">
        <f>IF(B54="","",IFERROR(VLOOKUP(B54,'04 TANIMLAR'!$A$2:$C$9,3,FALSE()),""))</f>
        <v/>
      </c>
      <c r="F54" s="58"/>
      <c r="G54" s="56"/>
      <c r="H54" s="58"/>
      <c r="I54" s="56"/>
      <c r="J54" s="56"/>
    </row>
    <row r="55" spans="1:10" ht="15" customHeight="1" x14ac:dyDescent="0.2">
      <c r="A55" s="56"/>
      <c r="B55" s="58"/>
      <c r="C55" s="56" t="str">
        <f>IF(B55="","",IFERROR(VLOOKUP(B55,'04 TANIMLAR'!$A$2:$C$9,2,FALSE()),""))</f>
        <v/>
      </c>
      <c r="D55" s="58"/>
      <c r="E55" s="56" t="str">
        <f>IF(B55="","",IFERROR(VLOOKUP(B55,'04 TANIMLAR'!$A$2:$C$9,3,FALSE()),""))</f>
        <v/>
      </c>
      <c r="F55" s="58"/>
      <c r="G55" s="56"/>
      <c r="H55" s="58"/>
      <c r="I55" s="56"/>
      <c r="J55" s="56"/>
    </row>
    <row r="56" spans="1:10" ht="15" customHeight="1" x14ac:dyDescent="0.2">
      <c r="A56" s="56"/>
      <c r="B56" s="58"/>
      <c r="C56" s="56" t="str">
        <f>IF(B56="","",IFERROR(VLOOKUP(B56,'04 TANIMLAR'!$A$2:$C$9,2,FALSE()),""))</f>
        <v/>
      </c>
      <c r="D56" s="58"/>
      <c r="E56" s="56" t="str">
        <f>IF(B56="","",IFERROR(VLOOKUP(B56,'04 TANIMLAR'!$A$2:$C$9,3,FALSE()),""))</f>
        <v/>
      </c>
      <c r="F56" s="58"/>
      <c r="G56" s="56"/>
      <c r="H56" s="58"/>
      <c r="I56" s="56"/>
      <c r="J56" s="56"/>
    </row>
    <row r="57" spans="1:10" ht="15" customHeight="1" x14ac:dyDescent="0.2">
      <c r="A57" s="56"/>
      <c r="B57" s="58"/>
      <c r="C57" s="56" t="str">
        <f>IF(B57="","",IFERROR(VLOOKUP(B57,'04 TANIMLAR'!$A$2:$C$9,2,FALSE()),""))</f>
        <v/>
      </c>
      <c r="D57" s="58"/>
      <c r="E57" s="56" t="str">
        <f>IF(B57="","",IFERROR(VLOOKUP(B57,'04 TANIMLAR'!$A$2:$C$9,3,FALSE()),""))</f>
        <v/>
      </c>
      <c r="F57" s="58"/>
      <c r="G57" s="56"/>
      <c r="H57" s="58"/>
      <c r="I57" s="56"/>
      <c r="J57" s="56"/>
    </row>
    <row r="58" spans="1:10" ht="15" customHeight="1" x14ac:dyDescent="0.2">
      <c r="A58" s="56"/>
      <c r="B58" s="58"/>
      <c r="C58" s="56" t="str">
        <f>IF(B58="","",IFERROR(VLOOKUP(B58,'04 TANIMLAR'!$A$2:$C$9,2,FALSE()),""))</f>
        <v/>
      </c>
      <c r="D58" s="58"/>
      <c r="E58" s="56" t="str">
        <f>IF(B58="","",IFERROR(VLOOKUP(B58,'04 TANIMLAR'!$A$2:$C$9,3,FALSE()),""))</f>
        <v/>
      </c>
      <c r="F58" s="58"/>
      <c r="G58" s="56"/>
      <c r="H58" s="58"/>
      <c r="I58" s="56"/>
      <c r="J58" s="56"/>
    </row>
    <row r="59" spans="1:10" ht="15" customHeight="1" x14ac:dyDescent="0.2">
      <c r="A59" s="56"/>
      <c r="B59" s="58"/>
      <c r="C59" s="56" t="str">
        <f>IF(B59="","",IFERROR(VLOOKUP(B59,'04 TANIMLAR'!$A$2:$C$9,2,FALSE()),""))</f>
        <v/>
      </c>
      <c r="D59" s="58"/>
      <c r="E59" s="56" t="str">
        <f>IF(B59="","",IFERROR(VLOOKUP(B59,'04 TANIMLAR'!$A$2:$C$9,3,FALSE()),""))</f>
        <v/>
      </c>
      <c r="F59" s="58"/>
      <c r="G59" s="56"/>
      <c r="H59" s="58"/>
      <c r="I59" s="56"/>
      <c r="J59" s="56"/>
    </row>
    <row r="60" spans="1:10" ht="15" customHeight="1" x14ac:dyDescent="0.2">
      <c r="A60" s="56"/>
      <c r="B60" s="58"/>
      <c r="C60" s="56" t="str">
        <f>IF(B60="","",IFERROR(VLOOKUP(B60,'04 TANIMLAR'!$A$2:$C$9,2,FALSE()),""))</f>
        <v/>
      </c>
      <c r="D60" s="58"/>
      <c r="E60" s="56" t="str">
        <f>IF(B60="","",IFERROR(VLOOKUP(B60,'04 TANIMLAR'!$A$2:$C$9,3,FALSE()),""))</f>
        <v/>
      </c>
      <c r="F60" s="58"/>
      <c r="G60" s="56"/>
      <c r="H60" s="58"/>
      <c r="I60" s="56"/>
      <c r="J60" s="56"/>
    </row>
    <row r="61" spans="1:10" ht="15" customHeight="1" x14ac:dyDescent="0.2">
      <c r="A61" s="56"/>
      <c r="B61" s="58"/>
      <c r="C61" s="56" t="str">
        <f>IF(B61="","",IFERROR(VLOOKUP(B61,'04 TANIMLAR'!$A$2:$C$9,2,FALSE()),""))</f>
        <v/>
      </c>
      <c r="D61" s="58"/>
      <c r="E61" s="56" t="str">
        <f>IF(B61="","",IFERROR(VLOOKUP(B61,'04 TANIMLAR'!$A$2:$C$9,3,FALSE()),""))</f>
        <v/>
      </c>
      <c r="F61" s="58"/>
      <c r="G61" s="56"/>
      <c r="H61" s="58"/>
      <c r="I61" s="56"/>
      <c r="J61" s="56"/>
    </row>
    <row r="62" spans="1:10" ht="15" customHeight="1" x14ac:dyDescent="0.2">
      <c r="A62" s="56"/>
      <c r="B62" s="58"/>
      <c r="C62" s="56" t="str">
        <f>IF(B62="","",IFERROR(VLOOKUP(B62,'04 TANIMLAR'!$A$2:$C$9,2,FALSE()),""))</f>
        <v/>
      </c>
      <c r="D62" s="58"/>
      <c r="E62" s="56" t="str">
        <f>IF(B62="","",IFERROR(VLOOKUP(B62,'04 TANIMLAR'!$A$2:$C$9,3,FALSE()),""))</f>
        <v/>
      </c>
      <c r="F62" s="58"/>
      <c r="G62" s="56"/>
      <c r="H62" s="58"/>
      <c r="I62" s="56"/>
      <c r="J62" s="56"/>
    </row>
    <row r="63" spans="1:10" ht="15" customHeight="1" x14ac:dyDescent="0.2">
      <c r="A63" s="56"/>
      <c r="B63" s="58"/>
      <c r="C63" s="56" t="str">
        <f>IF(B63="","",IFERROR(VLOOKUP(B63,'04 TANIMLAR'!$A$2:$C$9,2,FALSE()),""))</f>
        <v/>
      </c>
      <c r="D63" s="58"/>
      <c r="E63" s="56" t="str">
        <f>IF(B63="","",IFERROR(VLOOKUP(B63,'04 TANIMLAR'!$A$2:$C$9,3,FALSE()),""))</f>
        <v/>
      </c>
      <c r="F63" s="58"/>
      <c r="G63" s="56"/>
      <c r="H63" s="58"/>
      <c r="I63" s="56"/>
      <c r="J63" s="56"/>
    </row>
    <row r="64" spans="1:10" ht="15" customHeight="1" x14ac:dyDescent="0.2">
      <c r="A64" s="56"/>
      <c r="B64" s="58"/>
      <c r="C64" s="56" t="str">
        <f>IF(B64="","",IFERROR(VLOOKUP(B64,'04 TANIMLAR'!$A$2:$C$9,2,FALSE()),""))</f>
        <v/>
      </c>
      <c r="D64" s="58"/>
      <c r="E64" s="56" t="str">
        <f>IF(B64="","",IFERROR(VLOOKUP(B64,'04 TANIMLAR'!$A$2:$C$9,3,FALSE()),""))</f>
        <v/>
      </c>
      <c r="F64" s="58"/>
      <c r="G64" s="56"/>
      <c r="H64" s="58"/>
      <c r="I64" s="56"/>
      <c r="J64" s="56"/>
    </row>
    <row r="65" spans="1:10" ht="15" customHeight="1" x14ac:dyDescent="0.2">
      <c r="A65" s="56"/>
      <c r="B65" s="58"/>
      <c r="C65" s="56" t="str">
        <f>IF(B65="","",IFERROR(VLOOKUP(B65,'04 TANIMLAR'!$A$2:$C$9,2,FALSE()),""))</f>
        <v/>
      </c>
      <c r="D65" s="58"/>
      <c r="E65" s="56" t="str">
        <f>IF(B65="","",IFERROR(VLOOKUP(B65,'04 TANIMLAR'!$A$2:$C$9,3,FALSE()),""))</f>
        <v/>
      </c>
      <c r="F65" s="58"/>
      <c r="G65" s="56"/>
      <c r="H65" s="58"/>
      <c r="I65" s="56"/>
      <c r="J65" s="56"/>
    </row>
    <row r="66" spans="1:10" ht="15" customHeight="1" x14ac:dyDescent="0.2">
      <c r="A66" s="56"/>
      <c r="B66" s="58"/>
      <c r="C66" s="56" t="str">
        <f>IF(B66="","",IFERROR(VLOOKUP(B66,'04 TANIMLAR'!$A$2:$C$9,2,FALSE()),""))</f>
        <v/>
      </c>
      <c r="D66" s="58"/>
      <c r="E66" s="56" t="str">
        <f>IF(B66="","",IFERROR(VLOOKUP(B66,'04 TANIMLAR'!$A$2:$C$9,3,FALSE()),""))</f>
        <v/>
      </c>
      <c r="F66" s="58"/>
      <c r="G66" s="56"/>
      <c r="H66" s="58"/>
      <c r="I66" s="56"/>
      <c r="J66" s="56"/>
    </row>
    <row r="67" spans="1:10" ht="15" customHeight="1" x14ac:dyDescent="0.2">
      <c r="A67" s="56"/>
      <c r="B67" s="58"/>
      <c r="C67" s="56" t="str">
        <f>IF(B67="","",IFERROR(VLOOKUP(B67,'04 TANIMLAR'!$A$2:$C$9,2,FALSE()),""))</f>
        <v/>
      </c>
      <c r="D67" s="58"/>
      <c r="E67" s="56" t="str">
        <f>IF(B67="","",IFERROR(VLOOKUP(B67,'04 TANIMLAR'!$A$2:$C$9,3,FALSE()),""))</f>
        <v/>
      </c>
      <c r="F67" s="58"/>
      <c r="G67" s="56"/>
      <c r="H67" s="58"/>
      <c r="I67" s="56"/>
      <c r="J67" s="56"/>
    </row>
    <row r="68" spans="1:10" ht="15" customHeight="1" x14ac:dyDescent="0.2">
      <c r="A68" s="56"/>
      <c r="B68" s="58"/>
      <c r="C68" s="56" t="str">
        <f>IF(B68="","",IFERROR(VLOOKUP(B68,'04 TANIMLAR'!$A$2:$C$9,2,FALSE()),""))</f>
        <v/>
      </c>
      <c r="D68" s="58"/>
      <c r="E68" s="56" t="str">
        <f>IF(B68="","",IFERROR(VLOOKUP(B68,'04 TANIMLAR'!$A$2:$C$9,3,FALSE()),""))</f>
        <v/>
      </c>
      <c r="F68" s="58"/>
      <c r="G68" s="56"/>
      <c r="H68" s="58"/>
      <c r="I68" s="56"/>
      <c r="J68" s="56"/>
    </row>
    <row r="69" spans="1:10" ht="15" customHeight="1" x14ac:dyDescent="0.2">
      <c r="A69" s="56"/>
      <c r="B69" s="58"/>
      <c r="C69" s="56" t="str">
        <f>IF(B69="","",IFERROR(VLOOKUP(B69,'04 TANIMLAR'!$A$2:$C$9,2,FALSE()),""))</f>
        <v/>
      </c>
      <c r="D69" s="58"/>
      <c r="E69" s="56" t="str">
        <f>IF(B69="","",IFERROR(VLOOKUP(B69,'04 TANIMLAR'!$A$2:$C$9,3,FALSE()),""))</f>
        <v/>
      </c>
      <c r="F69" s="58"/>
      <c r="G69" s="56"/>
      <c r="H69" s="58"/>
      <c r="I69" s="56"/>
      <c r="J69" s="56"/>
    </row>
    <row r="70" spans="1:10" ht="15" customHeight="1" x14ac:dyDescent="0.2">
      <c r="A70" s="56"/>
      <c r="B70" s="58"/>
      <c r="C70" s="56" t="str">
        <f>IF(B70="","",IFERROR(VLOOKUP(B70,'04 TANIMLAR'!$A$2:$C$9,2,FALSE()),""))</f>
        <v/>
      </c>
      <c r="D70" s="58"/>
      <c r="E70" s="56" t="str">
        <f>IF(B70="","",IFERROR(VLOOKUP(B70,'04 TANIMLAR'!$A$2:$C$9,3,FALSE()),""))</f>
        <v/>
      </c>
      <c r="F70" s="58"/>
      <c r="G70" s="56"/>
      <c r="H70" s="58"/>
      <c r="I70" s="56"/>
      <c r="J70" s="56"/>
    </row>
    <row r="71" spans="1:10" ht="15" customHeight="1" x14ac:dyDescent="0.2">
      <c r="A71" s="56"/>
      <c r="B71" s="58"/>
      <c r="C71" s="56" t="str">
        <f>IF(B71="","",IFERROR(VLOOKUP(B71,'04 TANIMLAR'!$A$2:$C$9,2,FALSE()),""))</f>
        <v/>
      </c>
      <c r="D71" s="58"/>
      <c r="E71" s="56" t="str">
        <f>IF(B71="","",IFERROR(VLOOKUP(B71,'04 TANIMLAR'!$A$2:$C$9,3,FALSE()),""))</f>
        <v/>
      </c>
      <c r="F71" s="58"/>
      <c r="G71" s="56"/>
      <c r="H71" s="58"/>
      <c r="I71" s="56"/>
      <c r="J71" s="56"/>
    </row>
    <row r="72" spans="1:10" ht="15" customHeight="1" x14ac:dyDescent="0.2">
      <c r="A72" s="56"/>
      <c r="B72" s="58"/>
      <c r="C72" s="56" t="str">
        <f>IF(B72="","",IFERROR(VLOOKUP(B72,'04 TANIMLAR'!$A$2:$C$9,2,FALSE()),""))</f>
        <v/>
      </c>
      <c r="D72" s="58"/>
      <c r="E72" s="56" t="str">
        <f>IF(B72="","",IFERROR(VLOOKUP(B72,'04 TANIMLAR'!$A$2:$C$9,3,FALSE()),""))</f>
        <v/>
      </c>
      <c r="F72" s="58"/>
      <c r="G72" s="56"/>
      <c r="H72" s="58"/>
      <c r="I72" s="56"/>
      <c r="J72" s="56"/>
    </row>
    <row r="73" spans="1:10" ht="15" customHeight="1" x14ac:dyDescent="0.2">
      <c r="A73" s="56"/>
      <c r="B73" s="58"/>
      <c r="C73" s="56" t="str">
        <f>IF(B73="","",IFERROR(VLOOKUP(B73,'04 TANIMLAR'!$A$2:$C$9,2,FALSE()),""))</f>
        <v/>
      </c>
      <c r="D73" s="58"/>
      <c r="E73" s="56" t="str">
        <f>IF(B73="","",IFERROR(VLOOKUP(B73,'04 TANIMLAR'!$A$2:$C$9,3,FALSE()),""))</f>
        <v/>
      </c>
      <c r="F73" s="58"/>
      <c r="G73" s="56"/>
      <c r="H73" s="58"/>
      <c r="I73" s="56"/>
      <c r="J73" s="56"/>
    </row>
    <row r="74" spans="1:10" ht="15" customHeight="1" x14ac:dyDescent="0.2">
      <c r="A74" s="56"/>
      <c r="B74" s="58"/>
      <c r="C74" s="56" t="str">
        <f>IF(B74="","",IFERROR(VLOOKUP(B74,'04 TANIMLAR'!$A$2:$C$9,2,FALSE()),""))</f>
        <v/>
      </c>
      <c r="D74" s="58"/>
      <c r="E74" s="56" t="str">
        <f>IF(B74="","",IFERROR(VLOOKUP(B74,'04 TANIMLAR'!$A$2:$C$9,3,FALSE()),""))</f>
        <v/>
      </c>
      <c r="F74" s="58"/>
      <c r="G74" s="56"/>
      <c r="H74" s="58"/>
      <c r="I74" s="56"/>
      <c r="J74" s="56"/>
    </row>
    <row r="75" spans="1:10" ht="15" customHeight="1" x14ac:dyDescent="0.2">
      <c r="A75" s="56"/>
      <c r="B75" s="58"/>
      <c r="C75" s="56" t="str">
        <f>IF(B75="","",IFERROR(VLOOKUP(B75,'04 TANIMLAR'!$A$2:$C$9,2,FALSE()),""))</f>
        <v/>
      </c>
      <c r="D75" s="58"/>
      <c r="E75" s="56" t="str">
        <f>IF(B75="","",IFERROR(VLOOKUP(B75,'04 TANIMLAR'!$A$2:$C$9,3,FALSE()),""))</f>
        <v/>
      </c>
      <c r="F75" s="58"/>
      <c r="G75" s="56"/>
      <c r="H75" s="58"/>
      <c r="I75" s="56"/>
      <c r="J75" s="56"/>
    </row>
    <row r="76" spans="1:10" ht="15" customHeight="1" x14ac:dyDescent="0.2">
      <c r="A76" s="56"/>
      <c r="B76" s="58"/>
      <c r="C76" s="56" t="str">
        <f>IF(B76="","",IFERROR(VLOOKUP(B76,'04 TANIMLAR'!$A$2:$C$9,2,FALSE()),""))</f>
        <v/>
      </c>
      <c r="D76" s="58"/>
      <c r="E76" s="56" t="str">
        <f>IF(B76="","",IFERROR(VLOOKUP(B76,'04 TANIMLAR'!$A$2:$C$9,3,FALSE()),""))</f>
        <v/>
      </c>
      <c r="F76" s="58"/>
      <c r="G76" s="56"/>
      <c r="H76" s="58"/>
      <c r="I76" s="56"/>
      <c r="J76" s="56"/>
    </row>
    <row r="77" spans="1:10" ht="15" customHeight="1" x14ac:dyDescent="0.2">
      <c r="A77" s="56"/>
      <c r="B77" s="58"/>
      <c r="C77" s="56" t="str">
        <f>IF(B77="","",IFERROR(VLOOKUP(B77,'04 TANIMLAR'!$A$2:$C$9,2,FALSE()),""))</f>
        <v/>
      </c>
      <c r="D77" s="58"/>
      <c r="E77" s="56" t="str">
        <f>IF(B77="","",IFERROR(VLOOKUP(B77,'04 TANIMLAR'!$A$2:$C$9,3,FALSE()),""))</f>
        <v/>
      </c>
      <c r="F77" s="58"/>
      <c r="G77" s="56"/>
      <c r="H77" s="58"/>
      <c r="I77" s="56"/>
      <c r="J77" s="56"/>
    </row>
    <row r="78" spans="1:10" ht="15" customHeight="1" x14ac:dyDescent="0.2">
      <c r="A78" s="56"/>
      <c r="B78" s="58"/>
      <c r="C78" s="56" t="str">
        <f>IF(B78="","",IFERROR(VLOOKUP(B78,'04 TANIMLAR'!$A$2:$C$9,2,FALSE()),""))</f>
        <v/>
      </c>
      <c r="D78" s="58"/>
      <c r="E78" s="56" t="str">
        <f>IF(B78="","",IFERROR(VLOOKUP(B78,'04 TANIMLAR'!$A$2:$C$9,3,FALSE()),""))</f>
        <v/>
      </c>
      <c r="F78" s="58"/>
      <c r="G78" s="56"/>
      <c r="H78" s="58"/>
      <c r="I78" s="56"/>
      <c r="J78" s="56"/>
    </row>
    <row r="79" spans="1:10" ht="15" customHeight="1" x14ac:dyDescent="0.2">
      <c r="A79" s="56"/>
      <c r="B79" s="58"/>
      <c r="C79" s="56" t="str">
        <f>IF(B79="","",IFERROR(VLOOKUP(B79,'04 TANIMLAR'!$A$2:$C$9,2,FALSE()),""))</f>
        <v/>
      </c>
      <c r="D79" s="58"/>
      <c r="E79" s="56" t="str">
        <f>IF(B79="","",IFERROR(VLOOKUP(B79,'04 TANIMLAR'!$A$2:$C$9,3,FALSE()),""))</f>
        <v/>
      </c>
      <c r="F79" s="58"/>
      <c r="G79" s="56"/>
      <c r="H79" s="58"/>
      <c r="I79" s="56"/>
      <c r="J79" s="56"/>
    </row>
    <row r="80" spans="1:10" ht="15" customHeight="1" x14ac:dyDescent="0.2">
      <c r="A80" s="56"/>
      <c r="B80" s="58"/>
      <c r="C80" s="56" t="str">
        <f>IF(B80="","",IFERROR(VLOOKUP(B80,'04 TANIMLAR'!$A$2:$C$9,2,FALSE()),""))</f>
        <v/>
      </c>
      <c r="D80" s="58"/>
      <c r="E80" s="56" t="str">
        <f>IF(B80="","",IFERROR(VLOOKUP(B80,'04 TANIMLAR'!$A$2:$C$9,3,FALSE()),""))</f>
        <v/>
      </c>
      <c r="F80" s="58"/>
      <c r="G80" s="56"/>
      <c r="H80" s="58"/>
      <c r="I80" s="56"/>
      <c r="J80" s="56"/>
    </row>
    <row r="81" spans="1:10" ht="15" customHeight="1" x14ac:dyDescent="0.2">
      <c r="A81" s="56"/>
      <c r="B81" s="58"/>
      <c r="C81" s="56" t="str">
        <f>IF(B81="","",IFERROR(VLOOKUP(B81,'04 TANIMLAR'!$A$2:$C$9,2,FALSE()),""))</f>
        <v/>
      </c>
      <c r="D81" s="58"/>
      <c r="E81" s="56" t="str">
        <f>IF(B81="","",IFERROR(VLOOKUP(B81,'04 TANIMLAR'!$A$2:$C$9,3,FALSE()),""))</f>
        <v/>
      </c>
      <c r="F81" s="58"/>
      <c r="G81" s="56"/>
      <c r="H81" s="58"/>
      <c r="I81" s="56"/>
      <c r="J81" s="56"/>
    </row>
    <row r="82" spans="1:10" ht="15" customHeight="1" x14ac:dyDescent="0.2">
      <c r="A82" s="56"/>
      <c r="B82" s="58"/>
      <c r="C82" s="56" t="str">
        <f>IF(B82="","",IFERROR(VLOOKUP(B82,'04 TANIMLAR'!$A$2:$C$9,2,FALSE()),""))</f>
        <v/>
      </c>
      <c r="D82" s="58"/>
      <c r="E82" s="56" t="str">
        <f>IF(B82="","",IFERROR(VLOOKUP(B82,'04 TANIMLAR'!$A$2:$C$9,3,FALSE()),""))</f>
        <v/>
      </c>
      <c r="F82" s="58"/>
      <c r="G82" s="56"/>
      <c r="H82" s="58"/>
      <c r="I82" s="56"/>
      <c r="J82" s="56"/>
    </row>
    <row r="83" spans="1:10" ht="15" customHeight="1" x14ac:dyDescent="0.2">
      <c r="A83" s="56"/>
      <c r="B83" s="58"/>
      <c r="C83" s="56" t="str">
        <f>IF(B83="","",IFERROR(VLOOKUP(B83,'04 TANIMLAR'!$A$2:$C$9,2,FALSE()),""))</f>
        <v/>
      </c>
      <c r="D83" s="58"/>
      <c r="E83" s="56" t="str">
        <f>IF(B83="","",IFERROR(VLOOKUP(B83,'04 TANIMLAR'!$A$2:$C$9,3,FALSE()),""))</f>
        <v/>
      </c>
      <c r="F83" s="58"/>
      <c r="G83" s="56"/>
      <c r="H83" s="58"/>
      <c r="I83" s="56"/>
      <c r="J83" s="56"/>
    </row>
    <row r="84" spans="1:10" ht="15" customHeight="1" x14ac:dyDescent="0.2">
      <c r="A84" s="56"/>
      <c r="B84" s="58"/>
      <c r="C84" s="56" t="str">
        <f>IF(B84="","",IFERROR(VLOOKUP(B84,'04 TANIMLAR'!$A$2:$C$9,2,FALSE()),""))</f>
        <v/>
      </c>
      <c r="D84" s="58"/>
      <c r="E84" s="56" t="str">
        <f>IF(B84="","",IFERROR(VLOOKUP(B84,'04 TANIMLAR'!$A$2:$C$9,3,FALSE()),""))</f>
        <v/>
      </c>
      <c r="F84" s="58"/>
      <c r="G84" s="56"/>
      <c r="H84" s="58"/>
      <c r="I84" s="56"/>
      <c r="J84" s="56"/>
    </row>
    <row r="85" spans="1:10" ht="15" customHeight="1" x14ac:dyDescent="0.2">
      <c r="A85" s="56"/>
      <c r="B85" s="58"/>
      <c r="C85" s="56" t="str">
        <f>IF(B85="","",IFERROR(VLOOKUP(B85,'04 TANIMLAR'!$A$2:$C$9,2,FALSE()),""))</f>
        <v/>
      </c>
      <c r="D85" s="58"/>
      <c r="E85" s="56" t="str">
        <f>IF(B85="","",IFERROR(VLOOKUP(B85,'04 TANIMLAR'!$A$2:$C$9,3,FALSE()),""))</f>
        <v/>
      </c>
      <c r="F85" s="58"/>
      <c r="G85" s="56"/>
      <c r="H85" s="58"/>
      <c r="I85" s="56"/>
      <c r="J85" s="56"/>
    </row>
    <row r="86" spans="1:10" ht="15" customHeight="1" x14ac:dyDescent="0.2">
      <c r="A86" s="56"/>
      <c r="B86" s="58"/>
      <c r="C86" s="56" t="str">
        <f>IF(B86="","",IFERROR(VLOOKUP(B86,'04 TANIMLAR'!$A$2:$C$9,2,FALSE()),""))</f>
        <v/>
      </c>
      <c r="D86" s="58"/>
      <c r="E86" s="56" t="str">
        <f>IF(B86="","",IFERROR(VLOOKUP(B86,'04 TANIMLAR'!$A$2:$C$9,3,FALSE()),""))</f>
        <v/>
      </c>
      <c r="F86" s="58"/>
      <c r="G86" s="56"/>
      <c r="H86" s="58"/>
      <c r="I86" s="56"/>
      <c r="J86" s="56"/>
    </row>
    <row r="87" spans="1:10" ht="15" customHeight="1" x14ac:dyDescent="0.2">
      <c r="A87" s="56"/>
      <c r="B87" s="58"/>
      <c r="C87" s="56" t="str">
        <f>IF(B87="","",IFERROR(VLOOKUP(B87,'04 TANIMLAR'!$A$2:$C$9,2,FALSE()),""))</f>
        <v/>
      </c>
      <c r="D87" s="58"/>
      <c r="E87" s="56" t="str">
        <f>IF(B87="","",IFERROR(VLOOKUP(B87,'04 TANIMLAR'!$A$2:$C$9,3,FALSE()),""))</f>
        <v/>
      </c>
      <c r="F87" s="58"/>
      <c r="G87" s="56"/>
      <c r="H87" s="58"/>
      <c r="I87" s="56"/>
      <c r="J87" s="56"/>
    </row>
    <row r="88" spans="1:10" ht="15" customHeight="1" x14ac:dyDescent="0.2">
      <c r="A88" s="56"/>
      <c r="B88" s="58"/>
      <c r="C88" s="56" t="str">
        <f>IF(B88="","",IFERROR(VLOOKUP(B88,'04 TANIMLAR'!$A$2:$C$9,2,FALSE()),""))</f>
        <v/>
      </c>
      <c r="D88" s="58"/>
      <c r="E88" s="56" t="str">
        <f>IF(B88="","",IFERROR(VLOOKUP(B88,'04 TANIMLAR'!$A$2:$C$9,3,FALSE()),""))</f>
        <v/>
      </c>
      <c r="F88" s="58"/>
      <c r="G88" s="56"/>
      <c r="H88" s="58"/>
      <c r="I88" s="56"/>
      <c r="J88" s="56"/>
    </row>
    <row r="89" spans="1:10" ht="15" customHeight="1" x14ac:dyDescent="0.2">
      <c r="A89" s="56"/>
      <c r="B89" s="58"/>
      <c r="C89" s="56" t="str">
        <f>IF(B89="","",IFERROR(VLOOKUP(B89,'04 TANIMLAR'!$A$2:$C$9,2,FALSE()),""))</f>
        <v/>
      </c>
      <c r="D89" s="58"/>
      <c r="E89" s="56" t="str">
        <f>IF(B89="","",IFERROR(VLOOKUP(B89,'04 TANIMLAR'!$A$2:$C$9,3,FALSE()),""))</f>
        <v/>
      </c>
      <c r="F89" s="58"/>
      <c r="G89" s="56"/>
      <c r="H89" s="58"/>
      <c r="I89" s="56"/>
      <c r="J89" s="56"/>
    </row>
    <row r="90" spans="1:10" ht="15" customHeight="1" x14ac:dyDescent="0.2">
      <c r="A90" s="56"/>
      <c r="B90" s="58"/>
      <c r="C90" s="56" t="str">
        <f>IF(B90="","",IFERROR(VLOOKUP(B90,'04 TANIMLAR'!$A$2:$C$9,2,FALSE()),""))</f>
        <v/>
      </c>
      <c r="D90" s="58"/>
      <c r="E90" s="56" t="str">
        <f>IF(B90="","",IFERROR(VLOOKUP(B90,'04 TANIMLAR'!$A$2:$C$9,3,FALSE()),""))</f>
        <v/>
      </c>
      <c r="F90" s="58"/>
      <c r="G90" s="56"/>
      <c r="H90" s="58"/>
      <c r="I90" s="56"/>
      <c r="J90" s="56"/>
    </row>
    <row r="91" spans="1:10" ht="15" customHeight="1" x14ac:dyDescent="0.2">
      <c r="A91" s="56"/>
      <c r="B91" s="58"/>
      <c r="C91" s="56" t="str">
        <f>IF(B91="","",IFERROR(VLOOKUP(B91,'04 TANIMLAR'!$A$2:$C$9,2,FALSE()),""))</f>
        <v/>
      </c>
      <c r="D91" s="58"/>
      <c r="E91" s="56" t="str">
        <f>IF(B91="","",IFERROR(VLOOKUP(B91,'04 TANIMLAR'!$A$2:$C$9,3,FALSE()),""))</f>
        <v/>
      </c>
      <c r="F91" s="58"/>
      <c r="G91" s="56"/>
      <c r="H91" s="58"/>
      <c r="I91" s="56"/>
      <c r="J91" s="56"/>
    </row>
    <row r="92" spans="1:10" ht="15" customHeight="1" x14ac:dyDescent="0.2">
      <c r="A92" s="56"/>
      <c r="B92" s="58"/>
      <c r="C92" s="56" t="str">
        <f>IF(B92="","",IFERROR(VLOOKUP(B92,'04 TANIMLAR'!$A$2:$C$9,2,FALSE()),""))</f>
        <v/>
      </c>
      <c r="D92" s="58"/>
      <c r="E92" s="56" t="str">
        <f>IF(B92="","",IFERROR(VLOOKUP(B92,'04 TANIMLAR'!$A$2:$C$9,3,FALSE()),""))</f>
        <v/>
      </c>
      <c r="F92" s="58"/>
      <c r="G92" s="56"/>
      <c r="H92" s="58"/>
      <c r="I92" s="56"/>
      <c r="J92" s="56"/>
    </row>
    <row r="93" spans="1:10" ht="15" customHeight="1" x14ac:dyDescent="0.2">
      <c r="A93" s="56"/>
      <c r="B93" s="58"/>
      <c r="C93" s="56" t="str">
        <f>IF(B93="","",IFERROR(VLOOKUP(B93,'04 TANIMLAR'!$A$2:$C$9,2,FALSE()),""))</f>
        <v/>
      </c>
      <c r="D93" s="58"/>
      <c r="E93" s="56" t="str">
        <f>IF(B93="","",IFERROR(VLOOKUP(B93,'04 TANIMLAR'!$A$2:$C$9,3,FALSE()),""))</f>
        <v/>
      </c>
      <c r="F93" s="58"/>
      <c r="G93" s="56"/>
      <c r="H93" s="58"/>
      <c r="I93" s="56"/>
      <c r="J93" s="56"/>
    </row>
    <row r="94" spans="1:10" ht="15" customHeight="1" x14ac:dyDescent="0.2">
      <c r="A94" s="56"/>
      <c r="B94" s="58"/>
      <c r="C94" s="56" t="str">
        <f>IF(B94="","",IFERROR(VLOOKUP(B94,'04 TANIMLAR'!$A$2:$C$9,2,FALSE()),""))</f>
        <v/>
      </c>
      <c r="D94" s="58"/>
      <c r="E94" s="56" t="str">
        <f>IF(B94="","",IFERROR(VLOOKUP(B94,'04 TANIMLAR'!$A$2:$C$9,3,FALSE()),""))</f>
        <v/>
      </c>
      <c r="F94" s="58"/>
      <c r="G94" s="56"/>
      <c r="H94" s="58"/>
      <c r="I94" s="56"/>
      <c r="J94" s="56"/>
    </row>
    <row r="95" spans="1:10" ht="15" customHeight="1" x14ac:dyDescent="0.2">
      <c r="A95" s="56"/>
      <c r="B95" s="58"/>
      <c r="C95" s="56" t="str">
        <f>IF(B95="","",IFERROR(VLOOKUP(B95,'04 TANIMLAR'!$A$2:$C$9,2,FALSE()),""))</f>
        <v/>
      </c>
      <c r="D95" s="58"/>
      <c r="E95" s="56" t="str">
        <f>IF(B95="","",IFERROR(VLOOKUP(B95,'04 TANIMLAR'!$A$2:$C$9,3,FALSE()),""))</f>
        <v/>
      </c>
      <c r="F95" s="58"/>
      <c r="G95" s="56"/>
      <c r="H95" s="58"/>
      <c r="I95" s="56"/>
      <c r="J95" s="56"/>
    </row>
    <row r="96" spans="1:10" ht="15" customHeight="1" x14ac:dyDescent="0.2">
      <c r="A96" s="56"/>
      <c r="B96" s="58"/>
      <c r="C96" s="56" t="str">
        <f>IF(B96="","",IFERROR(VLOOKUP(B96,'04 TANIMLAR'!$A$2:$C$9,2,FALSE()),""))</f>
        <v/>
      </c>
      <c r="D96" s="58"/>
      <c r="E96" s="56" t="str">
        <f>IF(B96="","",IFERROR(VLOOKUP(B96,'04 TANIMLAR'!$A$2:$C$9,3,FALSE()),""))</f>
        <v/>
      </c>
      <c r="F96" s="58"/>
      <c r="G96" s="56"/>
      <c r="H96" s="58"/>
      <c r="I96" s="56"/>
      <c r="J96" s="56"/>
    </row>
    <row r="97" spans="1:10" ht="15" customHeight="1" x14ac:dyDescent="0.2">
      <c r="A97" s="56"/>
      <c r="B97" s="58"/>
      <c r="C97" s="56" t="str">
        <f>IF(B97="","",IFERROR(VLOOKUP(B97,'04 TANIMLAR'!$A$2:$C$9,2,FALSE()),""))</f>
        <v/>
      </c>
      <c r="D97" s="58"/>
      <c r="E97" s="56" t="str">
        <f>IF(B97="","",IFERROR(VLOOKUP(B97,'04 TANIMLAR'!$A$2:$C$9,3,FALSE()),""))</f>
        <v/>
      </c>
      <c r="F97" s="58"/>
      <c r="G97" s="56"/>
      <c r="H97" s="58"/>
      <c r="I97" s="56"/>
      <c r="J97" s="56"/>
    </row>
    <row r="98" spans="1:10" ht="15" customHeight="1" x14ac:dyDescent="0.2">
      <c r="A98" s="56"/>
      <c r="B98" s="58"/>
      <c r="C98" s="56" t="str">
        <f>IF(B98="","",IFERROR(VLOOKUP(B98,'04 TANIMLAR'!$A$2:$C$9,2,FALSE()),""))</f>
        <v/>
      </c>
      <c r="D98" s="58"/>
      <c r="E98" s="56" t="str">
        <f>IF(B98="","",IFERROR(VLOOKUP(B98,'04 TANIMLAR'!$A$2:$C$9,3,FALSE()),""))</f>
        <v/>
      </c>
      <c r="F98" s="58"/>
      <c r="G98" s="56"/>
      <c r="H98" s="58"/>
      <c r="I98" s="56"/>
      <c r="J98" s="56"/>
    </row>
    <row r="99" spans="1:10" ht="15" customHeight="1" x14ac:dyDescent="0.2">
      <c r="A99" s="56"/>
      <c r="B99" s="58"/>
      <c r="C99" s="56" t="str">
        <f>IF(B99="","",IFERROR(VLOOKUP(B99,'04 TANIMLAR'!$A$2:$C$9,2,FALSE()),""))</f>
        <v/>
      </c>
      <c r="D99" s="58"/>
      <c r="E99" s="56" t="str">
        <f>IF(B99="","",IFERROR(VLOOKUP(B99,'04 TANIMLAR'!$A$2:$C$9,3,FALSE()),""))</f>
        <v/>
      </c>
      <c r="F99" s="58"/>
      <c r="G99" s="56"/>
      <c r="H99" s="58"/>
      <c r="I99" s="56"/>
      <c r="J99" s="56"/>
    </row>
    <row r="100" spans="1:10" ht="15" customHeight="1" x14ac:dyDescent="0.2">
      <c r="A100" s="56"/>
      <c r="B100" s="58"/>
      <c r="C100" s="56" t="str">
        <f>IF(B100="","",IFERROR(VLOOKUP(B100,'04 TANIMLAR'!$A$2:$C$9,2,FALSE()),""))</f>
        <v/>
      </c>
      <c r="D100" s="58"/>
      <c r="E100" s="56" t="str">
        <f>IF(B100="","",IFERROR(VLOOKUP(B100,'04 TANIMLAR'!$A$2:$C$9,3,FALSE()),""))</f>
        <v/>
      </c>
      <c r="F100" s="58"/>
      <c r="G100" s="56"/>
      <c r="H100" s="58"/>
      <c r="I100" s="56"/>
      <c r="J100" s="56"/>
    </row>
    <row r="101" spans="1:10" ht="15" customHeight="1" x14ac:dyDescent="0.2">
      <c r="A101" s="56"/>
      <c r="B101" s="58"/>
      <c r="C101" s="56" t="str">
        <f>IF(B101="","",IFERROR(VLOOKUP(B101,'04 TANIMLAR'!$A$2:$C$9,2,FALSE()),""))</f>
        <v/>
      </c>
      <c r="D101" s="58"/>
      <c r="E101" s="56" t="str">
        <f>IF(B101="","",IFERROR(VLOOKUP(B101,'04 TANIMLAR'!$A$2:$C$9,3,FALSE()),""))</f>
        <v/>
      </c>
      <c r="F101" s="58"/>
      <c r="G101" s="56"/>
      <c r="H101" s="58"/>
      <c r="I101" s="56"/>
      <c r="J101" s="56"/>
    </row>
    <row r="102" spans="1:10" ht="15" customHeight="1" x14ac:dyDescent="0.2">
      <c r="A102" s="56"/>
      <c r="B102" s="58"/>
      <c r="C102" s="56" t="str">
        <f>IF(B102="","",IFERROR(VLOOKUP(B102,'04 TANIMLAR'!$A$2:$C$9,2,FALSE()),""))</f>
        <v/>
      </c>
      <c r="D102" s="58"/>
      <c r="E102" s="56" t="str">
        <f>IF(B102="","",IFERROR(VLOOKUP(B102,'04 TANIMLAR'!$A$2:$C$9,3,FALSE()),""))</f>
        <v/>
      </c>
      <c r="F102" s="58"/>
      <c r="G102" s="56"/>
      <c r="H102" s="58"/>
      <c r="I102" s="56"/>
      <c r="J102" s="56"/>
    </row>
    <row r="103" spans="1:10" ht="15" customHeight="1" x14ac:dyDescent="0.2">
      <c r="A103" s="56"/>
      <c r="B103" s="58"/>
      <c r="C103" s="56" t="str">
        <f>IF(B103="","",IFERROR(VLOOKUP(B103,'04 TANIMLAR'!$A$2:$C$9,2,FALSE()),""))</f>
        <v/>
      </c>
      <c r="D103" s="58"/>
      <c r="E103" s="56" t="str">
        <f>IF(B103="","",IFERROR(VLOOKUP(B103,'04 TANIMLAR'!$A$2:$C$9,3,FALSE()),""))</f>
        <v/>
      </c>
      <c r="F103" s="58"/>
      <c r="G103" s="56"/>
      <c r="H103" s="58"/>
      <c r="I103" s="56"/>
      <c r="J103" s="56"/>
    </row>
    <row r="104" spans="1:10" ht="15" customHeight="1" x14ac:dyDescent="0.2">
      <c r="A104" s="56"/>
      <c r="B104" s="58"/>
      <c r="C104" s="56" t="str">
        <f>IF(B104="","",IFERROR(VLOOKUP(B104,'04 TANIMLAR'!$A$2:$C$9,2,FALSE()),""))</f>
        <v/>
      </c>
      <c r="D104" s="58"/>
      <c r="E104" s="56" t="str">
        <f>IF(B104="","",IFERROR(VLOOKUP(B104,'04 TANIMLAR'!$A$2:$C$9,3,FALSE()),""))</f>
        <v/>
      </c>
      <c r="F104" s="58"/>
      <c r="G104" s="56"/>
      <c r="H104" s="58"/>
      <c r="I104" s="56"/>
      <c r="J104" s="56"/>
    </row>
    <row r="105" spans="1:10" ht="15" customHeight="1" x14ac:dyDescent="0.2">
      <c r="A105" s="56"/>
      <c r="B105" s="58"/>
      <c r="C105" s="56" t="str">
        <f>IF(B105="","",IFERROR(VLOOKUP(B105,'04 TANIMLAR'!$A$2:$C$9,2,FALSE()),""))</f>
        <v/>
      </c>
      <c r="D105" s="58"/>
      <c r="E105" s="56" t="str">
        <f>IF(B105="","",IFERROR(VLOOKUP(B105,'04 TANIMLAR'!$A$2:$C$9,3,FALSE()),""))</f>
        <v/>
      </c>
      <c r="F105" s="58"/>
      <c r="G105" s="56"/>
      <c r="H105" s="58"/>
      <c r="I105" s="56"/>
      <c r="J105" s="56"/>
    </row>
    <row r="106" spans="1:10" ht="15" customHeight="1" x14ac:dyDescent="0.2">
      <c r="A106" s="56"/>
      <c r="B106" s="58"/>
      <c r="C106" s="56" t="str">
        <f>IF(B106="","",IFERROR(VLOOKUP(B106,'04 TANIMLAR'!$A$2:$C$9,2,FALSE()),""))</f>
        <v/>
      </c>
      <c r="D106" s="58"/>
      <c r="E106" s="56" t="str">
        <f>IF(B106="","",IFERROR(VLOOKUP(B106,'04 TANIMLAR'!$A$2:$C$9,3,FALSE()),""))</f>
        <v/>
      </c>
      <c r="F106" s="58"/>
      <c r="G106" s="56"/>
      <c r="H106" s="58"/>
      <c r="I106" s="56"/>
      <c r="J106" s="56"/>
    </row>
    <row r="107" spans="1:10" ht="15" customHeight="1" x14ac:dyDescent="0.2">
      <c r="A107" s="56"/>
      <c r="B107" s="58"/>
      <c r="C107" s="56" t="str">
        <f>IF(B107="","",IFERROR(VLOOKUP(B107,'04 TANIMLAR'!$A$2:$C$9,2,FALSE()),""))</f>
        <v/>
      </c>
      <c r="D107" s="58"/>
      <c r="E107" s="56" t="str">
        <f>IF(B107="","",IFERROR(VLOOKUP(B107,'04 TANIMLAR'!$A$2:$C$9,3,FALSE()),""))</f>
        <v/>
      </c>
      <c r="F107" s="58"/>
      <c r="G107" s="56"/>
      <c r="H107" s="58"/>
      <c r="I107" s="56"/>
      <c r="J107" s="56"/>
    </row>
    <row r="108" spans="1:10" ht="15" customHeight="1" x14ac:dyDescent="0.2">
      <c r="A108" s="56"/>
      <c r="B108" s="58"/>
      <c r="C108" s="56" t="str">
        <f>IF(B108="","",IFERROR(VLOOKUP(B108,'04 TANIMLAR'!$A$2:$C$9,2,FALSE()),""))</f>
        <v/>
      </c>
      <c r="D108" s="58"/>
      <c r="E108" s="56" t="str">
        <f>IF(B108="","",IFERROR(VLOOKUP(B108,'04 TANIMLAR'!$A$2:$C$9,3,FALSE()),""))</f>
        <v/>
      </c>
      <c r="F108" s="58"/>
      <c r="G108" s="56"/>
      <c r="H108" s="58"/>
      <c r="I108" s="56"/>
      <c r="J108" s="56"/>
    </row>
    <row r="109" spans="1:10" ht="15" customHeight="1" x14ac:dyDescent="0.2">
      <c r="A109" s="56"/>
      <c r="B109" s="58"/>
      <c r="C109" s="56" t="str">
        <f>IF(B109="","",IFERROR(VLOOKUP(B109,'04 TANIMLAR'!$A$2:$C$9,2,FALSE()),""))</f>
        <v/>
      </c>
      <c r="D109" s="58"/>
      <c r="E109" s="56" t="str">
        <f>IF(B109="","",IFERROR(VLOOKUP(B109,'04 TANIMLAR'!$A$2:$C$9,3,FALSE()),""))</f>
        <v/>
      </c>
      <c r="F109" s="58"/>
      <c r="G109" s="56"/>
      <c r="H109" s="58"/>
      <c r="I109" s="56"/>
      <c r="J109" s="56"/>
    </row>
    <row r="110" spans="1:10" ht="15" customHeight="1" x14ac:dyDescent="0.2">
      <c r="A110" s="56"/>
      <c r="B110" s="58"/>
      <c r="C110" s="56" t="str">
        <f>IF(B110="","",IFERROR(VLOOKUP(B110,'04 TANIMLAR'!$A$2:$C$9,2,FALSE()),""))</f>
        <v/>
      </c>
      <c r="D110" s="58"/>
      <c r="E110" s="56" t="str">
        <f>IF(B110="","",IFERROR(VLOOKUP(B110,'04 TANIMLAR'!$A$2:$C$9,3,FALSE()),""))</f>
        <v/>
      </c>
      <c r="F110" s="58"/>
      <c r="G110" s="56"/>
      <c r="H110" s="58"/>
      <c r="I110" s="56"/>
      <c r="J110" s="56"/>
    </row>
    <row r="111" spans="1:10" ht="15" customHeight="1" x14ac:dyDescent="0.2">
      <c r="A111" s="56"/>
      <c r="B111" s="58"/>
      <c r="C111" s="56" t="str">
        <f>IF(B111="","",IFERROR(VLOOKUP(B111,'04 TANIMLAR'!$A$2:$C$9,2,FALSE()),""))</f>
        <v/>
      </c>
      <c r="D111" s="58"/>
      <c r="E111" s="56" t="str">
        <f>IF(B111="","",IFERROR(VLOOKUP(B111,'04 TANIMLAR'!$A$2:$C$9,3,FALSE()),""))</f>
        <v/>
      </c>
      <c r="F111" s="58"/>
      <c r="G111" s="56"/>
      <c r="H111" s="58"/>
      <c r="I111" s="56"/>
      <c r="J111" s="56"/>
    </row>
    <row r="112" spans="1:10" ht="15" customHeight="1" x14ac:dyDescent="0.2">
      <c r="A112" s="56"/>
      <c r="B112" s="58"/>
      <c r="C112" s="56" t="str">
        <f>IF(B112="","",IFERROR(VLOOKUP(B112,'04 TANIMLAR'!$A$2:$C$9,2,FALSE()),""))</f>
        <v/>
      </c>
      <c r="D112" s="58"/>
      <c r="E112" s="56" t="str">
        <f>IF(B112="","",IFERROR(VLOOKUP(B112,'04 TANIMLAR'!$A$2:$C$9,3,FALSE()),""))</f>
        <v/>
      </c>
      <c r="F112" s="58"/>
      <c r="G112" s="56"/>
      <c r="H112" s="58"/>
      <c r="I112" s="56"/>
      <c r="J112" s="56"/>
    </row>
    <row r="113" spans="1:10" ht="15" customHeight="1" x14ac:dyDescent="0.2">
      <c r="A113" s="56"/>
      <c r="B113" s="58"/>
      <c r="C113" s="56" t="str">
        <f>IF(B113="","",IFERROR(VLOOKUP(B113,'04 TANIMLAR'!$A$2:$C$9,2,FALSE()),""))</f>
        <v/>
      </c>
      <c r="D113" s="58"/>
      <c r="E113" s="56" t="str">
        <f>IF(B113="","",IFERROR(VLOOKUP(B113,'04 TANIMLAR'!$A$2:$C$9,3,FALSE()),""))</f>
        <v/>
      </c>
      <c r="F113" s="58"/>
      <c r="G113" s="56"/>
      <c r="H113" s="58"/>
      <c r="I113" s="56"/>
      <c r="J113" s="56"/>
    </row>
    <row r="114" spans="1:10" ht="15" customHeight="1" x14ac:dyDescent="0.2">
      <c r="A114" s="56"/>
      <c r="B114" s="58"/>
      <c r="C114" s="56" t="str">
        <f>IF(B114="","",IFERROR(VLOOKUP(B114,'04 TANIMLAR'!$A$2:$C$9,2,FALSE()),""))</f>
        <v/>
      </c>
      <c r="D114" s="58"/>
      <c r="E114" s="56" t="str">
        <f>IF(B114="","",IFERROR(VLOOKUP(B114,'04 TANIMLAR'!$A$2:$C$9,3,FALSE()),""))</f>
        <v/>
      </c>
      <c r="F114" s="58"/>
      <c r="G114" s="56"/>
      <c r="H114" s="58"/>
      <c r="I114" s="56"/>
      <c r="J114" s="56"/>
    </row>
    <row r="115" spans="1:10" ht="15" customHeight="1" x14ac:dyDescent="0.2">
      <c r="A115" s="56"/>
      <c r="B115" s="58"/>
      <c r="C115" s="56" t="str">
        <f>IF(B115="","",IFERROR(VLOOKUP(B115,'04 TANIMLAR'!$A$2:$C$9,2,FALSE()),""))</f>
        <v/>
      </c>
      <c r="D115" s="58"/>
      <c r="E115" s="56" t="str">
        <f>IF(B115="","",IFERROR(VLOOKUP(B115,'04 TANIMLAR'!$A$2:$C$9,3,FALSE()),""))</f>
        <v/>
      </c>
      <c r="F115" s="58"/>
      <c r="G115" s="56"/>
      <c r="H115" s="58"/>
      <c r="I115" s="56"/>
      <c r="J115" s="56"/>
    </row>
    <row r="116" spans="1:10" ht="15" customHeight="1" x14ac:dyDescent="0.2">
      <c r="A116" s="56"/>
      <c r="B116" s="58"/>
      <c r="C116" s="56" t="str">
        <f>IF(B116="","",IFERROR(VLOOKUP(B116,'04 TANIMLAR'!$A$2:$C$9,2,FALSE()),""))</f>
        <v/>
      </c>
      <c r="D116" s="58"/>
      <c r="E116" s="56" t="str">
        <f>IF(B116="","",IFERROR(VLOOKUP(B116,'04 TANIMLAR'!$A$2:$C$9,3,FALSE()),""))</f>
        <v/>
      </c>
      <c r="F116" s="58"/>
      <c r="G116" s="56"/>
      <c r="H116" s="58"/>
      <c r="I116" s="56"/>
      <c r="J116" s="56"/>
    </row>
    <row r="117" spans="1:10" ht="15" customHeight="1" x14ac:dyDescent="0.2">
      <c r="A117" s="56"/>
      <c r="B117" s="58"/>
      <c r="C117" s="56" t="str">
        <f>IF(B117="","",IFERROR(VLOOKUP(B117,'04 TANIMLAR'!$A$2:$C$9,2,FALSE()),""))</f>
        <v/>
      </c>
      <c r="D117" s="58"/>
      <c r="E117" s="56" t="str">
        <f>IF(B117="","",IFERROR(VLOOKUP(B117,'04 TANIMLAR'!$A$2:$C$9,3,FALSE()),""))</f>
        <v/>
      </c>
      <c r="F117" s="58"/>
      <c r="G117" s="56"/>
      <c r="H117" s="58"/>
      <c r="I117" s="56"/>
      <c r="J117" s="56"/>
    </row>
    <row r="118" spans="1:10" ht="15" customHeight="1" x14ac:dyDescent="0.2">
      <c r="A118" s="56"/>
      <c r="B118" s="58"/>
      <c r="C118" s="56" t="str">
        <f>IF(B118="","",IFERROR(VLOOKUP(B118,'04 TANIMLAR'!$A$2:$C$9,2,FALSE()),""))</f>
        <v/>
      </c>
      <c r="D118" s="58"/>
      <c r="E118" s="56" t="str">
        <f>IF(B118="","",IFERROR(VLOOKUP(B118,'04 TANIMLAR'!$A$2:$C$9,3,FALSE()),""))</f>
        <v/>
      </c>
      <c r="F118" s="58"/>
      <c r="G118" s="56"/>
      <c r="H118" s="58"/>
      <c r="I118" s="56"/>
      <c r="J118" s="56"/>
    </row>
    <row r="119" spans="1:10" ht="15" customHeight="1" x14ac:dyDescent="0.2">
      <c r="A119" s="56"/>
      <c r="B119" s="58"/>
      <c r="C119" s="56" t="str">
        <f>IF(B119="","",IFERROR(VLOOKUP(B119,'04 TANIMLAR'!$A$2:$C$9,2,FALSE()),""))</f>
        <v/>
      </c>
      <c r="D119" s="58"/>
      <c r="E119" s="56" t="str">
        <f>IF(B119="","",IFERROR(VLOOKUP(B119,'04 TANIMLAR'!$A$2:$C$9,3,FALSE()),""))</f>
        <v/>
      </c>
      <c r="F119" s="58"/>
      <c r="G119" s="56"/>
      <c r="H119" s="58"/>
      <c r="I119" s="56"/>
      <c r="J119" s="56"/>
    </row>
    <row r="120" spans="1:10" ht="15" customHeight="1" x14ac:dyDescent="0.2">
      <c r="A120" s="56"/>
      <c r="B120" s="58"/>
      <c r="C120" s="56" t="str">
        <f>IF(B120="","",IFERROR(VLOOKUP(B120,'04 TANIMLAR'!$A$2:$C$9,2,FALSE()),""))</f>
        <v/>
      </c>
      <c r="D120" s="58"/>
      <c r="E120" s="56" t="str">
        <f>IF(B120="","",IFERROR(VLOOKUP(B120,'04 TANIMLAR'!$A$2:$C$9,3,FALSE()),""))</f>
        <v/>
      </c>
      <c r="F120" s="58"/>
      <c r="G120" s="56"/>
      <c r="H120" s="58"/>
      <c r="I120" s="56"/>
      <c r="J120" s="56"/>
    </row>
    <row r="121" spans="1:10" ht="15" customHeight="1" x14ac:dyDescent="0.2">
      <c r="A121" s="56"/>
      <c r="B121" s="58"/>
      <c r="C121" s="56" t="str">
        <f>IF(B121="","",IFERROR(VLOOKUP(B121,'04 TANIMLAR'!$A$2:$C$9,2,FALSE()),""))</f>
        <v/>
      </c>
      <c r="D121" s="58"/>
      <c r="E121" s="56" t="str">
        <f>IF(B121="","",IFERROR(VLOOKUP(B121,'04 TANIMLAR'!$A$2:$C$9,3,FALSE()),""))</f>
        <v/>
      </c>
      <c r="F121" s="58"/>
      <c r="G121" s="56"/>
      <c r="H121" s="58"/>
      <c r="I121" s="56"/>
      <c r="J121" s="56"/>
    </row>
    <row r="122" spans="1:10" ht="15" customHeight="1" x14ac:dyDescent="0.2">
      <c r="A122" s="56"/>
      <c r="B122" s="58"/>
      <c r="C122" s="56" t="str">
        <f>IF(B122="","",IFERROR(VLOOKUP(B122,'04 TANIMLAR'!$A$2:$C$9,2,FALSE()),""))</f>
        <v/>
      </c>
      <c r="D122" s="58"/>
      <c r="E122" s="56" t="str">
        <f>IF(B122="","",IFERROR(VLOOKUP(B122,'04 TANIMLAR'!$A$2:$C$9,3,FALSE()),""))</f>
        <v/>
      </c>
      <c r="F122" s="58"/>
      <c r="G122" s="56"/>
      <c r="H122" s="58"/>
      <c r="I122" s="56"/>
      <c r="J122" s="56"/>
    </row>
    <row r="123" spans="1:10" ht="15" customHeight="1" x14ac:dyDescent="0.2">
      <c r="A123" s="56"/>
      <c r="B123" s="58"/>
      <c r="C123" s="56" t="str">
        <f>IF(B123="","",IFERROR(VLOOKUP(B123,'04 TANIMLAR'!$A$2:$C$9,2,FALSE()),""))</f>
        <v/>
      </c>
      <c r="D123" s="58"/>
      <c r="E123" s="56" t="str">
        <f>IF(B123="","",IFERROR(VLOOKUP(B123,'04 TANIMLAR'!$A$2:$C$9,3,FALSE()),""))</f>
        <v/>
      </c>
      <c r="F123" s="58"/>
      <c r="G123" s="56"/>
      <c r="H123" s="58"/>
      <c r="I123" s="56"/>
      <c r="J123" s="56"/>
    </row>
    <row r="124" spans="1:10" ht="15" customHeight="1" x14ac:dyDescent="0.2">
      <c r="A124" s="56"/>
      <c r="B124" s="58"/>
      <c r="C124" s="56" t="str">
        <f>IF(B124="","",IFERROR(VLOOKUP(B124,'04 TANIMLAR'!$A$2:$C$9,2,FALSE()),""))</f>
        <v/>
      </c>
      <c r="D124" s="58"/>
      <c r="E124" s="56" t="str">
        <f>IF(B124="","",IFERROR(VLOOKUP(B124,'04 TANIMLAR'!$A$2:$C$9,3,FALSE()),""))</f>
        <v/>
      </c>
      <c r="F124" s="58"/>
      <c r="G124" s="56"/>
      <c r="H124" s="58"/>
      <c r="I124" s="56"/>
      <c r="J124" s="56"/>
    </row>
    <row r="125" spans="1:10" ht="15" customHeight="1" x14ac:dyDescent="0.2">
      <c r="A125" s="56"/>
      <c r="B125" s="58"/>
      <c r="C125" s="56" t="str">
        <f>IF(B125="","",IFERROR(VLOOKUP(B125,'04 TANIMLAR'!$A$2:$C$9,2,FALSE()),""))</f>
        <v/>
      </c>
      <c r="D125" s="58"/>
      <c r="E125" s="56" t="str">
        <f>IF(B125="","",IFERROR(VLOOKUP(B125,'04 TANIMLAR'!$A$2:$C$9,3,FALSE()),""))</f>
        <v/>
      </c>
      <c r="F125" s="58"/>
      <c r="G125" s="56"/>
      <c r="H125" s="58"/>
      <c r="I125" s="56"/>
      <c r="J125" s="56"/>
    </row>
    <row r="126" spans="1:10" ht="15" customHeight="1" x14ac:dyDescent="0.2">
      <c r="A126" s="56"/>
      <c r="B126" s="58"/>
      <c r="C126" s="56" t="str">
        <f>IF(B126="","",IFERROR(VLOOKUP(B126,'04 TANIMLAR'!$A$2:$C$9,2,FALSE()),""))</f>
        <v/>
      </c>
      <c r="D126" s="58"/>
      <c r="E126" s="56" t="str">
        <f>IF(B126="","",IFERROR(VLOOKUP(B126,'04 TANIMLAR'!$A$2:$C$9,3,FALSE()),""))</f>
        <v/>
      </c>
      <c r="F126" s="58"/>
      <c r="G126" s="56"/>
      <c r="H126" s="58"/>
      <c r="I126" s="56"/>
      <c r="J126" s="56"/>
    </row>
    <row r="127" spans="1:10" ht="15" customHeight="1" x14ac:dyDescent="0.2">
      <c r="A127" s="56"/>
      <c r="B127" s="58"/>
      <c r="C127" s="56" t="str">
        <f>IF(B127="","",IFERROR(VLOOKUP(B127,'04 TANIMLAR'!$A$2:$C$9,2,FALSE()),""))</f>
        <v/>
      </c>
      <c r="D127" s="58"/>
      <c r="E127" s="56" t="str">
        <f>IF(B127="","",IFERROR(VLOOKUP(B127,'04 TANIMLAR'!$A$2:$C$9,3,FALSE()),""))</f>
        <v/>
      </c>
      <c r="F127" s="58"/>
      <c r="G127" s="56"/>
      <c r="H127" s="58"/>
      <c r="I127" s="56"/>
      <c r="J127" s="56"/>
    </row>
    <row r="128" spans="1:10" ht="15" customHeight="1" x14ac:dyDescent="0.2">
      <c r="A128" s="56"/>
      <c r="B128" s="58"/>
      <c r="C128" s="56" t="str">
        <f>IF(B128="","",IFERROR(VLOOKUP(B128,'04 TANIMLAR'!$A$2:$C$9,2,FALSE()),""))</f>
        <v/>
      </c>
      <c r="D128" s="58"/>
      <c r="E128" s="56" t="str">
        <f>IF(B128="","",IFERROR(VLOOKUP(B128,'04 TANIMLAR'!$A$2:$C$9,3,FALSE()),""))</f>
        <v/>
      </c>
      <c r="F128" s="58"/>
      <c r="G128" s="56"/>
      <c r="H128" s="58"/>
      <c r="I128" s="56"/>
      <c r="J128" s="56"/>
    </row>
    <row r="129" spans="1:10" ht="15" customHeight="1" x14ac:dyDescent="0.2">
      <c r="A129" s="56"/>
      <c r="B129" s="58"/>
      <c r="C129" s="56" t="str">
        <f>IF(B129="","",IFERROR(VLOOKUP(B129,'04 TANIMLAR'!$A$2:$C$9,2,FALSE()),""))</f>
        <v/>
      </c>
      <c r="D129" s="58"/>
      <c r="E129" s="56" t="str">
        <f>IF(B129="","",IFERROR(VLOOKUP(B129,'04 TANIMLAR'!$A$2:$C$9,3,FALSE()),""))</f>
        <v/>
      </c>
      <c r="F129" s="58"/>
      <c r="G129" s="56"/>
      <c r="H129" s="58"/>
      <c r="I129" s="56"/>
      <c r="J129" s="56"/>
    </row>
    <row r="130" spans="1:10" ht="15" customHeight="1" x14ac:dyDescent="0.2">
      <c r="A130" s="56"/>
      <c r="B130" s="58"/>
      <c r="C130" s="56" t="str">
        <f>IF(B130="","",IFERROR(VLOOKUP(B130,'04 TANIMLAR'!$A$2:$C$9,2,FALSE()),""))</f>
        <v/>
      </c>
      <c r="D130" s="58"/>
      <c r="E130" s="56" t="str">
        <f>IF(B130="","",IFERROR(VLOOKUP(B130,'04 TANIMLAR'!$A$2:$C$9,3,FALSE()),""))</f>
        <v/>
      </c>
      <c r="F130" s="58"/>
      <c r="G130" s="56"/>
      <c r="H130" s="58"/>
      <c r="I130" s="56"/>
      <c r="J130" s="56"/>
    </row>
    <row r="131" spans="1:10" ht="15" customHeight="1" x14ac:dyDescent="0.2">
      <c r="A131" s="56"/>
      <c r="B131" s="58"/>
      <c r="C131" s="56" t="str">
        <f>IF(B131="","",IFERROR(VLOOKUP(B131,'04 TANIMLAR'!$A$2:$C$9,2,FALSE()),""))</f>
        <v/>
      </c>
      <c r="D131" s="58"/>
      <c r="E131" s="56" t="str">
        <f>IF(B131="","",IFERROR(VLOOKUP(B131,'04 TANIMLAR'!$A$2:$C$9,3,FALSE()),""))</f>
        <v/>
      </c>
      <c r="F131" s="58"/>
      <c r="G131" s="56"/>
      <c r="H131" s="58"/>
      <c r="I131" s="56"/>
      <c r="J131" s="56"/>
    </row>
    <row r="132" spans="1:10" ht="15" customHeight="1" x14ac:dyDescent="0.2">
      <c r="A132" s="56"/>
      <c r="B132" s="58"/>
      <c r="C132" s="56" t="str">
        <f>IF(B132="","",IFERROR(VLOOKUP(B132,'04 TANIMLAR'!$A$2:$C$9,2,FALSE()),""))</f>
        <v/>
      </c>
      <c r="D132" s="58"/>
      <c r="E132" s="56" t="str">
        <f>IF(B132="","",IFERROR(VLOOKUP(B132,'04 TANIMLAR'!$A$2:$C$9,3,FALSE()),""))</f>
        <v/>
      </c>
      <c r="F132" s="58"/>
      <c r="G132" s="56"/>
      <c r="H132" s="58"/>
      <c r="I132" s="56"/>
      <c r="J132" s="56"/>
    </row>
    <row r="133" spans="1:10" ht="15" customHeight="1" x14ac:dyDescent="0.2">
      <c r="A133" s="56"/>
      <c r="B133" s="58"/>
      <c r="C133" s="56" t="str">
        <f>IF(B133="","",IFERROR(VLOOKUP(B133,'04 TANIMLAR'!$A$2:$C$9,2,FALSE()),""))</f>
        <v/>
      </c>
      <c r="D133" s="58"/>
      <c r="E133" s="56" t="str">
        <f>IF(B133="","",IFERROR(VLOOKUP(B133,'04 TANIMLAR'!$A$2:$C$9,3,FALSE()),""))</f>
        <v/>
      </c>
      <c r="F133" s="58"/>
      <c r="G133" s="56"/>
      <c r="H133" s="58"/>
      <c r="I133" s="56"/>
      <c r="J133" s="56"/>
    </row>
    <row r="134" spans="1:10" ht="15" customHeight="1" x14ac:dyDescent="0.2">
      <c r="A134" s="56"/>
      <c r="B134" s="58"/>
      <c r="C134" s="56" t="str">
        <f>IF(B134="","",IFERROR(VLOOKUP(B134,'04 TANIMLAR'!$A$2:$C$9,2,FALSE()),""))</f>
        <v/>
      </c>
      <c r="D134" s="58"/>
      <c r="E134" s="56" t="str">
        <f>IF(B134="","",IFERROR(VLOOKUP(B134,'04 TANIMLAR'!$A$2:$C$9,3,FALSE()),""))</f>
        <v/>
      </c>
      <c r="F134" s="58"/>
      <c r="G134" s="56"/>
      <c r="H134" s="58"/>
      <c r="I134" s="56"/>
      <c r="J134" s="56"/>
    </row>
    <row r="135" spans="1:10" ht="15" customHeight="1" x14ac:dyDescent="0.2">
      <c r="A135" s="56"/>
      <c r="B135" s="58"/>
      <c r="C135" s="56" t="str">
        <f>IF(B135="","",IFERROR(VLOOKUP(B135,'04 TANIMLAR'!$A$2:$C$9,2,FALSE()),""))</f>
        <v/>
      </c>
      <c r="D135" s="58"/>
      <c r="E135" s="56" t="str">
        <f>IF(B135="","",IFERROR(VLOOKUP(B135,'04 TANIMLAR'!$A$2:$C$9,3,FALSE()),""))</f>
        <v/>
      </c>
      <c r="F135" s="58"/>
      <c r="G135" s="56"/>
      <c r="H135" s="58"/>
      <c r="I135" s="56"/>
      <c r="J135" s="56"/>
    </row>
    <row r="136" spans="1:10" ht="15" customHeight="1" x14ac:dyDescent="0.2">
      <c r="A136" s="56"/>
      <c r="B136" s="58"/>
      <c r="C136" s="56" t="str">
        <f>IF(B136="","",IFERROR(VLOOKUP(B136,'04 TANIMLAR'!$A$2:$C$9,2,FALSE()),""))</f>
        <v/>
      </c>
      <c r="D136" s="58"/>
      <c r="E136" s="56" t="str">
        <f>IF(B136="","",IFERROR(VLOOKUP(B136,'04 TANIMLAR'!$A$2:$C$9,3,FALSE()),""))</f>
        <v/>
      </c>
      <c r="F136" s="58"/>
      <c r="G136" s="56"/>
      <c r="H136" s="58"/>
      <c r="I136" s="56"/>
      <c r="J136" s="56"/>
    </row>
    <row r="137" spans="1:10" ht="15" customHeight="1" x14ac:dyDescent="0.2">
      <c r="A137" s="56"/>
      <c r="B137" s="58"/>
      <c r="C137" s="56" t="str">
        <f>IF(B137="","",IFERROR(VLOOKUP(B137,'04 TANIMLAR'!$A$2:$C$9,2,FALSE()),""))</f>
        <v/>
      </c>
      <c r="D137" s="58"/>
      <c r="E137" s="56" t="str">
        <f>IF(B137="","",IFERROR(VLOOKUP(B137,'04 TANIMLAR'!$A$2:$C$9,3,FALSE()),""))</f>
        <v/>
      </c>
      <c r="F137" s="58"/>
      <c r="G137" s="56"/>
      <c r="H137" s="58"/>
      <c r="I137" s="56"/>
      <c r="J137" s="56"/>
    </row>
    <row r="138" spans="1:10" ht="15" customHeight="1" x14ac:dyDescent="0.2">
      <c r="A138" s="56"/>
      <c r="B138" s="58"/>
      <c r="C138" s="56" t="str">
        <f>IF(B138="","",IFERROR(VLOOKUP(B138,'04 TANIMLAR'!$A$2:$C$9,2,FALSE()),""))</f>
        <v/>
      </c>
      <c r="D138" s="58"/>
      <c r="E138" s="56" t="str">
        <f>IF(B138="","",IFERROR(VLOOKUP(B138,'04 TANIMLAR'!$A$2:$C$9,3,FALSE()),""))</f>
        <v/>
      </c>
      <c r="F138" s="58"/>
      <c r="G138" s="56"/>
      <c r="H138" s="58"/>
      <c r="I138" s="56"/>
      <c r="J138" s="56"/>
    </row>
    <row r="139" spans="1:10" ht="15" customHeight="1" x14ac:dyDescent="0.2">
      <c r="A139" s="56"/>
      <c r="B139" s="58"/>
      <c r="C139" s="56" t="str">
        <f>IF(B139="","",IFERROR(VLOOKUP(B139,'04 TANIMLAR'!$A$2:$C$9,2,FALSE()),""))</f>
        <v/>
      </c>
      <c r="D139" s="58"/>
      <c r="E139" s="56" t="str">
        <f>IF(B139="","",IFERROR(VLOOKUP(B139,'04 TANIMLAR'!$A$2:$C$9,3,FALSE()),""))</f>
        <v/>
      </c>
      <c r="F139" s="58"/>
      <c r="G139" s="56"/>
      <c r="H139" s="58"/>
      <c r="I139" s="56"/>
      <c r="J139" s="56"/>
    </row>
    <row r="140" spans="1:10" ht="15" customHeight="1" x14ac:dyDescent="0.2">
      <c r="A140" s="56"/>
      <c r="B140" s="58"/>
      <c r="C140" s="56" t="str">
        <f>IF(B140="","",IFERROR(VLOOKUP(B140,'04 TANIMLAR'!$A$2:$C$9,2,FALSE()),""))</f>
        <v/>
      </c>
      <c r="D140" s="58"/>
      <c r="E140" s="56" t="str">
        <f>IF(B140="","",IFERROR(VLOOKUP(B140,'04 TANIMLAR'!$A$2:$C$9,3,FALSE()),""))</f>
        <v/>
      </c>
      <c r="F140" s="58"/>
      <c r="G140" s="56"/>
      <c r="H140" s="58"/>
      <c r="I140" s="56"/>
      <c r="J140" s="56"/>
    </row>
    <row r="141" spans="1:10" ht="15" customHeight="1" x14ac:dyDescent="0.2">
      <c r="A141" s="56"/>
      <c r="B141" s="58"/>
      <c r="C141" s="56" t="str">
        <f>IF(B141="","",IFERROR(VLOOKUP(B141,'04 TANIMLAR'!$A$2:$C$9,2,FALSE()),""))</f>
        <v/>
      </c>
      <c r="D141" s="58"/>
      <c r="E141" s="56" t="str">
        <f>IF(B141="","",IFERROR(VLOOKUP(B141,'04 TANIMLAR'!$A$2:$C$9,3,FALSE()),""))</f>
        <v/>
      </c>
      <c r="F141" s="58"/>
      <c r="G141" s="56"/>
      <c r="H141" s="58"/>
      <c r="I141" s="56"/>
      <c r="J141" s="56"/>
    </row>
    <row r="142" spans="1:10" ht="15" customHeight="1" x14ac:dyDescent="0.2">
      <c r="A142" s="56"/>
      <c r="B142" s="58"/>
      <c r="C142" s="56" t="str">
        <f>IF(B142="","",IFERROR(VLOOKUP(B142,'04 TANIMLAR'!$A$2:$C$9,2,FALSE()),""))</f>
        <v/>
      </c>
      <c r="D142" s="58"/>
      <c r="E142" s="56" t="str">
        <f>IF(B142="","",IFERROR(VLOOKUP(B142,'04 TANIMLAR'!$A$2:$C$9,3,FALSE()),""))</f>
        <v/>
      </c>
      <c r="F142" s="58"/>
      <c r="G142" s="56"/>
      <c r="H142" s="58"/>
      <c r="I142" s="56"/>
      <c r="J142" s="56"/>
    </row>
    <row r="143" spans="1:10" ht="15" customHeight="1" x14ac:dyDescent="0.2">
      <c r="A143" s="56"/>
      <c r="B143" s="58"/>
      <c r="C143" s="56" t="str">
        <f>IF(B143="","",IFERROR(VLOOKUP(B143,'04 TANIMLAR'!$A$2:$C$9,2,FALSE()),""))</f>
        <v/>
      </c>
      <c r="D143" s="58"/>
      <c r="E143" s="56" t="str">
        <f>IF(B143="","",IFERROR(VLOOKUP(B143,'04 TANIMLAR'!$A$2:$C$9,3,FALSE()),""))</f>
        <v/>
      </c>
      <c r="F143" s="58"/>
      <c r="G143" s="56"/>
      <c r="H143" s="58"/>
      <c r="I143" s="56"/>
      <c r="J143" s="56"/>
    </row>
    <row r="144" spans="1:10" ht="15" customHeight="1" x14ac:dyDescent="0.2">
      <c r="A144" s="56"/>
      <c r="B144" s="58"/>
      <c r="C144" s="56" t="str">
        <f>IF(B144="","",IFERROR(VLOOKUP(B144,'04 TANIMLAR'!$A$2:$C$9,2,FALSE()),""))</f>
        <v/>
      </c>
      <c r="D144" s="58"/>
      <c r="E144" s="56" t="str">
        <f>IF(B144="","",IFERROR(VLOOKUP(B144,'04 TANIMLAR'!$A$2:$C$9,3,FALSE()),""))</f>
        <v/>
      </c>
      <c r="F144" s="58"/>
      <c r="G144" s="56"/>
      <c r="H144" s="58"/>
      <c r="I144" s="56"/>
      <c r="J144" s="56"/>
    </row>
    <row r="145" spans="1:10" ht="15" customHeight="1" x14ac:dyDescent="0.2">
      <c r="A145" s="56"/>
      <c r="B145" s="58"/>
      <c r="C145" s="56" t="str">
        <f>IF(B145="","",IFERROR(VLOOKUP(B145,'04 TANIMLAR'!$A$2:$C$9,2,FALSE()),""))</f>
        <v/>
      </c>
      <c r="D145" s="58"/>
      <c r="E145" s="56" t="str">
        <f>IF(B145="","",IFERROR(VLOOKUP(B145,'04 TANIMLAR'!$A$2:$C$9,3,FALSE()),""))</f>
        <v/>
      </c>
      <c r="F145" s="58"/>
      <c r="G145" s="56"/>
      <c r="H145" s="58"/>
      <c r="I145" s="56"/>
      <c r="J145" s="56"/>
    </row>
    <row r="146" spans="1:10" ht="15" customHeight="1" x14ac:dyDescent="0.2">
      <c r="A146" s="56"/>
      <c r="B146" s="58"/>
      <c r="C146" s="56" t="str">
        <f>IF(B146="","",IFERROR(VLOOKUP(B146,'04 TANIMLAR'!$A$2:$C$9,2,FALSE()),""))</f>
        <v/>
      </c>
      <c r="D146" s="58"/>
      <c r="E146" s="56" t="str">
        <f>IF(B146="","",IFERROR(VLOOKUP(B146,'04 TANIMLAR'!$A$2:$C$9,3,FALSE()),""))</f>
        <v/>
      </c>
      <c r="F146" s="58"/>
      <c r="G146" s="56"/>
      <c r="H146" s="58"/>
      <c r="I146" s="56"/>
      <c r="J146" s="56"/>
    </row>
    <row r="147" spans="1:10" ht="15" customHeight="1" x14ac:dyDescent="0.2">
      <c r="A147" s="56"/>
      <c r="B147" s="58"/>
      <c r="C147" s="56" t="str">
        <f>IF(B147="","",IFERROR(VLOOKUP(B147,'04 TANIMLAR'!$A$2:$C$9,2,FALSE()),""))</f>
        <v/>
      </c>
      <c r="D147" s="58"/>
      <c r="E147" s="56" t="str">
        <f>IF(B147="","",IFERROR(VLOOKUP(B147,'04 TANIMLAR'!$A$2:$C$9,3,FALSE()),""))</f>
        <v/>
      </c>
      <c r="F147" s="58"/>
      <c r="G147" s="56"/>
      <c r="H147" s="58"/>
      <c r="I147" s="56"/>
      <c r="J147" s="56"/>
    </row>
    <row r="148" spans="1:10" ht="15" customHeight="1" x14ac:dyDescent="0.2">
      <c r="A148" s="56"/>
      <c r="B148" s="58"/>
      <c r="C148" s="56" t="str">
        <f>IF(B148="","",IFERROR(VLOOKUP(B148,'04 TANIMLAR'!$A$2:$C$9,2,FALSE()),""))</f>
        <v/>
      </c>
      <c r="D148" s="58"/>
      <c r="E148" s="56" t="str">
        <f>IF(B148="","",IFERROR(VLOOKUP(B148,'04 TANIMLAR'!$A$2:$C$9,3,FALSE()),""))</f>
        <v/>
      </c>
      <c r="F148" s="58"/>
      <c r="G148" s="56"/>
      <c r="H148" s="58"/>
      <c r="I148" s="56"/>
      <c r="J148" s="56"/>
    </row>
    <row r="149" spans="1:10" ht="15" customHeight="1" x14ac:dyDescent="0.2">
      <c r="A149" s="56"/>
      <c r="B149" s="58"/>
      <c r="C149" s="56" t="str">
        <f>IF(B149="","",IFERROR(VLOOKUP(B149,'04 TANIMLAR'!$A$2:$C$9,2,FALSE()),""))</f>
        <v/>
      </c>
      <c r="D149" s="58"/>
      <c r="E149" s="56" t="str">
        <f>IF(B149="","",IFERROR(VLOOKUP(B149,'04 TANIMLAR'!$A$2:$C$9,3,FALSE()),""))</f>
        <v/>
      </c>
      <c r="F149" s="58"/>
      <c r="G149" s="56"/>
      <c r="H149" s="58"/>
      <c r="I149" s="56"/>
      <c r="J149" s="56"/>
    </row>
    <row r="150" spans="1:10" ht="15" customHeight="1" x14ac:dyDescent="0.2">
      <c r="A150" s="56"/>
      <c r="B150" s="58"/>
      <c r="C150" s="56" t="str">
        <f>IF(B150="","",IFERROR(VLOOKUP(B150,'04 TANIMLAR'!$A$2:$C$9,2,FALSE()),""))</f>
        <v/>
      </c>
      <c r="D150" s="58"/>
      <c r="E150" s="56" t="str">
        <f>IF(B150="","",IFERROR(VLOOKUP(B150,'04 TANIMLAR'!$A$2:$C$9,3,FALSE()),""))</f>
        <v/>
      </c>
      <c r="F150" s="58"/>
      <c r="G150" s="56"/>
      <c r="H150" s="58"/>
      <c r="I150" s="56"/>
      <c r="J150" s="56"/>
    </row>
    <row r="151" spans="1:10" ht="15" customHeight="1" x14ac:dyDescent="0.2">
      <c r="A151" s="56"/>
      <c r="B151" s="58"/>
      <c r="C151" s="56" t="str">
        <f>IF(B151="","",IFERROR(VLOOKUP(B151,'04 TANIMLAR'!$A$2:$C$9,2,FALSE()),""))</f>
        <v/>
      </c>
      <c r="D151" s="58"/>
      <c r="E151" s="56" t="str">
        <f>IF(B151="","",IFERROR(VLOOKUP(B151,'04 TANIMLAR'!$A$2:$C$9,3,FALSE()),""))</f>
        <v/>
      </c>
      <c r="F151" s="58"/>
      <c r="G151" s="56"/>
      <c r="H151" s="58"/>
      <c r="I151" s="56"/>
      <c r="J151" s="56"/>
    </row>
    <row r="152" spans="1:10" ht="15" customHeight="1" x14ac:dyDescent="0.2">
      <c r="A152" s="56"/>
      <c r="B152" s="58"/>
      <c r="C152" s="56" t="str">
        <f>IF(B152="","",IFERROR(VLOOKUP(B152,'04 TANIMLAR'!$A$2:$C$9,2,FALSE()),""))</f>
        <v/>
      </c>
      <c r="D152" s="58"/>
      <c r="E152" s="56" t="str">
        <f>IF(B152="","",IFERROR(VLOOKUP(B152,'04 TANIMLAR'!$A$2:$C$9,3,FALSE()),""))</f>
        <v/>
      </c>
      <c r="F152" s="58"/>
      <c r="G152" s="56"/>
      <c r="H152" s="58"/>
      <c r="I152" s="56"/>
      <c r="J152" s="56"/>
    </row>
    <row r="153" spans="1:10" ht="15" customHeight="1" x14ac:dyDescent="0.2">
      <c r="A153" s="56"/>
      <c r="B153" s="58"/>
      <c r="C153" s="56" t="str">
        <f>IF(B153="","",IFERROR(VLOOKUP(B153,'04 TANIMLAR'!$A$2:$C$9,2,FALSE()),""))</f>
        <v/>
      </c>
      <c r="D153" s="58"/>
      <c r="E153" s="56" t="str">
        <f>IF(B153="","",IFERROR(VLOOKUP(B153,'04 TANIMLAR'!$A$2:$C$9,3,FALSE()),""))</f>
        <v/>
      </c>
      <c r="F153" s="58"/>
      <c r="G153" s="56"/>
      <c r="H153" s="58"/>
      <c r="I153" s="56"/>
      <c r="J153" s="56"/>
    </row>
    <row r="154" spans="1:10" ht="15" customHeight="1" x14ac:dyDescent="0.2">
      <c r="A154" s="56"/>
      <c r="B154" s="58"/>
      <c r="C154" s="56" t="str">
        <f>IF(B154="","",IFERROR(VLOOKUP(B154,'04 TANIMLAR'!$A$2:$C$9,2,FALSE()),""))</f>
        <v/>
      </c>
      <c r="D154" s="58"/>
      <c r="E154" s="56" t="str">
        <f>IF(B154="","",IFERROR(VLOOKUP(B154,'04 TANIMLAR'!$A$2:$C$9,3,FALSE()),""))</f>
        <v/>
      </c>
      <c r="F154" s="58"/>
      <c r="G154" s="56"/>
      <c r="H154" s="58"/>
      <c r="I154" s="56"/>
      <c r="J154" s="56"/>
    </row>
    <row r="155" spans="1:10" ht="15" customHeight="1" x14ac:dyDescent="0.2">
      <c r="A155" s="56"/>
      <c r="B155" s="58"/>
      <c r="C155" s="56" t="str">
        <f>IF(B155="","",IFERROR(VLOOKUP(B155,'04 TANIMLAR'!$A$2:$C$9,2,FALSE()),""))</f>
        <v/>
      </c>
      <c r="D155" s="58"/>
      <c r="E155" s="56" t="str">
        <f>IF(B155="","",IFERROR(VLOOKUP(B155,'04 TANIMLAR'!$A$2:$C$9,3,FALSE()),""))</f>
        <v/>
      </c>
      <c r="F155" s="58"/>
      <c r="G155" s="56"/>
      <c r="H155" s="58"/>
      <c r="I155" s="56"/>
      <c r="J155" s="56"/>
    </row>
    <row r="156" spans="1:10" ht="15" customHeight="1" x14ac:dyDescent="0.2">
      <c r="A156" s="56"/>
      <c r="B156" s="58"/>
      <c r="C156" s="56" t="str">
        <f>IF(B156="","",IFERROR(VLOOKUP(B156,'04 TANIMLAR'!$A$2:$C$9,2,FALSE()),""))</f>
        <v/>
      </c>
      <c r="D156" s="58"/>
      <c r="E156" s="56" t="str">
        <f>IF(B156="","",IFERROR(VLOOKUP(B156,'04 TANIMLAR'!$A$2:$C$9,3,FALSE()),""))</f>
        <v/>
      </c>
      <c r="F156" s="58"/>
      <c r="G156" s="56"/>
      <c r="H156" s="58"/>
      <c r="I156" s="56"/>
      <c r="J156" s="56"/>
    </row>
    <row r="157" spans="1:10" ht="15" customHeight="1" x14ac:dyDescent="0.2">
      <c r="A157" s="56"/>
      <c r="B157" s="58"/>
      <c r="C157" s="56" t="str">
        <f>IF(B157="","",IFERROR(VLOOKUP(B157,'04 TANIMLAR'!$A$2:$C$9,2,FALSE()),""))</f>
        <v/>
      </c>
      <c r="D157" s="58"/>
      <c r="E157" s="56" t="str">
        <f>IF(B157="","",IFERROR(VLOOKUP(B157,'04 TANIMLAR'!$A$2:$C$9,3,FALSE()),""))</f>
        <v/>
      </c>
      <c r="F157" s="58"/>
      <c r="G157" s="56"/>
      <c r="H157" s="58"/>
      <c r="I157" s="56"/>
      <c r="J157" s="56"/>
    </row>
    <row r="158" spans="1:10" ht="15" customHeight="1" x14ac:dyDescent="0.2">
      <c r="A158" s="56"/>
      <c r="B158" s="58"/>
      <c r="C158" s="56" t="str">
        <f>IF(B158="","",IFERROR(VLOOKUP(B158,'04 TANIMLAR'!$A$2:$C$9,2,FALSE()),""))</f>
        <v/>
      </c>
      <c r="D158" s="58"/>
      <c r="E158" s="56" t="str">
        <f>IF(B158="","",IFERROR(VLOOKUP(B158,'04 TANIMLAR'!$A$2:$C$9,3,FALSE()),""))</f>
        <v/>
      </c>
      <c r="F158" s="58"/>
      <c r="G158" s="56"/>
      <c r="H158" s="58"/>
      <c r="I158" s="56"/>
      <c r="J158" s="56"/>
    </row>
    <row r="159" spans="1:10" ht="15" customHeight="1" x14ac:dyDescent="0.2">
      <c r="A159" s="56"/>
      <c r="B159" s="58"/>
      <c r="C159" s="56" t="str">
        <f>IF(B159="","",IFERROR(VLOOKUP(B159,'04 TANIMLAR'!$A$2:$C$9,2,FALSE()),""))</f>
        <v/>
      </c>
      <c r="D159" s="58"/>
      <c r="E159" s="56" t="str">
        <f>IF(B159="","",IFERROR(VLOOKUP(B159,'04 TANIMLAR'!$A$2:$C$9,3,FALSE()),""))</f>
        <v/>
      </c>
      <c r="F159" s="58"/>
      <c r="G159" s="56"/>
      <c r="H159" s="58"/>
      <c r="I159" s="56"/>
      <c r="J159" s="56"/>
    </row>
    <row r="160" spans="1:10" ht="15" customHeight="1" x14ac:dyDescent="0.2">
      <c r="A160" s="56"/>
      <c r="B160" s="58"/>
      <c r="C160" s="56" t="str">
        <f>IF(B160="","",IFERROR(VLOOKUP(B160,'04 TANIMLAR'!$A$2:$C$9,2,FALSE()),""))</f>
        <v/>
      </c>
      <c r="D160" s="58"/>
      <c r="E160" s="56" t="str">
        <f>IF(B160="","",IFERROR(VLOOKUP(B160,'04 TANIMLAR'!$A$2:$C$9,3,FALSE()),""))</f>
        <v/>
      </c>
      <c r="F160" s="58"/>
      <c r="G160" s="56"/>
      <c r="H160" s="58"/>
      <c r="I160" s="56"/>
      <c r="J160" s="56"/>
    </row>
    <row r="161" spans="1:10" ht="15" customHeight="1" x14ac:dyDescent="0.2">
      <c r="A161" s="56"/>
      <c r="B161" s="58"/>
      <c r="C161" s="56" t="str">
        <f>IF(B161="","",IFERROR(VLOOKUP(B161,'04 TANIMLAR'!$A$2:$C$9,2,FALSE()),""))</f>
        <v/>
      </c>
      <c r="D161" s="58"/>
      <c r="E161" s="56" t="str">
        <f>IF(B161="","",IFERROR(VLOOKUP(B161,'04 TANIMLAR'!$A$2:$C$9,3,FALSE()),""))</f>
        <v/>
      </c>
      <c r="F161" s="58"/>
      <c r="G161" s="56"/>
      <c r="H161" s="58"/>
      <c r="I161" s="56"/>
      <c r="J161" s="56"/>
    </row>
    <row r="162" spans="1:10" ht="15" customHeight="1" x14ac:dyDescent="0.2">
      <c r="A162" s="56"/>
      <c r="B162" s="58"/>
      <c r="C162" s="56" t="str">
        <f>IF(B162="","",IFERROR(VLOOKUP(B162,'04 TANIMLAR'!$A$2:$C$9,2,FALSE()),""))</f>
        <v/>
      </c>
      <c r="D162" s="58"/>
      <c r="E162" s="56" t="str">
        <f>IF(B162="","",IFERROR(VLOOKUP(B162,'04 TANIMLAR'!$A$2:$C$9,3,FALSE()),""))</f>
        <v/>
      </c>
      <c r="F162" s="58"/>
      <c r="G162" s="56"/>
      <c r="H162" s="58"/>
      <c r="I162" s="56"/>
      <c r="J162" s="56"/>
    </row>
    <row r="163" spans="1:10" ht="15" customHeight="1" x14ac:dyDescent="0.2">
      <c r="A163" s="56"/>
      <c r="B163" s="58"/>
      <c r="C163" s="56" t="str">
        <f>IF(B163="","",IFERROR(VLOOKUP(B163,'04 TANIMLAR'!$A$2:$C$9,2,FALSE()),""))</f>
        <v/>
      </c>
      <c r="D163" s="58"/>
      <c r="E163" s="56" t="str">
        <f>IF(B163="","",IFERROR(VLOOKUP(B163,'04 TANIMLAR'!$A$2:$C$9,3,FALSE()),""))</f>
        <v/>
      </c>
      <c r="F163" s="58"/>
      <c r="G163" s="56"/>
      <c r="H163" s="58"/>
      <c r="I163" s="56"/>
      <c r="J163" s="56"/>
    </row>
    <row r="164" spans="1:10" ht="15" customHeight="1" x14ac:dyDescent="0.2">
      <c r="A164" s="56"/>
      <c r="B164" s="58"/>
      <c r="C164" s="56" t="str">
        <f>IF(B164="","",IFERROR(VLOOKUP(B164,'04 TANIMLAR'!$A$2:$C$9,2,FALSE()),""))</f>
        <v/>
      </c>
      <c r="D164" s="58"/>
      <c r="E164" s="56" t="str">
        <f>IF(B164="","",IFERROR(VLOOKUP(B164,'04 TANIMLAR'!$A$2:$C$9,3,FALSE()),""))</f>
        <v/>
      </c>
      <c r="F164" s="58"/>
      <c r="G164" s="56"/>
      <c r="H164" s="58"/>
      <c r="I164" s="56"/>
      <c r="J164" s="56"/>
    </row>
    <row r="165" spans="1:10" ht="15" customHeight="1" x14ac:dyDescent="0.2">
      <c r="A165" s="56"/>
      <c r="B165" s="58"/>
      <c r="C165" s="56" t="str">
        <f>IF(B165="","",IFERROR(VLOOKUP(B165,'04 TANIMLAR'!$A$2:$C$9,2,FALSE()),""))</f>
        <v/>
      </c>
      <c r="D165" s="58"/>
      <c r="E165" s="56" t="str">
        <f>IF(B165="","",IFERROR(VLOOKUP(B165,'04 TANIMLAR'!$A$2:$C$9,3,FALSE()),""))</f>
        <v/>
      </c>
      <c r="F165" s="58"/>
      <c r="G165" s="56"/>
      <c r="H165" s="58"/>
      <c r="I165" s="56"/>
      <c r="J165" s="56"/>
    </row>
    <row r="166" spans="1:10" ht="15" customHeight="1" x14ac:dyDescent="0.2">
      <c r="A166" s="56"/>
      <c r="B166" s="58"/>
      <c r="C166" s="56" t="str">
        <f>IF(B166="","",IFERROR(VLOOKUP(B166,'04 TANIMLAR'!$A$2:$C$9,2,FALSE()),""))</f>
        <v/>
      </c>
      <c r="D166" s="58"/>
      <c r="E166" s="56" t="str">
        <f>IF(B166="","",IFERROR(VLOOKUP(B166,'04 TANIMLAR'!$A$2:$C$9,3,FALSE()),""))</f>
        <v/>
      </c>
      <c r="F166" s="58"/>
      <c r="G166" s="56"/>
      <c r="H166" s="58"/>
      <c r="I166" s="56"/>
      <c r="J166" s="56"/>
    </row>
    <row r="167" spans="1:10" ht="15" customHeight="1" x14ac:dyDescent="0.2">
      <c r="A167" s="56"/>
      <c r="B167" s="58"/>
      <c r="C167" s="56" t="str">
        <f>IF(B167="","",IFERROR(VLOOKUP(B167,'04 TANIMLAR'!$A$2:$C$9,2,FALSE()),""))</f>
        <v/>
      </c>
      <c r="D167" s="58"/>
      <c r="E167" s="56" t="str">
        <f>IF(B167="","",IFERROR(VLOOKUP(B167,'04 TANIMLAR'!$A$2:$C$9,3,FALSE()),""))</f>
        <v/>
      </c>
      <c r="F167" s="58"/>
      <c r="G167" s="56"/>
      <c r="H167" s="58"/>
      <c r="I167" s="56"/>
      <c r="J167" s="56"/>
    </row>
    <row r="168" spans="1:10" ht="15" customHeight="1" x14ac:dyDescent="0.2">
      <c r="A168" s="56"/>
      <c r="B168" s="58"/>
      <c r="C168" s="56" t="str">
        <f>IF(B168="","",IFERROR(VLOOKUP(B168,'04 TANIMLAR'!$A$2:$C$9,2,FALSE()),""))</f>
        <v/>
      </c>
      <c r="D168" s="58"/>
      <c r="E168" s="56" t="str">
        <f>IF(B168="","",IFERROR(VLOOKUP(B168,'04 TANIMLAR'!$A$2:$C$9,3,FALSE()),""))</f>
        <v/>
      </c>
      <c r="F168" s="58"/>
      <c r="G168" s="56"/>
      <c r="H168" s="58"/>
      <c r="I168" s="56"/>
      <c r="J168" s="56"/>
    </row>
    <row r="169" spans="1:10" ht="15" customHeight="1" x14ac:dyDescent="0.2">
      <c r="A169" s="56"/>
      <c r="B169" s="58"/>
      <c r="C169" s="56" t="str">
        <f>IF(B169="","",IFERROR(VLOOKUP(B169,'04 TANIMLAR'!$A$2:$C$9,2,FALSE()),""))</f>
        <v/>
      </c>
      <c r="D169" s="58"/>
      <c r="E169" s="56" t="str">
        <f>IF(B169="","",IFERROR(VLOOKUP(B169,'04 TANIMLAR'!$A$2:$C$9,3,FALSE()),""))</f>
        <v/>
      </c>
      <c r="F169" s="58"/>
      <c r="G169" s="56"/>
      <c r="H169" s="58"/>
      <c r="I169" s="56"/>
      <c r="J169" s="56"/>
    </row>
    <row r="170" spans="1:10" ht="15" customHeight="1" x14ac:dyDescent="0.2">
      <c r="A170" s="56"/>
      <c r="B170" s="58"/>
      <c r="C170" s="56" t="str">
        <f>IF(B170="","",IFERROR(VLOOKUP(B170,'04 TANIMLAR'!$A$2:$C$9,2,FALSE()),""))</f>
        <v/>
      </c>
      <c r="D170" s="58"/>
      <c r="E170" s="56" t="str">
        <f>IF(B170="","",IFERROR(VLOOKUP(B170,'04 TANIMLAR'!$A$2:$C$9,3,FALSE()),""))</f>
        <v/>
      </c>
      <c r="F170" s="58"/>
      <c r="G170" s="56"/>
      <c r="H170" s="58"/>
      <c r="I170" s="56"/>
      <c r="J170" s="56"/>
    </row>
    <row r="171" spans="1:10" ht="15" customHeight="1" x14ac:dyDescent="0.2">
      <c r="A171" s="56"/>
      <c r="B171" s="58"/>
      <c r="C171" s="56" t="str">
        <f>IF(B171="","",IFERROR(VLOOKUP(B171,'04 TANIMLAR'!$A$2:$C$9,2,FALSE()),""))</f>
        <v/>
      </c>
      <c r="D171" s="58"/>
      <c r="E171" s="56" t="str">
        <f>IF(B171="","",IFERROR(VLOOKUP(B171,'04 TANIMLAR'!$A$2:$C$9,3,FALSE()),""))</f>
        <v/>
      </c>
      <c r="F171" s="58"/>
      <c r="G171" s="56"/>
      <c r="H171" s="58"/>
      <c r="I171" s="56"/>
      <c r="J171" s="56"/>
    </row>
    <row r="172" spans="1:10" ht="15" customHeight="1" x14ac:dyDescent="0.2">
      <c r="A172" s="56"/>
      <c r="B172" s="58"/>
      <c r="C172" s="56" t="str">
        <f>IF(B172="","",IFERROR(VLOOKUP(B172,'04 TANIMLAR'!$A$2:$C$9,2,FALSE()),""))</f>
        <v/>
      </c>
      <c r="D172" s="58"/>
      <c r="E172" s="56" t="str">
        <f>IF(B172="","",IFERROR(VLOOKUP(B172,'04 TANIMLAR'!$A$2:$C$9,3,FALSE()),""))</f>
        <v/>
      </c>
      <c r="F172" s="58"/>
      <c r="G172" s="56"/>
      <c r="H172" s="58"/>
      <c r="I172" s="56"/>
      <c r="J172" s="56"/>
    </row>
    <row r="173" spans="1:10" ht="15" customHeight="1" x14ac:dyDescent="0.2">
      <c r="A173" s="56"/>
      <c r="B173" s="58"/>
      <c r="C173" s="56" t="str">
        <f>IF(B173="","",IFERROR(VLOOKUP(B173,'04 TANIMLAR'!$A$2:$C$9,2,FALSE()),""))</f>
        <v/>
      </c>
      <c r="D173" s="58"/>
      <c r="E173" s="56" t="str">
        <f>IF(B173="","",IFERROR(VLOOKUP(B173,'04 TANIMLAR'!$A$2:$C$9,3,FALSE()),""))</f>
        <v/>
      </c>
      <c r="F173" s="58"/>
      <c r="G173" s="56"/>
      <c r="H173" s="58"/>
      <c r="I173" s="56"/>
      <c r="J173" s="56"/>
    </row>
    <row r="174" spans="1:10" ht="15" customHeight="1" x14ac:dyDescent="0.2">
      <c r="A174" s="56"/>
      <c r="B174" s="58"/>
      <c r="C174" s="56" t="str">
        <f>IF(B174="","",IFERROR(VLOOKUP(B174,'04 TANIMLAR'!$A$2:$C$9,2,FALSE()),""))</f>
        <v/>
      </c>
      <c r="D174" s="58"/>
      <c r="E174" s="56" t="str">
        <f>IF(B174="","",IFERROR(VLOOKUP(B174,'04 TANIMLAR'!$A$2:$C$9,3,FALSE()),""))</f>
        <v/>
      </c>
      <c r="F174" s="58"/>
      <c r="G174" s="56"/>
      <c r="H174" s="58"/>
      <c r="I174" s="56"/>
      <c r="J174" s="56"/>
    </row>
    <row r="175" spans="1:10" ht="15" customHeight="1" x14ac:dyDescent="0.2">
      <c r="A175" s="56"/>
      <c r="B175" s="58"/>
      <c r="C175" s="56" t="str">
        <f>IF(B175="","",IFERROR(VLOOKUP(B175,'04 TANIMLAR'!$A$2:$C$9,2,FALSE()),""))</f>
        <v/>
      </c>
      <c r="D175" s="58"/>
      <c r="E175" s="56" t="str">
        <f>IF(B175="","",IFERROR(VLOOKUP(B175,'04 TANIMLAR'!$A$2:$C$9,3,FALSE()),""))</f>
        <v/>
      </c>
      <c r="F175" s="58"/>
      <c r="G175" s="56"/>
      <c r="H175" s="58"/>
      <c r="I175" s="56"/>
      <c r="J175" s="56"/>
    </row>
    <row r="176" spans="1:10" ht="15" customHeight="1" x14ac:dyDescent="0.2">
      <c r="A176" s="56"/>
      <c r="B176" s="58"/>
      <c r="C176" s="56" t="str">
        <f>IF(B176="","",IFERROR(VLOOKUP(B176,'04 TANIMLAR'!$A$2:$C$9,2,FALSE()),""))</f>
        <v/>
      </c>
      <c r="D176" s="58"/>
      <c r="E176" s="56" t="str">
        <f>IF(B176="","",IFERROR(VLOOKUP(B176,'04 TANIMLAR'!$A$2:$C$9,3,FALSE()),""))</f>
        <v/>
      </c>
      <c r="F176" s="58"/>
      <c r="G176" s="56"/>
      <c r="H176" s="58"/>
      <c r="I176" s="56"/>
      <c r="J176" s="56"/>
    </row>
    <row r="177" spans="1:10" ht="15" customHeight="1" x14ac:dyDescent="0.2">
      <c r="A177" s="56"/>
      <c r="B177" s="58"/>
      <c r="C177" s="56" t="str">
        <f>IF(B177="","",IFERROR(VLOOKUP(B177,'04 TANIMLAR'!$A$2:$C$9,2,FALSE()),""))</f>
        <v/>
      </c>
      <c r="D177" s="58"/>
      <c r="E177" s="56" t="str">
        <f>IF(B177="","",IFERROR(VLOOKUP(B177,'04 TANIMLAR'!$A$2:$C$9,3,FALSE()),""))</f>
        <v/>
      </c>
      <c r="F177" s="58"/>
      <c r="G177" s="56"/>
      <c r="H177" s="58"/>
      <c r="I177" s="56"/>
      <c r="J177" s="56"/>
    </row>
    <row r="178" spans="1:10" ht="15" customHeight="1" x14ac:dyDescent="0.2">
      <c r="A178" s="56"/>
      <c r="B178" s="58"/>
      <c r="C178" s="56" t="str">
        <f>IF(B178="","",IFERROR(VLOOKUP(B178,'04 TANIMLAR'!$A$2:$C$9,2,FALSE()),""))</f>
        <v/>
      </c>
      <c r="D178" s="58"/>
      <c r="E178" s="56" t="str">
        <f>IF(B178="","",IFERROR(VLOOKUP(B178,'04 TANIMLAR'!$A$2:$C$9,3,FALSE()),""))</f>
        <v/>
      </c>
      <c r="F178" s="58"/>
      <c r="G178" s="56"/>
      <c r="H178" s="58"/>
      <c r="I178" s="56"/>
      <c r="J178" s="56"/>
    </row>
    <row r="179" spans="1:10" ht="15" customHeight="1" x14ac:dyDescent="0.2">
      <c r="A179" s="56"/>
      <c r="B179" s="58"/>
      <c r="C179" s="56" t="str">
        <f>IF(B179="","",IFERROR(VLOOKUP(B179,'04 TANIMLAR'!$A$2:$C$9,2,FALSE()),""))</f>
        <v/>
      </c>
      <c r="D179" s="58"/>
      <c r="E179" s="56" t="str">
        <f>IF(B179="","",IFERROR(VLOOKUP(B179,'04 TANIMLAR'!$A$2:$C$9,3,FALSE()),""))</f>
        <v/>
      </c>
      <c r="F179" s="58"/>
      <c r="G179" s="56"/>
      <c r="H179" s="58"/>
      <c r="I179" s="56"/>
      <c r="J179" s="56"/>
    </row>
    <row r="180" spans="1:10" ht="15" customHeight="1" x14ac:dyDescent="0.2">
      <c r="A180" s="56"/>
      <c r="B180" s="58"/>
      <c r="C180" s="56" t="str">
        <f>IF(B180="","",IFERROR(VLOOKUP(B180,'04 TANIMLAR'!$A$2:$C$9,2,FALSE()),""))</f>
        <v/>
      </c>
      <c r="D180" s="58"/>
      <c r="E180" s="56" t="str">
        <f>IF(B180="","",IFERROR(VLOOKUP(B180,'04 TANIMLAR'!$A$2:$C$9,3,FALSE()),""))</f>
        <v/>
      </c>
      <c r="F180" s="58"/>
      <c r="G180" s="56"/>
      <c r="H180" s="58"/>
      <c r="I180" s="56"/>
      <c r="J180" s="56"/>
    </row>
    <row r="181" spans="1:10" ht="15" customHeight="1" x14ac:dyDescent="0.2">
      <c r="A181" s="56"/>
      <c r="B181" s="58"/>
      <c r="C181" s="56" t="str">
        <f>IF(B181="","",IFERROR(VLOOKUP(B181,'04 TANIMLAR'!$A$2:$C$9,2,FALSE()),""))</f>
        <v/>
      </c>
      <c r="D181" s="58"/>
      <c r="E181" s="56" t="str">
        <f>IF(B181="","",IFERROR(VLOOKUP(B181,'04 TANIMLAR'!$A$2:$C$9,3,FALSE()),""))</f>
        <v/>
      </c>
      <c r="F181" s="58"/>
      <c r="G181" s="56"/>
      <c r="H181" s="58"/>
      <c r="I181" s="56"/>
      <c r="J181" s="56"/>
    </row>
    <row r="182" spans="1:10" ht="15" customHeight="1" x14ac:dyDescent="0.2">
      <c r="A182" s="56"/>
      <c r="B182" s="58"/>
      <c r="C182" s="56" t="str">
        <f>IF(B182="","",IFERROR(VLOOKUP(B182,'04 TANIMLAR'!$A$2:$C$9,2,FALSE()),""))</f>
        <v/>
      </c>
      <c r="D182" s="58"/>
      <c r="E182" s="56" t="str">
        <f>IF(B182="","",IFERROR(VLOOKUP(B182,'04 TANIMLAR'!$A$2:$C$9,3,FALSE()),""))</f>
        <v/>
      </c>
      <c r="F182" s="58"/>
      <c r="G182" s="56"/>
      <c r="H182" s="58"/>
      <c r="I182" s="56"/>
      <c r="J182" s="56"/>
    </row>
    <row r="183" spans="1:10" ht="15" customHeight="1" x14ac:dyDescent="0.2">
      <c r="A183" s="56"/>
      <c r="B183" s="58"/>
      <c r="C183" s="56" t="str">
        <f>IF(B183="","",IFERROR(VLOOKUP(B183,'04 TANIMLAR'!$A$2:$C$9,2,FALSE()),""))</f>
        <v/>
      </c>
      <c r="D183" s="58"/>
      <c r="E183" s="56" t="str">
        <f>IF(B183="","",IFERROR(VLOOKUP(B183,'04 TANIMLAR'!$A$2:$C$9,3,FALSE()),""))</f>
        <v/>
      </c>
      <c r="F183" s="58"/>
      <c r="G183" s="56"/>
      <c r="H183" s="58"/>
      <c r="I183" s="56"/>
      <c r="J183" s="56"/>
    </row>
    <row r="184" spans="1:10" ht="15" customHeight="1" x14ac:dyDescent="0.2">
      <c r="A184" s="56"/>
      <c r="B184" s="58"/>
      <c r="C184" s="56" t="str">
        <f>IF(B184="","",IFERROR(VLOOKUP(B184,'04 TANIMLAR'!$A$2:$C$9,2,FALSE()),""))</f>
        <v/>
      </c>
      <c r="D184" s="58"/>
      <c r="E184" s="56" t="str">
        <f>IF(B184="","",IFERROR(VLOOKUP(B184,'04 TANIMLAR'!$A$2:$C$9,3,FALSE()),""))</f>
        <v/>
      </c>
      <c r="F184" s="58"/>
      <c r="G184" s="56"/>
      <c r="H184" s="58"/>
      <c r="I184" s="56"/>
      <c r="J184" s="56"/>
    </row>
    <row r="185" spans="1:10" ht="15" customHeight="1" x14ac:dyDescent="0.2">
      <c r="A185" s="56"/>
      <c r="B185" s="58"/>
      <c r="C185" s="56" t="str">
        <f>IF(B185="","",IFERROR(VLOOKUP(B185,'04 TANIMLAR'!$A$2:$C$9,2,FALSE()),""))</f>
        <v/>
      </c>
      <c r="D185" s="58"/>
      <c r="E185" s="56" t="str">
        <f>IF(B185="","",IFERROR(VLOOKUP(B185,'04 TANIMLAR'!$A$2:$C$9,3,FALSE()),""))</f>
        <v/>
      </c>
      <c r="F185" s="58"/>
      <c r="G185" s="56"/>
      <c r="H185" s="58"/>
      <c r="I185" s="56"/>
      <c r="J185" s="56"/>
    </row>
    <row r="186" spans="1:10" ht="15" customHeight="1" x14ac:dyDescent="0.2">
      <c r="A186" s="56"/>
      <c r="B186" s="58"/>
      <c r="C186" s="56" t="str">
        <f>IF(B186="","",IFERROR(VLOOKUP(B186,'04 TANIMLAR'!$A$2:$C$9,2,FALSE()),""))</f>
        <v/>
      </c>
      <c r="D186" s="58"/>
      <c r="E186" s="56" t="str">
        <f>IF(B186="","",IFERROR(VLOOKUP(B186,'04 TANIMLAR'!$A$2:$C$9,3,FALSE()),""))</f>
        <v/>
      </c>
      <c r="F186" s="58"/>
      <c r="G186" s="56"/>
      <c r="H186" s="58"/>
      <c r="I186" s="56"/>
      <c r="J186" s="56"/>
    </row>
    <row r="187" spans="1:10" ht="15" customHeight="1" x14ac:dyDescent="0.2">
      <c r="A187" s="56"/>
      <c r="B187" s="58"/>
      <c r="C187" s="56" t="str">
        <f>IF(B187="","",IFERROR(VLOOKUP(B187,'04 TANIMLAR'!$A$2:$C$9,2,FALSE()),""))</f>
        <v/>
      </c>
      <c r="D187" s="58"/>
      <c r="E187" s="56" t="str">
        <f>IF(B187="","",IFERROR(VLOOKUP(B187,'04 TANIMLAR'!$A$2:$C$9,3,FALSE()),""))</f>
        <v/>
      </c>
      <c r="F187" s="58"/>
      <c r="G187" s="56"/>
      <c r="H187" s="58"/>
      <c r="I187" s="56"/>
      <c r="J187" s="56"/>
    </row>
    <row r="188" spans="1:10" ht="15" customHeight="1" x14ac:dyDescent="0.2">
      <c r="A188" s="56"/>
      <c r="B188" s="58"/>
      <c r="C188" s="56" t="str">
        <f>IF(B188="","",IFERROR(VLOOKUP(B188,'04 TANIMLAR'!$A$2:$C$9,2,FALSE()),""))</f>
        <v/>
      </c>
      <c r="D188" s="58"/>
      <c r="E188" s="56" t="str">
        <f>IF(B188="","",IFERROR(VLOOKUP(B188,'04 TANIMLAR'!$A$2:$C$9,3,FALSE()),""))</f>
        <v/>
      </c>
      <c r="F188" s="58"/>
      <c r="G188" s="56"/>
      <c r="H188" s="58"/>
      <c r="I188" s="56"/>
      <c r="J188" s="56"/>
    </row>
    <row r="189" spans="1:10" ht="15" customHeight="1" x14ac:dyDescent="0.2">
      <c r="A189" s="56"/>
      <c r="B189" s="58"/>
      <c r="C189" s="56" t="str">
        <f>IF(B189="","",IFERROR(VLOOKUP(B189,'04 TANIMLAR'!$A$2:$C$9,2,FALSE()),""))</f>
        <v/>
      </c>
      <c r="D189" s="58"/>
      <c r="E189" s="56" t="str">
        <f>IF(B189="","",IFERROR(VLOOKUP(B189,'04 TANIMLAR'!$A$2:$C$9,3,FALSE()),""))</f>
        <v/>
      </c>
      <c r="F189" s="58"/>
      <c r="G189" s="56"/>
      <c r="H189" s="58"/>
      <c r="I189" s="56"/>
      <c r="J189" s="56"/>
    </row>
    <row r="190" spans="1:10" ht="15" customHeight="1" x14ac:dyDescent="0.2">
      <c r="A190" s="56"/>
      <c r="B190" s="58"/>
      <c r="C190" s="56" t="str">
        <f>IF(B190="","",IFERROR(VLOOKUP(B190,'04 TANIMLAR'!$A$2:$C$9,2,FALSE()),""))</f>
        <v/>
      </c>
      <c r="D190" s="58"/>
      <c r="E190" s="56" t="str">
        <f>IF(B190="","",IFERROR(VLOOKUP(B190,'04 TANIMLAR'!$A$2:$C$9,3,FALSE()),""))</f>
        <v/>
      </c>
      <c r="F190" s="58"/>
      <c r="G190" s="56"/>
      <c r="H190" s="58"/>
      <c r="I190" s="56"/>
      <c r="J190" s="56"/>
    </row>
    <row r="191" spans="1:10" ht="15" customHeight="1" x14ac:dyDescent="0.2">
      <c r="A191" s="56"/>
      <c r="B191" s="58"/>
      <c r="C191" s="56" t="str">
        <f>IF(B191="","",IFERROR(VLOOKUP(B191,'04 TANIMLAR'!$A$2:$C$9,2,FALSE()),""))</f>
        <v/>
      </c>
      <c r="D191" s="58"/>
      <c r="E191" s="56" t="str">
        <f>IF(B191="","",IFERROR(VLOOKUP(B191,'04 TANIMLAR'!$A$2:$C$9,3,FALSE()),""))</f>
        <v/>
      </c>
      <c r="F191" s="58"/>
      <c r="G191" s="56"/>
      <c r="H191" s="58"/>
      <c r="I191" s="56"/>
      <c r="J191" s="56"/>
    </row>
    <row r="192" spans="1:10" ht="15" customHeight="1" x14ac:dyDescent="0.2">
      <c r="A192" s="56"/>
      <c r="B192" s="58"/>
      <c r="C192" s="56" t="str">
        <f>IF(B192="","",IFERROR(VLOOKUP(B192,'04 TANIMLAR'!$A$2:$C$9,2,FALSE()),""))</f>
        <v/>
      </c>
      <c r="D192" s="58"/>
      <c r="E192" s="56" t="str">
        <f>IF(B192="","",IFERROR(VLOOKUP(B192,'04 TANIMLAR'!$A$2:$C$9,3,FALSE()),""))</f>
        <v/>
      </c>
      <c r="F192" s="58"/>
      <c r="G192" s="56"/>
      <c r="H192" s="58"/>
      <c r="I192" s="56"/>
      <c r="J192" s="56"/>
    </row>
    <row r="193" spans="1:10" ht="15" customHeight="1" x14ac:dyDescent="0.2">
      <c r="A193" s="56"/>
      <c r="B193" s="58"/>
      <c r="C193" s="56" t="str">
        <f>IF(B193="","",IFERROR(VLOOKUP(B193,'04 TANIMLAR'!$A$2:$C$9,2,FALSE()),""))</f>
        <v/>
      </c>
      <c r="D193" s="58"/>
      <c r="E193" s="56" t="str">
        <f>IF(B193="","",IFERROR(VLOOKUP(B193,'04 TANIMLAR'!$A$2:$C$9,3,FALSE()),""))</f>
        <v/>
      </c>
      <c r="F193" s="58"/>
      <c r="G193" s="56"/>
      <c r="H193" s="58"/>
      <c r="I193" s="56"/>
      <c r="J193" s="56"/>
    </row>
    <row r="194" spans="1:10" ht="15" customHeight="1" x14ac:dyDescent="0.2">
      <c r="A194" s="56"/>
      <c r="B194" s="58"/>
      <c r="C194" s="56" t="str">
        <f>IF(B194="","",IFERROR(VLOOKUP(B194,'04 TANIMLAR'!$A$2:$C$9,2,FALSE()),""))</f>
        <v/>
      </c>
      <c r="D194" s="58"/>
      <c r="E194" s="56" t="str">
        <f>IF(B194="","",IFERROR(VLOOKUP(B194,'04 TANIMLAR'!$A$2:$C$9,3,FALSE()),""))</f>
        <v/>
      </c>
      <c r="F194" s="58"/>
      <c r="G194" s="56"/>
      <c r="H194" s="58"/>
      <c r="I194" s="56"/>
      <c r="J194" s="56"/>
    </row>
    <row r="195" spans="1:10" ht="15" customHeight="1" x14ac:dyDescent="0.2">
      <c r="A195" s="56"/>
      <c r="B195" s="58"/>
      <c r="C195" s="56" t="str">
        <f>IF(B195="","",IFERROR(VLOOKUP(B195,'04 TANIMLAR'!$A$2:$C$9,2,FALSE()),""))</f>
        <v/>
      </c>
      <c r="D195" s="58"/>
      <c r="E195" s="56" t="str">
        <f>IF(B195="","",IFERROR(VLOOKUP(B195,'04 TANIMLAR'!$A$2:$C$9,3,FALSE()),""))</f>
        <v/>
      </c>
      <c r="F195" s="58"/>
      <c r="G195" s="56"/>
      <c r="H195" s="58"/>
      <c r="I195" s="56"/>
      <c r="J195" s="56"/>
    </row>
    <row r="196" spans="1:10" ht="15" customHeight="1" x14ac:dyDescent="0.2">
      <c r="A196" s="56"/>
      <c r="B196" s="58"/>
      <c r="C196" s="56" t="str">
        <f>IF(B196="","",IFERROR(VLOOKUP(B196,'04 TANIMLAR'!$A$2:$C$9,2,FALSE()),""))</f>
        <v/>
      </c>
      <c r="D196" s="58"/>
      <c r="E196" s="56" t="str">
        <f>IF(B196="","",IFERROR(VLOOKUP(B196,'04 TANIMLAR'!$A$2:$C$9,3,FALSE()),""))</f>
        <v/>
      </c>
      <c r="F196" s="58"/>
      <c r="G196" s="56"/>
      <c r="H196" s="58"/>
      <c r="I196" s="56"/>
      <c r="J196" s="56"/>
    </row>
    <row r="197" spans="1:10" ht="15" customHeight="1" x14ac:dyDescent="0.2">
      <c r="A197" s="56"/>
      <c r="B197" s="58"/>
      <c r="C197" s="56" t="str">
        <f>IF(B197="","",IFERROR(VLOOKUP(B197,'04 TANIMLAR'!$A$2:$C$9,2,FALSE()),""))</f>
        <v/>
      </c>
      <c r="D197" s="58"/>
      <c r="E197" s="56" t="str">
        <f>IF(B197="","",IFERROR(VLOOKUP(B197,'04 TANIMLAR'!$A$2:$C$9,3,FALSE()),""))</f>
        <v/>
      </c>
      <c r="F197" s="58"/>
      <c r="G197" s="56"/>
      <c r="H197" s="58"/>
      <c r="I197" s="56"/>
      <c r="J197" s="56"/>
    </row>
    <row r="198" spans="1:10" ht="15" customHeight="1" x14ac:dyDescent="0.2">
      <c r="A198" s="56"/>
      <c r="B198" s="58"/>
      <c r="C198" s="56" t="str">
        <f>IF(B198="","",IFERROR(VLOOKUP(B198,'04 TANIMLAR'!$A$2:$C$9,2,FALSE()),""))</f>
        <v/>
      </c>
      <c r="D198" s="58"/>
      <c r="E198" s="56" t="str">
        <f>IF(B198="","",IFERROR(VLOOKUP(B198,'04 TANIMLAR'!$A$2:$C$9,3,FALSE()),""))</f>
        <v/>
      </c>
      <c r="F198" s="58"/>
      <c r="G198" s="56"/>
      <c r="H198" s="58"/>
      <c r="I198" s="56"/>
      <c r="J198" s="56"/>
    </row>
    <row r="199" spans="1:10" ht="15" customHeight="1" x14ac:dyDescent="0.2">
      <c r="A199" s="56"/>
      <c r="B199" s="58"/>
      <c r="C199" s="56" t="str">
        <f>IF(B199="","",IFERROR(VLOOKUP(B199,'04 TANIMLAR'!$A$2:$C$9,2,FALSE()),""))</f>
        <v/>
      </c>
      <c r="D199" s="58"/>
      <c r="E199" s="56" t="str">
        <f>IF(B199="","",IFERROR(VLOOKUP(B199,'04 TANIMLAR'!$A$2:$C$9,3,FALSE()),""))</f>
        <v/>
      </c>
      <c r="F199" s="58"/>
      <c r="G199" s="56"/>
      <c r="H199" s="58"/>
      <c r="I199" s="56"/>
      <c r="J199" s="56"/>
    </row>
    <row r="200" spans="1:10" ht="15" customHeight="1" x14ac:dyDescent="0.2">
      <c r="A200" s="56"/>
      <c r="B200" s="58"/>
      <c r="C200" s="56" t="str">
        <f>IF(B200="","",IFERROR(VLOOKUP(B200,'04 TANIMLAR'!$A$2:$C$9,2,FALSE()),""))</f>
        <v/>
      </c>
      <c r="D200" s="58"/>
      <c r="E200" s="56" t="str">
        <f>IF(B200="","",IFERROR(VLOOKUP(B200,'04 TANIMLAR'!$A$2:$C$9,3,FALSE()),""))</f>
        <v/>
      </c>
      <c r="F200" s="58"/>
      <c r="G200" s="56"/>
      <c r="H200" s="58"/>
      <c r="I200" s="56"/>
      <c r="J200" s="56"/>
    </row>
    <row r="201" spans="1:10" ht="15" customHeight="1" x14ac:dyDescent="0.2">
      <c r="A201" s="56"/>
      <c r="B201" s="58"/>
      <c r="C201" s="56" t="str">
        <f>IF(B201="","",IFERROR(VLOOKUP(B201,'04 TANIMLAR'!$A$2:$C$9,2,FALSE()),""))</f>
        <v/>
      </c>
      <c r="D201" s="58"/>
      <c r="E201" s="56" t="str">
        <f>IF(B201="","",IFERROR(VLOOKUP(B201,'04 TANIMLAR'!$A$2:$C$9,3,FALSE()),""))</f>
        <v/>
      </c>
      <c r="F201" s="58"/>
      <c r="G201" s="56"/>
      <c r="H201" s="58"/>
      <c r="I201" s="56"/>
      <c r="J201" s="56"/>
    </row>
    <row r="202" spans="1:10" ht="15" customHeight="1" x14ac:dyDescent="0.2">
      <c r="A202" s="56"/>
      <c r="B202" s="58"/>
      <c r="C202" s="56" t="str">
        <f>IF(B202="","",IFERROR(VLOOKUP(B202,'04 TANIMLAR'!$A$2:$C$9,2,FALSE()),""))</f>
        <v/>
      </c>
      <c r="D202" s="58"/>
      <c r="E202" s="56" t="str">
        <f>IF(B202="","",IFERROR(VLOOKUP(B202,'04 TANIMLAR'!$A$2:$C$9,3,FALSE()),""))</f>
        <v/>
      </c>
      <c r="F202" s="58"/>
      <c r="G202" s="56"/>
      <c r="H202" s="58"/>
      <c r="I202" s="56"/>
      <c r="J202" s="56"/>
    </row>
    <row r="203" spans="1:10" ht="15" customHeight="1" x14ac:dyDescent="0.2">
      <c r="A203" s="56"/>
      <c r="B203" s="58"/>
      <c r="C203" s="56" t="str">
        <f>IF(B203="","",IFERROR(VLOOKUP(B203,'04 TANIMLAR'!$A$2:$C$9,2,FALSE()),""))</f>
        <v/>
      </c>
      <c r="D203" s="58"/>
      <c r="E203" s="56" t="str">
        <f>IF(B203="","",IFERROR(VLOOKUP(B203,'04 TANIMLAR'!$A$2:$C$9,3,FALSE()),""))</f>
        <v/>
      </c>
      <c r="F203" s="58"/>
      <c r="G203" s="56"/>
      <c r="H203" s="58"/>
      <c r="I203" s="56"/>
      <c r="J203" s="56"/>
    </row>
    <row r="204" spans="1:10" ht="15" customHeight="1" x14ac:dyDescent="0.2">
      <c r="A204" s="56"/>
      <c r="B204" s="58"/>
      <c r="C204" s="56" t="str">
        <f>IF(B204="","",IFERROR(VLOOKUP(B204,'04 TANIMLAR'!$A$2:$C$9,2,FALSE()),""))</f>
        <v/>
      </c>
      <c r="D204" s="58"/>
      <c r="E204" s="56" t="str">
        <f>IF(B204="","",IFERROR(VLOOKUP(B204,'04 TANIMLAR'!$A$2:$C$9,3,FALSE()),""))</f>
        <v/>
      </c>
      <c r="F204" s="58"/>
      <c r="G204" s="56"/>
      <c r="H204" s="58"/>
      <c r="I204" s="56"/>
      <c r="J204" s="56"/>
    </row>
    <row r="205" spans="1:10" ht="15" customHeight="1" x14ac:dyDescent="0.2">
      <c r="A205" s="56"/>
      <c r="B205" s="58"/>
      <c r="C205" s="56" t="str">
        <f>IF(B205="","",IFERROR(VLOOKUP(B205,'04 TANIMLAR'!$A$2:$C$9,2,FALSE()),""))</f>
        <v/>
      </c>
      <c r="D205" s="58"/>
      <c r="E205" s="56" t="str">
        <f>IF(B205="","",IFERROR(VLOOKUP(B205,'04 TANIMLAR'!$A$2:$C$9,3,FALSE()),""))</f>
        <v/>
      </c>
      <c r="F205" s="58"/>
      <c r="G205" s="56"/>
      <c r="H205" s="58"/>
      <c r="I205" s="56"/>
      <c r="J205" s="56"/>
    </row>
    <row r="206" spans="1:10" ht="15" customHeight="1" x14ac:dyDescent="0.2">
      <c r="A206" s="56"/>
      <c r="B206" s="58"/>
      <c r="C206" s="56" t="str">
        <f>IF(B206="","",IFERROR(VLOOKUP(B206,'04 TANIMLAR'!$A$2:$C$9,2,FALSE()),""))</f>
        <v/>
      </c>
      <c r="D206" s="58"/>
      <c r="E206" s="56" t="str">
        <f>IF(B206="","",IFERROR(VLOOKUP(B206,'04 TANIMLAR'!$A$2:$C$9,3,FALSE()),""))</f>
        <v/>
      </c>
      <c r="F206" s="58"/>
      <c r="G206" s="56"/>
      <c r="H206" s="58"/>
      <c r="I206" s="56"/>
      <c r="J206" s="56"/>
    </row>
    <row r="207" spans="1:10" ht="15" customHeight="1" x14ac:dyDescent="0.2">
      <c r="A207" s="56"/>
      <c r="B207" s="58"/>
      <c r="C207" s="56" t="str">
        <f>IF(B207="","",IFERROR(VLOOKUP(B207,'04 TANIMLAR'!$A$2:$C$9,2,FALSE()),""))</f>
        <v/>
      </c>
      <c r="D207" s="58"/>
      <c r="E207" s="56" t="str">
        <f>IF(B207="","",IFERROR(VLOOKUP(B207,'04 TANIMLAR'!$A$2:$C$9,3,FALSE()),""))</f>
        <v/>
      </c>
      <c r="F207" s="58"/>
      <c r="G207" s="56"/>
      <c r="H207" s="58"/>
      <c r="I207" s="56"/>
      <c r="J207" s="56"/>
    </row>
    <row r="208" spans="1:10" ht="15" customHeight="1" x14ac:dyDescent="0.2">
      <c r="A208" s="56"/>
      <c r="B208" s="58"/>
      <c r="C208" s="56" t="str">
        <f>IF(B208="","",IFERROR(VLOOKUP(B208,'04 TANIMLAR'!$A$2:$C$9,2,FALSE()),""))</f>
        <v/>
      </c>
      <c r="D208" s="58"/>
      <c r="E208" s="56" t="str">
        <f>IF(B208="","",IFERROR(VLOOKUP(B208,'04 TANIMLAR'!$A$2:$C$9,3,FALSE()),""))</f>
        <v/>
      </c>
      <c r="F208" s="58"/>
      <c r="G208" s="56"/>
      <c r="H208" s="58"/>
      <c r="I208" s="56"/>
      <c r="J208" s="56"/>
    </row>
    <row r="209" spans="1:10" ht="15" customHeight="1" x14ac:dyDescent="0.2">
      <c r="A209" s="56"/>
      <c r="B209" s="58"/>
      <c r="C209" s="56" t="str">
        <f>IF(B209="","",IFERROR(VLOOKUP(B209,'04 TANIMLAR'!$A$2:$C$9,2,FALSE()),""))</f>
        <v/>
      </c>
      <c r="D209" s="58"/>
      <c r="E209" s="56" t="str">
        <f>IF(B209="","",IFERROR(VLOOKUP(B209,'04 TANIMLAR'!$A$2:$C$9,3,FALSE()),""))</f>
        <v/>
      </c>
      <c r="F209" s="58"/>
      <c r="G209" s="56"/>
      <c r="H209" s="58"/>
      <c r="I209" s="56"/>
      <c r="J209" s="56"/>
    </row>
    <row r="210" spans="1:10" ht="15" customHeight="1" x14ac:dyDescent="0.2">
      <c r="A210" s="56"/>
      <c r="B210" s="58"/>
      <c r="C210" s="56" t="str">
        <f>IF(B210="","",IFERROR(VLOOKUP(B210,'04 TANIMLAR'!$A$2:$C$9,2,FALSE()),""))</f>
        <v/>
      </c>
      <c r="D210" s="58"/>
      <c r="E210" s="56" t="str">
        <f>IF(B210="","",IFERROR(VLOOKUP(B210,'04 TANIMLAR'!$A$2:$C$9,3,FALSE()),""))</f>
        <v/>
      </c>
      <c r="F210" s="58"/>
      <c r="G210" s="56"/>
      <c r="H210" s="58"/>
      <c r="I210" s="56"/>
      <c r="J210" s="56"/>
    </row>
    <row r="211" spans="1:10" ht="15" customHeight="1" x14ac:dyDescent="0.2">
      <c r="A211" s="56"/>
      <c r="B211" s="58"/>
      <c r="C211" s="56" t="str">
        <f>IF(B211="","",IFERROR(VLOOKUP(B211,'04 TANIMLAR'!$A$2:$C$9,2,FALSE()),""))</f>
        <v/>
      </c>
      <c r="D211" s="58"/>
      <c r="E211" s="56" t="str">
        <f>IF(B211="","",IFERROR(VLOOKUP(B211,'04 TANIMLAR'!$A$2:$C$9,3,FALSE()),""))</f>
        <v/>
      </c>
      <c r="F211" s="58"/>
      <c r="G211" s="56"/>
      <c r="H211" s="58"/>
      <c r="I211" s="56"/>
      <c r="J211" s="56"/>
    </row>
    <row r="212" spans="1:10" ht="15" customHeight="1" x14ac:dyDescent="0.2">
      <c r="A212" s="56"/>
      <c r="B212" s="58"/>
      <c r="C212" s="56" t="str">
        <f>IF(B212="","",IFERROR(VLOOKUP(B212,'04 TANIMLAR'!$A$2:$C$9,2,FALSE()),""))</f>
        <v/>
      </c>
      <c r="D212" s="58"/>
      <c r="E212" s="56" t="str">
        <f>IF(B212="","",IFERROR(VLOOKUP(B212,'04 TANIMLAR'!$A$2:$C$9,3,FALSE()),""))</f>
        <v/>
      </c>
      <c r="F212" s="58"/>
      <c r="G212" s="56"/>
      <c r="H212" s="58"/>
      <c r="I212" s="56"/>
      <c r="J212" s="56"/>
    </row>
    <row r="213" spans="1:10" ht="15" customHeight="1" x14ac:dyDescent="0.2">
      <c r="A213" s="56"/>
      <c r="B213" s="58"/>
      <c r="C213" s="56" t="str">
        <f>IF(B213="","",IFERROR(VLOOKUP(B213,'04 TANIMLAR'!$A$2:$C$9,2,FALSE()),""))</f>
        <v/>
      </c>
      <c r="D213" s="58"/>
      <c r="E213" s="56" t="str">
        <f>IF(B213="","",IFERROR(VLOOKUP(B213,'04 TANIMLAR'!$A$2:$C$9,3,FALSE()),""))</f>
        <v/>
      </c>
      <c r="F213" s="58"/>
      <c r="G213" s="56"/>
      <c r="H213" s="58"/>
      <c r="I213" s="56"/>
      <c r="J213" s="56"/>
    </row>
    <row r="214" spans="1:10" ht="15" customHeight="1" x14ac:dyDescent="0.2">
      <c r="A214" s="56"/>
      <c r="B214" s="58"/>
      <c r="C214" s="56" t="str">
        <f>IF(B214="","",IFERROR(VLOOKUP(B214,'04 TANIMLAR'!$A$2:$C$9,2,FALSE()),""))</f>
        <v/>
      </c>
      <c r="D214" s="58"/>
      <c r="E214" s="56" t="str">
        <f>IF(B214="","",IFERROR(VLOOKUP(B214,'04 TANIMLAR'!$A$2:$C$9,3,FALSE()),""))</f>
        <v/>
      </c>
      <c r="F214" s="58"/>
      <c r="G214" s="56"/>
      <c r="H214" s="58"/>
      <c r="I214" s="56"/>
      <c r="J214" s="56"/>
    </row>
    <row r="215" spans="1:10" ht="15" customHeight="1" x14ac:dyDescent="0.2">
      <c r="A215" s="56"/>
      <c r="B215" s="58"/>
      <c r="C215" s="56" t="str">
        <f>IF(B215="","",IFERROR(VLOOKUP(B215,'04 TANIMLAR'!$A$2:$C$9,2,FALSE()),""))</f>
        <v/>
      </c>
      <c r="D215" s="58"/>
      <c r="E215" s="56" t="str">
        <f>IF(B215="","",IFERROR(VLOOKUP(B215,'04 TANIMLAR'!$A$2:$C$9,3,FALSE()),""))</f>
        <v/>
      </c>
      <c r="F215" s="58"/>
      <c r="G215" s="56"/>
      <c r="H215" s="58"/>
      <c r="I215" s="56"/>
      <c r="J215" s="56"/>
    </row>
    <row r="216" spans="1:10" ht="15" customHeight="1" x14ac:dyDescent="0.2">
      <c r="A216" s="56"/>
      <c r="B216" s="58"/>
      <c r="C216" s="56" t="str">
        <f>IF(B216="","",IFERROR(VLOOKUP(B216,'04 TANIMLAR'!$A$2:$C$9,2,FALSE()),""))</f>
        <v/>
      </c>
      <c r="D216" s="58"/>
      <c r="E216" s="56" t="str">
        <f>IF(B216="","",IFERROR(VLOOKUP(B216,'04 TANIMLAR'!$A$2:$C$9,3,FALSE()),""))</f>
        <v/>
      </c>
      <c r="F216" s="58"/>
      <c r="G216" s="56"/>
      <c r="H216" s="58"/>
      <c r="I216" s="56"/>
      <c r="J216" s="56"/>
    </row>
    <row r="217" spans="1:10" ht="15" customHeight="1" x14ac:dyDescent="0.2">
      <c r="A217" s="56"/>
      <c r="B217" s="58"/>
      <c r="C217" s="56" t="str">
        <f>IF(B217="","",IFERROR(VLOOKUP(B217,'04 TANIMLAR'!$A$2:$C$9,2,FALSE()),""))</f>
        <v/>
      </c>
      <c r="D217" s="58"/>
      <c r="E217" s="56" t="str">
        <f>IF(B217="","",IFERROR(VLOOKUP(B217,'04 TANIMLAR'!$A$2:$C$9,3,FALSE()),""))</f>
        <v/>
      </c>
      <c r="F217" s="58"/>
      <c r="G217" s="56"/>
      <c r="H217" s="58"/>
      <c r="I217" s="56"/>
      <c r="J217" s="56"/>
    </row>
    <row r="218" spans="1:10" ht="15" customHeight="1" x14ac:dyDescent="0.2">
      <c r="A218" s="56"/>
      <c r="B218" s="58"/>
      <c r="C218" s="56" t="str">
        <f>IF(B218="","",IFERROR(VLOOKUP(B218,'04 TANIMLAR'!$A$2:$C$9,2,FALSE()),""))</f>
        <v/>
      </c>
      <c r="D218" s="58"/>
      <c r="E218" s="56" t="str">
        <f>IF(B218="","",IFERROR(VLOOKUP(B218,'04 TANIMLAR'!$A$2:$C$9,3,FALSE()),""))</f>
        <v/>
      </c>
      <c r="F218" s="58"/>
      <c r="G218" s="56"/>
      <c r="H218" s="58"/>
      <c r="I218" s="56"/>
      <c r="J218" s="56"/>
    </row>
    <row r="219" spans="1:10" ht="15" customHeight="1" x14ac:dyDescent="0.2">
      <c r="A219" s="56"/>
      <c r="B219" s="58"/>
      <c r="C219" s="56" t="str">
        <f>IF(B219="","",IFERROR(VLOOKUP(B219,'04 TANIMLAR'!$A$2:$C$9,2,FALSE()),""))</f>
        <v/>
      </c>
      <c r="D219" s="58"/>
      <c r="E219" s="56" t="str">
        <f>IF(B219="","",IFERROR(VLOOKUP(B219,'04 TANIMLAR'!$A$2:$C$9,3,FALSE()),""))</f>
        <v/>
      </c>
      <c r="F219" s="58"/>
      <c r="G219" s="56"/>
      <c r="H219" s="58"/>
      <c r="I219" s="56"/>
      <c r="J219" s="56"/>
    </row>
    <row r="220" spans="1:10" ht="15" customHeight="1" x14ac:dyDescent="0.2">
      <c r="A220" s="56"/>
      <c r="B220" s="58"/>
      <c r="C220" s="56" t="str">
        <f>IF(B220="","",IFERROR(VLOOKUP(B220,'04 TANIMLAR'!$A$2:$C$9,2,FALSE()),""))</f>
        <v/>
      </c>
      <c r="D220" s="58"/>
      <c r="E220" s="56" t="str">
        <f>IF(B220="","",IFERROR(VLOOKUP(B220,'04 TANIMLAR'!$A$2:$C$9,3,FALSE()),""))</f>
        <v/>
      </c>
      <c r="F220" s="58"/>
      <c r="G220" s="56"/>
      <c r="H220" s="58"/>
      <c r="I220" s="56"/>
      <c r="J220" s="56"/>
    </row>
    <row r="221" spans="1:10" ht="15" customHeight="1" x14ac:dyDescent="0.2">
      <c r="A221" s="56"/>
      <c r="B221" s="58"/>
      <c r="C221" s="56" t="str">
        <f>IF(B221="","",IFERROR(VLOOKUP(B221,'04 TANIMLAR'!$A$2:$C$9,2,FALSE()),""))</f>
        <v/>
      </c>
      <c r="D221" s="58"/>
      <c r="E221" s="56" t="str">
        <f>IF(B221="","",IFERROR(VLOOKUP(B221,'04 TANIMLAR'!$A$2:$C$9,3,FALSE()),""))</f>
        <v/>
      </c>
      <c r="F221" s="58"/>
      <c r="G221" s="56"/>
      <c r="H221" s="58"/>
      <c r="I221" s="56"/>
      <c r="J221" s="56"/>
    </row>
    <row r="222" spans="1:10" ht="15" customHeight="1" x14ac:dyDescent="0.2">
      <c r="A222" s="56"/>
      <c r="B222" s="58"/>
      <c r="C222" s="56" t="str">
        <f>IF(B222="","",IFERROR(VLOOKUP(B222,'04 TANIMLAR'!$A$2:$C$9,2,FALSE()),""))</f>
        <v/>
      </c>
      <c r="D222" s="58"/>
      <c r="E222" s="56" t="str">
        <f>IF(B222="","",IFERROR(VLOOKUP(B222,'04 TANIMLAR'!$A$2:$C$9,3,FALSE()),""))</f>
        <v/>
      </c>
      <c r="F222" s="58"/>
      <c r="G222" s="56"/>
      <c r="H222" s="58"/>
      <c r="I222" s="56"/>
      <c r="J222" s="56"/>
    </row>
    <row r="223" spans="1:10" ht="15" customHeight="1" x14ac:dyDescent="0.2">
      <c r="A223" s="56"/>
      <c r="B223" s="58"/>
      <c r="C223" s="56" t="str">
        <f>IF(B223="","",IFERROR(VLOOKUP(B223,'04 TANIMLAR'!$A$2:$C$9,2,FALSE()),""))</f>
        <v/>
      </c>
      <c r="D223" s="58"/>
      <c r="E223" s="56" t="str">
        <f>IF(B223="","",IFERROR(VLOOKUP(B223,'04 TANIMLAR'!$A$2:$C$9,3,FALSE()),""))</f>
        <v/>
      </c>
      <c r="F223" s="58"/>
      <c r="G223" s="56"/>
      <c r="H223" s="58"/>
      <c r="I223" s="56"/>
      <c r="J223" s="56"/>
    </row>
    <row r="224" spans="1:10" ht="15" customHeight="1" x14ac:dyDescent="0.2">
      <c r="A224" s="56"/>
      <c r="B224" s="58"/>
      <c r="C224" s="56" t="str">
        <f>IF(B224="","",IFERROR(VLOOKUP(B224,'04 TANIMLAR'!$A$2:$C$9,2,FALSE()),""))</f>
        <v/>
      </c>
      <c r="D224" s="58"/>
      <c r="E224" s="56" t="str">
        <f>IF(B224="","",IFERROR(VLOOKUP(B224,'04 TANIMLAR'!$A$2:$C$9,3,FALSE()),""))</f>
        <v/>
      </c>
      <c r="F224" s="58"/>
      <c r="G224" s="56"/>
      <c r="H224" s="58"/>
      <c r="I224" s="56"/>
      <c r="J224" s="56"/>
    </row>
    <row r="225" spans="1:10" ht="15" customHeight="1" x14ac:dyDescent="0.2">
      <c r="A225" s="56"/>
      <c r="B225" s="58"/>
      <c r="C225" s="56" t="str">
        <f>IF(B225="","",IFERROR(VLOOKUP(B225,'04 TANIMLAR'!$A$2:$C$9,2,FALSE()),""))</f>
        <v/>
      </c>
      <c r="D225" s="58"/>
      <c r="E225" s="56" t="str">
        <f>IF(B225="","",IFERROR(VLOOKUP(B225,'04 TANIMLAR'!$A$2:$C$9,3,FALSE()),""))</f>
        <v/>
      </c>
      <c r="F225" s="58"/>
      <c r="G225" s="56"/>
      <c r="H225" s="58"/>
      <c r="I225" s="56"/>
      <c r="J225" s="56"/>
    </row>
    <row r="226" spans="1:10" ht="15" customHeight="1" x14ac:dyDescent="0.2">
      <c r="A226" s="56"/>
      <c r="B226" s="58"/>
      <c r="C226" s="56" t="str">
        <f>IF(B226="","",IFERROR(VLOOKUP(B226,'04 TANIMLAR'!$A$2:$C$9,2,FALSE()),""))</f>
        <v/>
      </c>
      <c r="D226" s="58"/>
      <c r="E226" s="56" t="str">
        <f>IF(B226="","",IFERROR(VLOOKUP(B226,'04 TANIMLAR'!$A$2:$C$9,3,FALSE()),""))</f>
        <v/>
      </c>
      <c r="F226" s="58"/>
      <c r="G226" s="56"/>
      <c r="H226" s="58"/>
      <c r="I226" s="56"/>
      <c r="J226" s="56"/>
    </row>
    <row r="227" spans="1:10" ht="15" customHeight="1" x14ac:dyDescent="0.2">
      <c r="A227" s="56"/>
      <c r="B227" s="58"/>
      <c r="C227" s="56" t="str">
        <f>IF(B227="","",IFERROR(VLOOKUP(B227,'04 TANIMLAR'!$A$2:$C$9,2,FALSE()),""))</f>
        <v/>
      </c>
      <c r="D227" s="58"/>
      <c r="E227" s="56" t="str">
        <f>IF(B227="","",IFERROR(VLOOKUP(B227,'04 TANIMLAR'!$A$2:$C$9,3,FALSE()),""))</f>
        <v/>
      </c>
      <c r="F227" s="58"/>
      <c r="G227" s="56"/>
      <c r="H227" s="58"/>
      <c r="I227" s="56"/>
      <c r="J227" s="56"/>
    </row>
    <row r="228" spans="1:10" ht="15" customHeight="1" x14ac:dyDescent="0.2">
      <c r="A228" s="56"/>
      <c r="B228" s="58"/>
      <c r="C228" s="56" t="str">
        <f>IF(B228="","",IFERROR(VLOOKUP(B228,'04 TANIMLAR'!$A$2:$C$9,2,FALSE()),""))</f>
        <v/>
      </c>
      <c r="D228" s="58"/>
      <c r="E228" s="56" t="str">
        <f>IF(B228="","",IFERROR(VLOOKUP(B228,'04 TANIMLAR'!$A$2:$C$9,3,FALSE()),""))</f>
        <v/>
      </c>
      <c r="F228" s="58"/>
      <c r="G228" s="56"/>
      <c r="H228" s="58"/>
      <c r="I228" s="56"/>
      <c r="J228" s="56"/>
    </row>
    <row r="229" spans="1:10" ht="15" customHeight="1" x14ac:dyDescent="0.2">
      <c r="A229" s="56"/>
      <c r="B229" s="58"/>
      <c r="C229" s="56" t="str">
        <f>IF(B229="","",IFERROR(VLOOKUP(B229,'04 TANIMLAR'!$A$2:$C$9,2,FALSE()),""))</f>
        <v/>
      </c>
      <c r="D229" s="58"/>
      <c r="E229" s="56" t="str">
        <f>IF(B229="","",IFERROR(VLOOKUP(B229,'04 TANIMLAR'!$A$2:$C$9,3,FALSE()),""))</f>
        <v/>
      </c>
      <c r="F229" s="58"/>
      <c r="G229" s="56"/>
      <c r="H229" s="58"/>
      <c r="I229" s="56"/>
      <c r="J229" s="56"/>
    </row>
    <row r="230" spans="1:10" ht="15" customHeight="1" x14ac:dyDescent="0.2">
      <c r="A230" s="56"/>
      <c r="B230" s="58"/>
      <c r="C230" s="56" t="str">
        <f>IF(B230="","",IFERROR(VLOOKUP(B230,'04 TANIMLAR'!$A$2:$C$9,2,FALSE()),""))</f>
        <v/>
      </c>
      <c r="D230" s="58"/>
      <c r="E230" s="56" t="str">
        <f>IF(B230="","",IFERROR(VLOOKUP(B230,'04 TANIMLAR'!$A$2:$C$9,3,FALSE()),""))</f>
        <v/>
      </c>
      <c r="F230" s="58"/>
      <c r="G230" s="56"/>
      <c r="H230" s="58"/>
      <c r="I230" s="56"/>
      <c r="J230" s="56"/>
    </row>
    <row r="231" spans="1:10" ht="15" customHeight="1" x14ac:dyDescent="0.2">
      <c r="A231" s="56"/>
      <c r="B231" s="58"/>
      <c r="C231" s="56" t="str">
        <f>IF(B231="","",IFERROR(VLOOKUP(B231,'04 TANIMLAR'!$A$2:$C$9,2,FALSE()),""))</f>
        <v/>
      </c>
      <c r="D231" s="58"/>
      <c r="E231" s="56" t="str">
        <f>IF(B231="","",IFERROR(VLOOKUP(B231,'04 TANIMLAR'!$A$2:$C$9,3,FALSE()),""))</f>
        <v/>
      </c>
      <c r="F231" s="58"/>
      <c r="G231" s="56"/>
      <c r="H231" s="58"/>
      <c r="I231" s="56"/>
      <c r="J231" s="56"/>
    </row>
    <row r="232" spans="1:10" ht="15" customHeight="1" x14ac:dyDescent="0.2">
      <c r="A232" s="56"/>
      <c r="B232" s="58"/>
      <c r="C232" s="56" t="str">
        <f>IF(B232="","",IFERROR(VLOOKUP(B232,'04 TANIMLAR'!$A$2:$C$9,2,FALSE()),""))</f>
        <v/>
      </c>
      <c r="D232" s="58"/>
      <c r="E232" s="56" t="str">
        <f>IF(B232="","",IFERROR(VLOOKUP(B232,'04 TANIMLAR'!$A$2:$C$9,3,FALSE()),""))</f>
        <v/>
      </c>
      <c r="F232" s="58"/>
      <c r="G232" s="56"/>
      <c r="H232" s="58"/>
      <c r="I232" s="56"/>
      <c r="J232" s="56"/>
    </row>
    <row r="233" spans="1:10" ht="15" customHeight="1" x14ac:dyDescent="0.2">
      <c r="A233" s="56"/>
      <c r="B233" s="58"/>
      <c r="C233" s="56" t="str">
        <f>IF(B233="","",IFERROR(VLOOKUP(B233,'04 TANIMLAR'!$A$2:$C$9,2,FALSE()),""))</f>
        <v/>
      </c>
      <c r="D233" s="58"/>
      <c r="E233" s="56" t="str">
        <f>IF(B233="","",IFERROR(VLOOKUP(B233,'04 TANIMLAR'!$A$2:$C$9,3,FALSE()),""))</f>
        <v/>
      </c>
      <c r="F233" s="58"/>
      <c r="G233" s="56"/>
      <c r="H233" s="58"/>
      <c r="I233" s="56"/>
      <c r="J233" s="56"/>
    </row>
    <row r="234" spans="1:10" ht="15" customHeight="1" x14ac:dyDescent="0.2">
      <c r="A234" s="56"/>
      <c r="B234" s="58"/>
      <c r="C234" s="56" t="str">
        <f>IF(B234="","",IFERROR(VLOOKUP(B234,'04 TANIMLAR'!$A$2:$C$9,2,FALSE()),""))</f>
        <v/>
      </c>
      <c r="D234" s="58"/>
      <c r="E234" s="56" t="str">
        <f>IF(B234="","",IFERROR(VLOOKUP(B234,'04 TANIMLAR'!$A$2:$C$9,3,FALSE()),""))</f>
        <v/>
      </c>
      <c r="F234" s="58"/>
      <c r="G234" s="56"/>
      <c r="H234" s="58"/>
      <c r="I234" s="56"/>
      <c r="J234" s="56"/>
    </row>
    <row r="235" spans="1:10" ht="15" customHeight="1" x14ac:dyDescent="0.2">
      <c r="A235" s="56"/>
      <c r="B235" s="58"/>
      <c r="C235" s="56" t="str">
        <f>IF(B235="","",IFERROR(VLOOKUP(B235,'04 TANIMLAR'!$A$2:$C$9,2,FALSE()),""))</f>
        <v/>
      </c>
      <c r="D235" s="58"/>
      <c r="E235" s="56" t="str">
        <f>IF(B235="","",IFERROR(VLOOKUP(B235,'04 TANIMLAR'!$A$2:$C$9,3,FALSE()),""))</f>
        <v/>
      </c>
      <c r="F235" s="58"/>
      <c r="G235" s="56"/>
      <c r="H235" s="58"/>
      <c r="I235" s="56"/>
      <c r="J235" s="56"/>
    </row>
    <row r="236" spans="1:10" ht="15" customHeight="1" x14ac:dyDescent="0.2">
      <c r="A236" s="56"/>
      <c r="B236" s="58"/>
      <c r="C236" s="56" t="str">
        <f>IF(B236="","",IFERROR(VLOOKUP(B236,'04 TANIMLAR'!$A$2:$C$9,2,FALSE()),""))</f>
        <v/>
      </c>
      <c r="D236" s="58"/>
      <c r="E236" s="56" t="str">
        <f>IF(B236="","",IFERROR(VLOOKUP(B236,'04 TANIMLAR'!$A$2:$C$9,3,FALSE()),""))</f>
        <v/>
      </c>
      <c r="F236" s="58"/>
      <c r="G236" s="56"/>
      <c r="H236" s="58"/>
      <c r="I236" s="56"/>
      <c r="J236" s="56"/>
    </row>
    <row r="237" spans="1:10" ht="15" customHeight="1" x14ac:dyDescent="0.2">
      <c r="A237" s="56"/>
      <c r="B237" s="58"/>
      <c r="C237" s="56" t="str">
        <f>IF(B237="","",IFERROR(VLOOKUP(B237,'04 TANIMLAR'!$A$2:$C$9,2,FALSE()),""))</f>
        <v/>
      </c>
      <c r="D237" s="58"/>
      <c r="E237" s="56" t="str">
        <f>IF(B237="","",IFERROR(VLOOKUP(B237,'04 TANIMLAR'!$A$2:$C$9,3,FALSE()),""))</f>
        <v/>
      </c>
      <c r="F237" s="58"/>
      <c r="G237" s="56"/>
      <c r="H237" s="58"/>
      <c r="I237" s="56"/>
      <c r="J237" s="56"/>
    </row>
    <row r="238" spans="1:10" ht="15" customHeight="1" x14ac:dyDescent="0.2">
      <c r="A238" s="56"/>
      <c r="B238" s="58"/>
      <c r="C238" s="56" t="str">
        <f>IF(B238="","",IFERROR(VLOOKUP(B238,'04 TANIMLAR'!$A$2:$C$9,2,FALSE()),""))</f>
        <v/>
      </c>
      <c r="D238" s="58"/>
      <c r="E238" s="56" t="str">
        <f>IF(B238="","",IFERROR(VLOOKUP(B238,'04 TANIMLAR'!$A$2:$C$9,3,FALSE()),""))</f>
        <v/>
      </c>
      <c r="F238" s="58"/>
      <c r="G238" s="56"/>
      <c r="H238" s="58"/>
      <c r="I238" s="56"/>
      <c r="J238" s="56"/>
    </row>
    <row r="239" spans="1:10" ht="15" customHeight="1" x14ac:dyDescent="0.2">
      <c r="A239" s="56"/>
      <c r="B239" s="58"/>
      <c r="C239" s="56" t="str">
        <f>IF(B239="","",IFERROR(VLOOKUP(B239,'04 TANIMLAR'!$A$2:$C$9,2,FALSE()),""))</f>
        <v/>
      </c>
      <c r="D239" s="58"/>
      <c r="E239" s="56" t="str">
        <f>IF(B239="","",IFERROR(VLOOKUP(B239,'04 TANIMLAR'!$A$2:$C$9,3,FALSE()),""))</f>
        <v/>
      </c>
      <c r="F239" s="58"/>
      <c r="G239" s="56"/>
      <c r="H239" s="58"/>
      <c r="I239" s="56"/>
      <c r="J239" s="56"/>
    </row>
    <row r="240" spans="1:10" ht="15" customHeight="1" x14ac:dyDescent="0.2">
      <c r="A240" s="56"/>
      <c r="B240" s="58"/>
      <c r="C240" s="56" t="str">
        <f>IF(B240="","",IFERROR(VLOOKUP(B240,'04 TANIMLAR'!$A$2:$C$9,2,FALSE()),""))</f>
        <v/>
      </c>
      <c r="D240" s="58"/>
      <c r="E240" s="56" t="str">
        <f>IF(B240="","",IFERROR(VLOOKUP(B240,'04 TANIMLAR'!$A$2:$C$9,3,FALSE()),""))</f>
        <v/>
      </c>
      <c r="F240" s="58"/>
      <c r="G240" s="56"/>
      <c r="H240" s="58"/>
      <c r="I240" s="56"/>
      <c r="J240" s="56"/>
    </row>
    <row r="241" spans="1:10" ht="15" customHeight="1" x14ac:dyDescent="0.2">
      <c r="A241" s="56"/>
      <c r="B241" s="58"/>
      <c r="C241" s="56" t="str">
        <f>IF(B241="","",IFERROR(VLOOKUP(B241,'04 TANIMLAR'!$A$2:$C$9,2,FALSE()),""))</f>
        <v/>
      </c>
      <c r="D241" s="58"/>
      <c r="E241" s="56" t="str">
        <f>IF(B241="","",IFERROR(VLOOKUP(B241,'04 TANIMLAR'!$A$2:$C$9,3,FALSE()),""))</f>
        <v/>
      </c>
      <c r="F241" s="58"/>
      <c r="G241" s="56"/>
      <c r="H241" s="58"/>
      <c r="I241" s="56"/>
      <c r="J241" s="56"/>
    </row>
    <row r="242" spans="1:10" ht="15" customHeight="1" x14ac:dyDescent="0.2">
      <c r="A242" s="56"/>
      <c r="B242" s="58"/>
      <c r="C242" s="56" t="str">
        <f>IF(B242="","",IFERROR(VLOOKUP(B242,'04 TANIMLAR'!$A$2:$C$9,2,FALSE()),""))</f>
        <v/>
      </c>
      <c r="D242" s="58"/>
      <c r="E242" s="56" t="str">
        <f>IF(B242="","",IFERROR(VLOOKUP(B242,'04 TANIMLAR'!$A$2:$C$9,3,FALSE()),""))</f>
        <v/>
      </c>
      <c r="F242" s="58"/>
      <c r="G242" s="56"/>
      <c r="H242" s="58"/>
      <c r="I242" s="56"/>
      <c r="J242" s="56"/>
    </row>
    <row r="243" spans="1:10" ht="15" customHeight="1" x14ac:dyDescent="0.2">
      <c r="A243" s="56"/>
      <c r="B243" s="58"/>
      <c r="C243" s="56" t="str">
        <f>IF(B243="","",IFERROR(VLOOKUP(B243,'04 TANIMLAR'!$A$2:$C$9,2,FALSE()),""))</f>
        <v/>
      </c>
      <c r="D243" s="58"/>
      <c r="E243" s="56" t="str">
        <f>IF(B243="","",IFERROR(VLOOKUP(B243,'04 TANIMLAR'!$A$2:$C$9,3,FALSE()),""))</f>
        <v/>
      </c>
      <c r="F243" s="58"/>
      <c r="G243" s="56"/>
      <c r="H243" s="58"/>
      <c r="I243" s="56"/>
      <c r="J243" s="56"/>
    </row>
    <row r="244" spans="1:10" ht="15" customHeight="1" x14ac:dyDescent="0.2">
      <c r="A244" s="56"/>
      <c r="B244" s="58"/>
      <c r="C244" s="56" t="str">
        <f>IF(B244="","",IFERROR(VLOOKUP(B244,'04 TANIMLAR'!$A$2:$C$9,2,FALSE()),""))</f>
        <v/>
      </c>
      <c r="D244" s="58"/>
      <c r="E244" s="56" t="str">
        <f>IF(B244="","",IFERROR(VLOOKUP(B244,'04 TANIMLAR'!$A$2:$C$9,3,FALSE()),""))</f>
        <v/>
      </c>
      <c r="F244" s="58"/>
      <c r="G244" s="56"/>
      <c r="H244" s="58"/>
      <c r="I244" s="56"/>
      <c r="J244" s="56"/>
    </row>
    <row r="245" spans="1:10" ht="15" customHeight="1" x14ac:dyDescent="0.2">
      <c r="A245" s="56"/>
      <c r="B245" s="58"/>
      <c r="C245" s="56" t="str">
        <f>IF(B245="","",IFERROR(VLOOKUP(B245,'04 TANIMLAR'!$A$2:$C$9,2,FALSE()),""))</f>
        <v/>
      </c>
      <c r="D245" s="58"/>
      <c r="E245" s="56" t="str">
        <f>IF(B245="","",IFERROR(VLOOKUP(B245,'04 TANIMLAR'!$A$2:$C$9,3,FALSE()),""))</f>
        <v/>
      </c>
      <c r="F245" s="58"/>
      <c r="G245" s="56"/>
      <c r="H245" s="58"/>
      <c r="I245" s="56"/>
      <c r="J245" s="56"/>
    </row>
    <row r="246" spans="1:10" ht="15" customHeight="1" x14ac:dyDescent="0.2">
      <c r="A246" s="56"/>
      <c r="B246" s="58"/>
      <c r="C246" s="56" t="str">
        <f>IF(B246="","",IFERROR(VLOOKUP(B246,'04 TANIMLAR'!$A$2:$C$9,2,FALSE()),""))</f>
        <v/>
      </c>
      <c r="D246" s="58"/>
      <c r="E246" s="56" t="str">
        <f>IF(B246="","",IFERROR(VLOOKUP(B246,'04 TANIMLAR'!$A$2:$C$9,3,FALSE()),""))</f>
        <v/>
      </c>
      <c r="F246" s="58"/>
      <c r="G246" s="56"/>
      <c r="H246" s="58"/>
      <c r="I246" s="56"/>
      <c r="J246" s="56"/>
    </row>
    <row r="247" spans="1:10" ht="15" customHeight="1" x14ac:dyDescent="0.2">
      <c r="A247" s="56"/>
      <c r="B247" s="58"/>
      <c r="C247" s="56" t="str">
        <f>IF(B247="","",IFERROR(VLOOKUP(B247,'04 TANIMLAR'!$A$2:$C$9,2,FALSE()),""))</f>
        <v/>
      </c>
      <c r="D247" s="58"/>
      <c r="E247" s="56" t="str">
        <f>IF(B247="","",IFERROR(VLOOKUP(B247,'04 TANIMLAR'!$A$2:$C$9,3,FALSE()),""))</f>
        <v/>
      </c>
      <c r="F247" s="58"/>
      <c r="G247" s="56"/>
      <c r="H247" s="58"/>
      <c r="I247" s="56"/>
      <c r="J247" s="56"/>
    </row>
    <row r="248" spans="1:10" ht="15" customHeight="1" x14ac:dyDescent="0.2">
      <c r="A248" s="56"/>
      <c r="B248" s="58"/>
      <c r="C248" s="56" t="str">
        <f>IF(B248="","",IFERROR(VLOOKUP(B248,'04 TANIMLAR'!$A$2:$C$9,2,FALSE()),""))</f>
        <v/>
      </c>
      <c r="D248" s="58"/>
      <c r="E248" s="56" t="str">
        <f>IF(B248="","",IFERROR(VLOOKUP(B248,'04 TANIMLAR'!$A$2:$C$9,3,FALSE()),""))</f>
        <v/>
      </c>
      <c r="F248" s="58"/>
      <c r="G248" s="56"/>
      <c r="H248" s="58"/>
      <c r="I248" s="56"/>
      <c r="J248" s="56"/>
    </row>
    <row r="249" spans="1:10" ht="15" customHeight="1" x14ac:dyDescent="0.2">
      <c r="A249" s="56"/>
      <c r="B249" s="58"/>
      <c r="C249" s="56" t="str">
        <f>IF(B249="","",IFERROR(VLOOKUP(B249,'04 TANIMLAR'!$A$2:$C$9,2,FALSE()),""))</f>
        <v/>
      </c>
      <c r="D249" s="58"/>
      <c r="E249" s="56" t="str">
        <f>IF(B249="","",IFERROR(VLOOKUP(B249,'04 TANIMLAR'!$A$2:$C$9,3,FALSE()),""))</f>
        <v/>
      </c>
      <c r="F249" s="58"/>
      <c r="G249" s="56"/>
      <c r="H249" s="58"/>
      <c r="I249" s="56"/>
      <c r="J249" s="56"/>
    </row>
    <row r="250" spans="1:10" ht="15" customHeight="1" x14ac:dyDescent="0.2">
      <c r="A250" s="56"/>
      <c r="B250" s="58"/>
      <c r="C250" s="56" t="str">
        <f>IF(B250="","",IFERROR(VLOOKUP(B250,'04 TANIMLAR'!$A$2:$C$9,2,FALSE()),""))</f>
        <v/>
      </c>
      <c r="D250" s="58"/>
      <c r="E250" s="56" t="str">
        <f>IF(B250="","",IFERROR(VLOOKUP(B250,'04 TANIMLAR'!$A$2:$C$9,3,FALSE()),""))</f>
        <v/>
      </c>
      <c r="F250" s="58"/>
      <c r="G250" s="56"/>
      <c r="H250" s="58"/>
      <c r="I250" s="56"/>
      <c r="J250" s="56"/>
    </row>
    <row r="251" spans="1:10" ht="15" customHeight="1" x14ac:dyDescent="0.2">
      <c r="A251" s="56"/>
      <c r="B251" s="58"/>
      <c r="C251" s="56" t="str">
        <f>IF(B251="","",IFERROR(VLOOKUP(B251,'04 TANIMLAR'!$A$2:$C$9,2,FALSE()),""))</f>
        <v/>
      </c>
      <c r="D251" s="58"/>
      <c r="E251" s="56" t="str">
        <f>IF(B251="","",IFERROR(VLOOKUP(B251,'04 TANIMLAR'!$A$2:$C$9,3,FALSE()),""))</f>
        <v/>
      </c>
      <c r="F251" s="58"/>
      <c r="G251" s="56"/>
      <c r="H251" s="58"/>
      <c r="I251" s="56"/>
      <c r="J251" s="56"/>
    </row>
    <row r="252" spans="1:10" ht="15" customHeight="1" x14ac:dyDescent="0.2">
      <c r="A252" s="56"/>
      <c r="B252" s="58"/>
      <c r="C252" s="56" t="str">
        <f>IF(B252="","",IFERROR(VLOOKUP(B252,'04 TANIMLAR'!$A$2:$C$9,2,FALSE()),""))</f>
        <v/>
      </c>
      <c r="D252" s="58"/>
      <c r="E252" s="56" t="str">
        <f>IF(B252="","",IFERROR(VLOOKUP(B252,'04 TANIMLAR'!$A$2:$C$9,3,FALSE()),""))</f>
        <v/>
      </c>
      <c r="F252" s="58"/>
      <c r="G252" s="56"/>
      <c r="H252" s="58"/>
      <c r="I252" s="56"/>
      <c r="J252" s="56"/>
    </row>
    <row r="253" spans="1:10" ht="15" customHeight="1" x14ac:dyDescent="0.2">
      <c r="A253" s="56"/>
      <c r="B253" s="58"/>
      <c r="C253" s="56" t="str">
        <f>IF(B253="","",IFERROR(VLOOKUP(B253,'04 TANIMLAR'!$A$2:$C$9,2,FALSE()),""))</f>
        <v/>
      </c>
      <c r="D253" s="58"/>
      <c r="E253" s="56" t="str">
        <f>IF(B253="","",IFERROR(VLOOKUP(B253,'04 TANIMLAR'!$A$2:$C$9,3,FALSE()),""))</f>
        <v/>
      </c>
      <c r="F253" s="58"/>
      <c r="G253" s="56"/>
      <c r="H253" s="58"/>
      <c r="I253" s="56"/>
      <c r="J253" s="56"/>
    </row>
    <row r="254" spans="1:10" ht="15" customHeight="1" x14ac:dyDescent="0.2">
      <c r="A254" s="56"/>
      <c r="B254" s="58"/>
      <c r="C254" s="56" t="str">
        <f>IF(B254="","",IFERROR(VLOOKUP(B254,'04 TANIMLAR'!$A$2:$C$9,2,FALSE()),""))</f>
        <v/>
      </c>
      <c r="D254" s="58"/>
      <c r="E254" s="56" t="str">
        <f>IF(B254="","",IFERROR(VLOOKUP(B254,'04 TANIMLAR'!$A$2:$C$9,3,FALSE()),""))</f>
        <v/>
      </c>
      <c r="F254" s="58"/>
      <c r="G254" s="56"/>
      <c r="H254" s="58"/>
      <c r="I254" s="56"/>
      <c r="J254" s="56"/>
    </row>
    <row r="255" spans="1:10" ht="15" customHeight="1" x14ac:dyDescent="0.2">
      <c r="A255" s="56"/>
      <c r="B255" s="58"/>
      <c r="C255" s="56" t="str">
        <f>IF(B255="","",IFERROR(VLOOKUP(B255,'04 TANIMLAR'!$A$2:$C$9,2,FALSE()),""))</f>
        <v/>
      </c>
      <c r="D255" s="58"/>
      <c r="E255" s="56" t="str">
        <f>IF(B255="","",IFERROR(VLOOKUP(B255,'04 TANIMLAR'!$A$2:$C$9,3,FALSE()),""))</f>
        <v/>
      </c>
      <c r="F255" s="58"/>
      <c r="G255" s="56"/>
      <c r="H255" s="58"/>
      <c r="I255" s="56"/>
      <c r="J255" s="56"/>
    </row>
    <row r="256" spans="1:10" ht="15" customHeight="1" x14ac:dyDescent="0.2">
      <c r="A256" s="56"/>
      <c r="B256" s="58"/>
      <c r="C256" s="56" t="str">
        <f>IF(B256="","",IFERROR(VLOOKUP(B256,'04 TANIMLAR'!$A$2:$C$9,2,FALSE()),""))</f>
        <v/>
      </c>
      <c r="D256" s="58"/>
      <c r="E256" s="56" t="str">
        <f>IF(B256="","",IFERROR(VLOOKUP(B256,'04 TANIMLAR'!$A$2:$C$9,3,FALSE()),""))</f>
        <v/>
      </c>
      <c r="F256" s="58"/>
      <c r="G256" s="56"/>
      <c r="H256" s="58"/>
      <c r="I256" s="56"/>
      <c r="J256" s="56"/>
    </row>
    <row r="257" spans="1:10" ht="15" customHeight="1" x14ac:dyDescent="0.2">
      <c r="A257" s="56"/>
      <c r="B257" s="58"/>
      <c r="C257" s="56" t="str">
        <f>IF(B257="","",IFERROR(VLOOKUP(B257,'04 TANIMLAR'!$A$2:$C$9,2,FALSE()),""))</f>
        <v/>
      </c>
      <c r="D257" s="58"/>
      <c r="E257" s="56" t="str">
        <f>IF(B257="","",IFERROR(VLOOKUP(B257,'04 TANIMLAR'!$A$2:$C$9,3,FALSE()),""))</f>
        <v/>
      </c>
      <c r="F257" s="58"/>
      <c r="G257" s="56"/>
      <c r="H257" s="58"/>
      <c r="I257" s="56"/>
      <c r="J257" s="56"/>
    </row>
    <row r="258" spans="1:10" ht="15" customHeight="1" x14ac:dyDescent="0.2">
      <c r="A258" s="56"/>
      <c r="B258" s="58"/>
      <c r="C258" s="56" t="str">
        <f>IF(B258="","",IFERROR(VLOOKUP(B258,'04 TANIMLAR'!$A$2:$C$9,2,FALSE()),""))</f>
        <v/>
      </c>
      <c r="D258" s="58"/>
      <c r="E258" s="56" t="str">
        <f>IF(B258="","",IFERROR(VLOOKUP(B258,'04 TANIMLAR'!$A$2:$C$9,3,FALSE()),""))</f>
        <v/>
      </c>
      <c r="F258" s="58"/>
      <c r="G258" s="56"/>
      <c r="H258" s="58"/>
      <c r="I258" s="56"/>
      <c r="J258" s="56"/>
    </row>
    <row r="259" spans="1:10" ht="15" customHeight="1" x14ac:dyDescent="0.2">
      <c r="A259" s="56"/>
      <c r="B259" s="58"/>
      <c r="C259" s="56" t="str">
        <f>IF(B259="","",IFERROR(VLOOKUP(B259,'04 TANIMLAR'!$A$2:$C$9,2,FALSE()),""))</f>
        <v/>
      </c>
      <c r="D259" s="58"/>
      <c r="E259" s="56" t="str">
        <f>IF(B259="","",IFERROR(VLOOKUP(B259,'04 TANIMLAR'!$A$2:$C$9,3,FALSE()),""))</f>
        <v/>
      </c>
      <c r="F259" s="58"/>
      <c r="G259" s="56"/>
      <c r="H259" s="58"/>
      <c r="I259" s="56"/>
      <c r="J259" s="56"/>
    </row>
    <row r="260" spans="1:10" ht="15" customHeight="1" x14ac:dyDescent="0.2">
      <c r="A260" s="56"/>
      <c r="B260" s="58"/>
      <c r="C260" s="56" t="str">
        <f>IF(B260="","",IFERROR(VLOOKUP(B260,'04 TANIMLAR'!$A$2:$C$9,2,FALSE()),""))</f>
        <v/>
      </c>
      <c r="D260" s="58"/>
      <c r="E260" s="56" t="str">
        <f>IF(B260="","",IFERROR(VLOOKUP(B260,'04 TANIMLAR'!$A$2:$C$9,3,FALSE()),""))</f>
        <v/>
      </c>
      <c r="F260" s="58"/>
      <c r="G260" s="56"/>
      <c r="H260" s="58"/>
      <c r="I260" s="56"/>
      <c r="J260" s="56"/>
    </row>
    <row r="261" spans="1:10" ht="15" customHeight="1" x14ac:dyDescent="0.2">
      <c r="A261" s="56"/>
      <c r="B261" s="58"/>
      <c r="C261" s="56" t="str">
        <f>IF(B261="","",IFERROR(VLOOKUP(B261,'04 TANIMLAR'!$A$2:$C$9,2,FALSE()),""))</f>
        <v/>
      </c>
      <c r="D261" s="58"/>
      <c r="E261" s="56" t="str">
        <f>IF(B261="","",IFERROR(VLOOKUP(B261,'04 TANIMLAR'!$A$2:$C$9,3,FALSE()),""))</f>
        <v/>
      </c>
      <c r="F261" s="58"/>
      <c r="G261" s="56"/>
      <c r="H261" s="58"/>
      <c r="I261" s="56"/>
      <c r="J261" s="56"/>
    </row>
    <row r="262" spans="1:10" ht="15" customHeight="1" x14ac:dyDescent="0.2">
      <c r="A262" s="56"/>
      <c r="B262" s="58"/>
      <c r="C262" s="56" t="str">
        <f>IF(B262="","",IFERROR(VLOOKUP(B262,'04 TANIMLAR'!$A$2:$C$9,2,FALSE()),""))</f>
        <v/>
      </c>
      <c r="D262" s="58"/>
      <c r="E262" s="56" t="str">
        <f>IF(B262="","",IFERROR(VLOOKUP(B262,'04 TANIMLAR'!$A$2:$C$9,3,FALSE()),""))</f>
        <v/>
      </c>
      <c r="F262" s="58"/>
      <c r="G262" s="56"/>
      <c r="H262" s="58"/>
      <c r="I262" s="56"/>
      <c r="J262" s="56"/>
    </row>
    <row r="263" spans="1:10" ht="15" customHeight="1" x14ac:dyDescent="0.2">
      <c r="A263" s="56"/>
      <c r="B263" s="58"/>
      <c r="C263" s="56" t="str">
        <f>IF(B263="","",IFERROR(VLOOKUP(B263,'04 TANIMLAR'!$A$2:$C$9,2,FALSE()),""))</f>
        <v/>
      </c>
      <c r="D263" s="58"/>
      <c r="E263" s="56" t="str">
        <f>IF(B263="","",IFERROR(VLOOKUP(B263,'04 TANIMLAR'!$A$2:$C$9,3,FALSE()),""))</f>
        <v/>
      </c>
      <c r="F263" s="58"/>
      <c r="G263" s="56"/>
      <c r="H263" s="58"/>
      <c r="I263" s="56"/>
      <c r="J263" s="56"/>
    </row>
    <row r="264" spans="1:10" ht="15" customHeight="1" x14ac:dyDescent="0.2">
      <c r="A264" s="56"/>
      <c r="B264" s="58"/>
      <c r="C264" s="56" t="str">
        <f>IF(B264="","",IFERROR(VLOOKUP(B264,'04 TANIMLAR'!$A$2:$C$9,2,FALSE()),""))</f>
        <v/>
      </c>
      <c r="D264" s="58"/>
      <c r="E264" s="56" t="str">
        <f>IF(B264="","",IFERROR(VLOOKUP(B264,'04 TANIMLAR'!$A$2:$C$9,3,FALSE()),""))</f>
        <v/>
      </c>
      <c r="F264" s="58"/>
      <c r="G264" s="56"/>
      <c r="H264" s="58"/>
      <c r="I264" s="56"/>
      <c r="J264" s="56"/>
    </row>
    <row r="265" spans="1:10" ht="15" customHeight="1" x14ac:dyDescent="0.2">
      <c r="A265" s="56"/>
      <c r="B265" s="58"/>
      <c r="C265" s="56" t="str">
        <f>IF(B265="","",IFERROR(VLOOKUP(B265,'04 TANIMLAR'!$A$2:$C$9,2,FALSE()),""))</f>
        <v/>
      </c>
      <c r="D265" s="58"/>
      <c r="E265" s="56" t="str">
        <f>IF(B265="","",IFERROR(VLOOKUP(B265,'04 TANIMLAR'!$A$2:$C$9,3,FALSE()),""))</f>
        <v/>
      </c>
      <c r="F265" s="58"/>
      <c r="G265" s="56"/>
      <c r="H265" s="58"/>
      <c r="I265" s="56"/>
      <c r="J265" s="56"/>
    </row>
    <row r="266" spans="1:10" ht="15" customHeight="1" x14ac:dyDescent="0.2">
      <c r="A266" s="56"/>
      <c r="B266" s="58"/>
      <c r="C266" s="56" t="str">
        <f>IF(B266="","",IFERROR(VLOOKUP(B266,'04 TANIMLAR'!$A$2:$C$9,2,FALSE()),""))</f>
        <v/>
      </c>
      <c r="D266" s="58"/>
      <c r="E266" s="56" t="str">
        <f>IF(B266="","",IFERROR(VLOOKUP(B266,'04 TANIMLAR'!$A$2:$C$9,3,FALSE()),""))</f>
        <v/>
      </c>
      <c r="F266" s="58"/>
      <c r="G266" s="56"/>
      <c r="H266" s="58"/>
      <c r="I266" s="56"/>
      <c r="J266" s="56"/>
    </row>
    <row r="267" spans="1:10" ht="15" customHeight="1" x14ac:dyDescent="0.2">
      <c r="A267" s="56"/>
      <c r="B267" s="58"/>
      <c r="C267" s="56" t="str">
        <f>IF(B267="","",IFERROR(VLOOKUP(B267,'04 TANIMLAR'!$A$2:$C$9,2,FALSE()),""))</f>
        <v/>
      </c>
      <c r="D267" s="58"/>
      <c r="E267" s="56" t="str">
        <f>IF(B267="","",IFERROR(VLOOKUP(B267,'04 TANIMLAR'!$A$2:$C$9,3,FALSE()),""))</f>
        <v/>
      </c>
      <c r="F267" s="58"/>
      <c r="G267" s="56"/>
      <c r="H267" s="58"/>
      <c r="I267" s="56"/>
      <c r="J267" s="56"/>
    </row>
    <row r="268" spans="1:10" ht="15" customHeight="1" x14ac:dyDescent="0.2">
      <c r="A268" s="56"/>
      <c r="B268" s="58"/>
      <c r="C268" s="56" t="str">
        <f>IF(B268="","",IFERROR(VLOOKUP(B268,'04 TANIMLAR'!$A$2:$C$9,2,FALSE()),""))</f>
        <v/>
      </c>
      <c r="D268" s="58"/>
      <c r="E268" s="56" t="str">
        <f>IF(B268="","",IFERROR(VLOOKUP(B268,'04 TANIMLAR'!$A$2:$C$9,3,FALSE()),""))</f>
        <v/>
      </c>
      <c r="F268" s="58"/>
      <c r="G268" s="56"/>
      <c r="H268" s="58"/>
      <c r="I268" s="56"/>
      <c r="J268" s="56"/>
    </row>
    <row r="269" spans="1:10" ht="15" customHeight="1" x14ac:dyDescent="0.2">
      <c r="A269" s="56"/>
      <c r="B269" s="58"/>
      <c r="C269" s="56" t="str">
        <f>IF(B269="","",IFERROR(VLOOKUP(B269,'04 TANIMLAR'!$A$2:$C$9,2,FALSE()),""))</f>
        <v/>
      </c>
      <c r="D269" s="58"/>
      <c r="E269" s="56" t="str">
        <f>IF(B269="","",IFERROR(VLOOKUP(B269,'04 TANIMLAR'!$A$2:$C$9,3,FALSE()),""))</f>
        <v/>
      </c>
      <c r="F269" s="58"/>
      <c r="G269" s="56"/>
      <c r="H269" s="58"/>
      <c r="I269" s="56"/>
      <c r="J269" s="56"/>
    </row>
    <row r="270" spans="1:10" ht="15" customHeight="1" x14ac:dyDescent="0.2">
      <c r="A270" s="56"/>
      <c r="B270" s="58"/>
      <c r="C270" s="56" t="str">
        <f>IF(B270="","",IFERROR(VLOOKUP(B270,'04 TANIMLAR'!$A$2:$C$9,2,FALSE()),""))</f>
        <v/>
      </c>
      <c r="D270" s="58"/>
      <c r="E270" s="56" t="str">
        <f>IF(B270="","",IFERROR(VLOOKUP(B270,'04 TANIMLAR'!$A$2:$C$9,3,FALSE()),""))</f>
        <v/>
      </c>
      <c r="F270" s="58"/>
      <c r="G270" s="56"/>
      <c r="H270" s="58"/>
      <c r="I270" s="56"/>
      <c r="J270" s="56"/>
    </row>
    <row r="271" spans="1:10" ht="15" customHeight="1" x14ac:dyDescent="0.2">
      <c r="A271" s="56"/>
      <c r="B271" s="58"/>
      <c r="C271" s="56" t="str">
        <f>IF(B271="","",IFERROR(VLOOKUP(B271,'04 TANIMLAR'!$A$2:$C$9,2,FALSE()),""))</f>
        <v/>
      </c>
      <c r="D271" s="58"/>
      <c r="E271" s="56" t="str">
        <f>IF(B271="","",IFERROR(VLOOKUP(B271,'04 TANIMLAR'!$A$2:$C$9,3,FALSE()),""))</f>
        <v/>
      </c>
      <c r="F271" s="58"/>
      <c r="G271" s="56"/>
      <c r="H271" s="58"/>
      <c r="I271" s="56"/>
      <c r="J271" s="56"/>
    </row>
    <row r="272" spans="1:10" ht="15" customHeight="1" x14ac:dyDescent="0.2">
      <c r="A272" s="56"/>
      <c r="B272" s="58"/>
      <c r="C272" s="56" t="str">
        <f>IF(B272="","",IFERROR(VLOOKUP(B272,'04 TANIMLAR'!$A$2:$C$9,2,FALSE()),""))</f>
        <v/>
      </c>
      <c r="D272" s="58"/>
      <c r="E272" s="56" t="str">
        <f>IF(B272="","",IFERROR(VLOOKUP(B272,'04 TANIMLAR'!$A$2:$C$9,3,FALSE()),""))</f>
        <v/>
      </c>
      <c r="F272" s="58"/>
      <c r="G272" s="56"/>
      <c r="H272" s="58"/>
      <c r="I272" s="56"/>
      <c r="J272" s="56"/>
    </row>
    <row r="273" spans="1:10" ht="15" customHeight="1" x14ac:dyDescent="0.2">
      <c r="A273" s="56"/>
      <c r="B273" s="58"/>
      <c r="C273" s="56" t="str">
        <f>IF(B273="","",IFERROR(VLOOKUP(B273,'04 TANIMLAR'!$A$2:$C$9,2,FALSE()),""))</f>
        <v/>
      </c>
      <c r="D273" s="58"/>
      <c r="E273" s="56" t="str">
        <f>IF(B273="","",IFERROR(VLOOKUP(B273,'04 TANIMLAR'!$A$2:$C$9,3,FALSE()),""))</f>
        <v/>
      </c>
      <c r="F273" s="58"/>
      <c r="G273" s="56"/>
      <c r="H273" s="58"/>
      <c r="I273" s="56"/>
      <c r="J273" s="56"/>
    </row>
    <row r="274" spans="1:10" ht="15" customHeight="1" x14ac:dyDescent="0.2">
      <c r="A274" s="56"/>
      <c r="B274" s="58"/>
      <c r="C274" s="56" t="str">
        <f>IF(B274="","",IFERROR(VLOOKUP(B274,'04 TANIMLAR'!$A$2:$C$9,2,FALSE()),""))</f>
        <v/>
      </c>
      <c r="D274" s="58"/>
      <c r="E274" s="56" t="str">
        <f>IF(B274="","",IFERROR(VLOOKUP(B274,'04 TANIMLAR'!$A$2:$C$9,3,FALSE()),""))</f>
        <v/>
      </c>
      <c r="F274" s="58"/>
      <c r="G274" s="56"/>
      <c r="H274" s="58"/>
      <c r="I274" s="56"/>
      <c r="J274" s="56"/>
    </row>
    <row r="275" spans="1:10" ht="15" customHeight="1" x14ac:dyDescent="0.2">
      <c r="A275" s="56"/>
      <c r="B275" s="58"/>
      <c r="C275" s="56" t="str">
        <f>IF(B275="","",IFERROR(VLOOKUP(B275,'04 TANIMLAR'!$A$2:$C$9,2,FALSE()),""))</f>
        <v/>
      </c>
      <c r="D275" s="58"/>
      <c r="E275" s="56" t="str">
        <f>IF(B275="","",IFERROR(VLOOKUP(B275,'04 TANIMLAR'!$A$2:$C$9,3,FALSE()),""))</f>
        <v/>
      </c>
      <c r="F275" s="58"/>
      <c r="G275" s="56"/>
      <c r="H275" s="58"/>
      <c r="I275" s="56"/>
      <c r="J275" s="56"/>
    </row>
    <row r="276" spans="1:10" ht="15" customHeight="1" x14ac:dyDescent="0.2">
      <c r="A276" s="56"/>
      <c r="B276" s="58"/>
      <c r="C276" s="56" t="str">
        <f>IF(B276="","",IFERROR(VLOOKUP(B276,'04 TANIMLAR'!$A$2:$C$9,2,FALSE()),""))</f>
        <v/>
      </c>
      <c r="D276" s="58"/>
      <c r="E276" s="56" t="str">
        <f>IF(B276="","",IFERROR(VLOOKUP(B276,'04 TANIMLAR'!$A$2:$C$9,3,FALSE()),""))</f>
        <v/>
      </c>
      <c r="F276" s="58"/>
      <c r="G276" s="56"/>
      <c r="H276" s="58"/>
      <c r="I276" s="56"/>
      <c r="J276" s="56"/>
    </row>
    <row r="277" spans="1:10" ht="15" customHeight="1" x14ac:dyDescent="0.2">
      <c r="A277" s="56"/>
      <c r="B277" s="58"/>
      <c r="C277" s="56" t="str">
        <f>IF(B277="","",IFERROR(VLOOKUP(B277,'04 TANIMLAR'!$A$2:$C$9,2,FALSE()),""))</f>
        <v/>
      </c>
      <c r="D277" s="58"/>
      <c r="E277" s="56" t="str">
        <f>IF(B277="","",IFERROR(VLOOKUP(B277,'04 TANIMLAR'!$A$2:$C$9,3,FALSE()),""))</f>
        <v/>
      </c>
      <c r="F277" s="58"/>
      <c r="G277" s="56"/>
      <c r="H277" s="58"/>
      <c r="I277" s="56"/>
      <c r="J277" s="56"/>
    </row>
    <row r="278" spans="1:10" ht="15" customHeight="1" x14ac:dyDescent="0.2">
      <c r="A278" s="56"/>
      <c r="B278" s="58"/>
      <c r="C278" s="56" t="str">
        <f>IF(B278="","",IFERROR(VLOOKUP(B278,'04 TANIMLAR'!$A$2:$C$9,2,FALSE()),""))</f>
        <v/>
      </c>
      <c r="D278" s="58"/>
      <c r="E278" s="56" t="str">
        <f>IF(B278="","",IFERROR(VLOOKUP(B278,'04 TANIMLAR'!$A$2:$C$9,3,FALSE()),""))</f>
        <v/>
      </c>
      <c r="F278" s="58"/>
      <c r="G278" s="56"/>
      <c r="H278" s="58"/>
      <c r="I278" s="56"/>
      <c r="J278" s="56"/>
    </row>
    <row r="279" spans="1:10" ht="15" customHeight="1" x14ac:dyDescent="0.2">
      <c r="A279" s="56"/>
      <c r="B279" s="58"/>
      <c r="C279" s="56" t="str">
        <f>IF(B279="","",IFERROR(VLOOKUP(B279,'04 TANIMLAR'!$A$2:$C$9,2,FALSE()),""))</f>
        <v/>
      </c>
      <c r="D279" s="58"/>
      <c r="E279" s="56" t="str">
        <f>IF(B279="","",IFERROR(VLOOKUP(B279,'04 TANIMLAR'!$A$2:$C$9,3,FALSE()),""))</f>
        <v/>
      </c>
      <c r="F279" s="58"/>
      <c r="G279" s="56"/>
      <c r="H279" s="58"/>
      <c r="I279" s="56"/>
      <c r="J279" s="56"/>
    </row>
    <row r="280" spans="1:10" ht="15" customHeight="1" x14ac:dyDescent="0.2">
      <c r="A280" s="56"/>
      <c r="B280" s="58"/>
      <c r="C280" s="56" t="str">
        <f>IF(B280="","",IFERROR(VLOOKUP(B280,'04 TANIMLAR'!$A$2:$C$9,2,FALSE()),""))</f>
        <v/>
      </c>
      <c r="D280" s="58"/>
      <c r="E280" s="56" t="str">
        <f>IF(B280="","",IFERROR(VLOOKUP(B280,'04 TANIMLAR'!$A$2:$C$9,3,FALSE()),""))</f>
        <v/>
      </c>
      <c r="F280" s="58"/>
      <c r="G280" s="56"/>
      <c r="H280" s="58"/>
      <c r="I280" s="56"/>
      <c r="J280" s="56"/>
    </row>
    <row r="281" spans="1:10" ht="15" customHeight="1" x14ac:dyDescent="0.2">
      <c r="A281" s="56"/>
      <c r="B281" s="58"/>
      <c r="C281" s="56" t="str">
        <f>IF(B281="","",IFERROR(VLOOKUP(B281,'04 TANIMLAR'!$A$2:$C$9,2,FALSE()),""))</f>
        <v/>
      </c>
      <c r="D281" s="58"/>
      <c r="E281" s="56" t="str">
        <f>IF(B281="","",IFERROR(VLOOKUP(B281,'04 TANIMLAR'!$A$2:$C$9,3,FALSE()),""))</f>
        <v/>
      </c>
      <c r="F281" s="58"/>
      <c r="G281" s="56"/>
      <c r="H281" s="58"/>
      <c r="I281" s="56"/>
      <c r="J281" s="56"/>
    </row>
    <row r="282" spans="1:10" ht="15" customHeight="1" x14ac:dyDescent="0.2">
      <c r="A282" s="56"/>
      <c r="B282" s="58"/>
      <c r="C282" s="56" t="str">
        <f>IF(B282="","",IFERROR(VLOOKUP(B282,'04 TANIMLAR'!$A$2:$C$9,2,FALSE()),""))</f>
        <v/>
      </c>
      <c r="D282" s="58"/>
      <c r="E282" s="56" t="str">
        <f>IF(B282="","",IFERROR(VLOOKUP(B282,'04 TANIMLAR'!$A$2:$C$9,3,FALSE()),""))</f>
        <v/>
      </c>
      <c r="F282" s="58"/>
      <c r="G282" s="56"/>
      <c r="H282" s="58"/>
      <c r="I282" s="56"/>
      <c r="J282" s="56"/>
    </row>
    <row r="283" spans="1:10" ht="15" customHeight="1" x14ac:dyDescent="0.2">
      <c r="A283" s="56"/>
      <c r="B283" s="58"/>
      <c r="C283" s="56" t="str">
        <f>IF(B283="","",IFERROR(VLOOKUP(B283,'04 TANIMLAR'!$A$2:$C$9,2,FALSE()),""))</f>
        <v/>
      </c>
      <c r="D283" s="58"/>
      <c r="E283" s="56" t="str">
        <f>IF(B283="","",IFERROR(VLOOKUP(B283,'04 TANIMLAR'!$A$2:$C$9,3,FALSE()),""))</f>
        <v/>
      </c>
      <c r="F283" s="58"/>
      <c r="G283" s="56"/>
      <c r="H283" s="58"/>
      <c r="I283" s="56"/>
      <c r="J283" s="56"/>
    </row>
    <row r="284" spans="1:10" ht="15" customHeight="1" x14ac:dyDescent="0.2">
      <c r="A284" s="56"/>
      <c r="B284" s="58"/>
      <c r="C284" s="56" t="str">
        <f>IF(B284="","",IFERROR(VLOOKUP(B284,'04 TANIMLAR'!$A$2:$C$9,2,FALSE()),""))</f>
        <v/>
      </c>
      <c r="D284" s="58"/>
      <c r="E284" s="56" t="str">
        <f>IF(B284="","",IFERROR(VLOOKUP(B284,'04 TANIMLAR'!$A$2:$C$9,3,FALSE()),""))</f>
        <v/>
      </c>
      <c r="F284" s="58"/>
      <c r="G284" s="56"/>
      <c r="H284" s="58"/>
      <c r="I284" s="56"/>
      <c r="J284" s="56"/>
    </row>
    <row r="285" spans="1:10" ht="15" customHeight="1" x14ac:dyDescent="0.2">
      <c r="A285" s="56"/>
      <c r="B285" s="58"/>
      <c r="C285" s="56" t="str">
        <f>IF(B285="","",IFERROR(VLOOKUP(B285,'04 TANIMLAR'!$A$2:$C$9,2,FALSE()),""))</f>
        <v/>
      </c>
      <c r="D285" s="58"/>
      <c r="E285" s="56" t="str">
        <f>IF(B285="","",IFERROR(VLOOKUP(B285,'04 TANIMLAR'!$A$2:$C$9,3,FALSE()),""))</f>
        <v/>
      </c>
      <c r="F285" s="58"/>
      <c r="G285" s="56"/>
      <c r="H285" s="58"/>
      <c r="I285" s="56"/>
      <c r="J285" s="56"/>
    </row>
    <row r="286" spans="1:10" ht="15" customHeight="1" x14ac:dyDescent="0.2">
      <c r="A286" s="56"/>
      <c r="B286" s="58"/>
      <c r="C286" s="56" t="str">
        <f>IF(B286="","",IFERROR(VLOOKUP(B286,'04 TANIMLAR'!$A$2:$C$9,2,FALSE()),""))</f>
        <v/>
      </c>
      <c r="D286" s="58"/>
      <c r="E286" s="56" t="str">
        <f>IF(B286="","",IFERROR(VLOOKUP(B286,'04 TANIMLAR'!$A$2:$C$9,3,FALSE()),""))</f>
        <v/>
      </c>
      <c r="F286" s="58"/>
      <c r="G286" s="56"/>
      <c r="H286" s="58"/>
      <c r="I286" s="56"/>
      <c r="J286" s="56"/>
    </row>
    <row r="287" spans="1:10" ht="15" customHeight="1" x14ac:dyDescent="0.2">
      <c r="A287" s="56"/>
      <c r="B287" s="58"/>
      <c r="C287" s="56" t="str">
        <f>IF(B287="","",IFERROR(VLOOKUP(B287,'04 TANIMLAR'!$A$2:$C$9,2,FALSE()),""))</f>
        <v/>
      </c>
      <c r="D287" s="58"/>
      <c r="E287" s="56" t="str">
        <f>IF(B287="","",IFERROR(VLOOKUP(B287,'04 TANIMLAR'!$A$2:$C$9,3,FALSE()),""))</f>
        <v/>
      </c>
      <c r="F287" s="58"/>
      <c r="G287" s="56"/>
      <c r="H287" s="58"/>
      <c r="I287" s="56"/>
      <c r="J287" s="56"/>
    </row>
    <row r="288" spans="1:10" ht="15" customHeight="1" x14ac:dyDescent="0.2">
      <c r="A288" s="56"/>
      <c r="B288" s="58"/>
      <c r="C288" s="56" t="str">
        <f>IF(B288="","",IFERROR(VLOOKUP(B288,'04 TANIMLAR'!$A$2:$C$9,2,FALSE()),""))</f>
        <v/>
      </c>
      <c r="D288" s="58"/>
      <c r="E288" s="56" t="str">
        <f>IF(B288="","",IFERROR(VLOOKUP(B288,'04 TANIMLAR'!$A$2:$C$9,3,FALSE()),""))</f>
        <v/>
      </c>
      <c r="F288" s="58"/>
      <c r="G288" s="56"/>
      <c r="H288" s="58"/>
      <c r="I288" s="56"/>
      <c r="J288" s="56"/>
    </row>
    <row r="289" spans="1:10" ht="15" customHeight="1" x14ac:dyDescent="0.2">
      <c r="A289" s="56"/>
      <c r="B289" s="58"/>
      <c r="C289" s="56" t="str">
        <f>IF(B289="","",IFERROR(VLOOKUP(B289,'04 TANIMLAR'!$A$2:$C$9,2,FALSE()),""))</f>
        <v/>
      </c>
      <c r="D289" s="58"/>
      <c r="E289" s="56" t="str">
        <f>IF(B289="","",IFERROR(VLOOKUP(B289,'04 TANIMLAR'!$A$2:$C$9,3,FALSE()),""))</f>
        <v/>
      </c>
      <c r="F289" s="58"/>
      <c r="G289" s="56"/>
      <c r="H289" s="58"/>
      <c r="I289" s="56"/>
      <c r="J289" s="56"/>
    </row>
    <row r="290" spans="1:10" ht="15" customHeight="1" x14ac:dyDescent="0.2">
      <c r="A290" s="56"/>
      <c r="B290" s="58"/>
      <c r="C290" s="56" t="str">
        <f>IF(B290="","",IFERROR(VLOOKUP(B290,'04 TANIMLAR'!$A$2:$C$9,2,FALSE()),""))</f>
        <v/>
      </c>
      <c r="D290" s="58"/>
      <c r="E290" s="56" t="str">
        <f>IF(B290="","",IFERROR(VLOOKUP(B290,'04 TANIMLAR'!$A$2:$C$9,3,FALSE()),""))</f>
        <v/>
      </c>
      <c r="F290" s="58"/>
      <c r="G290" s="56"/>
      <c r="H290" s="58"/>
      <c r="I290" s="56"/>
      <c r="J290" s="56"/>
    </row>
    <row r="291" spans="1:10" ht="15" customHeight="1" x14ac:dyDescent="0.2">
      <c r="A291" s="56"/>
      <c r="B291" s="58"/>
      <c r="C291" s="56" t="str">
        <f>IF(B291="","",IFERROR(VLOOKUP(B291,'04 TANIMLAR'!$A$2:$C$9,2,FALSE()),""))</f>
        <v/>
      </c>
      <c r="D291" s="58"/>
      <c r="E291" s="56" t="str">
        <f>IF(B291="","",IFERROR(VLOOKUP(B291,'04 TANIMLAR'!$A$2:$C$9,3,FALSE()),""))</f>
        <v/>
      </c>
      <c r="F291" s="58"/>
      <c r="G291" s="56"/>
      <c r="H291" s="58"/>
      <c r="I291" s="56"/>
      <c r="J291" s="56"/>
    </row>
    <row r="292" spans="1:10" ht="15" customHeight="1" x14ac:dyDescent="0.2">
      <c r="A292" s="56"/>
      <c r="B292" s="58"/>
      <c r="C292" s="56" t="str">
        <f>IF(B292="","",IFERROR(VLOOKUP(B292,'04 TANIMLAR'!$A$2:$C$9,2,FALSE()),""))</f>
        <v/>
      </c>
      <c r="D292" s="58"/>
      <c r="E292" s="56" t="str">
        <f>IF(B292="","",IFERROR(VLOOKUP(B292,'04 TANIMLAR'!$A$2:$C$9,3,FALSE()),""))</f>
        <v/>
      </c>
      <c r="F292" s="58"/>
      <c r="G292" s="56"/>
      <c r="H292" s="58"/>
      <c r="I292" s="56"/>
      <c r="J292" s="56"/>
    </row>
    <row r="293" spans="1:10" ht="15" customHeight="1" x14ac:dyDescent="0.2">
      <c r="A293" s="56"/>
      <c r="B293" s="58"/>
      <c r="C293" s="56" t="str">
        <f>IF(B293="","",IFERROR(VLOOKUP(B293,'04 TANIMLAR'!$A$2:$C$9,2,FALSE()),""))</f>
        <v/>
      </c>
      <c r="D293" s="58"/>
      <c r="E293" s="56" t="str">
        <f>IF(B293="","",IFERROR(VLOOKUP(B293,'04 TANIMLAR'!$A$2:$C$9,3,FALSE()),""))</f>
        <v/>
      </c>
      <c r="F293" s="58"/>
      <c r="G293" s="56"/>
      <c r="H293" s="58"/>
      <c r="I293" s="56"/>
      <c r="J293" s="56"/>
    </row>
    <row r="294" spans="1:10" ht="15" customHeight="1" x14ac:dyDescent="0.2">
      <c r="A294" s="56"/>
      <c r="B294" s="58"/>
      <c r="C294" s="56" t="str">
        <f>IF(B294="","",IFERROR(VLOOKUP(B294,'04 TANIMLAR'!$A$2:$C$9,2,FALSE()),""))</f>
        <v/>
      </c>
      <c r="D294" s="58"/>
      <c r="E294" s="56" t="str">
        <f>IF(B294="","",IFERROR(VLOOKUP(B294,'04 TANIMLAR'!$A$2:$C$9,3,FALSE()),""))</f>
        <v/>
      </c>
      <c r="F294" s="58"/>
      <c r="G294" s="56"/>
      <c r="H294" s="58"/>
      <c r="I294" s="56"/>
      <c r="J294" s="56"/>
    </row>
    <row r="295" spans="1:10" ht="15" customHeight="1" x14ac:dyDescent="0.2">
      <c r="A295" s="56"/>
      <c r="B295" s="58"/>
      <c r="C295" s="56" t="str">
        <f>IF(B295="","",IFERROR(VLOOKUP(B295,'04 TANIMLAR'!$A$2:$C$9,2,FALSE()),""))</f>
        <v/>
      </c>
      <c r="D295" s="58"/>
      <c r="E295" s="56" t="str">
        <f>IF(B295="","",IFERROR(VLOOKUP(B295,'04 TANIMLAR'!$A$2:$C$9,3,FALSE()),""))</f>
        <v/>
      </c>
      <c r="F295" s="58"/>
      <c r="G295" s="56"/>
      <c r="H295" s="58"/>
      <c r="I295" s="56"/>
      <c r="J295" s="56"/>
    </row>
    <row r="296" spans="1:10" ht="15" customHeight="1" x14ac:dyDescent="0.2">
      <c r="A296" s="56"/>
      <c r="B296" s="58"/>
      <c r="C296" s="56" t="str">
        <f>IF(B296="","",IFERROR(VLOOKUP(B296,'04 TANIMLAR'!$A$2:$C$9,2,FALSE()),""))</f>
        <v/>
      </c>
      <c r="D296" s="58"/>
      <c r="E296" s="56" t="str">
        <f>IF(B296="","",IFERROR(VLOOKUP(B296,'04 TANIMLAR'!$A$2:$C$9,3,FALSE()),""))</f>
        <v/>
      </c>
      <c r="F296" s="58"/>
      <c r="G296" s="56"/>
      <c r="H296" s="58"/>
      <c r="I296" s="56"/>
      <c r="J296" s="56"/>
    </row>
    <row r="297" spans="1:10" ht="15" customHeight="1" x14ac:dyDescent="0.2">
      <c r="A297" s="56"/>
      <c r="B297" s="58"/>
      <c r="C297" s="56" t="str">
        <f>IF(B297="","",IFERROR(VLOOKUP(B297,'04 TANIMLAR'!$A$2:$C$9,2,FALSE()),""))</f>
        <v/>
      </c>
      <c r="D297" s="58"/>
      <c r="E297" s="56" t="str">
        <f>IF(B297="","",IFERROR(VLOOKUP(B297,'04 TANIMLAR'!$A$2:$C$9,3,FALSE()),""))</f>
        <v/>
      </c>
      <c r="F297" s="58"/>
      <c r="G297" s="56"/>
      <c r="H297" s="58"/>
      <c r="I297" s="56"/>
      <c r="J297" s="56"/>
    </row>
    <row r="298" spans="1:10" ht="15" customHeight="1" x14ac:dyDescent="0.2">
      <c r="A298" s="56"/>
      <c r="B298" s="58"/>
      <c r="C298" s="56" t="str">
        <f>IF(B298="","",IFERROR(VLOOKUP(B298,'04 TANIMLAR'!$A$2:$C$9,2,FALSE()),""))</f>
        <v/>
      </c>
      <c r="D298" s="58"/>
      <c r="E298" s="56" t="str">
        <f>IF(B298="","",IFERROR(VLOOKUP(B298,'04 TANIMLAR'!$A$2:$C$9,3,FALSE()),""))</f>
        <v/>
      </c>
      <c r="F298" s="58"/>
      <c r="G298" s="56"/>
      <c r="H298" s="58"/>
      <c r="I298" s="56"/>
      <c r="J298" s="56"/>
    </row>
    <row r="299" spans="1:10" ht="15" customHeight="1" x14ac:dyDescent="0.2">
      <c r="A299" s="56"/>
      <c r="B299" s="58"/>
      <c r="C299" s="56" t="str">
        <f>IF(B299="","",IFERROR(VLOOKUP(B299,'04 TANIMLAR'!$A$2:$C$9,2,FALSE()),""))</f>
        <v/>
      </c>
      <c r="D299" s="58"/>
      <c r="E299" s="56" t="str">
        <f>IF(B299="","",IFERROR(VLOOKUP(B299,'04 TANIMLAR'!$A$2:$C$9,3,FALSE()),""))</f>
        <v/>
      </c>
      <c r="F299" s="58"/>
      <c r="G299" s="56"/>
      <c r="H299" s="58"/>
      <c r="I299" s="56"/>
      <c r="J299" s="56"/>
    </row>
    <row r="300" spans="1:10" ht="15" customHeight="1" x14ac:dyDescent="0.2">
      <c r="A300" s="56"/>
      <c r="B300" s="58"/>
      <c r="C300" s="56" t="str">
        <f>IF(B300="","",IFERROR(VLOOKUP(B300,'04 TANIMLAR'!$A$2:$C$9,2,FALSE()),""))</f>
        <v/>
      </c>
      <c r="D300" s="58"/>
      <c r="E300" s="56" t="str">
        <f>IF(B300="","",IFERROR(VLOOKUP(B300,'04 TANIMLAR'!$A$2:$C$9,3,FALSE()),""))</f>
        <v/>
      </c>
      <c r="F300" s="58"/>
      <c r="G300" s="56"/>
      <c r="H300" s="58"/>
      <c r="I300" s="56"/>
      <c r="J300" s="56"/>
    </row>
    <row r="301" spans="1:10" ht="15" customHeight="1" x14ac:dyDescent="0.2">
      <c r="A301" s="56"/>
      <c r="B301" s="58"/>
      <c r="C301" s="56" t="str">
        <f>IF(B301="","",IFERROR(VLOOKUP(B301,'04 TANIMLAR'!$A$2:$C$9,2,FALSE()),""))</f>
        <v/>
      </c>
      <c r="D301" s="58"/>
      <c r="E301" s="56" t="str">
        <f>IF(B301="","",IFERROR(VLOOKUP(B301,'04 TANIMLAR'!$A$2:$C$9,3,FALSE()),""))</f>
        <v/>
      </c>
      <c r="F301" s="58"/>
      <c r="G301" s="56"/>
      <c r="H301" s="58"/>
      <c r="I301" s="56"/>
      <c r="J301" s="56"/>
    </row>
    <row r="302" spans="1:10" ht="15" customHeight="1" x14ac:dyDescent="0.2">
      <c r="A302" s="56"/>
      <c r="B302" s="58"/>
      <c r="C302" s="56" t="str">
        <f>IF(B302="","",IFERROR(VLOOKUP(B302,'04 TANIMLAR'!$A$2:$C$9,2,FALSE()),""))</f>
        <v/>
      </c>
      <c r="D302" s="58"/>
      <c r="E302" s="56" t="str">
        <f>IF(B302="","",IFERROR(VLOOKUP(B302,'04 TANIMLAR'!$A$2:$C$9,3,FALSE()),""))</f>
        <v/>
      </c>
      <c r="F302" s="58"/>
      <c r="G302" s="56"/>
      <c r="H302" s="58"/>
      <c r="I302" s="56"/>
      <c r="J302" s="56"/>
    </row>
    <row r="303" spans="1:10" ht="15" customHeight="1" x14ac:dyDescent="0.2">
      <c r="A303" s="56"/>
      <c r="B303" s="58"/>
      <c r="C303" s="56" t="str">
        <f>IF(B303="","",IFERROR(VLOOKUP(B303,'04 TANIMLAR'!$A$2:$C$9,2,FALSE()),""))</f>
        <v/>
      </c>
      <c r="D303" s="58"/>
      <c r="E303" s="56" t="str">
        <f>IF(B303="","",IFERROR(VLOOKUP(B303,'04 TANIMLAR'!$A$2:$C$9,3,FALSE()),""))</f>
        <v/>
      </c>
      <c r="F303" s="58"/>
      <c r="G303" s="56"/>
      <c r="H303" s="58"/>
      <c r="I303" s="56"/>
      <c r="J303" s="56"/>
    </row>
    <row r="304" spans="1:10" ht="15" customHeight="1" x14ac:dyDescent="0.2">
      <c r="A304" s="56"/>
      <c r="B304" s="58"/>
      <c r="C304" s="56" t="str">
        <f>IF(B304="","",IFERROR(VLOOKUP(B304,'04 TANIMLAR'!$A$2:$C$9,2,FALSE()),""))</f>
        <v/>
      </c>
      <c r="D304" s="58"/>
      <c r="E304" s="56" t="str">
        <f>IF(B304="","",IFERROR(VLOOKUP(B304,'04 TANIMLAR'!$A$2:$C$9,3,FALSE()),""))</f>
        <v/>
      </c>
      <c r="F304" s="58"/>
      <c r="G304" s="56"/>
      <c r="H304" s="58"/>
      <c r="I304" s="56"/>
      <c r="J304" s="56"/>
    </row>
    <row r="305" spans="1:10" ht="15" customHeight="1" x14ac:dyDescent="0.2">
      <c r="A305" s="56"/>
      <c r="B305" s="58"/>
      <c r="C305" s="56" t="str">
        <f>IF(B305="","",IFERROR(VLOOKUP(B305,'04 TANIMLAR'!$A$2:$C$9,2,FALSE()),""))</f>
        <v/>
      </c>
      <c r="D305" s="58"/>
      <c r="E305" s="56" t="str">
        <f>IF(B305="","",IFERROR(VLOOKUP(B305,'04 TANIMLAR'!$A$2:$C$9,3,FALSE()),""))</f>
        <v/>
      </c>
      <c r="F305" s="58"/>
      <c r="G305" s="56"/>
      <c r="H305" s="58"/>
      <c r="I305" s="56"/>
      <c r="J305" s="56"/>
    </row>
    <row r="306" spans="1:10" ht="15" customHeight="1" x14ac:dyDescent="0.2">
      <c r="A306" s="56"/>
      <c r="B306" s="58"/>
      <c r="C306" s="56" t="str">
        <f>IF(B306="","",IFERROR(VLOOKUP(B306,'04 TANIMLAR'!$A$2:$C$9,2,FALSE()),""))</f>
        <v/>
      </c>
      <c r="D306" s="58"/>
      <c r="E306" s="56" t="str">
        <f>IF(B306="","",IFERROR(VLOOKUP(B306,'04 TANIMLAR'!$A$2:$C$9,3,FALSE()),""))</f>
        <v/>
      </c>
      <c r="F306" s="58"/>
      <c r="G306" s="56"/>
      <c r="H306" s="58"/>
      <c r="I306" s="56"/>
      <c r="J306" s="56"/>
    </row>
    <row r="307" spans="1:10" ht="15" customHeight="1" x14ac:dyDescent="0.2">
      <c r="A307" s="56"/>
      <c r="B307" s="58"/>
      <c r="C307" s="56" t="str">
        <f>IF(B307="","",IFERROR(VLOOKUP(B307,'04 TANIMLAR'!$A$2:$C$9,2,FALSE()),""))</f>
        <v/>
      </c>
      <c r="D307" s="58"/>
      <c r="E307" s="56" t="str">
        <f>IF(B307="","",IFERROR(VLOOKUP(B307,'04 TANIMLAR'!$A$2:$C$9,3,FALSE()),""))</f>
        <v/>
      </c>
      <c r="F307" s="58"/>
      <c r="G307" s="56"/>
      <c r="H307" s="58"/>
      <c r="I307" s="56"/>
      <c r="J307" s="56"/>
    </row>
    <row r="308" spans="1:10" ht="15" customHeight="1" x14ac:dyDescent="0.2">
      <c r="A308" s="56"/>
      <c r="B308" s="58"/>
      <c r="C308" s="56" t="str">
        <f>IF(B308="","",IFERROR(VLOOKUP(B308,'04 TANIMLAR'!$A$2:$C$9,2,FALSE()),""))</f>
        <v/>
      </c>
      <c r="D308" s="58"/>
      <c r="E308" s="56" t="str">
        <f>IF(B308="","",IFERROR(VLOOKUP(B308,'04 TANIMLAR'!$A$2:$C$9,3,FALSE()),""))</f>
        <v/>
      </c>
      <c r="F308" s="58"/>
      <c r="G308" s="56"/>
      <c r="H308" s="58"/>
      <c r="I308" s="56"/>
      <c r="J308" s="56"/>
    </row>
    <row r="309" spans="1:10" ht="15" customHeight="1" x14ac:dyDescent="0.2">
      <c r="A309" s="56"/>
      <c r="B309" s="58"/>
      <c r="C309" s="56" t="str">
        <f>IF(B309="","",IFERROR(VLOOKUP(B309,'04 TANIMLAR'!$A$2:$C$9,2,FALSE()),""))</f>
        <v/>
      </c>
      <c r="D309" s="58"/>
      <c r="E309" s="56" t="str">
        <f>IF(B309="","",IFERROR(VLOOKUP(B309,'04 TANIMLAR'!$A$2:$C$9,3,FALSE()),""))</f>
        <v/>
      </c>
      <c r="F309" s="58"/>
      <c r="G309" s="56"/>
      <c r="H309" s="58"/>
      <c r="I309" s="56"/>
      <c r="J309" s="56"/>
    </row>
    <row r="310" spans="1:10" ht="15" customHeight="1" x14ac:dyDescent="0.2">
      <c r="A310" s="56"/>
      <c r="B310" s="58"/>
      <c r="C310" s="56" t="str">
        <f>IF(B310="","",IFERROR(VLOOKUP(B310,'04 TANIMLAR'!$A$2:$C$9,2,FALSE()),""))</f>
        <v/>
      </c>
      <c r="D310" s="58"/>
      <c r="E310" s="56" t="str">
        <f>IF(B310="","",IFERROR(VLOOKUP(B310,'04 TANIMLAR'!$A$2:$C$9,3,FALSE()),""))</f>
        <v/>
      </c>
      <c r="F310" s="58"/>
      <c r="G310" s="56"/>
      <c r="H310" s="58"/>
      <c r="I310" s="56"/>
      <c r="J310" s="56"/>
    </row>
    <row r="311" spans="1:10" ht="15" customHeight="1" x14ac:dyDescent="0.2">
      <c r="A311" s="56"/>
      <c r="B311" s="58"/>
      <c r="C311" s="56" t="str">
        <f>IF(B311="","",IFERROR(VLOOKUP(B311,'04 TANIMLAR'!$A$2:$C$9,2,FALSE()),""))</f>
        <v/>
      </c>
      <c r="D311" s="58"/>
      <c r="E311" s="56" t="str">
        <f>IF(B311="","",IFERROR(VLOOKUP(B311,'04 TANIMLAR'!$A$2:$C$9,3,FALSE()),""))</f>
        <v/>
      </c>
      <c r="F311" s="58"/>
      <c r="G311" s="56"/>
      <c r="H311" s="58"/>
      <c r="I311" s="56"/>
      <c r="J311" s="56"/>
    </row>
    <row r="312" spans="1:10" ht="15" customHeight="1" x14ac:dyDescent="0.2">
      <c r="A312" s="56"/>
      <c r="B312" s="58"/>
      <c r="C312" s="56" t="str">
        <f>IF(B312="","",IFERROR(VLOOKUP(B312,'04 TANIMLAR'!$A$2:$C$9,2,FALSE()),""))</f>
        <v/>
      </c>
      <c r="D312" s="58"/>
      <c r="E312" s="56" t="str">
        <f>IF(B312="","",IFERROR(VLOOKUP(B312,'04 TANIMLAR'!$A$2:$C$9,3,FALSE()),""))</f>
        <v/>
      </c>
      <c r="F312" s="58"/>
      <c r="G312" s="56"/>
      <c r="H312" s="58"/>
      <c r="I312" s="56"/>
      <c r="J312" s="56"/>
    </row>
    <row r="313" spans="1:10" ht="15" customHeight="1" x14ac:dyDescent="0.2">
      <c r="A313" s="56"/>
      <c r="B313" s="58"/>
      <c r="C313" s="56" t="str">
        <f>IF(B313="","",IFERROR(VLOOKUP(B313,'04 TANIMLAR'!$A$2:$C$9,2,FALSE()),""))</f>
        <v/>
      </c>
      <c r="D313" s="58"/>
      <c r="E313" s="56" t="str">
        <f>IF(B313="","",IFERROR(VLOOKUP(B313,'04 TANIMLAR'!$A$2:$C$9,3,FALSE()),""))</f>
        <v/>
      </c>
      <c r="F313" s="58"/>
      <c r="G313" s="56"/>
      <c r="H313" s="58"/>
      <c r="I313" s="56"/>
      <c r="J313" s="56"/>
    </row>
    <row r="314" spans="1:10" ht="15" customHeight="1" x14ac:dyDescent="0.2">
      <c r="A314" s="56"/>
      <c r="B314" s="58"/>
      <c r="C314" s="56" t="str">
        <f>IF(B314="","",IFERROR(VLOOKUP(B314,'04 TANIMLAR'!$A$2:$C$9,2,FALSE()),""))</f>
        <v/>
      </c>
      <c r="D314" s="58"/>
      <c r="E314" s="56" t="str">
        <f>IF(B314="","",IFERROR(VLOOKUP(B314,'04 TANIMLAR'!$A$2:$C$9,3,FALSE()),""))</f>
        <v/>
      </c>
      <c r="F314" s="58"/>
      <c r="G314" s="56"/>
      <c r="H314" s="58"/>
      <c r="I314" s="56"/>
      <c r="J314" s="56"/>
    </row>
    <row r="315" spans="1:10" ht="15" customHeight="1" x14ac:dyDescent="0.2">
      <c r="A315" s="56"/>
      <c r="B315" s="58"/>
      <c r="C315" s="56" t="str">
        <f>IF(B315="","",IFERROR(VLOOKUP(B315,'04 TANIMLAR'!$A$2:$C$9,2,FALSE()),""))</f>
        <v/>
      </c>
      <c r="D315" s="58"/>
      <c r="E315" s="56" t="str">
        <f>IF(B315="","",IFERROR(VLOOKUP(B315,'04 TANIMLAR'!$A$2:$C$9,3,FALSE()),""))</f>
        <v/>
      </c>
      <c r="F315" s="58"/>
      <c r="G315" s="56"/>
      <c r="H315" s="58"/>
      <c r="I315" s="56"/>
      <c r="J315" s="56"/>
    </row>
    <row r="316" spans="1:10" ht="15" customHeight="1" x14ac:dyDescent="0.2">
      <c r="A316" s="56"/>
      <c r="B316" s="58"/>
      <c r="C316" s="56" t="str">
        <f>IF(B316="","",IFERROR(VLOOKUP(B316,'04 TANIMLAR'!$A$2:$C$9,2,FALSE()),""))</f>
        <v/>
      </c>
      <c r="D316" s="58"/>
      <c r="E316" s="56" t="str">
        <f>IF(B316="","",IFERROR(VLOOKUP(B316,'04 TANIMLAR'!$A$2:$C$9,3,FALSE()),""))</f>
        <v/>
      </c>
      <c r="F316" s="58"/>
      <c r="G316" s="56"/>
      <c r="H316" s="58"/>
      <c r="I316" s="56"/>
      <c r="J316" s="56"/>
    </row>
    <row r="317" spans="1:10" ht="15" customHeight="1" x14ac:dyDescent="0.2">
      <c r="A317" s="56"/>
      <c r="B317" s="58"/>
      <c r="C317" s="56" t="str">
        <f>IF(B317="","",IFERROR(VLOOKUP(B317,'04 TANIMLAR'!$A$2:$C$9,2,FALSE()),""))</f>
        <v/>
      </c>
      <c r="D317" s="58"/>
      <c r="E317" s="56" t="str">
        <f>IF(B317="","",IFERROR(VLOOKUP(B317,'04 TANIMLAR'!$A$2:$C$9,3,FALSE()),""))</f>
        <v/>
      </c>
      <c r="F317" s="58"/>
      <c r="G317" s="56"/>
      <c r="H317" s="58"/>
      <c r="I317" s="56"/>
      <c r="J317" s="56"/>
    </row>
    <row r="318" spans="1:10" ht="15" customHeight="1" x14ac:dyDescent="0.2">
      <c r="A318" s="56"/>
      <c r="B318" s="58"/>
      <c r="C318" s="56" t="str">
        <f>IF(B318="","",IFERROR(VLOOKUP(B318,'04 TANIMLAR'!$A$2:$C$9,2,FALSE()),""))</f>
        <v/>
      </c>
      <c r="D318" s="58"/>
      <c r="E318" s="56" t="str">
        <f>IF(B318="","",IFERROR(VLOOKUP(B318,'04 TANIMLAR'!$A$2:$C$9,3,FALSE()),""))</f>
        <v/>
      </c>
      <c r="F318" s="58"/>
      <c r="G318" s="56"/>
      <c r="H318" s="58"/>
      <c r="I318" s="56"/>
      <c r="J318" s="56"/>
    </row>
    <row r="319" spans="1:10" ht="15" customHeight="1" x14ac:dyDescent="0.2">
      <c r="A319" s="56"/>
      <c r="B319" s="58"/>
      <c r="C319" s="56" t="str">
        <f>IF(B319="","",IFERROR(VLOOKUP(B319,'04 TANIMLAR'!$A$2:$C$9,2,FALSE()),""))</f>
        <v/>
      </c>
      <c r="D319" s="58"/>
      <c r="E319" s="56" t="str">
        <f>IF(B319="","",IFERROR(VLOOKUP(B319,'04 TANIMLAR'!$A$2:$C$9,3,FALSE()),""))</f>
        <v/>
      </c>
      <c r="F319" s="58"/>
      <c r="G319" s="56"/>
      <c r="H319" s="58"/>
      <c r="I319" s="56"/>
      <c r="J319" s="56"/>
    </row>
    <row r="320" spans="1:10" ht="15" customHeight="1" x14ac:dyDescent="0.2">
      <c r="A320" s="56"/>
      <c r="B320" s="58"/>
      <c r="C320" s="56" t="str">
        <f>IF(B320="","",IFERROR(VLOOKUP(B320,'04 TANIMLAR'!$A$2:$C$9,2,FALSE()),""))</f>
        <v/>
      </c>
      <c r="D320" s="58"/>
      <c r="E320" s="56" t="str">
        <f>IF(B320="","",IFERROR(VLOOKUP(B320,'04 TANIMLAR'!$A$2:$C$9,3,FALSE()),""))</f>
        <v/>
      </c>
      <c r="F320" s="58"/>
      <c r="G320" s="56"/>
      <c r="H320" s="58"/>
      <c r="I320" s="56"/>
      <c r="J320" s="56"/>
    </row>
    <row r="321" spans="1:10" ht="15" customHeight="1" x14ac:dyDescent="0.2">
      <c r="A321" s="56"/>
      <c r="B321" s="58"/>
      <c r="C321" s="56" t="str">
        <f>IF(B321="","",IFERROR(VLOOKUP(B321,'04 TANIMLAR'!$A$2:$C$9,2,FALSE()),""))</f>
        <v/>
      </c>
      <c r="D321" s="58"/>
      <c r="E321" s="56" t="str">
        <f>IF(B321="","",IFERROR(VLOOKUP(B321,'04 TANIMLAR'!$A$2:$C$9,3,FALSE()),""))</f>
        <v/>
      </c>
      <c r="F321" s="58"/>
      <c r="G321" s="56"/>
      <c r="H321" s="58"/>
      <c r="I321" s="56"/>
      <c r="J321" s="56"/>
    </row>
    <row r="322" spans="1:10" ht="15" customHeight="1" x14ac:dyDescent="0.2">
      <c r="A322" s="56"/>
      <c r="B322" s="58"/>
      <c r="C322" s="56" t="str">
        <f>IF(B322="","",IFERROR(VLOOKUP(B322,'04 TANIMLAR'!$A$2:$C$9,2,FALSE()),""))</f>
        <v/>
      </c>
      <c r="D322" s="58"/>
      <c r="E322" s="56" t="str">
        <f>IF(B322="","",IFERROR(VLOOKUP(B322,'04 TANIMLAR'!$A$2:$C$9,3,FALSE()),""))</f>
        <v/>
      </c>
      <c r="F322" s="58"/>
      <c r="G322" s="56"/>
      <c r="H322" s="58"/>
      <c r="I322" s="56"/>
      <c r="J322" s="56"/>
    </row>
    <row r="323" spans="1:10" ht="15" customHeight="1" x14ac:dyDescent="0.2">
      <c r="A323" s="56"/>
      <c r="B323" s="58"/>
      <c r="C323" s="56" t="str">
        <f>IF(B323="","",IFERROR(VLOOKUP(B323,'04 TANIMLAR'!$A$2:$C$9,2,FALSE()),""))</f>
        <v/>
      </c>
      <c r="D323" s="58"/>
      <c r="E323" s="56" t="str">
        <f>IF(B323="","",IFERROR(VLOOKUP(B323,'04 TANIMLAR'!$A$2:$C$9,3,FALSE()),""))</f>
        <v/>
      </c>
      <c r="F323" s="58"/>
      <c r="G323" s="56"/>
      <c r="H323" s="58"/>
      <c r="I323" s="56"/>
      <c r="J323" s="56"/>
    </row>
    <row r="324" spans="1:10" ht="15" customHeight="1" x14ac:dyDescent="0.2">
      <c r="A324" s="56"/>
      <c r="B324" s="58"/>
      <c r="C324" s="56" t="str">
        <f>IF(B324="","",IFERROR(VLOOKUP(B324,'04 TANIMLAR'!$A$2:$C$9,2,FALSE()),""))</f>
        <v/>
      </c>
      <c r="D324" s="58"/>
      <c r="E324" s="56" t="str">
        <f>IF(B324="","",IFERROR(VLOOKUP(B324,'04 TANIMLAR'!$A$2:$C$9,3,FALSE()),""))</f>
        <v/>
      </c>
      <c r="F324" s="58"/>
      <c r="G324" s="56"/>
      <c r="H324" s="58"/>
      <c r="I324" s="56"/>
      <c r="J324" s="56"/>
    </row>
    <row r="325" spans="1:10" ht="15" customHeight="1" x14ac:dyDescent="0.2">
      <c r="A325" s="56"/>
      <c r="B325" s="58"/>
      <c r="C325" s="56" t="str">
        <f>IF(B325="","",IFERROR(VLOOKUP(B325,'04 TANIMLAR'!$A$2:$C$9,2,FALSE()),""))</f>
        <v/>
      </c>
      <c r="D325" s="58"/>
      <c r="E325" s="56" t="str">
        <f>IF(B325="","",IFERROR(VLOOKUP(B325,'04 TANIMLAR'!$A$2:$C$9,3,FALSE()),""))</f>
        <v/>
      </c>
      <c r="F325" s="58"/>
      <c r="G325" s="56"/>
      <c r="H325" s="58"/>
      <c r="I325" s="56"/>
      <c r="J325" s="56"/>
    </row>
    <row r="326" spans="1:10" ht="15" customHeight="1" x14ac:dyDescent="0.2">
      <c r="A326" s="56"/>
      <c r="B326" s="58"/>
      <c r="C326" s="56" t="str">
        <f>IF(B326="","",IFERROR(VLOOKUP(B326,'04 TANIMLAR'!$A$2:$C$9,2,FALSE()),""))</f>
        <v/>
      </c>
      <c r="D326" s="58"/>
      <c r="E326" s="56" t="str">
        <f>IF(B326="","",IFERROR(VLOOKUP(B326,'04 TANIMLAR'!$A$2:$C$9,3,FALSE()),""))</f>
        <v/>
      </c>
      <c r="F326" s="58"/>
      <c r="G326" s="56"/>
      <c r="H326" s="58"/>
      <c r="I326" s="56"/>
      <c r="J326" s="56"/>
    </row>
    <row r="327" spans="1:10" ht="15" customHeight="1" x14ac:dyDescent="0.2">
      <c r="A327" s="56"/>
      <c r="B327" s="58"/>
      <c r="C327" s="56" t="str">
        <f>IF(B327="","",IFERROR(VLOOKUP(B327,'04 TANIMLAR'!$A$2:$C$9,2,FALSE()),""))</f>
        <v/>
      </c>
      <c r="D327" s="58"/>
      <c r="E327" s="56" t="str">
        <f>IF(B327="","",IFERROR(VLOOKUP(B327,'04 TANIMLAR'!$A$2:$C$9,3,FALSE()),""))</f>
        <v/>
      </c>
      <c r="F327" s="58"/>
      <c r="G327" s="56"/>
      <c r="H327" s="58"/>
      <c r="I327" s="56"/>
      <c r="J327" s="56"/>
    </row>
    <row r="328" spans="1:10" ht="15" customHeight="1" x14ac:dyDescent="0.2">
      <c r="A328" s="56"/>
      <c r="B328" s="58"/>
      <c r="C328" s="56" t="str">
        <f>IF(B328="","",IFERROR(VLOOKUP(B328,'04 TANIMLAR'!$A$2:$C$9,2,FALSE()),""))</f>
        <v/>
      </c>
      <c r="D328" s="58"/>
      <c r="E328" s="56" t="str">
        <f>IF(B328="","",IFERROR(VLOOKUP(B328,'04 TANIMLAR'!$A$2:$C$9,3,FALSE()),""))</f>
        <v/>
      </c>
      <c r="F328" s="58"/>
      <c r="G328" s="56"/>
      <c r="H328" s="58"/>
      <c r="I328" s="56"/>
      <c r="J328" s="56"/>
    </row>
    <row r="329" spans="1:10" ht="15" customHeight="1" x14ac:dyDescent="0.2">
      <c r="A329" s="56"/>
      <c r="B329" s="58"/>
      <c r="C329" s="56" t="str">
        <f>IF(B329="","",IFERROR(VLOOKUP(B329,'04 TANIMLAR'!$A$2:$C$9,2,FALSE()),""))</f>
        <v/>
      </c>
      <c r="D329" s="58"/>
      <c r="E329" s="56" t="str">
        <f>IF(B329="","",IFERROR(VLOOKUP(B329,'04 TANIMLAR'!$A$2:$C$9,3,FALSE()),""))</f>
        <v/>
      </c>
      <c r="F329" s="58"/>
      <c r="G329" s="56"/>
      <c r="H329" s="58"/>
      <c r="I329" s="56"/>
      <c r="J329" s="56"/>
    </row>
    <row r="330" spans="1:10" ht="15" customHeight="1" x14ac:dyDescent="0.2">
      <c r="A330" s="56"/>
      <c r="B330" s="58"/>
      <c r="C330" s="56" t="str">
        <f>IF(B330="","",IFERROR(VLOOKUP(B330,'04 TANIMLAR'!$A$2:$C$9,2,FALSE()),""))</f>
        <v/>
      </c>
      <c r="D330" s="58"/>
      <c r="E330" s="56" t="str">
        <f>IF(B330="","",IFERROR(VLOOKUP(B330,'04 TANIMLAR'!$A$2:$C$9,3,FALSE()),""))</f>
        <v/>
      </c>
      <c r="F330" s="58"/>
      <c r="G330" s="56"/>
      <c r="H330" s="58"/>
      <c r="I330" s="56"/>
      <c r="J330" s="56"/>
    </row>
    <row r="331" spans="1:10" ht="15" customHeight="1" x14ac:dyDescent="0.2">
      <c r="A331" s="56"/>
      <c r="B331" s="58"/>
      <c r="C331" s="56" t="str">
        <f>IF(B331="","",IFERROR(VLOOKUP(B331,'04 TANIMLAR'!$A$2:$C$9,2,FALSE()),""))</f>
        <v/>
      </c>
      <c r="D331" s="58"/>
      <c r="E331" s="56" t="str">
        <f>IF(B331="","",IFERROR(VLOOKUP(B331,'04 TANIMLAR'!$A$2:$C$9,3,FALSE()),""))</f>
        <v/>
      </c>
      <c r="F331" s="58"/>
      <c r="G331" s="56"/>
      <c r="H331" s="58"/>
      <c r="I331" s="56"/>
      <c r="J331" s="56"/>
    </row>
    <row r="332" spans="1:10" ht="15" customHeight="1" x14ac:dyDescent="0.2">
      <c r="A332" s="56"/>
      <c r="B332" s="58"/>
      <c r="C332" s="56" t="str">
        <f>IF(B332="","",IFERROR(VLOOKUP(B332,'04 TANIMLAR'!$A$2:$C$9,2,FALSE()),""))</f>
        <v/>
      </c>
      <c r="D332" s="58"/>
      <c r="E332" s="56" t="str">
        <f>IF(B332="","",IFERROR(VLOOKUP(B332,'04 TANIMLAR'!$A$2:$C$9,3,FALSE()),""))</f>
        <v/>
      </c>
      <c r="F332" s="58"/>
      <c r="G332" s="56"/>
      <c r="H332" s="58"/>
      <c r="I332" s="56"/>
      <c r="J332" s="56"/>
    </row>
    <row r="333" spans="1:10" ht="15" customHeight="1" x14ac:dyDescent="0.2">
      <c r="A333" s="56"/>
      <c r="B333" s="58"/>
      <c r="C333" s="56" t="str">
        <f>IF(B333="","",IFERROR(VLOOKUP(B333,'04 TANIMLAR'!$A$2:$C$9,2,FALSE()),""))</f>
        <v/>
      </c>
      <c r="D333" s="58"/>
      <c r="E333" s="56" t="str">
        <f>IF(B333="","",IFERROR(VLOOKUP(B333,'04 TANIMLAR'!$A$2:$C$9,3,FALSE()),""))</f>
        <v/>
      </c>
      <c r="F333" s="58"/>
      <c r="G333" s="56"/>
      <c r="H333" s="58"/>
      <c r="I333" s="56"/>
      <c r="J333" s="56"/>
    </row>
    <row r="334" spans="1:10" ht="15" customHeight="1" x14ac:dyDescent="0.2">
      <c r="A334" s="56"/>
      <c r="B334" s="58"/>
      <c r="C334" s="56" t="str">
        <f>IF(B334="","",IFERROR(VLOOKUP(B334,'04 TANIMLAR'!$A$2:$C$9,2,FALSE()),""))</f>
        <v/>
      </c>
      <c r="D334" s="58"/>
      <c r="E334" s="56" t="str">
        <f>IF(B334="","",IFERROR(VLOOKUP(B334,'04 TANIMLAR'!$A$2:$C$9,3,FALSE()),""))</f>
        <v/>
      </c>
      <c r="F334" s="58"/>
      <c r="G334" s="56"/>
      <c r="H334" s="58"/>
      <c r="I334" s="56"/>
      <c r="J334" s="56"/>
    </row>
    <row r="335" spans="1:10" ht="15" customHeight="1" x14ac:dyDescent="0.2">
      <c r="A335" s="56"/>
      <c r="B335" s="58"/>
      <c r="C335" s="56" t="str">
        <f>IF(B335="","",IFERROR(VLOOKUP(B335,'04 TANIMLAR'!$A$2:$C$9,2,FALSE()),""))</f>
        <v/>
      </c>
      <c r="D335" s="58"/>
      <c r="E335" s="56" t="str">
        <f>IF(B335="","",IFERROR(VLOOKUP(B335,'04 TANIMLAR'!$A$2:$C$9,3,FALSE()),""))</f>
        <v/>
      </c>
      <c r="F335" s="58"/>
      <c r="G335" s="56"/>
      <c r="H335" s="58"/>
      <c r="I335" s="56"/>
      <c r="J335" s="56"/>
    </row>
    <row r="336" spans="1:10" ht="15" customHeight="1" x14ac:dyDescent="0.2">
      <c r="A336" s="56"/>
      <c r="B336" s="58"/>
      <c r="C336" s="56" t="str">
        <f>IF(B336="","",IFERROR(VLOOKUP(B336,'04 TANIMLAR'!$A$2:$C$9,2,FALSE()),""))</f>
        <v/>
      </c>
      <c r="D336" s="58"/>
      <c r="E336" s="56" t="str">
        <f>IF(B336="","",IFERROR(VLOOKUP(B336,'04 TANIMLAR'!$A$2:$C$9,3,FALSE()),""))</f>
        <v/>
      </c>
      <c r="F336" s="58"/>
      <c r="G336" s="56"/>
      <c r="H336" s="58"/>
      <c r="I336" s="56"/>
      <c r="J336" s="56"/>
    </row>
    <row r="337" spans="1:10" ht="15" customHeight="1" x14ac:dyDescent="0.2">
      <c r="A337" s="56"/>
      <c r="B337" s="58"/>
      <c r="C337" s="56" t="str">
        <f>IF(B337="","",IFERROR(VLOOKUP(B337,'04 TANIMLAR'!$A$2:$C$9,2,FALSE()),""))</f>
        <v/>
      </c>
      <c r="D337" s="58"/>
      <c r="E337" s="56" t="str">
        <f>IF(B337="","",IFERROR(VLOOKUP(B337,'04 TANIMLAR'!$A$2:$C$9,3,FALSE()),""))</f>
        <v/>
      </c>
      <c r="F337" s="58"/>
      <c r="G337" s="56"/>
      <c r="H337" s="58"/>
      <c r="I337" s="56"/>
      <c r="J337" s="56"/>
    </row>
    <row r="338" spans="1:10" ht="15" customHeight="1" x14ac:dyDescent="0.2">
      <c r="A338" s="56"/>
      <c r="B338" s="58"/>
      <c r="C338" s="56" t="str">
        <f>IF(B338="","",IFERROR(VLOOKUP(B338,'04 TANIMLAR'!$A$2:$C$9,2,FALSE()),""))</f>
        <v/>
      </c>
      <c r="D338" s="58"/>
      <c r="E338" s="56" t="str">
        <f>IF(B338="","",IFERROR(VLOOKUP(B338,'04 TANIMLAR'!$A$2:$C$9,3,FALSE()),""))</f>
        <v/>
      </c>
      <c r="F338" s="58"/>
      <c r="G338" s="56"/>
      <c r="H338" s="58"/>
      <c r="I338" s="56"/>
      <c r="J338" s="56"/>
    </row>
    <row r="339" spans="1:10" ht="15" customHeight="1" x14ac:dyDescent="0.2">
      <c r="A339" s="56"/>
      <c r="B339" s="58"/>
      <c r="C339" s="56" t="str">
        <f>IF(B339="","",IFERROR(VLOOKUP(B339,'04 TANIMLAR'!$A$2:$C$9,2,FALSE()),""))</f>
        <v/>
      </c>
      <c r="D339" s="58"/>
      <c r="E339" s="56" t="str">
        <f>IF(B339="","",IFERROR(VLOOKUP(B339,'04 TANIMLAR'!$A$2:$C$9,3,FALSE()),""))</f>
        <v/>
      </c>
      <c r="F339" s="58"/>
      <c r="G339" s="56"/>
      <c r="H339" s="58"/>
      <c r="I339" s="56"/>
      <c r="J339" s="56"/>
    </row>
    <row r="340" spans="1:10" ht="15" customHeight="1" x14ac:dyDescent="0.2">
      <c r="A340" s="56"/>
      <c r="B340" s="58"/>
      <c r="C340" s="56" t="str">
        <f>IF(B340="","",IFERROR(VLOOKUP(B340,'04 TANIMLAR'!$A$2:$C$9,2,FALSE()),""))</f>
        <v/>
      </c>
      <c r="D340" s="58"/>
      <c r="E340" s="56" t="str">
        <f>IF(B340="","",IFERROR(VLOOKUP(B340,'04 TANIMLAR'!$A$2:$C$9,3,FALSE()),""))</f>
        <v/>
      </c>
      <c r="F340" s="58"/>
      <c r="G340" s="56"/>
      <c r="H340" s="58"/>
      <c r="I340" s="56"/>
      <c r="J340" s="56"/>
    </row>
    <row r="341" spans="1:10" ht="15" customHeight="1" x14ac:dyDescent="0.2">
      <c r="A341" s="56"/>
      <c r="B341" s="58"/>
      <c r="C341" s="56" t="str">
        <f>IF(B341="","",IFERROR(VLOOKUP(B341,'04 TANIMLAR'!$A$2:$C$9,2,FALSE()),""))</f>
        <v/>
      </c>
      <c r="D341" s="58"/>
      <c r="E341" s="56" t="str">
        <f>IF(B341="","",IFERROR(VLOOKUP(B341,'04 TANIMLAR'!$A$2:$C$9,3,FALSE()),""))</f>
        <v/>
      </c>
      <c r="F341" s="58"/>
      <c r="G341" s="56"/>
      <c r="H341" s="58"/>
      <c r="I341" s="56"/>
      <c r="J341" s="56"/>
    </row>
    <row r="342" spans="1:10" ht="15" customHeight="1" x14ac:dyDescent="0.2">
      <c r="A342" s="56"/>
      <c r="B342" s="58"/>
      <c r="C342" s="56" t="str">
        <f>IF(B342="","",IFERROR(VLOOKUP(B342,'04 TANIMLAR'!$A$2:$C$9,2,FALSE()),""))</f>
        <v/>
      </c>
      <c r="D342" s="58"/>
      <c r="E342" s="56" t="str">
        <f>IF(B342="","",IFERROR(VLOOKUP(B342,'04 TANIMLAR'!$A$2:$C$9,3,FALSE()),""))</f>
        <v/>
      </c>
      <c r="F342" s="58"/>
      <c r="G342" s="56"/>
      <c r="H342" s="58"/>
      <c r="I342" s="56"/>
      <c r="J342" s="56"/>
    </row>
    <row r="343" spans="1:10" ht="15" customHeight="1" x14ac:dyDescent="0.2">
      <c r="A343" s="56"/>
      <c r="B343" s="58"/>
      <c r="C343" s="56" t="str">
        <f>IF(B343="","",IFERROR(VLOOKUP(B343,'04 TANIMLAR'!$A$2:$C$9,2,FALSE()),""))</f>
        <v/>
      </c>
      <c r="D343" s="58"/>
      <c r="E343" s="56" t="str">
        <f>IF(B343="","",IFERROR(VLOOKUP(B343,'04 TANIMLAR'!$A$2:$C$9,3,FALSE()),""))</f>
        <v/>
      </c>
      <c r="F343" s="58"/>
      <c r="G343" s="56"/>
      <c r="H343" s="58"/>
      <c r="I343" s="56"/>
      <c r="J343" s="56"/>
    </row>
    <row r="344" spans="1:10" ht="15" customHeight="1" x14ac:dyDescent="0.2">
      <c r="A344" s="56"/>
      <c r="B344" s="58"/>
      <c r="C344" s="56" t="str">
        <f>IF(B344="","",IFERROR(VLOOKUP(B344,'04 TANIMLAR'!$A$2:$C$9,2,FALSE()),""))</f>
        <v/>
      </c>
      <c r="D344" s="58"/>
      <c r="E344" s="56" t="str">
        <f>IF(B344="","",IFERROR(VLOOKUP(B344,'04 TANIMLAR'!$A$2:$C$9,3,FALSE()),""))</f>
        <v/>
      </c>
      <c r="F344" s="58"/>
      <c r="G344" s="56"/>
      <c r="H344" s="58"/>
      <c r="I344" s="56"/>
      <c r="J344" s="56"/>
    </row>
    <row r="345" spans="1:10" ht="15" customHeight="1" x14ac:dyDescent="0.2">
      <c r="A345" s="56"/>
      <c r="B345" s="58"/>
      <c r="C345" s="56" t="str">
        <f>IF(B345="","",IFERROR(VLOOKUP(B345,'04 TANIMLAR'!$A$2:$C$9,2,FALSE()),""))</f>
        <v/>
      </c>
      <c r="D345" s="58"/>
      <c r="E345" s="56" t="str">
        <f>IF(B345="","",IFERROR(VLOOKUP(B345,'04 TANIMLAR'!$A$2:$C$9,3,FALSE()),""))</f>
        <v/>
      </c>
      <c r="F345" s="58"/>
      <c r="G345" s="56"/>
      <c r="H345" s="58"/>
      <c r="I345" s="56"/>
      <c r="J345" s="56"/>
    </row>
    <row r="346" spans="1:10" ht="15" customHeight="1" x14ac:dyDescent="0.2">
      <c r="A346" s="56"/>
      <c r="B346" s="58"/>
      <c r="C346" s="56" t="str">
        <f>IF(B346="","",IFERROR(VLOOKUP(B346,'04 TANIMLAR'!$A$2:$C$9,2,FALSE()),""))</f>
        <v/>
      </c>
      <c r="D346" s="58"/>
      <c r="E346" s="56" t="str">
        <f>IF(B346="","",IFERROR(VLOOKUP(B346,'04 TANIMLAR'!$A$2:$C$9,3,FALSE()),""))</f>
        <v/>
      </c>
      <c r="F346" s="58"/>
      <c r="G346" s="56"/>
      <c r="H346" s="58"/>
      <c r="I346" s="56"/>
      <c r="J346" s="56"/>
    </row>
    <row r="347" spans="1:10" ht="15" customHeight="1" x14ac:dyDescent="0.2">
      <c r="A347" s="56"/>
      <c r="B347" s="58"/>
      <c r="C347" s="56" t="str">
        <f>IF(B347="","",IFERROR(VLOOKUP(B347,'04 TANIMLAR'!$A$2:$C$9,2,FALSE()),""))</f>
        <v/>
      </c>
      <c r="D347" s="58"/>
      <c r="E347" s="56" t="str">
        <f>IF(B347="","",IFERROR(VLOOKUP(B347,'04 TANIMLAR'!$A$2:$C$9,3,FALSE()),""))</f>
        <v/>
      </c>
      <c r="F347" s="58"/>
      <c r="G347" s="56"/>
      <c r="H347" s="58"/>
      <c r="I347" s="56"/>
      <c r="J347" s="56"/>
    </row>
    <row r="348" spans="1:10" ht="15" customHeight="1" x14ac:dyDescent="0.2">
      <c r="A348" s="56"/>
      <c r="B348" s="58"/>
      <c r="C348" s="56" t="str">
        <f>IF(B348="","",IFERROR(VLOOKUP(B348,'04 TANIMLAR'!$A$2:$C$9,2,FALSE()),""))</f>
        <v/>
      </c>
      <c r="D348" s="58"/>
      <c r="E348" s="56" t="str">
        <f>IF(B348="","",IFERROR(VLOOKUP(B348,'04 TANIMLAR'!$A$2:$C$9,3,FALSE()),""))</f>
        <v/>
      </c>
      <c r="F348" s="58"/>
      <c r="G348" s="56"/>
      <c r="H348" s="58"/>
      <c r="I348" s="56"/>
      <c r="J348" s="56"/>
    </row>
    <row r="349" spans="1:10" ht="15" customHeight="1" x14ac:dyDescent="0.2">
      <c r="A349" s="56"/>
      <c r="B349" s="58"/>
      <c r="C349" s="56" t="str">
        <f>IF(B349="","",IFERROR(VLOOKUP(B349,'04 TANIMLAR'!$A$2:$C$9,2,FALSE()),""))</f>
        <v/>
      </c>
      <c r="D349" s="58"/>
      <c r="E349" s="56" t="str">
        <f>IF(B349="","",IFERROR(VLOOKUP(B349,'04 TANIMLAR'!$A$2:$C$9,3,FALSE()),""))</f>
        <v/>
      </c>
      <c r="F349" s="58"/>
      <c r="G349" s="56"/>
      <c r="H349" s="58"/>
      <c r="I349" s="56"/>
      <c r="J349" s="56"/>
    </row>
    <row r="350" spans="1:10" ht="15" customHeight="1" x14ac:dyDescent="0.2">
      <c r="A350" s="56"/>
      <c r="B350" s="58"/>
      <c r="C350" s="56" t="str">
        <f>IF(B350="","",IFERROR(VLOOKUP(B350,'04 TANIMLAR'!$A$2:$C$9,2,FALSE()),""))</f>
        <v/>
      </c>
      <c r="D350" s="58"/>
      <c r="E350" s="56" t="str">
        <f>IF(B350="","",IFERROR(VLOOKUP(B350,'04 TANIMLAR'!$A$2:$C$9,3,FALSE()),""))</f>
        <v/>
      </c>
      <c r="F350" s="58"/>
      <c r="G350" s="56"/>
      <c r="H350" s="58"/>
      <c r="I350" s="56"/>
      <c r="J350" s="56"/>
    </row>
    <row r="351" spans="1:10" ht="15" customHeight="1" x14ac:dyDescent="0.2">
      <c r="A351" s="56"/>
      <c r="B351" s="58"/>
      <c r="C351" s="56" t="str">
        <f>IF(B351="","",IFERROR(VLOOKUP(B351,'04 TANIMLAR'!$A$2:$C$9,2,FALSE()),""))</f>
        <v/>
      </c>
      <c r="D351" s="58"/>
      <c r="E351" s="56" t="str">
        <f>IF(B351="","",IFERROR(VLOOKUP(B351,'04 TANIMLAR'!$A$2:$C$9,3,FALSE()),""))</f>
        <v/>
      </c>
      <c r="F351" s="58"/>
      <c r="G351" s="56"/>
      <c r="H351" s="58"/>
      <c r="I351" s="56"/>
      <c r="J351" s="56"/>
    </row>
    <row r="352" spans="1:10" ht="15" customHeight="1" x14ac:dyDescent="0.2">
      <c r="A352" s="56"/>
      <c r="B352" s="58"/>
      <c r="C352" s="56" t="str">
        <f>IF(B352="","",IFERROR(VLOOKUP(B352,'04 TANIMLAR'!$A$2:$C$9,2,FALSE()),""))</f>
        <v/>
      </c>
      <c r="D352" s="58"/>
      <c r="E352" s="56" t="str">
        <f>IF(B352="","",IFERROR(VLOOKUP(B352,'04 TANIMLAR'!$A$2:$C$9,3,FALSE()),""))</f>
        <v/>
      </c>
      <c r="F352" s="58"/>
      <c r="G352" s="56"/>
      <c r="H352" s="58"/>
      <c r="I352" s="56"/>
      <c r="J352" s="56"/>
    </row>
    <row r="353" spans="1:10" ht="15" customHeight="1" x14ac:dyDescent="0.2">
      <c r="A353" s="56"/>
      <c r="B353" s="58"/>
      <c r="C353" s="56" t="str">
        <f>IF(B353="","",IFERROR(VLOOKUP(B353,'04 TANIMLAR'!$A$2:$C$9,2,FALSE()),""))</f>
        <v/>
      </c>
      <c r="D353" s="58"/>
      <c r="E353" s="56" t="str">
        <f>IF(B353="","",IFERROR(VLOOKUP(B353,'04 TANIMLAR'!$A$2:$C$9,3,FALSE()),""))</f>
        <v/>
      </c>
      <c r="F353" s="58"/>
      <c r="G353" s="56"/>
      <c r="H353" s="58"/>
      <c r="I353" s="56"/>
      <c r="J353" s="56"/>
    </row>
    <row r="354" spans="1:10" ht="15" customHeight="1" x14ac:dyDescent="0.2">
      <c r="A354" s="56"/>
      <c r="B354" s="58"/>
      <c r="C354" s="56" t="str">
        <f>IF(B354="","",IFERROR(VLOOKUP(B354,'04 TANIMLAR'!$A$2:$C$9,2,FALSE()),""))</f>
        <v/>
      </c>
      <c r="D354" s="58"/>
      <c r="E354" s="56" t="str">
        <f>IF(B354="","",IFERROR(VLOOKUP(B354,'04 TANIMLAR'!$A$2:$C$9,3,FALSE()),""))</f>
        <v/>
      </c>
      <c r="F354" s="58"/>
      <c r="G354" s="56"/>
      <c r="H354" s="58"/>
      <c r="I354" s="56"/>
      <c r="J354" s="56"/>
    </row>
    <row r="355" spans="1:10" ht="15" customHeight="1" x14ac:dyDescent="0.2">
      <c r="A355" s="56"/>
      <c r="B355" s="58"/>
      <c r="C355" s="56" t="str">
        <f>IF(B355="","",IFERROR(VLOOKUP(B355,'04 TANIMLAR'!$A$2:$C$9,2,FALSE()),""))</f>
        <v/>
      </c>
      <c r="D355" s="58"/>
      <c r="E355" s="56" t="str">
        <f>IF(B355="","",IFERROR(VLOOKUP(B355,'04 TANIMLAR'!$A$2:$C$9,3,FALSE()),""))</f>
        <v/>
      </c>
      <c r="F355" s="58"/>
      <c r="G355" s="56"/>
      <c r="H355" s="58"/>
      <c r="I355" s="56"/>
      <c r="J355" s="56"/>
    </row>
    <row r="356" spans="1:10" ht="15" customHeight="1" x14ac:dyDescent="0.2">
      <c r="A356" s="56"/>
      <c r="B356" s="58"/>
      <c r="C356" s="56" t="str">
        <f>IF(B356="","",IFERROR(VLOOKUP(B356,'04 TANIMLAR'!$A$2:$C$9,2,FALSE()),""))</f>
        <v/>
      </c>
      <c r="D356" s="58"/>
      <c r="E356" s="56" t="str">
        <f>IF(B356="","",IFERROR(VLOOKUP(B356,'04 TANIMLAR'!$A$2:$C$9,3,FALSE()),""))</f>
        <v/>
      </c>
      <c r="F356" s="58"/>
      <c r="G356" s="56"/>
      <c r="H356" s="58"/>
      <c r="I356" s="56"/>
      <c r="J356" s="56"/>
    </row>
    <row r="357" spans="1:10" ht="15" customHeight="1" x14ac:dyDescent="0.2">
      <c r="A357" s="56"/>
      <c r="B357" s="58"/>
      <c r="C357" s="56" t="str">
        <f>IF(B357="","",IFERROR(VLOOKUP(B357,'04 TANIMLAR'!$A$2:$C$9,2,FALSE()),""))</f>
        <v/>
      </c>
      <c r="D357" s="58"/>
      <c r="E357" s="56" t="str">
        <f>IF(B357="","",IFERROR(VLOOKUP(B357,'04 TANIMLAR'!$A$2:$C$9,3,FALSE()),""))</f>
        <v/>
      </c>
      <c r="F357" s="58"/>
      <c r="G357" s="56"/>
      <c r="H357" s="58"/>
      <c r="I357" s="56"/>
      <c r="J357" s="56"/>
    </row>
    <row r="358" spans="1:10" ht="15" customHeight="1" x14ac:dyDescent="0.2">
      <c r="A358" s="56"/>
      <c r="B358" s="58"/>
      <c r="C358" s="56" t="str">
        <f>IF(B358="","",IFERROR(VLOOKUP(B358,'04 TANIMLAR'!$A$2:$C$9,2,FALSE()),""))</f>
        <v/>
      </c>
      <c r="D358" s="58"/>
      <c r="E358" s="56" t="str">
        <f>IF(B358="","",IFERROR(VLOOKUP(B358,'04 TANIMLAR'!$A$2:$C$9,3,FALSE()),""))</f>
        <v/>
      </c>
      <c r="F358" s="58"/>
      <c r="G358" s="56"/>
      <c r="H358" s="58"/>
      <c r="I358" s="56"/>
      <c r="J358" s="56"/>
    </row>
    <row r="359" spans="1:10" ht="15" customHeight="1" x14ac:dyDescent="0.2">
      <c r="A359" s="56"/>
      <c r="B359" s="58"/>
      <c r="C359" s="56" t="str">
        <f>IF(B359="","",IFERROR(VLOOKUP(B359,'04 TANIMLAR'!$A$2:$C$9,2,FALSE()),""))</f>
        <v/>
      </c>
      <c r="D359" s="58"/>
      <c r="E359" s="56" t="str">
        <f>IF(B359="","",IFERROR(VLOOKUP(B359,'04 TANIMLAR'!$A$2:$C$9,3,FALSE()),""))</f>
        <v/>
      </c>
      <c r="F359" s="58"/>
      <c r="G359" s="56"/>
      <c r="H359" s="58"/>
      <c r="I359" s="56"/>
      <c r="J359" s="56"/>
    </row>
    <row r="360" spans="1:10" ht="15" customHeight="1" x14ac:dyDescent="0.2">
      <c r="A360" s="56"/>
      <c r="B360" s="58"/>
      <c r="C360" s="56" t="str">
        <f>IF(B360="","",IFERROR(VLOOKUP(B360,'04 TANIMLAR'!$A$2:$C$9,2,FALSE()),""))</f>
        <v/>
      </c>
      <c r="D360" s="58"/>
      <c r="E360" s="56" t="str">
        <f>IF(B360="","",IFERROR(VLOOKUP(B360,'04 TANIMLAR'!$A$2:$C$9,3,FALSE()),""))</f>
        <v/>
      </c>
      <c r="F360" s="58"/>
      <c r="G360" s="56"/>
      <c r="H360" s="58"/>
      <c r="I360" s="56"/>
      <c r="J360" s="56"/>
    </row>
    <row r="361" spans="1:10" ht="15" customHeight="1" x14ac:dyDescent="0.2">
      <c r="A361" s="56"/>
      <c r="B361" s="58"/>
      <c r="C361" s="56" t="str">
        <f>IF(B361="","",IFERROR(VLOOKUP(B361,'04 TANIMLAR'!$A$2:$C$9,2,FALSE()),""))</f>
        <v/>
      </c>
      <c r="D361" s="58"/>
      <c r="E361" s="56" t="str">
        <f>IF(B361="","",IFERROR(VLOOKUP(B361,'04 TANIMLAR'!$A$2:$C$9,3,FALSE()),""))</f>
        <v/>
      </c>
      <c r="F361" s="58"/>
      <c r="G361" s="56"/>
      <c r="H361" s="58"/>
      <c r="I361" s="56"/>
      <c r="J361" s="56"/>
    </row>
    <row r="362" spans="1:10" ht="15" customHeight="1" x14ac:dyDescent="0.2">
      <c r="A362" s="56"/>
      <c r="B362" s="58"/>
      <c r="C362" s="56" t="str">
        <f>IF(B362="","",IFERROR(VLOOKUP(B362,'04 TANIMLAR'!$A$2:$C$9,2,FALSE()),""))</f>
        <v/>
      </c>
      <c r="D362" s="58"/>
      <c r="E362" s="56" t="str">
        <f>IF(B362="","",IFERROR(VLOOKUP(B362,'04 TANIMLAR'!$A$2:$C$9,3,FALSE()),""))</f>
        <v/>
      </c>
      <c r="F362" s="58"/>
      <c r="G362" s="56"/>
      <c r="H362" s="58"/>
      <c r="I362" s="56"/>
      <c r="J362" s="56"/>
    </row>
    <row r="363" spans="1:10" ht="15" customHeight="1" x14ac:dyDescent="0.2">
      <c r="A363" s="56"/>
      <c r="B363" s="58"/>
      <c r="C363" s="56" t="str">
        <f>IF(B363="","",IFERROR(VLOOKUP(B363,'04 TANIMLAR'!$A$2:$C$9,2,FALSE()),""))</f>
        <v/>
      </c>
      <c r="D363" s="58"/>
      <c r="E363" s="56" t="str">
        <f>IF(B363="","",IFERROR(VLOOKUP(B363,'04 TANIMLAR'!$A$2:$C$9,3,FALSE()),""))</f>
        <v/>
      </c>
      <c r="F363" s="58"/>
      <c r="G363" s="56"/>
      <c r="H363" s="58"/>
      <c r="I363" s="56"/>
      <c r="J363" s="56"/>
    </row>
    <row r="364" spans="1:10" ht="15" customHeight="1" x14ac:dyDescent="0.2">
      <c r="A364" s="56"/>
      <c r="B364" s="58"/>
      <c r="C364" s="56" t="str">
        <f>IF(B364="","",IFERROR(VLOOKUP(B364,'04 TANIMLAR'!$A$2:$C$9,2,FALSE()),""))</f>
        <v/>
      </c>
      <c r="D364" s="58"/>
      <c r="E364" s="56" t="str">
        <f>IF(B364="","",IFERROR(VLOOKUP(B364,'04 TANIMLAR'!$A$2:$C$9,3,FALSE()),""))</f>
        <v/>
      </c>
      <c r="F364" s="58"/>
      <c r="G364" s="56"/>
      <c r="H364" s="58"/>
      <c r="I364" s="56"/>
      <c r="J364" s="56"/>
    </row>
    <row r="365" spans="1:10" ht="15" customHeight="1" x14ac:dyDescent="0.2">
      <c r="A365" s="56"/>
      <c r="B365" s="58"/>
      <c r="C365" s="56" t="str">
        <f>IF(B365="","",IFERROR(VLOOKUP(B365,'04 TANIMLAR'!$A$2:$C$9,2,FALSE()),""))</f>
        <v/>
      </c>
      <c r="D365" s="58"/>
      <c r="E365" s="56" t="str">
        <f>IF(B365="","",IFERROR(VLOOKUP(B365,'04 TANIMLAR'!$A$2:$C$9,3,FALSE()),""))</f>
        <v/>
      </c>
      <c r="F365" s="58"/>
      <c r="G365" s="56"/>
      <c r="H365" s="58"/>
      <c r="I365" s="56"/>
      <c r="J365" s="56"/>
    </row>
    <row r="366" spans="1:10" ht="15" customHeight="1" x14ac:dyDescent="0.2">
      <c r="A366" s="56"/>
      <c r="B366" s="58"/>
      <c r="C366" s="56" t="str">
        <f>IF(B366="","",IFERROR(VLOOKUP(B366,'04 TANIMLAR'!$A$2:$C$9,2,FALSE()),""))</f>
        <v/>
      </c>
      <c r="D366" s="58"/>
      <c r="E366" s="56" t="str">
        <f>IF(B366="","",IFERROR(VLOOKUP(B366,'04 TANIMLAR'!$A$2:$C$9,3,FALSE()),""))</f>
        <v/>
      </c>
      <c r="F366" s="58"/>
      <c r="G366" s="56"/>
      <c r="H366" s="58"/>
      <c r="I366" s="56"/>
      <c r="J366" s="56"/>
    </row>
    <row r="367" spans="1:10" ht="15" customHeight="1" x14ac:dyDescent="0.2">
      <c r="A367" s="56"/>
      <c r="B367" s="58"/>
      <c r="C367" s="56" t="str">
        <f>IF(B367="","",IFERROR(VLOOKUP(B367,'04 TANIMLAR'!$A$2:$C$9,2,FALSE()),""))</f>
        <v/>
      </c>
      <c r="D367" s="58"/>
      <c r="E367" s="56" t="str">
        <f>IF(B367="","",IFERROR(VLOOKUP(B367,'04 TANIMLAR'!$A$2:$C$9,3,FALSE()),""))</f>
        <v/>
      </c>
      <c r="F367" s="58"/>
      <c r="G367" s="56"/>
      <c r="H367" s="58"/>
      <c r="I367" s="56"/>
      <c r="J367" s="56"/>
    </row>
    <row r="368" spans="1:10" ht="15" customHeight="1" x14ac:dyDescent="0.2">
      <c r="A368" s="56"/>
      <c r="B368" s="58"/>
      <c r="C368" s="56" t="str">
        <f>IF(B368="","",IFERROR(VLOOKUP(B368,'04 TANIMLAR'!$A$2:$C$9,2,FALSE()),""))</f>
        <v/>
      </c>
      <c r="D368" s="58"/>
      <c r="E368" s="56" t="str">
        <f>IF(B368="","",IFERROR(VLOOKUP(B368,'04 TANIMLAR'!$A$2:$C$9,3,FALSE()),""))</f>
        <v/>
      </c>
      <c r="F368" s="58"/>
      <c r="G368" s="56"/>
      <c r="H368" s="58"/>
      <c r="I368" s="56"/>
      <c r="J368" s="56"/>
    </row>
    <row r="369" spans="1:10" ht="15" customHeight="1" x14ac:dyDescent="0.2">
      <c r="A369" s="56"/>
      <c r="B369" s="58"/>
      <c r="C369" s="56" t="str">
        <f>IF(B369="","",IFERROR(VLOOKUP(B369,'04 TANIMLAR'!$A$2:$C$9,2,FALSE()),""))</f>
        <v/>
      </c>
      <c r="D369" s="58"/>
      <c r="E369" s="56" t="str">
        <f>IF(B369="","",IFERROR(VLOOKUP(B369,'04 TANIMLAR'!$A$2:$C$9,3,FALSE()),""))</f>
        <v/>
      </c>
      <c r="F369" s="58"/>
      <c r="G369" s="56"/>
      <c r="H369" s="58"/>
      <c r="I369" s="56"/>
      <c r="J369" s="56"/>
    </row>
    <row r="370" spans="1:10" ht="15" customHeight="1" x14ac:dyDescent="0.2">
      <c r="A370" s="56"/>
      <c r="B370" s="58"/>
      <c r="C370" s="56" t="str">
        <f>IF(B370="","",IFERROR(VLOOKUP(B370,'04 TANIMLAR'!$A$2:$C$9,2,FALSE()),""))</f>
        <v/>
      </c>
      <c r="D370" s="58"/>
      <c r="E370" s="56" t="str">
        <f>IF(B370="","",IFERROR(VLOOKUP(B370,'04 TANIMLAR'!$A$2:$C$9,3,FALSE()),""))</f>
        <v/>
      </c>
      <c r="F370" s="58"/>
      <c r="G370" s="56"/>
      <c r="H370" s="58"/>
      <c r="I370" s="56"/>
      <c r="J370" s="56"/>
    </row>
    <row r="371" spans="1:10" ht="15" customHeight="1" x14ac:dyDescent="0.2">
      <c r="A371" s="56"/>
      <c r="B371" s="58"/>
      <c r="C371" s="56" t="str">
        <f>IF(B371="","",IFERROR(VLOOKUP(B371,'04 TANIMLAR'!$A$2:$C$9,2,FALSE()),""))</f>
        <v/>
      </c>
      <c r="D371" s="58"/>
      <c r="E371" s="56" t="str">
        <f>IF(B371="","",IFERROR(VLOOKUP(B371,'04 TANIMLAR'!$A$2:$C$9,3,FALSE()),""))</f>
        <v/>
      </c>
      <c r="F371" s="58"/>
      <c r="G371" s="56"/>
      <c r="H371" s="58"/>
      <c r="I371" s="56"/>
      <c r="J371" s="56"/>
    </row>
    <row r="372" spans="1:10" ht="15" customHeight="1" x14ac:dyDescent="0.2">
      <c r="A372" s="56"/>
      <c r="B372" s="58"/>
      <c r="C372" s="56" t="str">
        <f>IF(B372="","",IFERROR(VLOOKUP(B372,'04 TANIMLAR'!$A$2:$C$9,2,FALSE()),""))</f>
        <v/>
      </c>
      <c r="D372" s="58"/>
      <c r="E372" s="56" t="str">
        <f>IF(B372="","",IFERROR(VLOOKUP(B372,'04 TANIMLAR'!$A$2:$C$9,3,FALSE()),""))</f>
        <v/>
      </c>
      <c r="F372" s="58"/>
      <c r="G372" s="56"/>
      <c r="H372" s="58"/>
      <c r="I372" s="56"/>
      <c r="J372" s="56"/>
    </row>
    <row r="373" spans="1:10" ht="15" customHeight="1" x14ac:dyDescent="0.2">
      <c r="A373" s="56"/>
      <c r="B373" s="58"/>
      <c r="C373" s="56" t="str">
        <f>IF(B373="","",IFERROR(VLOOKUP(B373,'04 TANIMLAR'!$A$2:$C$9,2,FALSE()),""))</f>
        <v/>
      </c>
      <c r="D373" s="58"/>
      <c r="E373" s="56" t="str">
        <f>IF(B373="","",IFERROR(VLOOKUP(B373,'04 TANIMLAR'!$A$2:$C$9,3,FALSE()),""))</f>
        <v/>
      </c>
      <c r="F373" s="58"/>
      <c r="G373" s="56"/>
      <c r="H373" s="58"/>
      <c r="I373" s="56"/>
      <c r="J373" s="56"/>
    </row>
    <row r="374" spans="1:10" ht="15" customHeight="1" x14ac:dyDescent="0.2">
      <c r="A374" s="56"/>
      <c r="B374" s="58"/>
      <c r="C374" s="56" t="str">
        <f>IF(B374="","",IFERROR(VLOOKUP(B374,'04 TANIMLAR'!$A$2:$C$9,2,FALSE()),""))</f>
        <v/>
      </c>
      <c r="D374" s="58"/>
      <c r="E374" s="56" t="str">
        <f>IF(B374="","",IFERROR(VLOOKUP(B374,'04 TANIMLAR'!$A$2:$C$9,3,FALSE()),""))</f>
        <v/>
      </c>
      <c r="F374" s="58"/>
      <c r="G374" s="56"/>
      <c r="H374" s="58"/>
      <c r="I374" s="56"/>
      <c r="J374" s="56"/>
    </row>
    <row r="375" spans="1:10" ht="15" customHeight="1" x14ac:dyDescent="0.2">
      <c r="A375" s="56"/>
      <c r="B375" s="58"/>
      <c r="C375" s="56" t="str">
        <f>IF(B375="","",IFERROR(VLOOKUP(B375,'04 TANIMLAR'!$A$2:$C$9,2,FALSE()),""))</f>
        <v/>
      </c>
      <c r="D375" s="58"/>
      <c r="E375" s="56" t="str">
        <f>IF(B375="","",IFERROR(VLOOKUP(B375,'04 TANIMLAR'!$A$2:$C$9,3,FALSE()),""))</f>
        <v/>
      </c>
      <c r="F375" s="58"/>
      <c r="G375" s="56"/>
      <c r="H375" s="58"/>
      <c r="I375" s="56"/>
      <c r="J375" s="56"/>
    </row>
    <row r="376" spans="1:10" ht="15" customHeight="1" x14ac:dyDescent="0.2">
      <c r="A376" s="56"/>
      <c r="B376" s="58"/>
      <c r="C376" s="56" t="str">
        <f>IF(B376="","",IFERROR(VLOOKUP(B376,'04 TANIMLAR'!$A$2:$C$9,2,FALSE()),""))</f>
        <v/>
      </c>
      <c r="D376" s="58"/>
      <c r="E376" s="56" t="str">
        <f>IF(B376="","",IFERROR(VLOOKUP(B376,'04 TANIMLAR'!$A$2:$C$9,3,FALSE()),""))</f>
        <v/>
      </c>
      <c r="F376" s="58"/>
      <c r="G376" s="56"/>
      <c r="H376" s="58"/>
      <c r="I376" s="56"/>
      <c r="J376" s="56"/>
    </row>
    <row r="377" spans="1:10" ht="15" customHeight="1" x14ac:dyDescent="0.2">
      <c r="A377" s="56"/>
      <c r="B377" s="58"/>
      <c r="C377" s="56" t="str">
        <f>IF(B377="","",IFERROR(VLOOKUP(B377,'04 TANIMLAR'!$A$2:$C$9,2,FALSE()),""))</f>
        <v/>
      </c>
      <c r="D377" s="58"/>
      <c r="E377" s="56" t="str">
        <f>IF(B377="","",IFERROR(VLOOKUP(B377,'04 TANIMLAR'!$A$2:$C$9,3,FALSE()),""))</f>
        <v/>
      </c>
      <c r="F377" s="58"/>
      <c r="G377" s="56"/>
      <c r="H377" s="58"/>
      <c r="I377" s="56"/>
      <c r="J377" s="56"/>
    </row>
    <row r="378" spans="1:10" ht="15" customHeight="1" x14ac:dyDescent="0.2">
      <c r="A378" s="56"/>
      <c r="B378" s="58"/>
      <c r="C378" s="56" t="str">
        <f>IF(B378="","",IFERROR(VLOOKUP(B378,'04 TANIMLAR'!$A$2:$C$9,2,FALSE()),""))</f>
        <v/>
      </c>
      <c r="D378" s="58"/>
      <c r="E378" s="56" t="str">
        <f>IF(B378="","",IFERROR(VLOOKUP(B378,'04 TANIMLAR'!$A$2:$C$9,3,FALSE()),""))</f>
        <v/>
      </c>
      <c r="F378" s="58"/>
      <c r="G378" s="56"/>
      <c r="H378" s="58"/>
      <c r="I378" s="56"/>
      <c r="J378" s="56"/>
    </row>
    <row r="379" spans="1:10" ht="15" customHeight="1" x14ac:dyDescent="0.2">
      <c r="A379" s="56"/>
      <c r="B379" s="58"/>
      <c r="C379" s="56" t="str">
        <f>IF(B379="","",IFERROR(VLOOKUP(B379,'04 TANIMLAR'!$A$2:$C$9,2,FALSE()),""))</f>
        <v/>
      </c>
      <c r="D379" s="58"/>
      <c r="E379" s="56" t="str">
        <f>IF(B379="","",IFERROR(VLOOKUP(B379,'04 TANIMLAR'!$A$2:$C$9,3,FALSE()),""))</f>
        <v/>
      </c>
      <c r="F379" s="58"/>
      <c r="G379" s="56"/>
      <c r="H379" s="58"/>
      <c r="I379" s="56"/>
      <c r="J379" s="56"/>
    </row>
    <row r="380" spans="1:10" ht="15" customHeight="1" x14ac:dyDescent="0.2">
      <c r="A380" s="56"/>
      <c r="B380" s="58"/>
      <c r="C380" s="56" t="str">
        <f>IF(B380="","",IFERROR(VLOOKUP(B380,'04 TANIMLAR'!$A$2:$C$9,2,FALSE()),""))</f>
        <v/>
      </c>
      <c r="D380" s="58"/>
      <c r="E380" s="56" t="str">
        <f>IF(B380="","",IFERROR(VLOOKUP(B380,'04 TANIMLAR'!$A$2:$C$9,3,FALSE()),""))</f>
        <v/>
      </c>
      <c r="F380" s="58"/>
      <c r="G380" s="56"/>
      <c r="H380" s="58"/>
      <c r="I380" s="56"/>
      <c r="J380" s="56"/>
    </row>
    <row r="381" spans="1:10" ht="15" customHeight="1" x14ac:dyDescent="0.2">
      <c r="A381" s="56"/>
      <c r="B381" s="58"/>
      <c r="C381" s="56" t="str">
        <f>IF(B381="","",IFERROR(VLOOKUP(B381,'04 TANIMLAR'!$A$2:$C$9,2,FALSE()),""))</f>
        <v/>
      </c>
      <c r="D381" s="58"/>
      <c r="E381" s="56" t="str">
        <f>IF(B381="","",IFERROR(VLOOKUP(B381,'04 TANIMLAR'!$A$2:$C$9,3,FALSE()),""))</f>
        <v/>
      </c>
      <c r="F381" s="58"/>
      <c r="G381" s="56"/>
      <c r="H381" s="58"/>
      <c r="I381" s="56"/>
      <c r="J381" s="56"/>
    </row>
    <row r="382" spans="1:10" ht="15" customHeight="1" x14ac:dyDescent="0.2">
      <c r="A382" s="56"/>
      <c r="B382" s="58"/>
      <c r="C382" s="56" t="str">
        <f>IF(B382="","",IFERROR(VLOOKUP(B382,'04 TANIMLAR'!$A$2:$C$9,2,FALSE()),""))</f>
        <v/>
      </c>
      <c r="D382" s="58"/>
      <c r="E382" s="56" t="str">
        <f>IF(B382="","",IFERROR(VLOOKUP(B382,'04 TANIMLAR'!$A$2:$C$9,3,FALSE()),""))</f>
        <v/>
      </c>
      <c r="F382" s="58"/>
      <c r="G382" s="56"/>
      <c r="H382" s="58"/>
      <c r="I382" s="56"/>
      <c r="J382" s="56"/>
    </row>
    <row r="383" spans="1:10" ht="15" customHeight="1" x14ac:dyDescent="0.2">
      <c r="A383" s="56"/>
      <c r="B383" s="58"/>
      <c r="C383" s="56" t="str">
        <f>IF(B383="","",IFERROR(VLOOKUP(B383,'04 TANIMLAR'!$A$2:$C$9,2,FALSE()),""))</f>
        <v/>
      </c>
      <c r="D383" s="58"/>
      <c r="E383" s="56" t="str">
        <f>IF(B383="","",IFERROR(VLOOKUP(B383,'04 TANIMLAR'!$A$2:$C$9,3,FALSE()),""))</f>
        <v/>
      </c>
      <c r="F383" s="58"/>
      <c r="G383" s="56"/>
      <c r="H383" s="58"/>
      <c r="I383" s="56"/>
      <c r="J383" s="56"/>
    </row>
    <row r="384" spans="1:10" ht="15" customHeight="1" x14ac:dyDescent="0.2">
      <c r="A384" s="56"/>
      <c r="B384" s="58"/>
      <c r="C384" s="56" t="str">
        <f>IF(B384="","",IFERROR(VLOOKUP(B384,'04 TANIMLAR'!$A$2:$C$9,2,FALSE()),""))</f>
        <v/>
      </c>
      <c r="D384" s="58"/>
      <c r="E384" s="56" t="str">
        <f>IF(B384="","",IFERROR(VLOOKUP(B384,'04 TANIMLAR'!$A$2:$C$9,3,FALSE()),""))</f>
        <v/>
      </c>
      <c r="F384" s="58"/>
      <c r="G384" s="56"/>
      <c r="H384" s="58"/>
      <c r="I384" s="56"/>
      <c r="J384" s="56"/>
    </row>
    <row r="385" spans="1:10" ht="15" customHeight="1" x14ac:dyDescent="0.2">
      <c r="A385" s="56"/>
      <c r="B385" s="58"/>
      <c r="C385" s="56" t="str">
        <f>IF(B385="","",IFERROR(VLOOKUP(B385,'04 TANIMLAR'!$A$2:$C$9,2,FALSE()),""))</f>
        <v/>
      </c>
      <c r="D385" s="58"/>
      <c r="E385" s="56" t="str">
        <f>IF(B385="","",IFERROR(VLOOKUP(B385,'04 TANIMLAR'!$A$2:$C$9,3,FALSE()),""))</f>
        <v/>
      </c>
      <c r="F385" s="58"/>
      <c r="G385" s="56"/>
      <c r="H385" s="58"/>
      <c r="I385" s="56"/>
      <c r="J385" s="56"/>
    </row>
    <row r="386" spans="1:10" ht="15" customHeight="1" x14ac:dyDescent="0.2">
      <c r="A386" s="56"/>
      <c r="B386" s="58"/>
      <c r="C386" s="56" t="str">
        <f>IF(B386="","",IFERROR(VLOOKUP(B386,'04 TANIMLAR'!$A$2:$C$9,2,FALSE()),""))</f>
        <v/>
      </c>
      <c r="D386" s="58"/>
      <c r="E386" s="56" t="str">
        <f>IF(B386="","",IFERROR(VLOOKUP(B386,'04 TANIMLAR'!$A$2:$C$9,3,FALSE()),""))</f>
        <v/>
      </c>
      <c r="F386" s="58"/>
      <c r="G386" s="56"/>
      <c r="H386" s="58"/>
      <c r="I386" s="56"/>
      <c r="J386" s="56"/>
    </row>
    <row r="387" spans="1:10" ht="15" customHeight="1" x14ac:dyDescent="0.2">
      <c r="A387" s="56"/>
      <c r="B387" s="58"/>
      <c r="C387" s="56" t="str">
        <f>IF(B387="","",IFERROR(VLOOKUP(B387,'04 TANIMLAR'!$A$2:$C$9,2,FALSE()),""))</f>
        <v/>
      </c>
      <c r="D387" s="58"/>
      <c r="E387" s="56" t="str">
        <f>IF(B387="","",IFERROR(VLOOKUP(B387,'04 TANIMLAR'!$A$2:$C$9,3,FALSE()),""))</f>
        <v/>
      </c>
      <c r="F387" s="58"/>
      <c r="G387" s="56"/>
      <c r="H387" s="58"/>
      <c r="I387" s="56"/>
      <c r="J387" s="56"/>
    </row>
    <row r="388" spans="1:10" ht="15" customHeight="1" x14ac:dyDescent="0.2">
      <c r="A388" s="56"/>
      <c r="B388" s="58"/>
      <c r="C388" s="56" t="str">
        <f>IF(B388="","",IFERROR(VLOOKUP(B388,'04 TANIMLAR'!$A$2:$C$9,2,FALSE()),""))</f>
        <v/>
      </c>
      <c r="D388" s="58"/>
      <c r="E388" s="56" t="str">
        <f>IF(B388="","",IFERROR(VLOOKUP(B388,'04 TANIMLAR'!$A$2:$C$9,3,FALSE()),""))</f>
        <v/>
      </c>
      <c r="F388" s="58"/>
      <c r="G388" s="56"/>
      <c r="H388" s="58"/>
      <c r="I388" s="56"/>
      <c r="J388" s="56"/>
    </row>
    <row r="389" spans="1:10" ht="15" customHeight="1" x14ac:dyDescent="0.2">
      <c r="A389" s="56"/>
      <c r="B389" s="58"/>
      <c r="C389" s="56" t="str">
        <f>IF(B389="","",IFERROR(VLOOKUP(B389,'04 TANIMLAR'!$A$2:$C$9,2,FALSE()),""))</f>
        <v/>
      </c>
      <c r="D389" s="58"/>
      <c r="E389" s="56" t="str">
        <f>IF(B389="","",IFERROR(VLOOKUP(B389,'04 TANIMLAR'!$A$2:$C$9,3,FALSE()),""))</f>
        <v/>
      </c>
      <c r="F389" s="58"/>
      <c r="G389" s="56"/>
      <c r="H389" s="58"/>
      <c r="I389" s="56"/>
      <c r="J389" s="56"/>
    </row>
    <row r="390" spans="1:10" ht="15" customHeight="1" x14ac:dyDescent="0.2">
      <c r="A390" s="56"/>
      <c r="B390" s="58"/>
      <c r="C390" s="56" t="str">
        <f>IF(B390="","",IFERROR(VLOOKUP(B390,'04 TANIMLAR'!$A$2:$C$9,2,FALSE()),""))</f>
        <v/>
      </c>
      <c r="D390" s="58"/>
      <c r="E390" s="56" t="str">
        <f>IF(B390="","",IFERROR(VLOOKUP(B390,'04 TANIMLAR'!$A$2:$C$9,3,FALSE()),""))</f>
        <v/>
      </c>
      <c r="F390" s="58"/>
      <c r="G390" s="56"/>
      <c r="H390" s="58"/>
      <c r="I390" s="56"/>
      <c r="J390" s="56"/>
    </row>
    <row r="391" spans="1:10" ht="15" customHeight="1" x14ac:dyDescent="0.2">
      <c r="A391" s="56"/>
      <c r="B391" s="58"/>
      <c r="C391" s="56" t="str">
        <f>IF(B391="","",IFERROR(VLOOKUP(B391,'04 TANIMLAR'!$A$2:$C$9,2,FALSE()),""))</f>
        <v/>
      </c>
      <c r="D391" s="58"/>
      <c r="E391" s="56" t="str">
        <f>IF(B391="","",IFERROR(VLOOKUP(B391,'04 TANIMLAR'!$A$2:$C$9,3,FALSE()),""))</f>
        <v/>
      </c>
      <c r="F391" s="58"/>
      <c r="G391" s="56"/>
      <c r="H391" s="58"/>
      <c r="I391" s="56"/>
      <c r="J391" s="56"/>
    </row>
    <row r="392" spans="1:10" ht="15" customHeight="1" x14ac:dyDescent="0.2">
      <c r="A392" s="56"/>
      <c r="B392" s="58"/>
      <c r="C392" s="56" t="str">
        <f>IF(B392="","",IFERROR(VLOOKUP(B392,'04 TANIMLAR'!$A$2:$C$9,2,FALSE()),""))</f>
        <v/>
      </c>
      <c r="D392" s="58"/>
      <c r="E392" s="56" t="str">
        <f>IF(B392="","",IFERROR(VLOOKUP(B392,'04 TANIMLAR'!$A$2:$C$9,3,FALSE()),""))</f>
        <v/>
      </c>
      <c r="F392" s="58"/>
      <c r="G392" s="56"/>
      <c r="H392" s="58"/>
      <c r="I392" s="56"/>
      <c r="J392" s="56"/>
    </row>
    <row r="393" spans="1:10" ht="15" customHeight="1" x14ac:dyDescent="0.2">
      <c r="A393" s="56"/>
      <c r="B393" s="58"/>
      <c r="C393" s="56" t="str">
        <f>IF(B393="","",IFERROR(VLOOKUP(B393,'04 TANIMLAR'!$A$2:$C$9,2,FALSE()),""))</f>
        <v/>
      </c>
      <c r="D393" s="58"/>
      <c r="E393" s="56" t="str">
        <f>IF(B393="","",IFERROR(VLOOKUP(B393,'04 TANIMLAR'!$A$2:$C$9,3,FALSE()),""))</f>
        <v/>
      </c>
      <c r="F393" s="58"/>
      <c r="G393" s="56"/>
      <c r="H393" s="58"/>
      <c r="I393" s="56"/>
      <c r="J393" s="56"/>
    </row>
    <row r="394" spans="1:10" ht="15" customHeight="1" x14ac:dyDescent="0.2">
      <c r="A394" s="56"/>
      <c r="B394" s="58"/>
      <c r="C394" s="56" t="str">
        <f>IF(B394="","",IFERROR(VLOOKUP(B394,'04 TANIMLAR'!$A$2:$C$9,2,FALSE()),""))</f>
        <v/>
      </c>
      <c r="D394" s="58"/>
      <c r="E394" s="56" t="str">
        <f>IF(B394="","",IFERROR(VLOOKUP(B394,'04 TANIMLAR'!$A$2:$C$9,3,FALSE()),""))</f>
        <v/>
      </c>
      <c r="F394" s="58"/>
      <c r="G394" s="56"/>
      <c r="H394" s="58"/>
      <c r="I394" s="56"/>
      <c r="J394" s="56"/>
    </row>
    <row r="395" spans="1:10" ht="15" customHeight="1" x14ac:dyDescent="0.2">
      <c r="A395" s="56"/>
      <c r="B395" s="58"/>
      <c r="C395" s="56" t="str">
        <f>IF(B395="","",IFERROR(VLOOKUP(B395,'04 TANIMLAR'!$A$2:$C$9,2,FALSE()),""))</f>
        <v/>
      </c>
      <c r="D395" s="58"/>
      <c r="E395" s="56" t="str">
        <f>IF(B395="","",IFERROR(VLOOKUP(B395,'04 TANIMLAR'!$A$2:$C$9,3,FALSE()),""))</f>
        <v/>
      </c>
      <c r="F395" s="58"/>
      <c r="G395" s="56"/>
      <c r="H395" s="58"/>
      <c r="I395" s="56"/>
      <c r="J395" s="56"/>
    </row>
    <row r="396" spans="1:10" ht="15" customHeight="1" x14ac:dyDescent="0.2">
      <c r="A396" s="56"/>
      <c r="B396" s="58"/>
      <c r="C396" s="56" t="str">
        <f>IF(B396="","",IFERROR(VLOOKUP(B396,'04 TANIMLAR'!$A$2:$C$9,2,FALSE()),""))</f>
        <v/>
      </c>
      <c r="D396" s="58"/>
      <c r="E396" s="56" t="str">
        <f>IF(B396="","",IFERROR(VLOOKUP(B396,'04 TANIMLAR'!$A$2:$C$9,3,FALSE()),""))</f>
        <v/>
      </c>
      <c r="F396" s="58"/>
      <c r="G396" s="56"/>
      <c r="H396" s="58"/>
      <c r="I396" s="56"/>
      <c r="J396" s="56"/>
    </row>
    <row r="397" spans="1:10" ht="15" customHeight="1" x14ac:dyDescent="0.2">
      <c r="A397" s="56"/>
      <c r="B397" s="58"/>
      <c r="C397" s="56" t="str">
        <f>IF(B397="","",IFERROR(VLOOKUP(B397,'04 TANIMLAR'!$A$2:$C$9,2,FALSE()),""))</f>
        <v/>
      </c>
      <c r="D397" s="58"/>
      <c r="E397" s="56" t="str">
        <f>IF(B397="","",IFERROR(VLOOKUP(B397,'04 TANIMLAR'!$A$2:$C$9,3,FALSE()),""))</f>
        <v/>
      </c>
      <c r="F397" s="58"/>
      <c r="G397" s="56"/>
      <c r="H397" s="58"/>
      <c r="I397" s="56"/>
      <c r="J397" s="56"/>
    </row>
    <row r="398" spans="1:10" ht="15" customHeight="1" x14ac:dyDescent="0.2">
      <c r="A398" s="56"/>
      <c r="B398" s="58"/>
      <c r="C398" s="56" t="str">
        <f>IF(B398="","",IFERROR(VLOOKUP(B398,'04 TANIMLAR'!$A$2:$C$9,2,FALSE()),""))</f>
        <v/>
      </c>
      <c r="D398" s="58"/>
      <c r="E398" s="56" t="str">
        <f>IF(B398="","",IFERROR(VLOOKUP(B398,'04 TANIMLAR'!$A$2:$C$9,3,FALSE()),""))</f>
        <v/>
      </c>
      <c r="F398" s="58"/>
      <c r="G398" s="56"/>
      <c r="H398" s="58"/>
      <c r="I398" s="56"/>
      <c r="J398" s="56"/>
    </row>
    <row r="399" spans="1:10" ht="15" customHeight="1" x14ac:dyDescent="0.2">
      <c r="A399" s="56"/>
      <c r="B399" s="58"/>
      <c r="C399" s="56" t="str">
        <f>IF(B399="","",IFERROR(VLOOKUP(B399,'04 TANIMLAR'!$A$2:$C$9,2,FALSE()),""))</f>
        <v/>
      </c>
      <c r="D399" s="58"/>
      <c r="E399" s="56" t="str">
        <f>IF(B399="","",IFERROR(VLOOKUP(B399,'04 TANIMLAR'!$A$2:$C$9,3,FALSE()),""))</f>
        <v/>
      </c>
      <c r="F399" s="58"/>
      <c r="G399" s="56"/>
      <c r="H399" s="58"/>
      <c r="I399" s="56"/>
      <c r="J399" s="56"/>
    </row>
    <row r="400" spans="1:10" ht="15" customHeight="1" x14ac:dyDescent="0.2">
      <c r="A400" s="56"/>
      <c r="B400" s="58"/>
      <c r="C400" s="56" t="str">
        <f>IF(B400="","",IFERROR(VLOOKUP(B400,'04 TANIMLAR'!$A$2:$C$9,2,FALSE()),""))</f>
        <v/>
      </c>
      <c r="D400" s="58"/>
      <c r="E400" s="56" t="str">
        <f>IF(B400="","",IFERROR(VLOOKUP(B400,'04 TANIMLAR'!$A$2:$C$9,3,FALSE()),""))</f>
        <v/>
      </c>
      <c r="F400" s="58"/>
      <c r="G400" s="56"/>
      <c r="H400" s="58"/>
      <c r="I400" s="56"/>
      <c r="J400" s="56"/>
    </row>
    <row r="401" spans="1:10" ht="15" customHeight="1" x14ac:dyDescent="0.2">
      <c r="A401" s="56"/>
      <c r="B401" s="58"/>
      <c r="C401" s="56" t="str">
        <f>IF(B401="","",IFERROR(VLOOKUP(B401,'04 TANIMLAR'!$A$2:$C$9,2,FALSE()),""))</f>
        <v/>
      </c>
      <c r="D401" s="58"/>
      <c r="E401" s="56" t="str">
        <f>IF(B401="","",IFERROR(VLOOKUP(B401,'04 TANIMLAR'!$A$2:$C$9,3,FALSE()),""))</f>
        <v/>
      </c>
      <c r="F401" s="58"/>
      <c r="G401" s="56"/>
      <c r="H401" s="58"/>
      <c r="I401" s="56"/>
      <c r="J401" s="56"/>
    </row>
    <row r="402" spans="1:10" ht="15" customHeight="1" x14ac:dyDescent="0.2">
      <c r="A402" s="56"/>
      <c r="B402" s="58"/>
      <c r="C402" s="56" t="str">
        <f>IF(B402="","",IFERROR(VLOOKUP(B402,'04 TANIMLAR'!$A$2:$C$9,2,FALSE()),""))</f>
        <v/>
      </c>
      <c r="D402" s="58"/>
      <c r="E402" s="56" t="str">
        <f>IF(B402="","",IFERROR(VLOOKUP(B402,'04 TANIMLAR'!$A$2:$C$9,3,FALSE()),""))</f>
        <v/>
      </c>
      <c r="F402" s="58"/>
      <c r="G402" s="56"/>
      <c r="H402" s="58"/>
      <c r="I402" s="56"/>
      <c r="J402" s="56"/>
    </row>
    <row r="403" spans="1:10" ht="15" customHeight="1" x14ac:dyDescent="0.2">
      <c r="A403" s="56"/>
      <c r="B403" s="58"/>
      <c r="C403" s="56" t="str">
        <f>IF(B403="","",IFERROR(VLOOKUP(B403,'04 TANIMLAR'!$A$2:$C$9,2,FALSE()),""))</f>
        <v/>
      </c>
      <c r="D403" s="58"/>
      <c r="E403" s="56" t="str">
        <f>IF(B403="","",IFERROR(VLOOKUP(B403,'04 TANIMLAR'!$A$2:$C$9,3,FALSE()),""))</f>
        <v/>
      </c>
      <c r="F403" s="58"/>
      <c r="G403" s="56"/>
      <c r="H403" s="58"/>
      <c r="I403" s="56"/>
      <c r="J403" s="56"/>
    </row>
    <row r="404" spans="1:10" ht="15" customHeight="1" x14ac:dyDescent="0.2">
      <c r="A404" s="56"/>
      <c r="B404" s="58"/>
      <c r="C404" s="56" t="str">
        <f>IF(B404="","",IFERROR(VLOOKUP(B404,'04 TANIMLAR'!$A$2:$C$9,2,FALSE()),""))</f>
        <v/>
      </c>
      <c r="D404" s="58"/>
      <c r="E404" s="56" t="str">
        <f>IF(B404="","",IFERROR(VLOOKUP(B404,'04 TANIMLAR'!$A$2:$C$9,3,FALSE()),""))</f>
        <v/>
      </c>
      <c r="F404" s="58"/>
      <c r="G404" s="56"/>
      <c r="H404" s="58"/>
      <c r="I404" s="56"/>
      <c r="J404" s="56"/>
    </row>
    <row r="405" spans="1:10" ht="15" customHeight="1" x14ac:dyDescent="0.2">
      <c r="A405" s="56"/>
      <c r="B405" s="58"/>
      <c r="C405" s="56" t="str">
        <f>IF(B405="","",IFERROR(VLOOKUP(B405,'04 TANIMLAR'!$A$2:$C$9,2,FALSE()),""))</f>
        <v/>
      </c>
      <c r="D405" s="58"/>
      <c r="E405" s="56" t="str">
        <f>IF(B405="","",IFERROR(VLOOKUP(B405,'04 TANIMLAR'!$A$2:$C$9,3,FALSE()),""))</f>
        <v/>
      </c>
      <c r="F405" s="58"/>
      <c r="G405" s="56"/>
      <c r="H405" s="58"/>
      <c r="I405" s="56"/>
      <c r="J405" s="56"/>
    </row>
    <row r="406" spans="1:10" ht="15" customHeight="1" x14ac:dyDescent="0.2">
      <c r="A406" s="56"/>
      <c r="B406" s="58"/>
      <c r="C406" s="56" t="str">
        <f>IF(B406="","",IFERROR(VLOOKUP(B406,'04 TANIMLAR'!$A$2:$C$9,2,FALSE()),""))</f>
        <v/>
      </c>
      <c r="D406" s="58"/>
      <c r="E406" s="56" t="str">
        <f>IF(B406="","",IFERROR(VLOOKUP(B406,'04 TANIMLAR'!$A$2:$C$9,3,FALSE()),""))</f>
        <v/>
      </c>
      <c r="F406" s="58"/>
      <c r="G406" s="56"/>
      <c r="H406" s="58"/>
      <c r="I406" s="56"/>
      <c r="J406" s="56"/>
    </row>
    <row r="407" spans="1:10" ht="15" customHeight="1" x14ac:dyDescent="0.2">
      <c r="A407" s="56"/>
      <c r="B407" s="58"/>
      <c r="C407" s="56" t="str">
        <f>IF(B407="","",IFERROR(VLOOKUP(B407,'04 TANIMLAR'!$A$2:$C$9,2,FALSE()),""))</f>
        <v/>
      </c>
      <c r="D407" s="58"/>
      <c r="E407" s="56" t="str">
        <f>IF(B407="","",IFERROR(VLOOKUP(B407,'04 TANIMLAR'!$A$2:$C$9,3,FALSE()),""))</f>
        <v/>
      </c>
      <c r="F407" s="58"/>
      <c r="G407" s="56"/>
      <c r="H407" s="58"/>
      <c r="I407" s="56"/>
      <c r="J407" s="56"/>
    </row>
    <row r="408" spans="1:10" ht="15" customHeight="1" x14ac:dyDescent="0.2">
      <c r="A408" s="56"/>
      <c r="B408" s="58"/>
      <c r="C408" s="56" t="str">
        <f>IF(B408="","",IFERROR(VLOOKUP(B408,'04 TANIMLAR'!$A$2:$C$9,2,FALSE()),""))</f>
        <v/>
      </c>
      <c r="D408" s="58"/>
      <c r="E408" s="56" t="str">
        <f>IF(B408="","",IFERROR(VLOOKUP(B408,'04 TANIMLAR'!$A$2:$C$9,3,FALSE()),""))</f>
        <v/>
      </c>
      <c r="F408" s="58"/>
      <c r="G408" s="56"/>
      <c r="H408" s="58"/>
      <c r="I408" s="56"/>
      <c r="J408" s="56"/>
    </row>
    <row r="409" spans="1:10" ht="15" customHeight="1" x14ac:dyDescent="0.2">
      <c r="A409" s="56"/>
      <c r="B409" s="58"/>
      <c r="C409" s="56" t="str">
        <f>IF(B409="","",IFERROR(VLOOKUP(B409,'04 TANIMLAR'!$A$2:$C$9,2,FALSE()),""))</f>
        <v/>
      </c>
      <c r="D409" s="58"/>
      <c r="E409" s="56" t="str">
        <f>IF(B409="","",IFERROR(VLOOKUP(B409,'04 TANIMLAR'!$A$2:$C$9,3,FALSE()),""))</f>
        <v/>
      </c>
      <c r="F409" s="58"/>
      <c r="G409" s="56"/>
      <c r="H409" s="58"/>
      <c r="I409" s="56"/>
      <c r="J409" s="56"/>
    </row>
    <row r="410" spans="1:10" ht="15" customHeight="1" x14ac:dyDescent="0.2">
      <c r="A410" s="56"/>
      <c r="B410" s="58"/>
      <c r="C410" s="56" t="str">
        <f>IF(B410="","",IFERROR(VLOOKUP(B410,'04 TANIMLAR'!$A$2:$C$9,2,FALSE()),""))</f>
        <v/>
      </c>
      <c r="D410" s="58"/>
      <c r="E410" s="56" t="str">
        <f>IF(B410="","",IFERROR(VLOOKUP(B410,'04 TANIMLAR'!$A$2:$C$9,3,FALSE()),""))</f>
        <v/>
      </c>
      <c r="F410" s="58"/>
      <c r="G410" s="56"/>
      <c r="H410" s="58"/>
      <c r="I410" s="56"/>
      <c r="J410" s="56"/>
    </row>
    <row r="411" spans="1:10" ht="15" customHeight="1" x14ac:dyDescent="0.2">
      <c r="A411" s="56"/>
      <c r="B411" s="58"/>
      <c r="C411" s="56" t="str">
        <f>IF(B411="","",IFERROR(VLOOKUP(B411,'04 TANIMLAR'!$A$2:$C$9,2,FALSE()),""))</f>
        <v/>
      </c>
      <c r="D411" s="58"/>
      <c r="E411" s="56" t="str">
        <f>IF(B411="","",IFERROR(VLOOKUP(B411,'04 TANIMLAR'!$A$2:$C$9,3,FALSE()),""))</f>
        <v/>
      </c>
      <c r="F411" s="58"/>
      <c r="G411" s="56"/>
      <c r="H411" s="58"/>
      <c r="I411" s="56"/>
      <c r="J411" s="56"/>
    </row>
    <row r="412" spans="1:10" ht="15" customHeight="1" x14ac:dyDescent="0.2">
      <c r="A412" s="56"/>
      <c r="B412" s="58"/>
      <c r="C412" s="56" t="str">
        <f>IF(B412="","",IFERROR(VLOOKUP(B412,'04 TANIMLAR'!$A$2:$C$9,2,FALSE()),""))</f>
        <v/>
      </c>
      <c r="D412" s="58"/>
      <c r="E412" s="56" t="str">
        <f>IF(B412="","",IFERROR(VLOOKUP(B412,'04 TANIMLAR'!$A$2:$C$9,3,FALSE()),""))</f>
        <v/>
      </c>
      <c r="F412" s="58"/>
      <c r="G412" s="56"/>
      <c r="H412" s="58"/>
      <c r="I412" s="56"/>
      <c r="J412" s="56"/>
    </row>
    <row r="413" spans="1:10" ht="15" customHeight="1" x14ac:dyDescent="0.2">
      <c r="A413" s="56"/>
      <c r="B413" s="58"/>
      <c r="C413" s="56" t="str">
        <f>IF(B413="","",IFERROR(VLOOKUP(B413,'04 TANIMLAR'!$A$2:$C$9,2,FALSE()),""))</f>
        <v/>
      </c>
      <c r="D413" s="58"/>
      <c r="E413" s="56" t="str">
        <f>IF(B413="","",IFERROR(VLOOKUP(B413,'04 TANIMLAR'!$A$2:$C$9,3,FALSE()),""))</f>
        <v/>
      </c>
      <c r="F413" s="58"/>
      <c r="G413" s="56"/>
      <c r="H413" s="58"/>
      <c r="I413" s="56"/>
      <c r="J413" s="56"/>
    </row>
    <row r="414" spans="1:10" ht="15" customHeight="1" x14ac:dyDescent="0.2">
      <c r="A414" s="56"/>
      <c r="B414" s="58"/>
      <c r="C414" s="56" t="str">
        <f>IF(B414="","",IFERROR(VLOOKUP(B414,'04 TANIMLAR'!$A$2:$C$9,2,FALSE()),""))</f>
        <v/>
      </c>
      <c r="D414" s="58"/>
      <c r="E414" s="56" t="str">
        <f>IF(B414="","",IFERROR(VLOOKUP(B414,'04 TANIMLAR'!$A$2:$C$9,3,FALSE()),""))</f>
        <v/>
      </c>
      <c r="F414" s="58"/>
      <c r="G414" s="56"/>
      <c r="H414" s="58"/>
      <c r="I414" s="56"/>
      <c r="J414" s="56"/>
    </row>
    <row r="415" spans="1:10" ht="15" customHeight="1" x14ac:dyDescent="0.2">
      <c r="A415" s="56"/>
      <c r="B415" s="58"/>
      <c r="C415" s="56" t="str">
        <f>IF(B415="","",IFERROR(VLOOKUP(B415,'04 TANIMLAR'!$A$2:$C$9,2,FALSE()),""))</f>
        <v/>
      </c>
      <c r="D415" s="58"/>
      <c r="E415" s="56" t="str">
        <f>IF(B415="","",IFERROR(VLOOKUP(B415,'04 TANIMLAR'!$A$2:$C$9,3,FALSE()),""))</f>
        <v/>
      </c>
      <c r="F415" s="58"/>
      <c r="G415" s="56"/>
      <c r="H415" s="58"/>
      <c r="I415" s="56"/>
      <c r="J415" s="56"/>
    </row>
    <row r="416" spans="1:10" ht="15" customHeight="1" x14ac:dyDescent="0.2">
      <c r="A416" s="56"/>
      <c r="B416" s="58"/>
      <c r="C416" s="56" t="str">
        <f>IF(B416="","",IFERROR(VLOOKUP(B416,'04 TANIMLAR'!$A$2:$C$9,2,FALSE()),""))</f>
        <v/>
      </c>
      <c r="D416" s="58"/>
      <c r="E416" s="56" t="str">
        <f>IF(B416="","",IFERROR(VLOOKUP(B416,'04 TANIMLAR'!$A$2:$C$9,3,FALSE()),""))</f>
        <v/>
      </c>
      <c r="F416" s="58"/>
      <c r="G416" s="56"/>
      <c r="H416" s="58"/>
      <c r="I416" s="56"/>
      <c r="J416" s="56"/>
    </row>
    <row r="417" spans="1:10" ht="15" customHeight="1" x14ac:dyDescent="0.2">
      <c r="A417" s="56"/>
      <c r="B417" s="58"/>
      <c r="C417" s="56" t="str">
        <f>IF(B417="","",IFERROR(VLOOKUP(B417,'04 TANIMLAR'!$A$2:$C$9,2,FALSE()),""))</f>
        <v/>
      </c>
      <c r="D417" s="58"/>
      <c r="E417" s="56" t="str">
        <f>IF(B417="","",IFERROR(VLOOKUP(B417,'04 TANIMLAR'!$A$2:$C$9,3,FALSE()),""))</f>
        <v/>
      </c>
      <c r="F417" s="58"/>
      <c r="G417" s="56"/>
      <c r="H417" s="58"/>
      <c r="I417" s="56"/>
      <c r="J417" s="56"/>
    </row>
    <row r="418" spans="1:10" ht="15" customHeight="1" x14ac:dyDescent="0.2">
      <c r="A418" s="56"/>
      <c r="B418" s="58"/>
      <c r="C418" s="56" t="str">
        <f>IF(B418="","",IFERROR(VLOOKUP(B418,'04 TANIMLAR'!$A$2:$C$9,2,FALSE()),""))</f>
        <v/>
      </c>
      <c r="D418" s="58"/>
      <c r="E418" s="56" t="str">
        <f>IF(B418="","",IFERROR(VLOOKUP(B418,'04 TANIMLAR'!$A$2:$C$9,3,FALSE()),""))</f>
        <v/>
      </c>
      <c r="F418" s="58"/>
      <c r="G418" s="56"/>
      <c r="H418" s="58"/>
      <c r="I418" s="56"/>
      <c r="J418" s="56"/>
    </row>
    <row r="419" spans="1:10" ht="15" customHeight="1" x14ac:dyDescent="0.2">
      <c r="A419" s="56"/>
      <c r="B419" s="58"/>
      <c r="C419" s="56" t="str">
        <f>IF(B419="","",IFERROR(VLOOKUP(B419,'04 TANIMLAR'!$A$2:$C$9,2,FALSE()),""))</f>
        <v/>
      </c>
      <c r="D419" s="58"/>
      <c r="E419" s="56" t="str">
        <f>IF(B419="","",IFERROR(VLOOKUP(B419,'04 TANIMLAR'!$A$2:$C$9,3,FALSE()),""))</f>
        <v/>
      </c>
      <c r="F419" s="58"/>
      <c r="G419" s="56"/>
      <c r="H419" s="58"/>
      <c r="I419" s="56"/>
      <c r="J419" s="56"/>
    </row>
    <row r="420" spans="1:10" ht="15" customHeight="1" x14ac:dyDescent="0.2">
      <c r="A420" s="56"/>
      <c r="B420" s="58"/>
      <c r="C420" s="56" t="str">
        <f>IF(B420="","",IFERROR(VLOOKUP(B420,'04 TANIMLAR'!$A$2:$C$9,2,FALSE()),""))</f>
        <v/>
      </c>
      <c r="D420" s="58"/>
      <c r="E420" s="56" t="str">
        <f>IF(B420="","",IFERROR(VLOOKUP(B420,'04 TANIMLAR'!$A$2:$C$9,3,FALSE()),""))</f>
        <v/>
      </c>
      <c r="F420" s="58"/>
      <c r="G420" s="56"/>
      <c r="H420" s="58"/>
      <c r="I420" s="56"/>
      <c r="J420" s="56"/>
    </row>
    <row r="421" spans="1:10" ht="15" customHeight="1" x14ac:dyDescent="0.2">
      <c r="A421" s="56"/>
      <c r="B421" s="58"/>
      <c r="C421" s="56" t="str">
        <f>IF(B421="","",IFERROR(VLOOKUP(B421,'04 TANIMLAR'!$A$2:$C$9,2,FALSE()),""))</f>
        <v/>
      </c>
      <c r="D421" s="58"/>
      <c r="E421" s="56" t="str">
        <f>IF(B421="","",IFERROR(VLOOKUP(B421,'04 TANIMLAR'!$A$2:$C$9,3,FALSE()),""))</f>
        <v/>
      </c>
      <c r="F421" s="58"/>
      <c r="G421" s="56"/>
      <c r="H421" s="58"/>
      <c r="I421" s="56"/>
      <c r="J421" s="56"/>
    </row>
    <row r="422" spans="1:10" ht="15" customHeight="1" x14ac:dyDescent="0.2">
      <c r="A422" s="56"/>
      <c r="B422" s="58"/>
      <c r="C422" s="56" t="str">
        <f>IF(B422="","",IFERROR(VLOOKUP(B422,'04 TANIMLAR'!$A$2:$C$9,2,FALSE()),""))</f>
        <v/>
      </c>
      <c r="D422" s="58"/>
      <c r="E422" s="56" t="str">
        <f>IF(B422="","",IFERROR(VLOOKUP(B422,'04 TANIMLAR'!$A$2:$C$9,3,FALSE()),""))</f>
        <v/>
      </c>
      <c r="F422" s="58"/>
      <c r="G422" s="56"/>
      <c r="H422" s="58"/>
      <c r="I422" s="56"/>
      <c r="J422" s="56"/>
    </row>
    <row r="423" spans="1:10" ht="15" customHeight="1" x14ac:dyDescent="0.2">
      <c r="A423" s="56"/>
      <c r="B423" s="58"/>
      <c r="C423" s="56" t="str">
        <f>IF(B423="","",IFERROR(VLOOKUP(B423,'04 TANIMLAR'!$A$2:$C$9,2,FALSE()),""))</f>
        <v/>
      </c>
      <c r="D423" s="58"/>
      <c r="E423" s="56" t="str">
        <f>IF(B423="","",IFERROR(VLOOKUP(B423,'04 TANIMLAR'!$A$2:$C$9,3,FALSE()),""))</f>
        <v/>
      </c>
      <c r="F423" s="58"/>
      <c r="G423" s="56"/>
      <c r="H423" s="58"/>
      <c r="I423" s="56"/>
      <c r="J423" s="56"/>
    </row>
    <row r="424" spans="1:10" ht="15" customHeight="1" x14ac:dyDescent="0.2">
      <c r="A424" s="56"/>
      <c r="B424" s="58"/>
      <c r="C424" s="56" t="str">
        <f>IF(B424="","",IFERROR(VLOOKUP(B424,'04 TANIMLAR'!$A$2:$C$9,2,FALSE()),""))</f>
        <v/>
      </c>
      <c r="D424" s="58"/>
      <c r="E424" s="56" t="str">
        <f>IF(B424="","",IFERROR(VLOOKUP(B424,'04 TANIMLAR'!$A$2:$C$9,3,FALSE()),""))</f>
        <v/>
      </c>
      <c r="F424" s="58"/>
      <c r="G424" s="56"/>
      <c r="H424" s="58"/>
      <c r="I424" s="56"/>
      <c r="J424" s="56"/>
    </row>
    <row r="425" spans="1:10" ht="15" customHeight="1" x14ac:dyDescent="0.2">
      <c r="A425" s="56"/>
      <c r="B425" s="58"/>
      <c r="C425" s="56" t="str">
        <f>IF(B425="","",IFERROR(VLOOKUP(B425,'04 TANIMLAR'!$A$2:$C$9,2,FALSE()),""))</f>
        <v/>
      </c>
      <c r="D425" s="58"/>
      <c r="E425" s="56" t="str">
        <f>IF(B425="","",IFERROR(VLOOKUP(B425,'04 TANIMLAR'!$A$2:$C$9,3,FALSE()),""))</f>
        <v/>
      </c>
      <c r="F425" s="58"/>
      <c r="G425" s="56"/>
      <c r="H425" s="58"/>
      <c r="I425" s="56"/>
      <c r="J425" s="56"/>
    </row>
    <row r="426" spans="1:10" ht="15" customHeight="1" x14ac:dyDescent="0.2">
      <c r="A426" s="56"/>
      <c r="B426" s="58"/>
      <c r="C426" s="56" t="str">
        <f>IF(B426="","",IFERROR(VLOOKUP(B426,'04 TANIMLAR'!$A$2:$C$9,2,FALSE()),""))</f>
        <v/>
      </c>
      <c r="D426" s="58"/>
      <c r="E426" s="56" t="str">
        <f>IF(B426="","",IFERROR(VLOOKUP(B426,'04 TANIMLAR'!$A$2:$C$9,3,FALSE()),""))</f>
        <v/>
      </c>
      <c r="F426" s="58"/>
      <c r="G426" s="56"/>
      <c r="H426" s="58"/>
      <c r="I426" s="56"/>
      <c r="J426" s="56"/>
    </row>
    <row r="427" spans="1:10" ht="15" customHeight="1" x14ac:dyDescent="0.2">
      <c r="A427" s="56"/>
      <c r="B427" s="58"/>
      <c r="C427" s="56" t="str">
        <f>IF(B427="","",IFERROR(VLOOKUP(B427,'04 TANIMLAR'!$A$2:$C$9,2,FALSE()),""))</f>
        <v/>
      </c>
      <c r="D427" s="58"/>
      <c r="E427" s="56" t="str">
        <f>IF(B427="","",IFERROR(VLOOKUP(B427,'04 TANIMLAR'!$A$2:$C$9,3,FALSE()),""))</f>
        <v/>
      </c>
      <c r="F427" s="58"/>
      <c r="G427" s="56"/>
      <c r="H427" s="58"/>
      <c r="I427" s="56"/>
      <c r="J427" s="56"/>
    </row>
    <row r="428" spans="1:10" ht="15" customHeight="1" x14ac:dyDescent="0.2">
      <c r="A428" s="56"/>
      <c r="B428" s="58"/>
      <c r="C428" s="56" t="str">
        <f>IF(B428="","",IFERROR(VLOOKUP(B428,'04 TANIMLAR'!$A$2:$C$9,2,FALSE()),""))</f>
        <v/>
      </c>
      <c r="D428" s="58"/>
      <c r="E428" s="56" t="str">
        <f>IF(B428="","",IFERROR(VLOOKUP(B428,'04 TANIMLAR'!$A$2:$C$9,3,FALSE()),""))</f>
        <v/>
      </c>
      <c r="F428" s="58"/>
      <c r="G428" s="56"/>
      <c r="H428" s="58"/>
      <c r="I428" s="56"/>
      <c r="J428" s="56"/>
    </row>
    <row r="429" spans="1:10" ht="15" customHeight="1" x14ac:dyDescent="0.2">
      <c r="A429" s="56"/>
      <c r="B429" s="58"/>
      <c r="C429" s="56" t="str">
        <f>IF(B429="","",IFERROR(VLOOKUP(B429,'04 TANIMLAR'!$A$2:$C$9,2,FALSE()),""))</f>
        <v/>
      </c>
      <c r="D429" s="58"/>
      <c r="E429" s="56" t="str">
        <f>IF(B429="","",IFERROR(VLOOKUP(B429,'04 TANIMLAR'!$A$2:$C$9,3,FALSE()),""))</f>
        <v/>
      </c>
      <c r="F429" s="58"/>
      <c r="G429" s="56"/>
      <c r="H429" s="58"/>
      <c r="I429" s="56"/>
      <c r="J429" s="56"/>
    </row>
    <row r="430" spans="1:10" ht="15" customHeight="1" x14ac:dyDescent="0.2">
      <c r="A430" s="56"/>
      <c r="B430" s="58"/>
      <c r="C430" s="56" t="str">
        <f>IF(B430="","",IFERROR(VLOOKUP(B430,'04 TANIMLAR'!$A$2:$C$9,2,FALSE()),""))</f>
        <v/>
      </c>
      <c r="D430" s="58"/>
      <c r="E430" s="56" t="str">
        <f>IF(B430="","",IFERROR(VLOOKUP(B430,'04 TANIMLAR'!$A$2:$C$9,3,FALSE()),""))</f>
        <v/>
      </c>
      <c r="F430" s="58"/>
      <c r="G430" s="56"/>
      <c r="H430" s="58"/>
      <c r="I430" s="56"/>
      <c r="J430" s="56"/>
    </row>
    <row r="431" spans="1:10" ht="15" customHeight="1" x14ac:dyDescent="0.2">
      <c r="A431" s="56"/>
      <c r="B431" s="58"/>
      <c r="C431" s="56" t="str">
        <f>IF(B431="","",IFERROR(VLOOKUP(B431,'04 TANIMLAR'!$A$2:$C$9,2,FALSE()),""))</f>
        <v/>
      </c>
      <c r="D431" s="58"/>
      <c r="E431" s="56" t="str">
        <f>IF(B431="","",IFERROR(VLOOKUP(B431,'04 TANIMLAR'!$A$2:$C$9,3,FALSE()),""))</f>
        <v/>
      </c>
      <c r="F431" s="58"/>
      <c r="G431" s="56"/>
      <c r="H431" s="58"/>
      <c r="I431" s="56"/>
      <c r="J431" s="56"/>
    </row>
    <row r="432" spans="1:10" ht="15" customHeight="1" x14ac:dyDescent="0.2">
      <c r="A432" s="56"/>
      <c r="B432" s="58"/>
      <c r="C432" s="56" t="str">
        <f>IF(B432="","",IFERROR(VLOOKUP(B432,'04 TANIMLAR'!$A$2:$C$9,2,FALSE()),""))</f>
        <v/>
      </c>
      <c r="D432" s="58"/>
      <c r="E432" s="56" t="str">
        <f>IF(B432="","",IFERROR(VLOOKUP(B432,'04 TANIMLAR'!$A$2:$C$9,3,FALSE()),""))</f>
        <v/>
      </c>
      <c r="F432" s="58"/>
      <c r="G432" s="56"/>
      <c r="H432" s="58"/>
      <c r="I432" s="56"/>
      <c r="J432" s="56"/>
    </row>
    <row r="433" spans="1:10" ht="15" customHeight="1" x14ac:dyDescent="0.2">
      <c r="A433" s="56"/>
      <c r="B433" s="58"/>
      <c r="C433" s="56" t="str">
        <f>IF(B433="","",IFERROR(VLOOKUP(B433,'04 TANIMLAR'!$A$2:$C$9,2,FALSE()),""))</f>
        <v/>
      </c>
      <c r="D433" s="58"/>
      <c r="E433" s="56" t="str">
        <f>IF(B433="","",IFERROR(VLOOKUP(B433,'04 TANIMLAR'!$A$2:$C$9,3,FALSE()),""))</f>
        <v/>
      </c>
      <c r="F433" s="58"/>
      <c r="G433" s="56"/>
      <c r="H433" s="58"/>
      <c r="I433" s="56"/>
      <c r="J433" s="56"/>
    </row>
    <row r="434" spans="1:10" ht="15" customHeight="1" x14ac:dyDescent="0.2">
      <c r="A434" s="56"/>
      <c r="B434" s="58"/>
      <c r="C434" s="56" t="str">
        <f>IF(B434="","",IFERROR(VLOOKUP(B434,'04 TANIMLAR'!$A$2:$C$9,2,FALSE()),""))</f>
        <v/>
      </c>
      <c r="D434" s="58"/>
      <c r="E434" s="56" t="str">
        <f>IF(B434="","",IFERROR(VLOOKUP(B434,'04 TANIMLAR'!$A$2:$C$9,3,FALSE()),""))</f>
        <v/>
      </c>
      <c r="F434" s="58"/>
      <c r="G434" s="56"/>
      <c r="H434" s="58"/>
      <c r="I434" s="56"/>
      <c r="J434" s="56"/>
    </row>
    <row r="435" spans="1:10" ht="15" customHeight="1" x14ac:dyDescent="0.2">
      <c r="A435" s="56"/>
      <c r="B435" s="58"/>
      <c r="C435" s="56" t="str">
        <f>IF(B435="","",IFERROR(VLOOKUP(B435,'04 TANIMLAR'!$A$2:$C$9,2,FALSE()),""))</f>
        <v/>
      </c>
      <c r="D435" s="58"/>
      <c r="E435" s="56" t="str">
        <f>IF(B435="","",IFERROR(VLOOKUP(B435,'04 TANIMLAR'!$A$2:$C$9,3,FALSE()),""))</f>
        <v/>
      </c>
      <c r="F435" s="58"/>
      <c r="G435" s="56"/>
      <c r="H435" s="58"/>
      <c r="I435" s="56"/>
      <c r="J435" s="56"/>
    </row>
    <row r="436" spans="1:10" ht="15" customHeight="1" x14ac:dyDescent="0.2">
      <c r="A436" s="56"/>
      <c r="B436" s="58"/>
      <c r="C436" s="56" t="str">
        <f>IF(B436="","",IFERROR(VLOOKUP(B436,'04 TANIMLAR'!$A$2:$C$9,2,FALSE()),""))</f>
        <v/>
      </c>
      <c r="D436" s="58"/>
      <c r="E436" s="56" t="str">
        <f>IF(B436="","",IFERROR(VLOOKUP(B436,'04 TANIMLAR'!$A$2:$C$9,3,FALSE()),""))</f>
        <v/>
      </c>
      <c r="F436" s="58"/>
      <c r="G436" s="56"/>
      <c r="H436" s="58"/>
      <c r="I436" s="56"/>
      <c r="J436" s="56"/>
    </row>
    <row r="437" spans="1:10" ht="15" customHeight="1" x14ac:dyDescent="0.2">
      <c r="A437" s="56"/>
      <c r="B437" s="58"/>
      <c r="C437" s="56" t="str">
        <f>IF(B437="","",IFERROR(VLOOKUP(B437,'04 TANIMLAR'!$A$2:$C$9,2,FALSE()),""))</f>
        <v/>
      </c>
      <c r="D437" s="58"/>
      <c r="E437" s="56" t="str">
        <f>IF(B437="","",IFERROR(VLOOKUP(B437,'04 TANIMLAR'!$A$2:$C$9,3,FALSE()),""))</f>
        <v/>
      </c>
      <c r="F437" s="58"/>
      <c r="G437" s="56"/>
      <c r="H437" s="58"/>
      <c r="I437" s="56"/>
      <c r="J437" s="56"/>
    </row>
    <row r="438" spans="1:10" ht="15" customHeight="1" x14ac:dyDescent="0.2">
      <c r="A438" s="56"/>
      <c r="B438" s="58"/>
      <c r="C438" s="56" t="str">
        <f>IF(B438="","",IFERROR(VLOOKUP(B438,'04 TANIMLAR'!$A$2:$C$9,2,FALSE()),""))</f>
        <v/>
      </c>
      <c r="D438" s="58"/>
      <c r="E438" s="56" t="str">
        <f>IF(B438="","",IFERROR(VLOOKUP(B438,'04 TANIMLAR'!$A$2:$C$9,3,FALSE()),""))</f>
        <v/>
      </c>
      <c r="F438" s="58"/>
      <c r="G438" s="56"/>
      <c r="H438" s="58"/>
      <c r="I438" s="56"/>
      <c r="J438" s="56"/>
    </row>
    <row r="439" spans="1:10" ht="15" customHeight="1" x14ac:dyDescent="0.2">
      <c r="A439" s="56"/>
      <c r="B439" s="58"/>
      <c r="C439" s="56" t="str">
        <f>IF(B439="","",IFERROR(VLOOKUP(B439,'04 TANIMLAR'!$A$2:$C$9,2,FALSE()),""))</f>
        <v/>
      </c>
      <c r="D439" s="58"/>
      <c r="E439" s="56" t="str">
        <f>IF(B439="","",IFERROR(VLOOKUP(B439,'04 TANIMLAR'!$A$2:$C$9,3,FALSE()),""))</f>
        <v/>
      </c>
      <c r="F439" s="58"/>
      <c r="G439" s="56"/>
      <c r="H439" s="58"/>
      <c r="I439" s="56"/>
      <c r="J439" s="56"/>
    </row>
    <row r="440" spans="1:10" ht="15" customHeight="1" x14ac:dyDescent="0.2">
      <c r="A440" s="56"/>
      <c r="B440" s="58"/>
      <c r="C440" s="56" t="str">
        <f>IF(B440="","",IFERROR(VLOOKUP(B440,'04 TANIMLAR'!$A$2:$C$9,2,FALSE()),""))</f>
        <v/>
      </c>
      <c r="D440" s="58"/>
      <c r="E440" s="56" t="str">
        <f>IF(B440="","",IFERROR(VLOOKUP(B440,'04 TANIMLAR'!$A$2:$C$9,3,FALSE()),""))</f>
        <v/>
      </c>
      <c r="F440" s="58"/>
      <c r="G440" s="56"/>
      <c r="H440" s="58"/>
      <c r="I440" s="56"/>
      <c r="J440" s="56"/>
    </row>
    <row r="441" spans="1:10" ht="15" customHeight="1" x14ac:dyDescent="0.2">
      <c r="A441" s="56"/>
      <c r="B441" s="58"/>
      <c r="C441" s="56" t="str">
        <f>IF(B441="","",IFERROR(VLOOKUP(B441,'04 TANIMLAR'!$A$2:$C$9,2,FALSE()),""))</f>
        <v/>
      </c>
      <c r="D441" s="58"/>
      <c r="E441" s="56" t="str">
        <f>IF(B441="","",IFERROR(VLOOKUP(B441,'04 TANIMLAR'!$A$2:$C$9,3,FALSE()),""))</f>
        <v/>
      </c>
      <c r="F441" s="58"/>
      <c r="G441" s="56"/>
      <c r="H441" s="58"/>
      <c r="I441" s="56"/>
      <c r="J441" s="56"/>
    </row>
    <row r="442" spans="1:10" ht="15" customHeight="1" x14ac:dyDescent="0.2">
      <c r="A442" s="56"/>
      <c r="B442" s="58"/>
      <c r="C442" s="56" t="str">
        <f>IF(B442="","",IFERROR(VLOOKUP(B442,'04 TANIMLAR'!$A$2:$C$9,2,FALSE()),""))</f>
        <v/>
      </c>
      <c r="D442" s="58"/>
      <c r="E442" s="56" t="str">
        <f>IF(B442="","",IFERROR(VLOOKUP(B442,'04 TANIMLAR'!$A$2:$C$9,3,FALSE()),""))</f>
        <v/>
      </c>
      <c r="F442" s="58"/>
      <c r="G442" s="56"/>
      <c r="H442" s="58"/>
      <c r="I442" s="56"/>
      <c r="J442" s="56"/>
    </row>
    <row r="443" spans="1:10" ht="15" customHeight="1" x14ac:dyDescent="0.2">
      <c r="A443" s="56"/>
      <c r="B443" s="58"/>
      <c r="C443" s="56" t="str">
        <f>IF(B443="","",IFERROR(VLOOKUP(B443,'04 TANIMLAR'!$A$2:$C$9,2,FALSE()),""))</f>
        <v/>
      </c>
      <c r="D443" s="58"/>
      <c r="E443" s="56" t="str">
        <f>IF(B443="","",IFERROR(VLOOKUP(B443,'04 TANIMLAR'!$A$2:$C$9,3,FALSE()),""))</f>
        <v/>
      </c>
      <c r="F443" s="58"/>
      <c r="G443" s="56"/>
      <c r="H443" s="58"/>
      <c r="I443" s="56"/>
      <c r="J443" s="56"/>
    </row>
    <row r="444" spans="1:10" ht="15" customHeight="1" x14ac:dyDescent="0.2">
      <c r="A444" s="56"/>
      <c r="B444" s="58"/>
      <c r="C444" s="56" t="str">
        <f>IF(B444="","",IFERROR(VLOOKUP(B444,'04 TANIMLAR'!$A$2:$C$9,2,FALSE()),""))</f>
        <v/>
      </c>
      <c r="D444" s="58"/>
      <c r="E444" s="56" t="str">
        <f>IF(B444="","",IFERROR(VLOOKUP(B444,'04 TANIMLAR'!$A$2:$C$9,3,FALSE()),""))</f>
        <v/>
      </c>
      <c r="F444" s="58"/>
      <c r="G444" s="56"/>
      <c r="H444" s="58"/>
      <c r="I444" s="56"/>
      <c r="J444" s="56"/>
    </row>
    <row r="445" spans="1:10" ht="15" customHeight="1" x14ac:dyDescent="0.2">
      <c r="A445" s="56"/>
      <c r="B445" s="58"/>
      <c r="C445" s="56" t="str">
        <f>IF(B445="","",IFERROR(VLOOKUP(B445,'04 TANIMLAR'!$A$2:$C$9,2,FALSE()),""))</f>
        <v/>
      </c>
      <c r="D445" s="58"/>
      <c r="E445" s="56" t="str">
        <f>IF(B445="","",IFERROR(VLOOKUP(B445,'04 TANIMLAR'!$A$2:$C$9,3,FALSE()),""))</f>
        <v/>
      </c>
      <c r="F445" s="58"/>
      <c r="G445" s="56"/>
      <c r="H445" s="58"/>
      <c r="I445" s="56"/>
      <c r="J445" s="56"/>
    </row>
    <row r="446" spans="1:10" ht="15" customHeight="1" x14ac:dyDescent="0.2">
      <c r="A446" s="56"/>
      <c r="B446" s="58"/>
      <c r="C446" s="56" t="str">
        <f>IF(B446="","",IFERROR(VLOOKUP(B446,'04 TANIMLAR'!$A$2:$C$9,2,FALSE()),""))</f>
        <v/>
      </c>
      <c r="D446" s="58"/>
      <c r="E446" s="56" t="str">
        <f>IF(B446="","",IFERROR(VLOOKUP(B446,'04 TANIMLAR'!$A$2:$C$9,3,FALSE()),""))</f>
        <v/>
      </c>
      <c r="F446" s="58"/>
      <c r="G446" s="56"/>
      <c r="H446" s="58"/>
      <c r="I446" s="56"/>
      <c r="J446" s="56"/>
    </row>
    <row r="447" spans="1:10" ht="15" customHeight="1" x14ac:dyDescent="0.2">
      <c r="A447" s="56"/>
      <c r="B447" s="58"/>
      <c r="C447" s="56" t="str">
        <f>IF(B447="","",IFERROR(VLOOKUP(B447,'04 TANIMLAR'!$A$2:$C$9,2,FALSE()),""))</f>
        <v/>
      </c>
      <c r="D447" s="58"/>
      <c r="E447" s="56" t="str">
        <f>IF(B447="","",IFERROR(VLOOKUP(B447,'04 TANIMLAR'!$A$2:$C$9,3,FALSE()),""))</f>
        <v/>
      </c>
      <c r="F447" s="58"/>
      <c r="G447" s="56"/>
      <c r="H447" s="58"/>
      <c r="I447" s="56"/>
      <c r="J447" s="56"/>
    </row>
    <row r="448" spans="1:10" ht="15" customHeight="1" x14ac:dyDescent="0.2">
      <c r="A448" s="56"/>
      <c r="B448" s="58"/>
      <c r="C448" s="56" t="str">
        <f>IF(B448="","",IFERROR(VLOOKUP(B448,'04 TANIMLAR'!$A$2:$C$9,2,FALSE()),""))</f>
        <v/>
      </c>
      <c r="D448" s="58"/>
      <c r="E448" s="56" t="str">
        <f>IF(B448="","",IFERROR(VLOOKUP(B448,'04 TANIMLAR'!$A$2:$C$9,3,FALSE()),""))</f>
        <v/>
      </c>
      <c r="F448" s="58"/>
      <c r="G448" s="56"/>
      <c r="H448" s="58"/>
      <c r="I448" s="56"/>
      <c r="J448" s="56"/>
    </row>
    <row r="449" spans="1:10" ht="15" customHeight="1" x14ac:dyDescent="0.2">
      <c r="A449" s="56"/>
      <c r="B449" s="58"/>
      <c r="C449" s="56" t="str">
        <f>IF(B449="","",IFERROR(VLOOKUP(B449,'04 TANIMLAR'!$A$2:$C$9,2,FALSE()),""))</f>
        <v/>
      </c>
      <c r="D449" s="58"/>
      <c r="E449" s="56" t="str">
        <f>IF(B449="","",IFERROR(VLOOKUP(B449,'04 TANIMLAR'!$A$2:$C$9,3,FALSE()),""))</f>
        <v/>
      </c>
      <c r="F449" s="58"/>
      <c r="G449" s="56"/>
      <c r="H449" s="58"/>
      <c r="I449" s="56"/>
      <c r="J449" s="56"/>
    </row>
    <row r="450" spans="1:10" ht="15" customHeight="1" x14ac:dyDescent="0.2">
      <c r="A450" s="56"/>
      <c r="B450" s="58"/>
      <c r="C450" s="56" t="str">
        <f>IF(B450="","",IFERROR(VLOOKUP(B450,'04 TANIMLAR'!$A$2:$C$9,2,FALSE()),""))</f>
        <v/>
      </c>
      <c r="D450" s="58"/>
      <c r="E450" s="56" t="str">
        <f>IF(B450="","",IFERROR(VLOOKUP(B450,'04 TANIMLAR'!$A$2:$C$9,3,FALSE()),""))</f>
        <v/>
      </c>
      <c r="F450" s="58"/>
      <c r="G450" s="56"/>
      <c r="H450" s="58"/>
      <c r="I450" s="56"/>
      <c r="J450" s="56"/>
    </row>
    <row r="451" spans="1:10" ht="15" customHeight="1" x14ac:dyDescent="0.2">
      <c r="A451" s="56"/>
      <c r="B451" s="58"/>
      <c r="C451" s="56" t="str">
        <f>IF(B451="","",IFERROR(VLOOKUP(B451,'04 TANIMLAR'!$A$2:$C$9,2,FALSE()),""))</f>
        <v/>
      </c>
      <c r="D451" s="58"/>
      <c r="E451" s="56" t="str">
        <f>IF(B451="","",IFERROR(VLOOKUP(B451,'04 TANIMLAR'!$A$2:$C$9,3,FALSE()),""))</f>
        <v/>
      </c>
      <c r="F451" s="58"/>
      <c r="G451" s="56"/>
      <c r="H451" s="58"/>
      <c r="I451" s="56"/>
      <c r="J451" s="56"/>
    </row>
    <row r="452" spans="1:10" ht="15" customHeight="1" x14ac:dyDescent="0.2">
      <c r="A452" s="56"/>
      <c r="B452" s="58"/>
      <c r="C452" s="56" t="str">
        <f>IF(B452="","",IFERROR(VLOOKUP(B452,'04 TANIMLAR'!$A$2:$C$9,2,FALSE()),""))</f>
        <v/>
      </c>
      <c r="D452" s="58"/>
      <c r="E452" s="56" t="str">
        <f>IF(B452="","",IFERROR(VLOOKUP(B452,'04 TANIMLAR'!$A$2:$C$9,3,FALSE()),""))</f>
        <v/>
      </c>
      <c r="F452" s="58"/>
      <c r="G452" s="56"/>
      <c r="H452" s="58"/>
      <c r="I452" s="56"/>
      <c r="J452" s="56"/>
    </row>
    <row r="453" spans="1:10" ht="15" customHeight="1" x14ac:dyDescent="0.2">
      <c r="A453" s="56"/>
      <c r="B453" s="58"/>
      <c r="C453" s="56" t="str">
        <f>IF(B453="","",IFERROR(VLOOKUP(B453,'04 TANIMLAR'!$A$2:$C$9,2,FALSE()),""))</f>
        <v/>
      </c>
      <c r="D453" s="58"/>
      <c r="E453" s="56" t="str">
        <f>IF(B453="","",IFERROR(VLOOKUP(B453,'04 TANIMLAR'!$A$2:$C$9,3,FALSE()),""))</f>
        <v/>
      </c>
      <c r="F453" s="58"/>
      <c r="G453" s="56"/>
      <c r="H453" s="58"/>
      <c r="I453" s="56"/>
      <c r="J453" s="56"/>
    </row>
    <row r="454" spans="1:10" ht="15" customHeight="1" x14ac:dyDescent="0.2">
      <c r="A454" s="56"/>
      <c r="B454" s="58"/>
      <c r="C454" s="56" t="str">
        <f>IF(B454="","",IFERROR(VLOOKUP(B454,'04 TANIMLAR'!$A$2:$C$9,2,FALSE()),""))</f>
        <v/>
      </c>
      <c r="D454" s="58"/>
      <c r="E454" s="56" t="str">
        <f>IF(B454="","",IFERROR(VLOOKUP(B454,'04 TANIMLAR'!$A$2:$C$9,3,FALSE()),""))</f>
        <v/>
      </c>
      <c r="F454" s="58"/>
      <c r="G454" s="56"/>
      <c r="H454" s="58"/>
      <c r="I454" s="56"/>
      <c r="J454" s="56"/>
    </row>
    <row r="455" spans="1:10" ht="15" customHeight="1" x14ac:dyDescent="0.2">
      <c r="A455" s="56"/>
      <c r="B455" s="58"/>
      <c r="C455" s="56" t="str">
        <f>IF(B455="","",IFERROR(VLOOKUP(B455,'04 TANIMLAR'!$A$2:$C$9,2,FALSE()),""))</f>
        <v/>
      </c>
      <c r="D455" s="58"/>
      <c r="E455" s="56" t="str">
        <f>IF(B455="","",IFERROR(VLOOKUP(B455,'04 TANIMLAR'!$A$2:$C$9,3,FALSE()),""))</f>
        <v/>
      </c>
      <c r="F455" s="58"/>
      <c r="G455" s="56"/>
      <c r="H455" s="58"/>
      <c r="I455" s="56"/>
      <c r="J455" s="56"/>
    </row>
    <row r="456" spans="1:10" ht="15" customHeight="1" x14ac:dyDescent="0.2">
      <c r="A456" s="56"/>
      <c r="B456" s="58"/>
      <c r="C456" s="56" t="str">
        <f>IF(B456="","",IFERROR(VLOOKUP(B456,'04 TANIMLAR'!$A$2:$C$9,2,FALSE()),""))</f>
        <v/>
      </c>
      <c r="D456" s="58"/>
      <c r="E456" s="56" t="str">
        <f>IF(B456="","",IFERROR(VLOOKUP(B456,'04 TANIMLAR'!$A$2:$C$9,3,FALSE()),""))</f>
        <v/>
      </c>
      <c r="F456" s="58"/>
      <c r="G456" s="56"/>
      <c r="H456" s="58"/>
      <c r="I456" s="56"/>
      <c r="J456" s="56"/>
    </row>
    <row r="457" spans="1:10" ht="15" customHeight="1" x14ac:dyDescent="0.2">
      <c r="A457" s="56"/>
      <c r="B457" s="58"/>
      <c r="C457" s="56" t="str">
        <f>IF(B457="","",IFERROR(VLOOKUP(B457,'04 TANIMLAR'!$A$2:$C$9,2,FALSE()),""))</f>
        <v/>
      </c>
      <c r="D457" s="58"/>
      <c r="E457" s="56" t="str">
        <f>IF(B457="","",IFERROR(VLOOKUP(B457,'04 TANIMLAR'!$A$2:$C$9,3,FALSE()),""))</f>
        <v/>
      </c>
      <c r="F457" s="58"/>
      <c r="G457" s="56"/>
      <c r="H457" s="58"/>
      <c r="I457" s="56"/>
      <c r="J457" s="56"/>
    </row>
    <row r="458" spans="1:10" ht="15" customHeight="1" x14ac:dyDescent="0.2">
      <c r="A458" s="56"/>
      <c r="B458" s="58"/>
      <c r="C458" s="56" t="str">
        <f>IF(B458="","",IFERROR(VLOOKUP(B458,'04 TANIMLAR'!$A$2:$C$9,2,FALSE()),""))</f>
        <v/>
      </c>
      <c r="D458" s="58"/>
      <c r="E458" s="56" t="str">
        <f>IF(B458="","",IFERROR(VLOOKUP(B458,'04 TANIMLAR'!$A$2:$C$9,3,FALSE()),""))</f>
        <v/>
      </c>
      <c r="F458" s="58"/>
      <c r="G458" s="56"/>
      <c r="H458" s="58"/>
      <c r="I458" s="56"/>
      <c r="J458" s="56"/>
    </row>
    <row r="459" spans="1:10" ht="15" customHeight="1" x14ac:dyDescent="0.2">
      <c r="A459" s="56"/>
      <c r="B459" s="58"/>
      <c r="C459" s="56" t="str">
        <f>IF(B459="","",IFERROR(VLOOKUP(B459,'04 TANIMLAR'!$A$2:$C$9,2,FALSE()),""))</f>
        <v/>
      </c>
      <c r="D459" s="58"/>
      <c r="E459" s="56" t="str">
        <f>IF(B459="","",IFERROR(VLOOKUP(B459,'04 TANIMLAR'!$A$2:$C$9,3,FALSE()),""))</f>
        <v/>
      </c>
      <c r="F459" s="58"/>
      <c r="G459" s="56"/>
      <c r="H459" s="58"/>
      <c r="I459" s="56"/>
      <c r="J459" s="56"/>
    </row>
    <row r="460" spans="1:10" ht="15" customHeight="1" x14ac:dyDescent="0.2">
      <c r="A460" s="56"/>
      <c r="B460" s="58"/>
      <c r="C460" s="56" t="str">
        <f>IF(B460="","",IFERROR(VLOOKUP(B460,'04 TANIMLAR'!$A$2:$C$9,2,FALSE()),""))</f>
        <v/>
      </c>
      <c r="D460" s="58"/>
      <c r="E460" s="56" t="str">
        <f>IF(B460="","",IFERROR(VLOOKUP(B460,'04 TANIMLAR'!$A$2:$C$9,3,FALSE()),""))</f>
        <v/>
      </c>
      <c r="F460" s="58"/>
      <c r="G460" s="56"/>
      <c r="H460" s="58"/>
      <c r="I460" s="56"/>
      <c r="J460" s="56"/>
    </row>
    <row r="461" spans="1:10" ht="15" customHeight="1" x14ac:dyDescent="0.2">
      <c r="A461" s="56"/>
      <c r="B461" s="58"/>
      <c r="C461" s="56" t="str">
        <f>IF(B461="","",IFERROR(VLOOKUP(B461,'04 TANIMLAR'!$A$2:$C$9,2,FALSE()),""))</f>
        <v/>
      </c>
      <c r="D461" s="58"/>
      <c r="E461" s="56" t="str">
        <f>IF(B461="","",IFERROR(VLOOKUP(B461,'04 TANIMLAR'!$A$2:$C$9,3,FALSE()),""))</f>
        <v/>
      </c>
      <c r="F461" s="58"/>
      <c r="G461" s="56"/>
      <c r="H461" s="58"/>
      <c r="I461" s="56"/>
      <c r="J461" s="56"/>
    </row>
    <row r="462" spans="1:10" ht="15" customHeight="1" x14ac:dyDescent="0.2">
      <c r="A462" s="56"/>
      <c r="B462" s="58"/>
      <c r="C462" s="56" t="str">
        <f>IF(B462="","",IFERROR(VLOOKUP(B462,'04 TANIMLAR'!$A$2:$C$9,2,FALSE()),""))</f>
        <v/>
      </c>
      <c r="D462" s="58"/>
      <c r="E462" s="56" t="str">
        <f>IF(B462="","",IFERROR(VLOOKUP(B462,'04 TANIMLAR'!$A$2:$C$9,3,FALSE()),""))</f>
        <v/>
      </c>
      <c r="F462" s="58"/>
      <c r="G462" s="56"/>
      <c r="H462" s="58"/>
      <c r="I462" s="56"/>
      <c r="J462" s="56"/>
    </row>
    <row r="463" spans="1:10" ht="15" customHeight="1" x14ac:dyDescent="0.2">
      <c r="A463" s="56"/>
      <c r="B463" s="58"/>
      <c r="C463" s="56" t="str">
        <f>IF(B463="","",IFERROR(VLOOKUP(B463,'04 TANIMLAR'!$A$2:$C$9,2,FALSE()),""))</f>
        <v/>
      </c>
      <c r="D463" s="58"/>
      <c r="E463" s="56" t="str">
        <f>IF(B463="","",IFERROR(VLOOKUP(B463,'04 TANIMLAR'!$A$2:$C$9,3,FALSE()),""))</f>
        <v/>
      </c>
      <c r="F463" s="58"/>
      <c r="G463" s="56"/>
      <c r="H463" s="58"/>
      <c r="I463" s="56"/>
      <c r="J463" s="56"/>
    </row>
    <row r="464" spans="1:10" ht="15" customHeight="1" x14ac:dyDescent="0.2">
      <c r="A464" s="56"/>
      <c r="B464" s="58"/>
      <c r="C464" s="56" t="str">
        <f>IF(B464="","",IFERROR(VLOOKUP(B464,'04 TANIMLAR'!$A$2:$C$9,2,FALSE()),""))</f>
        <v/>
      </c>
      <c r="D464" s="58"/>
      <c r="E464" s="56" t="str">
        <f>IF(B464="","",IFERROR(VLOOKUP(B464,'04 TANIMLAR'!$A$2:$C$9,3,FALSE()),""))</f>
        <v/>
      </c>
      <c r="F464" s="58"/>
      <c r="G464" s="56"/>
      <c r="H464" s="58"/>
      <c r="I464" s="56"/>
      <c r="J464" s="56"/>
    </row>
    <row r="465" spans="1:10" ht="15" customHeight="1" x14ac:dyDescent="0.2">
      <c r="A465" s="56"/>
      <c r="B465" s="58"/>
      <c r="C465" s="56" t="str">
        <f>IF(B465="","",IFERROR(VLOOKUP(B465,'04 TANIMLAR'!$A$2:$C$9,2,FALSE()),""))</f>
        <v/>
      </c>
      <c r="D465" s="58"/>
      <c r="E465" s="56" t="str">
        <f>IF(B465="","",IFERROR(VLOOKUP(B465,'04 TANIMLAR'!$A$2:$C$9,3,FALSE()),""))</f>
        <v/>
      </c>
      <c r="F465" s="58"/>
      <c r="G465" s="56"/>
      <c r="H465" s="58"/>
      <c r="I465" s="56"/>
      <c r="J465" s="56"/>
    </row>
    <row r="466" spans="1:10" ht="15" customHeight="1" x14ac:dyDescent="0.2">
      <c r="A466" s="56"/>
      <c r="B466" s="58"/>
      <c r="C466" s="56" t="str">
        <f>IF(B466="","",IFERROR(VLOOKUP(B466,'04 TANIMLAR'!$A$2:$C$9,2,FALSE()),""))</f>
        <v/>
      </c>
      <c r="D466" s="58"/>
      <c r="E466" s="56" t="str">
        <f>IF(B466="","",IFERROR(VLOOKUP(B466,'04 TANIMLAR'!$A$2:$C$9,3,FALSE()),""))</f>
        <v/>
      </c>
      <c r="F466" s="58"/>
      <c r="G466" s="56"/>
      <c r="H466" s="58"/>
      <c r="I466" s="56"/>
      <c r="J466" s="56"/>
    </row>
    <row r="467" spans="1:10" ht="15" customHeight="1" x14ac:dyDescent="0.2">
      <c r="A467" s="56"/>
      <c r="B467" s="58"/>
      <c r="C467" s="56" t="str">
        <f>IF(B467="","",IFERROR(VLOOKUP(B467,'04 TANIMLAR'!$A$2:$C$9,2,FALSE()),""))</f>
        <v/>
      </c>
      <c r="D467" s="58"/>
      <c r="E467" s="56" t="str">
        <f>IF(B467="","",IFERROR(VLOOKUP(B467,'04 TANIMLAR'!$A$2:$C$9,3,FALSE()),""))</f>
        <v/>
      </c>
      <c r="F467" s="58"/>
      <c r="G467" s="56"/>
      <c r="H467" s="58"/>
      <c r="I467" s="56"/>
      <c r="J467" s="56"/>
    </row>
    <row r="468" spans="1:10" ht="15" customHeight="1" x14ac:dyDescent="0.2">
      <c r="A468" s="56"/>
      <c r="B468" s="58"/>
      <c r="C468" s="56" t="str">
        <f>IF(B468="","",IFERROR(VLOOKUP(B468,'04 TANIMLAR'!$A$2:$C$9,2,FALSE()),""))</f>
        <v/>
      </c>
      <c r="D468" s="58"/>
      <c r="E468" s="56" t="str">
        <f>IF(B468="","",IFERROR(VLOOKUP(B468,'04 TANIMLAR'!$A$2:$C$9,3,FALSE()),""))</f>
        <v/>
      </c>
      <c r="F468" s="58"/>
      <c r="G468" s="56"/>
      <c r="H468" s="58"/>
      <c r="I468" s="56"/>
      <c r="J468" s="56"/>
    </row>
    <row r="469" spans="1:10" ht="15" customHeight="1" x14ac:dyDescent="0.2">
      <c r="A469" s="56"/>
      <c r="B469" s="58"/>
      <c r="C469" s="56" t="str">
        <f>IF(B469="","",IFERROR(VLOOKUP(B469,'04 TANIMLAR'!$A$2:$C$9,2,FALSE()),""))</f>
        <v/>
      </c>
      <c r="D469" s="58"/>
      <c r="E469" s="56" t="str">
        <f>IF(B469="","",IFERROR(VLOOKUP(B469,'04 TANIMLAR'!$A$2:$C$9,3,FALSE()),""))</f>
        <v/>
      </c>
      <c r="F469" s="58"/>
      <c r="G469" s="56"/>
      <c r="H469" s="58"/>
      <c r="I469" s="56"/>
      <c r="J469" s="56"/>
    </row>
    <row r="470" spans="1:10" ht="15" customHeight="1" x14ac:dyDescent="0.2">
      <c r="A470" s="56"/>
      <c r="B470" s="58"/>
      <c r="C470" s="56" t="str">
        <f>IF(B470="","",IFERROR(VLOOKUP(B470,'04 TANIMLAR'!$A$2:$C$9,2,FALSE()),""))</f>
        <v/>
      </c>
      <c r="D470" s="58"/>
      <c r="E470" s="56" t="str">
        <f>IF(B470="","",IFERROR(VLOOKUP(B470,'04 TANIMLAR'!$A$2:$C$9,3,FALSE()),""))</f>
        <v/>
      </c>
      <c r="F470" s="58"/>
      <c r="G470" s="56"/>
      <c r="H470" s="58"/>
      <c r="I470" s="56"/>
      <c r="J470" s="56"/>
    </row>
    <row r="471" spans="1:10" ht="15" customHeight="1" x14ac:dyDescent="0.2">
      <c r="A471" s="56"/>
      <c r="B471" s="58"/>
      <c r="C471" s="56" t="str">
        <f>IF(B471="","",IFERROR(VLOOKUP(B471,'04 TANIMLAR'!$A$2:$C$9,2,FALSE()),""))</f>
        <v/>
      </c>
      <c r="D471" s="58"/>
      <c r="E471" s="56" t="str">
        <f>IF(B471="","",IFERROR(VLOOKUP(B471,'04 TANIMLAR'!$A$2:$C$9,3,FALSE()),""))</f>
        <v/>
      </c>
      <c r="F471" s="58"/>
      <c r="G471" s="56"/>
      <c r="H471" s="58"/>
      <c r="I471" s="56"/>
      <c r="J471" s="56"/>
    </row>
    <row r="472" spans="1:10" ht="15" customHeight="1" x14ac:dyDescent="0.2">
      <c r="A472" s="56"/>
      <c r="B472" s="58"/>
      <c r="C472" s="56" t="str">
        <f>IF(B472="","",IFERROR(VLOOKUP(B472,'04 TANIMLAR'!$A$2:$C$9,2,FALSE()),""))</f>
        <v/>
      </c>
      <c r="D472" s="58"/>
      <c r="E472" s="56" t="str">
        <f>IF(B472="","",IFERROR(VLOOKUP(B472,'04 TANIMLAR'!$A$2:$C$9,3,FALSE()),""))</f>
        <v/>
      </c>
      <c r="F472" s="58"/>
      <c r="G472" s="56"/>
      <c r="H472" s="58"/>
      <c r="I472" s="56"/>
      <c r="J472" s="56"/>
    </row>
    <row r="473" spans="1:10" ht="15" customHeight="1" x14ac:dyDescent="0.2">
      <c r="A473" s="56"/>
      <c r="B473" s="58"/>
      <c r="C473" s="56" t="str">
        <f>IF(B473="","",IFERROR(VLOOKUP(B473,'04 TANIMLAR'!$A$2:$C$9,2,FALSE()),""))</f>
        <v/>
      </c>
      <c r="D473" s="58"/>
      <c r="E473" s="56" t="str">
        <f>IF(B473="","",IFERROR(VLOOKUP(B473,'04 TANIMLAR'!$A$2:$C$9,3,FALSE()),""))</f>
        <v/>
      </c>
      <c r="F473" s="58"/>
      <c r="G473" s="56"/>
      <c r="H473" s="58"/>
      <c r="I473" s="56"/>
      <c r="J473" s="56"/>
    </row>
    <row r="474" spans="1:10" ht="15" customHeight="1" x14ac:dyDescent="0.2">
      <c r="A474" s="56"/>
      <c r="B474" s="58"/>
      <c r="C474" s="56" t="str">
        <f>IF(B474="","",IFERROR(VLOOKUP(B474,'04 TANIMLAR'!$A$2:$C$9,2,FALSE()),""))</f>
        <v/>
      </c>
      <c r="D474" s="58"/>
      <c r="E474" s="56" t="str">
        <f>IF(B474="","",IFERROR(VLOOKUP(B474,'04 TANIMLAR'!$A$2:$C$9,3,FALSE()),""))</f>
        <v/>
      </c>
      <c r="F474" s="58"/>
      <c r="G474" s="56"/>
      <c r="H474" s="58"/>
      <c r="I474" s="56"/>
      <c r="J474" s="56"/>
    </row>
    <row r="475" spans="1:10" ht="15" customHeight="1" x14ac:dyDescent="0.2">
      <c r="A475" s="56"/>
      <c r="B475" s="58"/>
      <c r="C475" s="56" t="str">
        <f>IF(B475="","",IFERROR(VLOOKUP(B475,'04 TANIMLAR'!$A$2:$C$9,2,FALSE()),""))</f>
        <v/>
      </c>
      <c r="D475" s="58"/>
      <c r="E475" s="56" t="str">
        <f>IF(B475="","",IFERROR(VLOOKUP(B475,'04 TANIMLAR'!$A$2:$C$9,3,FALSE()),""))</f>
        <v/>
      </c>
      <c r="F475" s="58"/>
      <c r="G475" s="56"/>
      <c r="H475" s="58"/>
      <c r="I475" s="56"/>
      <c r="J475" s="56"/>
    </row>
    <row r="476" spans="1:10" ht="15" customHeight="1" x14ac:dyDescent="0.2">
      <c r="A476" s="56"/>
      <c r="B476" s="58"/>
      <c r="C476" s="56" t="str">
        <f>IF(B476="","",IFERROR(VLOOKUP(B476,'04 TANIMLAR'!$A$2:$C$9,2,FALSE()),""))</f>
        <v/>
      </c>
      <c r="D476" s="58"/>
      <c r="E476" s="56" t="str">
        <f>IF(B476="","",IFERROR(VLOOKUP(B476,'04 TANIMLAR'!$A$2:$C$9,3,FALSE()),""))</f>
        <v/>
      </c>
      <c r="F476" s="58"/>
      <c r="G476" s="56"/>
      <c r="H476" s="58"/>
      <c r="I476" s="56"/>
      <c r="J476" s="56"/>
    </row>
    <row r="477" spans="1:10" ht="15" customHeight="1" x14ac:dyDescent="0.2">
      <c r="A477" s="56"/>
      <c r="B477" s="58"/>
      <c r="C477" s="56" t="str">
        <f>IF(B477="","",IFERROR(VLOOKUP(B477,'04 TANIMLAR'!$A$2:$C$9,2,FALSE()),""))</f>
        <v/>
      </c>
      <c r="D477" s="58"/>
      <c r="E477" s="56" t="str">
        <f>IF(B477="","",IFERROR(VLOOKUP(B477,'04 TANIMLAR'!$A$2:$C$9,3,FALSE()),""))</f>
        <v/>
      </c>
      <c r="F477" s="58"/>
      <c r="G477" s="56"/>
      <c r="H477" s="58"/>
      <c r="I477" s="56"/>
      <c r="J477" s="56"/>
    </row>
    <row r="478" spans="1:10" ht="15" customHeight="1" x14ac:dyDescent="0.2">
      <c r="A478" s="56"/>
      <c r="B478" s="58"/>
      <c r="C478" s="56" t="str">
        <f>IF(B478="","",IFERROR(VLOOKUP(B478,'04 TANIMLAR'!$A$2:$C$9,2,FALSE()),""))</f>
        <v/>
      </c>
      <c r="D478" s="58"/>
      <c r="E478" s="56" t="str">
        <f>IF(B478="","",IFERROR(VLOOKUP(B478,'04 TANIMLAR'!$A$2:$C$9,3,FALSE()),""))</f>
        <v/>
      </c>
      <c r="F478" s="58"/>
      <c r="G478" s="56"/>
      <c r="H478" s="58"/>
      <c r="I478" s="56"/>
      <c r="J478" s="56"/>
    </row>
    <row r="479" spans="1:10" ht="15" customHeight="1" x14ac:dyDescent="0.2">
      <c r="A479" s="56"/>
      <c r="B479" s="58"/>
      <c r="C479" s="56" t="str">
        <f>IF(B479="","",IFERROR(VLOOKUP(B479,'04 TANIMLAR'!$A$2:$C$9,2,FALSE()),""))</f>
        <v/>
      </c>
      <c r="D479" s="58"/>
      <c r="E479" s="56" t="str">
        <f>IF(B479="","",IFERROR(VLOOKUP(B479,'04 TANIMLAR'!$A$2:$C$9,3,FALSE()),""))</f>
        <v/>
      </c>
      <c r="F479" s="58"/>
      <c r="G479" s="56"/>
      <c r="H479" s="58"/>
      <c r="I479" s="56"/>
      <c r="J479" s="56"/>
    </row>
    <row r="480" spans="1:10" ht="15" customHeight="1" x14ac:dyDescent="0.2">
      <c r="A480" s="56"/>
      <c r="B480" s="58"/>
      <c r="C480" s="56" t="str">
        <f>IF(B480="","",IFERROR(VLOOKUP(B480,'04 TANIMLAR'!$A$2:$C$9,2,FALSE()),""))</f>
        <v/>
      </c>
      <c r="D480" s="58"/>
      <c r="E480" s="56" t="str">
        <f>IF(B480="","",IFERROR(VLOOKUP(B480,'04 TANIMLAR'!$A$2:$C$9,3,FALSE()),""))</f>
        <v/>
      </c>
      <c r="F480" s="58"/>
      <c r="G480" s="56"/>
      <c r="H480" s="58"/>
      <c r="I480" s="56"/>
      <c r="J480" s="56"/>
    </row>
    <row r="481" spans="1:10" ht="15" customHeight="1" x14ac:dyDescent="0.2">
      <c r="A481" s="56"/>
      <c r="B481" s="58"/>
      <c r="C481" s="56" t="str">
        <f>IF(B481="","",IFERROR(VLOOKUP(B481,'04 TANIMLAR'!$A$2:$C$9,2,FALSE()),""))</f>
        <v/>
      </c>
      <c r="D481" s="58"/>
      <c r="E481" s="56" t="str">
        <f>IF(B481="","",IFERROR(VLOOKUP(B481,'04 TANIMLAR'!$A$2:$C$9,3,FALSE()),""))</f>
        <v/>
      </c>
      <c r="F481" s="58"/>
      <c r="G481" s="56"/>
      <c r="H481" s="58"/>
      <c r="I481" s="56"/>
      <c r="J481" s="56"/>
    </row>
    <row r="482" spans="1:10" ht="15" customHeight="1" x14ac:dyDescent="0.2">
      <c r="A482" s="56"/>
      <c r="B482" s="58"/>
      <c r="C482" s="56" t="str">
        <f>IF(B482="","",IFERROR(VLOOKUP(B482,'04 TANIMLAR'!$A$2:$C$9,2,FALSE()),""))</f>
        <v/>
      </c>
      <c r="D482" s="58"/>
      <c r="E482" s="56" t="str">
        <f>IF(B482="","",IFERROR(VLOOKUP(B482,'04 TANIMLAR'!$A$2:$C$9,3,FALSE()),""))</f>
        <v/>
      </c>
      <c r="F482" s="58"/>
      <c r="G482" s="56"/>
      <c r="H482" s="58"/>
      <c r="I482" s="56"/>
      <c r="J482" s="56"/>
    </row>
    <row r="483" spans="1:10" ht="15" customHeight="1" x14ac:dyDescent="0.2">
      <c r="A483" s="56"/>
      <c r="B483" s="58"/>
      <c r="C483" s="56" t="str">
        <f>IF(B483="","",IFERROR(VLOOKUP(B483,'04 TANIMLAR'!$A$2:$C$9,2,FALSE()),""))</f>
        <v/>
      </c>
      <c r="D483" s="58"/>
      <c r="E483" s="56" t="str">
        <f>IF(B483="","",IFERROR(VLOOKUP(B483,'04 TANIMLAR'!$A$2:$C$9,3,FALSE()),""))</f>
        <v/>
      </c>
      <c r="F483" s="58"/>
      <c r="G483" s="56"/>
      <c r="H483" s="58"/>
      <c r="I483" s="56"/>
      <c r="J483" s="56"/>
    </row>
    <row r="484" spans="1:10" ht="15" customHeight="1" x14ac:dyDescent="0.2">
      <c r="A484" s="56"/>
      <c r="B484" s="58"/>
      <c r="C484" s="56" t="str">
        <f>IF(B484="","",IFERROR(VLOOKUP(B484,'04 TANIMLAR'!$A$2:$C$9,2,FALSE()),""))</f>
        <v/>
      </c>
      <c r="D484" s="58"/>
      <c r="E484" s="56" t="str">
        <f>IF(B484="","",IFERROR(VLOOKUP(B484,'04 TANIMLAR'!$A$2:$C$9,3,FALSE()),""))</f>
        <v/>
      </c>
      <c r="F484" s="58"/>
      <c r="G484" s="56"/>
      <c r="H484" s="58"/>
      <c r="I484" s="56"/>
      <c r="J484" s="56"/>
    </row>
    <row r="485" spans="1:10" ht="15" customHeight="1" x14ac:dyDescent="0.2">
      <c r="A485" s="56"/>
      <c r="B485" s="58"/>
      <c r="C485" s="56" t="str">
        <f>IF(B485="","",IFERROR(VLOOKUP(B485,'04 TANIMLAR'!$A$2:$C$9,2,FALSE()),""))</f>
        <v/>
      </c>
      <c r="D485" s="58"/>
      <c r="E485" s="56" t="str">
        <f>IF(B485="","",IFERROR(VLOOKUP(B485,'04 TANIMLAR'!$A$2:$C$9,3,FALSE()),""))</f>
        <v/>
      </c>
      <c r="F485" s="58"/>
      <c r="G485" s="56"/>
      <c r="H485" s="58"/>
      <c r="I485" s="56"/>
      <c r="J485" s="56"/>
    </row>
    <row r="486" spans="1:10" ht="15" customHeight="1" x14ac:dyDescent="0.2">
      <c r="A486" s="56"/>
      <c r="B486" s="58"/>
      <c r="C486" s="56" t="str">
        <f>IF(B486="","",IFERROR(VLOOKUP(B486,'04 TANIMLAR'!$A$2:$C$9,2,FALSE()),""))</f>
        <v/>
      </c>
      <c r="D486" s="58"/>
      <c r="E486" s="56" t="str">
        <f>IF(B486="","",IFERROR(VLOOKUP(B486,'04 TANIMLAR'!$A$2:$C$9,3,FALSE()),""))</f>
        <v/>
      </c>
      <c r="F486" s="58"/>
      <c r="G486" s="56"/>
      <c r="H486" s="58"/>
      <c r="I486" s="56"/>
      <c r="J486" s="56"/>
    </row>
    <row r="487" spans="1:10" ht="15" customHeight="1" x14ac:dyDescent="0.2">
      <c r="A487" s="56"/>
      <c r="B487" s="58"/>
      <c r="C487" s="56" t="str">
        <f>IF(B487="","",IFERROR(VLOOKUP(B487,'04 TANIMLAR'!$A$2:$C$9,2,FALSE()),""))</f>
        <v/>
      </c>
      <c r="D487" s="58"/>
      <c r="E487" s="56" t="str">
        <f>IF(B487="","",IFERROR(VLOOKUP(B487,'04 TANIMLAR'!$A$2:$C$9,3,FALSE()),""))</f>
        <v/>
      </c>
      <c r="F487" s="58"/>
      <c r="G487" s="56"/>
      <c r="H487" s="58"/>
      <c r="I487" s="56"/>
      <c r="J487" s="56"/>
    </row>
    <row r="488" spans="1:10" ht="15" customHeight="1" x14ac:dyDescent="0.2">
      <c r="A488" s="56"/>
      <c r="B488" s="58"/>
      <c r="C488" s="56" t="str">
        <f>IF(B488="","",IFERROR(VLOOKUP(B488,'04 TANIMLAR'!$A$2:$C$9,2,FALSE()),""))</f>
        <v/>
      </c>
      <c r="D488" s="58"/>
      <c r="E488" s="56" t="str">
        <f>IF(B488="","",IFERROR(VLOOKUP(B488,'04 TANIMLAR'!$A$2:$C$9,3,FALSE()),""))</f>
        <v/>
      </c>
      <c r="F488" s="58"/>
      <c r="G488" s="56"/>
      <c r="H488" s="58"/>
      <c r="I488" s="56"/>
      <c r="J488" s="56"/>
    </row>
    <row r="489" spans="1:10" ht="15" customHeight="1" x14ac:dyDescent="0.2">
      <c r="A489" s="56"/>
      <c r="B489" s="58"/>
      <c r="C489" s="56" t="str">
        <f>IF(B489="","",IFERROR(VLOOKUP(B489,'04 TANIMLAR'!$A$2:$C$9,2,FALSE()),""))</f>
        <v/>
      </c>
      <c r="D489" s="58"/>
      <c r="E489" s="56" t="str">
        <f>IF(B489="","",IFERROR(VLOOKUP(B489,'04 TANIMLAR'!$A$2:$C$9,3,FALSE()),""))</f>
        <v/>
      </c>
      <c r="F489" s="58"/>
      <c r="G489" s="56"/>
      <c r="H489" s="58"/>
      <c r="I489" s="56"/>
      <c r="J489" s="56"/>
    </row>
    <row r="490" spans="1:10" ht="15" customHeight="1" x14ac:dyDescent="0.2">
      <c r="A490" s="56"/>
      <c r="B490" s="58"/>
      <c r="C490" s="56" t="str">
        <f>IF(B490="","",IFERROR(VLOOKUP(B490,'04 TANIMLAR'!$A$2:$C$9,2,FALSE()),""))</f>
        <v/>
      </c>
      <c r="D490" s="58"/>
      <c r="E490" s="56" t="str">
        <f>IF(B490="","",IFERROR(VLOOKUP(B490,'04 TANIMLAR'!$A$2:$C$9,3,FALSE()),""))</f>
        <v/>
      </c>
      <c r="F490" s="58"/>
      <c r="G490" s="56"/>
      <c r="H490" s="58"/>
      <c r="I490" s="56"/>
      <c r="J490" s="56"/>
    </row>
    <row r="491" spans="1:10" ht="15" customHeight="1" x14ac:dyDescent="0.2">
      <c r="A491" s="56"/>
      <c r="B491" s="58"/>
      <c r="C491" s="56" t="str">
        <f>IF(B491="","",IFERROR(VLOOKUP(B491,'04 TANIMLAR'!$A$2:$C$9,2,FALSE()),""))</f>
        <v/>
      </c>
      <c r="D491" s="58"/>
      <c r="E491" s="56" t="str">
        <f>IF(B491="","",IFERROR(VLOOKUP(B491,'04 TANIMLAR'!$A$2:$C$9,3,FALSE()),""))</f>
        <v/>
      </c>
      <c r="F491" s="58"/>
      <c r="G491" s="56"/>
      <c r="H491" s="58"/>
      <c r="I491" s="56"/>
      <c r="J491" s="56"/>
    </row>
    <row r="492" spans="1:10" ht="15" customHeight="1" x14ac:dyDescent="0.2">
      <c r="A492" s="56"/>
      <c r="B492" s="58"/>
      <c r="C492" s="56" t="str">
        <f>IF(B492="","",IFERROR(VLOOKUP(B492,'04 TANIMLAR'!$A$2:$C$9,2,FALSE()),""))</f>
        <v/>
      </c>
      <c r="D492" s="58"/>
      <c r="E492" s="56" t="str">
        <f>IF(B492="","",IFERROR(VLOOKUP(B492,'04 TANIMLAR'!$A$2:$C$9,3,FALSE()),""))</f>
        <v/>
      </c>
      <c r="F492" s="58"/>
      <c r="G492" s="56"/>
      <c r="H492" s="58"/>
      <c r="I492" s="56"/>
      <c r="J492" s="56"/>
    </row>
    <row r="493" spans="1:10" ht="15" customHeight="1" x14ac:dyDescent="0.2">
      <c r="A493" s="56"/>
      <c r="B493" s="58"/>
      <c r="C493" s="56" t="str">
        <f>IF(B493="","",IFERROR(VLOOKUP(B493,'04 TANIMLAR'!$A$2:$C$9,2,FALSE()),""))</f>
        <v/>
      </c>
      <c r="D493" s="58"/>
      <c r="E493" s="56" t="str">
        <f>IF(B493="","",IFERROR(VLOOKUP(B493,'04 TANIMLAR'!$A$2:$C$9,3,FALSE()),""))</f>
        <v/>
      </c>
      <c r="F493" s="58"/>
      <c r="G493" s="56"/>
      <c r="H493" s="58"/>
      <c r="I493" s="56"/>
      <c r="J493" s="56"/>
    </row>
    <row r="494" spans="1:10" ht="15" customHeight="1" x14ac:dyDescent="0.2">
      <c r="A494" s="56"/>
      <c r="B494" s="58"/>
      <c r="C494" s="56" t="str">
        <f>IF(B494="","",IFERROR(VLOOKUP(B494,'04 TANIMLAR'!$A$2:$C$9,2,FALSE()),""))</f>
        <v/>
      </c>
      <c r="D494" s="58"/>
      <c r="E494" s="56" t="str">
        <f>IF(B494="","",IFERROR(VLOOKUP(B494,'04 TANIMLAR'!$A$2:$C$9,3,FALSE()),""))</f>
        <v/>
      </c>
      <c r="F494" s="58"/>
      <c r="G494" s="56"/>
      <c r="H494" s="58"/>
      <c r="I494" s="56"/>
      <c r="J494" s="56"/>
    </row>
    <row r="495" spans="1:10" ht="15" customHeight="1" x14ac:dyDescent="0.2">
      <c r="A495" s="56"/>
      <c r="B495" s="58"/>
      <c r="C495" s="56" t="str">
        <f>IF(B495="","",IFERROR(VLOOKUP(B495,'04 TANIMLAR'!$A$2:$C$9,2,FALSE()),""))</f>
        <v/>
      </c>
      <c r="D495" s="58"/>
      <c r="E495" s="56" t="str">
        <f>IF(B495="","",IFERROR(VLOOKUP(B495,'04 TANIMLAR'!$A$2:$C$9,3,FALSE()),""))</f>
        <v/>
      </c>
      <c r="F495" s="58"/>
      <c r="G495" s="56"/>
      <c r="H495" s="58"/>
      <c r="I495" s="56"/>
      <c r="J495" s="56"/>
    </row>
    <row r="496" spans="1:10" ht="15" customHeight="1" x14ac:dyDescent="0.2">
      <c r="A496" s="56"/>
      <c r="B496" s="58"/>
      <c r="C496" s="56" t="str">
        <f>IF(B496="","",IFERROR(VLOOKUP(B496,'04 TANIMLAR'!$A$2:$C$9,2,FALSE()),""))</f>
        <v/>
      </c>
      <c r="D496" s="58"/>
      <c r="E496" s="56" t="str">
        <f>IF(B496="","",IFERROR(VLOOKUP(B496,'04 TANIMLAR'!$A$2:$C$9,3,FALSE()),""))</f>
        <v/>
      </c>
      <c r="F496" s="58"/>
      <c r="G496" s="56"/>
      <c r="H496" s="58"/>
      <c r="I496" s="56"/>
      <c r="J496" s="56"/>
    </row>
    <row r="497" spans="1:10" ht="15" customHeight="1" x14ac:dyDescent="0.2">
      <c r="A497" s="56"/>
      <c r="B497" s="58"/>
      <c r="C497" s="56" t="str">
        <f>IF(B497="","",IFERROR(VLOOKUP(B497,'04 TANIMLAR'!$A$2:$C$9,2,FALSE()),""))</f>
        <v/>
      </c>
      <c r="D497" s="58"/>
      <c r="E497" s="56" t="str">
        <f>IF(B497="","",IFERROR(VLOOKUP(B497,'04 TANIMLAR'!$A$2:$C$9,3,FALSE()),""))</f>
        <v/>
      </c>
      <c r="F497" s="58"/>
      <c r="G497" s="56"/>
      <c r="H497" s="58"/>
      <c r="I497" s="56"/>
      <c r="J497" s="56"/>
    </row>
    <row r="498" spans="1:10" ht="15" customHeight="1" x14ac:dyDescent="0.2">
      <c r="A498" s="56"/>
      <c r="B498" s="58"/>
      <c r="C498" s="56" t="str">
        <f>IF(B498="","",IFERROR(VLOOKUP(B498,'04 TANIMLAR'!$A$2:$C$9,2,FALSE()),""))</f>
        <v/>
      </c>
      <c r="D498" s="58"/>
      <c r="E498" s="56" t="str">
        <f>IF(B498="","",IFERROR(VLOOKUP(B498,'04 TANIMLAR'!$A$2:$C$9,3,FALSE()),""))</f>
        <v/>
      </c>
      <c r="F498" s="58"/>
      <c r="G498" s="56"/>
      <c r="H498" s="58"/>
      <c r="I498" s="56"/>
      <c r="J498" s="56"/>
    </row>
    <row r="499" spans="1:10" ht="15" customHeight="1" x14ac:dyDescent="0.2">
      <c r="A499" s="56"/>
      <c r="B499" s="58"/>
      <c r="C499" s="56" t="str">
        <f>IF(B499="","",IFERROR(VLOOKUP(B499,'04 TANIMLAR'!$A$2:$C$9,2,FALSE()),""))</f>
        <v/>
      </c>
      <c r="D499" s="58"/>
      <c r="E499" s="56" t="str">
        <f>IF(B499="","",IFERROR(VLOOKUP(B499,'04 TANIMLAR'!$A$2:$C$9,3,FALSE()),""))</f>
        <v/>
      </c>
      <c r="F499" s="58"/>
      <c r="G499" s="56"/>
      <c r="H499" s="58"/>
      <c r="I499" s="56"/>
      <c r="J499" s="56"/>
    </row>
    <row r="500" spans="1:10" ht="15" customHeight="1" x14ac:dyDescent="0.2">
      <c r="A500" s="56"/>
      <c r="B500" s="58"/>
      <c r="C500" s="56" t="str">
        <f>IF(B500="","",IFERROR(VLOOKUP(B500,'04 TANIMLAR'!$A$2:$C$9,2,FALSE()),""))</f>
        <v/>
      </c>
      <c r="D500" s="58"/>
      <c r="E500" s="56" t="str">
        <f>IF(B500="","",IFERROR(VLOOKUP(B500,'04 TANIMLAR'!$A$2:$C$9,3,FALSE()),""))</f>
        <v/>
      </c>
      <c r="F500" s="58"/>
      <c r="G500" s="56"/>
      <c r="H500" s="58"/>
      <c r="I500" s="56"/>
      <c r="J500" s="56"/>
    </row>
    <row r="501" spans="1:10" ht="15" customHeight="1" x14ac:dyDescent="0.2">
      <c r="A501" s="56"/>
      <c r="B501" s="58"/>
      <c r="C501" s="56" t="str">
        <f>IF(B501="","",IFERROR(VLOOKUP(B501,'04 TANIMLAR'!$A$2:$C$9,2,FALSE()),""))</f>
        <v/>
      </c>
      <c r="D501" s="58"/>
      <c r="E501" s="56" t="str">
        <f>IF(B501="","",IFERROR(VLOOKUP(B501,'04 TANIMLAR'!$A$2:$C$9,3,FALSE()),""))</f>
        <v/>
      </c>
      <c r="F501" s="58"/>
      <c r="G501" s="56"/>
      <c r="H501" s="58"/>
      <c r="I501" s="56"/>
      <c r="J501" s="56"/>
    </row>
  </sheetData>
  <autoFilter ref="A1:J501" xr:uid="{00000000-0009-0000-0000-00000B000000}"/>
  <hyperlinks>
    <hyperlink ref="V1" location="'00 ANA SAYFA'!A1" display="⌂ ANA SAYFA" xr:uid="{00000000-0004-0000-0B00-000000000000}"/>
    <hyperlink ref="V2" location="'21 2026 ÜRETİM'!A1" display="→ ÜRETİM" xr:uid="{00000000-0004-0000-0B00-000001000000}"/>
    <hyperlink ref="V3" location="'25 2026 LOT BAĞI'!A1" display="→ LOT BAĞI" xr:uid="{00000000-0004-0000-0B00-000002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4472C4"/>
  </sheetPr>
  <dimension ref="A1:V512"/>
  <sheetViews>
    <sheetView showGridLines="0" workbookViewId="0">
      <pane ySplit="1" topLeftCell="A2" activePane="bottomLeft" state="frozen"/>
      <selection pane="bottomLeft" activeCell="J25" sqref="J25"/>
    </sheetView>
  </sheetViews>
  <sheetFormatPr baseColWidth="10" defaultColWidth="8.83203125" defaultRowHeight="15" x14ac:dyDescent="0.2"/>
  <cols>
    <col min="1" max="1" width="16" style="39" customWidth="1"/>
    <col min="2" max="2" width="10" style="49" customWidth="1"/>
    <col min="3" max="3" width="12" style="54" customWidth="1"/>
    <col min="4" max="4" width="14" style="49" customWidth="1"/>
    <col min="5" max="5" width="18" style="54" customWidth="1"/>
    <col min="6" max="6" width="16" style="49" customWidth="1"/>
    <col min="7" max="7" width="18" style="54" customWidth="1"/>
    <col min="8" max="8" width="45" style="49" customWidth="1"/>
    <col min="22" max="22" width="18" customWidth="1"/>
  </cols>
  <sheetData>
    <row r="1" spans="1:22" ht="31.5" customHeight="1" thickBot="1" x14ac:dyDescent="0.25">
      <c r="A1" s="34" t="s">
        <v>308</v>
      </c>
      <c r="B1" s="45" t="s">
        <v>309</v>
      </c>
      <c r="C1" s="50" t="s">
        <v>310</v>
      </c>
      <c r="D1" s="45" t="s">
        <v>311</v>
      </c>
      <c r="E1" s="50" t="s">
        <v>312</v>
      </c>
      <c r="F1" s="45" t="s">
        <v>313</v>
      </c>
      <c r="G1" s="50" t="s">
        <v>399</v>
      </c>
      <c r="H1" s="45" t="s">
        <v>273</v>
      </c>
      <c r="V1" s="19" t="s">
        <v>365</v>
      </c>
    </row>
    <row r="2" spans="1:22" ht="15" customHeight="1" x14ac:dyDescent="0.2">
      <c r="A2" s="35" t="s">
        <v>400</v>
      </c>
      <c r="B2" s="46">
        <v>12</v>
      </c>
      <c r="C2" s="51">
        <v>20.411999999999999</v>
      </c>
      <c r="D2" s="46">
        <v>244.94399999999999</v>
      </c>
      <c r="E2" s="51">
        <v>4</v>
      </c>
      <c r="F2" s="46">
        <v>240.94399999999999</v>
      </c>
      <c r="G2" s="51" t="s">
        <v>401</v>
      </c>
      <c r="H2" s="46" t="s">
        <v>402</v>
      </c>
      <c r="V2" s="20" t="s">
        <v>367</v>
      </c>
    </row>
    <row r="3" spans="1:22" ht="15" customHeight="1" x14ac:dyDescent="0.2">
      <c r="A3" s="36" t="s">
        <v>393</v>
      </c>
      <c r="B3" s="47">
        <v>11</v>
      </c>
      <c r="C3" s="52">
        <v>20.411999999999999</v>
      </c>
      <c r="D3" s="47">
        <v>224.53200000000001</v>
      </c>
      <c r="E3" s="52">
        <v>3</v>
      </c>
      <c r="F3" s="47">
        <v>221.53200000000001</v>
      </c>
      <c r="G3" s="52" t="s">
        <v>403</v>
      </c>
      <c r="H3" s="47" t="s">
        <v>404</v>
      </c>
      <c r="V3" s="21" t="s">
        <v>370</v>
      </c>
    </row>
    <row r="4" spans="1:22" ht="15" customHeight="1" x14ac:dyDescent="0.2">
      <c r="A4" s="36" t="s">
        <v>405</v>
      </c>
      <c r="B4" s="47">
        <v>13</v>
      </c>
      <c r="C4" s="52">
        <v>20.411999999999999</v>
      </c>
      <c r="D4" s="47">
        <v>265.35599999999999</v>
      </c>
      <c r="E4" s="52">
        <v>5</v>
      </c>
      <c r="F4" s="47">
        <v>260</v>
      </c>
      <c r="G4" s="52" t="s">
        <v>406</v>
      </c>
      <c r="H4" s="47" t="s">
        <v>407</v>
      </c>
    </row>
    <row r="5" spans="1:22" ht="15" customHeight="1" x14ac:dyDescent="0.2">
      <c r="A5" s="36" t="s">
        <v>408</v>
      </c>
      <c r="B5" s="47">
        <v>13</v>
      </c>
      <c r="C5" s="52">
        <v>20.411999999999999</v>
      </c>
      <c r="D5" s="47">
        <v>265.35599999999999</v>
      </c>
      <c r="E5" s="52">
        <v>4</v>
      </c>
      <c r="F5" s="47">
        <v>261.35599999999999</v>
      </c>
      <c r="G5" s="52" t="s">
        <v>409</v>
      </c>
      <c r="H5" s="47" t="s">
        <v>410</v>
      </c>
    </row>
    <row r="6" spans="1:22" ht="15" customHeight="1" x14ac:dyDescent="0.2">
      <c r="A6" s="36" t="s">
        <v>411</v>
      </c>
      <c r="B6" s="47">
        <v>13</v>
      </c>
      <c r="C6" s="52">
        <v>20.411999999999999</v>
      </c>
      <c r="D6" s="47">
        <v>265.35599999999999</v>
      </c>
      <c r="E6" s="52">
        <v>6</v>
      </c>
      <c r="F6" s="47">
        <v>259.35599999999999</v>
      </c>
      <c r="G6" s="52" t="s">
        <v>412</v>
      </c>
      <c r="H6" s="47" t="s">
        <v>410</v>
      </c>
    </row>
    <row r="7" spans="1:22" ht="15" customHeight="1" x14ac:dyDescent="0.2">
      <c r="A7" s="36" t="s">
        <v>413</v>
      </c>
      <c r="B7" s="47">
        <v>13</v>
      </c>
      <c r="C7" s="52">
        <v>20.411999999999999</v>
      </c>
      <c r="D7" s="47">
        <v>265.35599999999999</v>
      </c>
      <c r="E7" s="52">
        <v>5</v>
      </c>
      <c r="F7" s="47">
        <v>260.35599999999999</v>
      </c>
      <c r="G7" s="52" t="s">
        <v>414</v>
      </c>
      <c r="H7" s="47" t="s">
        <v>410</v>
      </c>
    </row>
    <row r="8" spans="1:22" ht="15" customHeight="1" x14ac:dyDescent="0.2">
      <c r="A8" s="36" t="s">
        <v>415</v>
      </c>
      <c r="B8" s="47">
        <v>13</v>
      </c>
      <c r="C8" s="52">
        <v>20.411999999999999</v>
      </c>
      <c r="D8" s="47">
        <v>265.35599999999999</v>
      </c>
      <c r="E8" s="52">
        <v>6</v>
      </c>
      <c r="F8" s="47">
        <v>259.35599999999999</v>
      </c>
      <c r="G8" s="52" t="s">
        <v>416</v>
      </c>
      <c r="H8" s="47" t="s">
        <v>410</v>
      </c>
    </row>
    <row r="9" spans="1:22" ht="15" customHeight="1" x14ac:dyDescent="0.2">
      <c r="A9" s="36" t="s">
        <v>417</v>
      </c>
      <c r="B9" s="47">
        <v>13</v>
      </c>
      <c r="C9" s="52">
        <v>20.411999999999999</v>
      </c>
      <c r="D9" s="47">
        <v>265.35599999999999</v>
      </c>
      <c r="E9" s="52">
        <v>5</v>
      </c>
      <c r="F9" s="47">
        <v>260.35599999999999</v>
      </c>
      <c r="G9" s="52" t="s">
        <v>418</v>
      </c>
      <c r="H9" s="47" t="s">
        <v>410</v>
      </c>
    </row>
    <row r="10" spans="1:22" ht="28.25" customHeight="1" x14ac:dyDescent="0.2">
      <c r="A10" s="36" t="s">
        <v>419</v>
      </c>
      <c r="B10" s="47">
        <v>6</v>
      </c>
      <c r="C10" s="52">
        <v>20.411999999999999</v>
      </c>
      <c r="D10" s="47">
        <v>122.47199999999999</v>
      </c>
      <c r="E10" s="52">
        <v>40</v>
      </c>
      <c r="F10" s="47">
        <v>82.471999999999994</v>
      </c>
      <c r="G10" s="52" t="s">
        <v>420</v>
      </c>
      <c r="H10" s="47" t="s">
        <v>421</v>
      </c>
    </row>
    <row r="11" spans="1:22" ht="15" customHeight="1" x14ac:dyDescent="0.2">
      <c r="A11" s="37" t="s">
        <v>422</v>
      </c>
      <c r="B11" s="47">
        <v>7</v>
      </c>
      <c r="C11" s="52">
        <v>20.411999999999999</v>
      </c>
      <c r="D11" s="47">
        <v>142.88399999999999</v>
      </c>
      <c r="E11" s="52">
        <v>15</v>
      </c>
      <c r="F11" s="47">
        <v>127.884</v>
      </c>
      <c r="G11" s="52" t="s">
        <v>423</v>
      </c>
      <c r="H11" s="47" t="s">
        <v>424</v>
      </c>
    </row>
    <row r="12" spans="1:22" ht="15" customHeight="1" x14ac:dyDescent="0.2">
      <c r="A12" s="37" t="s">
        <v>425</v>
      </c>
      <c r="B12" s="47">
        <v>7</v>
      </c>
      <c r="C12" s="52">
        <v>20.411999999999999</v>
      </c>
      <c r="D12" s="47">
        <v>142.88399999999999</v>
      </c>
      <c r="E12" s="52">
        <v>10</v>
      </c>
      <c r="F12" s="47">
        <v>132.88399999999999</v>
      </c>
      <c r="G12" s="52" t="s">
        <v>426</v>
      </c>
      <c r="H12" s="47" t="s">
        <v>424</v>
      </c>
    </row>
    <row r="13" spans="1:22" ht="15" customHeight="1" x14ac:dyDescent="0.2">
      <c r="A13" s="38"/>
      <c r="B13" s="48"/>
      <c r="C13" s="53" t="str">
        <f t="shared" ref="C13:C76" si="0">IF(B13="","",20.412)</f>
        <v/>
      </c>
      <c r="D13" s="48" t="str">
        <f t="shared" ref="D13:D76" si="1">IF(B13="","",B13*C13)</f>
        <v/>
      </c>
      <c r="E13" s="53"/>
      <c r="F13" s="48" t="str">
        <f t="shared" ref="F13:F76" si="2">IF(D13="","",D13-IF(E13="",0,E13))</f>
        <v/>
      </c>
      <c r="G13" s="53" t="str">
        <f t="shared" ref="G13:G76" si="3">IF(A13="","","27"&amp;MID(A13,4,2)&amp;LEFT(A13,2))</f>
        <v/>
      </c>
      <c r="H13" s="48"/>
    </row>
    <row r="14" spans="1:22" ht="15" customHeight="1" x14ac:dyDescent="0.2">
      <c r="A14" s="38"/>
      <c r="B14" s="48"/>
      <c r="C14" s="53" t="str">
        <f t="shared" si="0"/>
        <v/>
      </c>
      <c r="D14" s="48" t="str">
        <f t="shared" si="1"/>
        <v/>
      </c>
      <c r="E14" s="53"/>
      <c r="F14" s="48" t="str">
        <f t="shared" si="2"/>
        <v/>
      </c>
      <c r="G14" s="53" t="str">
        <f t="shared" si="3"/>
        <v/>
      </c>
      <c r="H14" s="48"/>
    </row>
    <row r="15" spans="1:22" ht="15" customHeight="1" x14ac:dyDescent="0.2">
      <c r="A15" s="38"/>
      <c r="B15" s="48"/>
      <c r="C15" s="53" t="str">
        <f t="shared" si="0"/>
        <v/>
      </c>
      <c r="D15" s="48" t="str">
        <f t="shared" si="1"/>
        <v/>
      </c>
      <c r="E15" s="53"/>
      <c r="F15" s="48" t="str">
        <f t="shared" si="2"/>
        <v/>
      </c>
      <c r="G15" s="53" t="str">
        <f t="shared" si="3"/>
        <v/>
      </c>
      <c r="H15" s="48"/>
    </row>
    <row r="16" spans="1:22" ht="15" customHeight="1" x14ac:dyDescent="0.2">
      <c r="A16" s="38"/>
      <c r="B16" s="48"/>
      <c r="C16" s="53" t="str">
        <f t="shared" si="0"/>
        <v/>
      </c>
      <c r="D16" s="48" t="str">
        <f t="shared" si="1"/>
        <v/>
      </c>
      <c r="E16" s="53"/>
      <c r="F16" s="48" t="str">
        <f t="shared" si="2"/>
        <v/>
      </c>
      <c r="G16" s="53" t="str">
        <f t="shared" si="3"/>
        <v/>
      </c>
      <c r="H16" s="48"/>
    </row>
    <row r="17" spans="1:8" ht="15" customHeight="1" x14ac:dyDescent="0.2">
      <c r="A17" s="38"/>
      <c r="B17" s="48"/>
      <c r="C17" s="53" t="str">
        <f t="shared" si="0"/>
        <v/>
      </c>
      <c r="D17" s="48" t="str">
        <f t="shared" si="1"/>
        <v/>
      </c>
      <c r="E17" s="53"/>
      <c r="F17" s="48" t="str">
        <f t="shared" si="2"/>
        <v/>
      </c>
      <c r="G17" s="53" t="str">
        <f t="shared" si="3"/>
        <v/>
      </c>
      <c r="H17" s="48"/>
    </row>
    <row r="18" spans="1:8" ht="15" customHeight="1" x14ac:dyDescent="0.2">
      <c r="A18" s="38"/>
      <c r="B18" s="48"/>
      <c r="C18" s="53" t="str">
        <f t="shared" si="0"/>
        <v/>
      </c>
      <c r="D18" s="48" t="str">
        <f t="shared" si="1"/>
        <v/>
      </c>
      <c r="E18" s="53"/>
      <c r="F18" s="48" t="str">
        <f t="shared" si="2"/>
        <v/>
      </c>
      <c r="G18" s="53" t="str">
        <f t="shared" si="3"/>
        <v/>
      </c>
      <c r="H18" s="48"/>
    </row>
    <row r="19" spans="1:8" ht="15" customHeight="1" x14ac:dyDescent="0.2">
      <c r="A19" s="38"/>
      <c r="B19" s="48"/>
      <c r="C19" s="53" t="str">
        <f t="shared" si="0"/>
        <v/>
      </c>
      <c r="D19" s="48" t="str">
        <f t="shared" si="1"/>
        <v/>
      </c>
      <c r="E19" s="53"/>
      <c r="F19" s="48" t="str">
        <f t="shared" si="2"/>
        <v/>
      </c>
      <c r="G19" s="53" t="str">
        <f t="shared" si="3"/>
        <v/>
      </c>
      <c r="H19" s="48"/>
    </row>
    <row r="20" spans="1:8" ht="15" customHeight="1" x14ac:dyDescent="0.2">
      <c r="A20" s="38"/>
      <c r="B20" s="48"/>
      <c r="C20" s="53" t="str">
        <f t="shared" si="0"/>
        <v/>
      </c>
      <c r="D20" s="48" t="str">
        <f t="shared" si="1"/>
        <v/>
      </c>
      <c r="E20" s="53"/>
      <c r="F20" s="48" t="str">
        <f t="shared" si="2"/>
        <v/>
      </c>
      <c r="G20" s="53" t="str">
        <f t="shared" si="3"/>
        <v/>
      </c>
      <c r="H20" s="48"/>
    </row>
    <row r="21" spans="1:8" ht="15" customHeight="1" x14ac:dyDescent="0.2">
      <c r="A21" s="38"/>
      <c r="B21" s="48"/>
      <c r="C21" s="53" t="str">
        <f t="shared" si="0"/>
        <v/>
      </c>
      <c r="D21" s="48" t="str">
        <f t="shared" si="1"/>
        <v/>
      </c>
      <c r="E21" s="53"/>
      <c r="F21" s="48" t="str">
        <f t="shared" si="2"/>
        <v/>
      </c>
      <c r="G21" s="53" t="str">
        <f t="shared" si="3"/>
        <v/>
      </c>
      <c r="H21" s="48"/>
    </row>
    <row r="22" spans="1:8" ht="15" customHeight="1" x14ac:dyDescent="0.2">
      <c r="A22" s="38"/>
      <c r="B22" s="48"/>
      <c r="C22" s="53" t="str">
        <f t="shared" si="0"/>
        <v/>
      </c>
      <c r="D22" s="48" t="str">
        <f t="shared" si="1"/>
        <v/>
      </c>
      <c r="E22" s="53"/>
      <c r="F22" s="48" t="str">
        <f t="shared" si="2"/>
        <v/>
      </c>
      <c r="G22" s="53" t="str">
        <f t="shared" si="3"/>
        <v/>
      </c>
      <c r="H22" s="48"/>
    </row>
    <row r="23" spans="1:8" ht="15" customHeight="1" x14ac:dyDescent="0.2">
      <c r="A23" s="38"/>
      <c r="B23" s="48"/>
      <c r="C23" s="53" t="str">
        <f t="shared" si="0"/>
        <v/>
      </c>
      <c r="D23" s="48" t="str">
        <f t="shared" si="1"/>
        <v/>
      </c>
      <c r="E23" s="53"/>
      <c r="F23" s="48" t="str">
        <f t="shared" si="2"/>
        <v/>
      </c>
      <c r="G23" s="53" t="str">
        <f t="shared" si="3"/>
        <v/>
      </c>
      <c r="H23" s="48"/>
    </row>
    <row r="24" spans="1:8" ht="15" customHeight="1" x14ac:dyDescent="0.2">
      <c r="A24" s="38"/>
      <c r="B24" s="48"/>
      <c r="C24" s="53" t="str">
        <f t="shared" si="0"/>
        <v/>
      </c>
      <c r="D24" s="48" t="str">
        <f t="shared" si="1"/>
        <v/>
      </c>
      <c r="E24" s="53"/>
      <c r="F24" s="48" t="str">
        <f t="shared" si="2"/>
        <v/>
      </c>
      <c r="G24" s="53" t="str">
        <f t="shared" si="3"/>
        <v/>
      </c>
      <c r="H24" s="48"/>
    </row>
    <row r="25" spans="1:8" ht="15" customHeight="1" x14ac:dyDescent="0.2">
      <c r="A25" s="38"/>
      <c r="B25" s="48"/>
      <c r="C25" s="53" t="str">
        <f t="shared" si="0"/>
        <v/>
      </c>
      <c r="D25" s="48" t="str">
        <f t="shared" si="1"/>
        <v/>
      </c>
      <c r="E25" s="53"/>
      <c r="F25" s="48" t="str">
        <f t="shared" si="2"/>
        <v/>
      </c>
      <c r="G25" s="53" t="str">
        <f t="shared" si="3"/>
        <v/>
      </c>
      <c r="H25" s="48"/>
    </row>
    <row r="26" spans="1:8" ht="15" customHeight="1" x14ac:dyDescent="0.2">
      <c r="A26" s="38"/>
      <c r="B26" s="48"/>
      <c r="C26" s="53" t="str">
        <f t="shared" si="0"/>
        <v/>
      </c>
      <c r="D26" s="48" t="str">
        <f t="shared" si="1"/>
        <v/>
      </c>
      <c r="E26" s="53"/>
      <c r="F26" s="48" t="str">
        <f t="shared" si="2"/>
        <v/>
      </c>
      <c r="G26" s="53" t="str">
        <f t="shared" si="3"/>
        <v/>
      </c>
      <c r="H26" s="48"/>
    </row>
    <row r="27" spans="1:8" ht="15" customHeight="1" x14ac:dyDescent="0.2">
      <c r="A27" s="38"/>
      <c r="B27" s="48"/>
      <c r="C27" s="53" t="str">
        <f t="shared" si="0"/>
        <v/>
      </c>
      <c r="D27" s="48" t="str">
        <f t="shared" si="1"/>
        <v/>
      </c>
      <c r="E27" s="53"/>
      <c r="F27" s="48" t="str">
        <f t="shared" si="2"/>
        <v/>
      </c>
      <c r="G27" s="53" t="str">
        <f t="shared" si="3"/>
        <v/>
      </c>
      <c r="H27" s="48"/>
    </row>
    <row r="28" spans="1:8" ht="15" customHeight="1" x14ac:dyDescent="0.2">
      <c r="A28" s="38"/>
      <c r="B28" s="48"/>
      <c r="C28" s="53" t="str">
        <f t="shared" si="0"/>
        <v/>
      </c>
      <c r="D28" s="48" t="str">
        <f t="shared" si="1"/>
        <v/>
      </c>
      <c r="E28" s="53"/>
      <c r="F28" s="48" t="str">
        <f t="shared" si="2"/>
        <v/>
      </c>
      <c r="G28" s="53" t="str">
        <f t="shared" si="3"/>
        <v/>
      </c>
      <c r="H28" s="48"/>
    </row>
    <row r="29" spans="1:8" ht="15" customHeight="1" x14ac:dyDescent="0.2">
      <c r="A29" s="38"/>
      <c r="B29" s="48"/>
      <c r="C29" s="53" t="str">
        <f t="shared" si="0"/>
        <v/>
      </c>
      <c r="D29" s="48" t="str">
        <f t="shared" si="1"/>
        <v/>
      </c>
      <c r="E29" s="53"/>
      <c r="F29" s="48" t="str">
        <f t="shared" si="2"/>
        <v/>
      </c>
      <c r="G29" s="53" t="str">
        <f t="shared" si="3"/>
        <v/>
      </c>
      <c r="H29" s="48"/>
    </row>
    <row r="30" spans="1:8" ht="15" customHeight="1" x14ac:dyDescent="0.2">
      <c r="A30" s="38"/>
      <c r="B30" s="48"/>
      <c r="C30" s="53" t="str">
        <f t="shared" si="0"/>
        <v/>
      </c>
      <c r="D30" s="48" t="str">
        <f t="shared" si="1"/>
        <v/>
      </c>
      <c r="E30" s="53"/>
      <c r="F30" s="48" t="str">
        <f t="shared" si="2"/>
        <v/>
      </c>
      <c r="G30" s="53" t="str">
        <f t="shared" si="3"/>
        <v/>
      </c>
      <c r="H30" s="48"/>
    </row>
    <row r="31" spans="1:8" ht="15" customHeight="1" x14ac:dyDescent="0.2">
      <c r="A31" s="38"/>
      <c r="B31" s="48"/>
      <c r="C31" s="53" t="str">
        <f t="shared" si="0"/>
        <v/>
      </c>
      <c r="D31" s="48" t="str">
        <f t="shared" si="1"/>
        <v/>
      </c>
      <c r="E31" s="53"/>
      <c r="F31" s="48" t="str">
        <f t="shared" si="2"/>
        <v/>
      </c>
      <c r="G31" s="53" t="str">
        <f t="shared" si="3"/>
        <v/>
      </c>
      <c r="H31" s="48"/>
    </row>
    <row r="32" spans="1:8" ht="15" customHeight="1" x14ac:dyDescent="0.2">
      <c r="A32" s="38"/>
      <c r="B32" s="48"/>
      <c r="C32" s="53" t="str">
        <f t="shared" si="0"/>
        <v/>
      </c>
      <c r="D32" s="48" t="str">
        <f t="shared" si="1"/>
        <v/>
      </c>
      <c r="E32" s="53"/>
      <c r="F32" s="48" t="str">
        <f t="shared" si="2"/>
        <v/>
      </c>
      <c r="G32" s="53" t="str">
        <f t="shared" si="3"/>
        <v/>
      </c>
      <c r="H32" s="48"/>
    </row>
    <row r="33" spans="1:8" ht="15" customHeight="1" x14ac:dyDescent="0.2">
      <c r="A33" s="38"/>
      <c r="B33" s="48"/>
      <c r="C33" s="53" t="str">
        <f t="shared" si="0"/>
        <v/>
      </c>
      <c r="D33" s="48" t="str">
        <f t="shared" si="1"/>
        <v/>
      </c>
      <c r="E33" s="53"/>
      <c r="F33" s="48" t="str">
        <f t="shared" si="2"/>
        <v/>
      </c>
      <c r="G33" s="53" t="str">
        <f t="shared" si="3"/>
        <v/>
      </c>
      <c r="H33" s="48"/>
    </row>
    <row r="34" spans="1:8" ht="15" customHeight="1" x14ac:dyDescent="0.2">
      <c r="A34" s="38"/>
      <c r="B34" s="48"/>
      <c r="C34" s="53" t="str">
        <f t="shared" si="0"/>
        <v/>
      </c>
      <c r="D34" s="48" t="str">
        <f t="shared" si="1"/>
        <v/>
      </c>
      <c r="E34" s="53"/>
      <c r="F34" s="48" t="str">
        <f t="shared" si="2"/>
        <v/>
      </c>
      <c r="G34" s="53" t="str">
        <f t="shared" si="3"/>
        <v/>
      </c>
      <c r="H34" s="48"/>
    </row>
    <row r="35" spans="1:8" ht="15" customHeight="1" x14ac:dyDescent="0.2">
      <c r="A35" s="38"/>
      <c r="B35" s="48"/>
      <c r="C35" s="53" t="str">
        <f t="shared" si="0"/>
        <v/>
      </c>
      <c r="D35" s="48" t="str">
        <f t="shared" si="1"/>
        <v/>
      </c>
      <c r="E35" s="53"/>
      <c r="F35" s="48" t="str">
        <f t="shared" si="2"/>
        <v/>
      </c>
      <c r="G35" s="53" t="str">
        <f t="shared" si="3"/>
        <v/>
      </c>
      <c r="H35" s="48"/>
    </row>
    <row r="36" spans="1:8" ht="15" customHeight="1" x14ac:dyDescent="0.2">
      <c r="A36" s="38"/>
      <c r="B36" s="48"/>
      <c r="C36" s="53" t="str">
        <f t="shared" si="0"/>
        <v/>
      </c>
      <c r="D36" s="48" t="str">
        <f t="shared" si="1"/>
        <v/>
      </c>
      <c r="E36" s="53"/>
      <c r="F36" s="48" t="str">
        <f t="shared" si="2"/>
        <v/>
      </c>
      <c r="G36" s="53" t="str">
        <f t="shared" si="3"/>
        <v/>
      </c>
      <c r="H36" s="48"/>
    </row>
    <row r="37" spans="1:8" ht="15" customHeight="1" x14ac:dyDescent="0.2">
      <c r="A37" s="38"/>
      <c r="B37" s="48"/>
      <c r="C37" s="53" t="str">
        <f t="shared" si="0"/>
        <v/>
      </c>
      <c r="D37" s="48" t="str">
        <f t="shared" si="1"/>
        <v/>
      </c>
      <c r="E37" s="53"/>
      <c r="F37" s="48" t="str">
        <f t="shared" si="2"/>
        <v/>
      </c>
      <c r="G37" s="53" t="str">
        <f t="shared" si="3"/>
        <v/>
      </c>
      <c r="H37" s="48"/>
    </row>
    <row r="38" spans="1:8" ht="15" customHeight="1" x14ac:dyDescent="0.2">
      <c r="A38" s="38"/>
      <c r="B38" s="48"/>
      <c r="C38" s="53" t="str">
        <f t="shared" si="0"/>
        <v/>
      </c>
      <c r="D38" s="48" t="str">
        <f t="shared" si="1"/>
        <v/>
      </c>
      <c r="E38" s="53"/>
      <c r="F38" s="48" t="str">
        <f t="shared" si="2"/>
        <v/>
      </c>
      <c r="G38" s="53" t="str">
        <f t="shared" si="3"/>
        <v/>
      </c>
      <c r="H38" s="48"/>
    </row>
    <row r="39" spans="1:8" ht="15" customHeight="1" x14ac:dyDescent="0.2">
      <c r="A39" s="38"/>
      <c r="B39" s="48"/>
      <c r="C39" s="53" t="str">
        <f t="shared" si="0"/>
        <v/>
      </c>
      <c r="D39" s="48" t="str">
        <f t="shared" si="1"/>
        <v/>
      </c>
      <c r="E39" s="53"/>
      <c r="F39" s="48" t="str">
        <f t="shared" si="2"/>
        <v/>
      </c>
      <c r="G39" s="53" t="str">
        <f t="shared" si="3"/>
        <v/>
      </c>
      <c r="H39" s="48"/>
    </row>
    <row r="40" spans="1:8" ht="15" customHeight="1" x14ac:dyDescent="0.2">
      <c r="A40" s="38"/>
      <c r="B40" s="48"/>
      <c r="C40" s="53" t="str">
        <f t="shared" si="0"/>
        <v/>
      </c>
      <c r="D40" s="48" t="str">
        <f t="shared" si="1"/>
        <v/>
      </c>
      <c r="E40" s="53"/>
      <c r="F40" s="48" t="str">
        <f t="shared" si="2"/>
        <v/>
      </c>
      <c r="G40" s="53" t="str">
        <f t="shared" si="3"/>
        <v/>
      </c>
      <c r="H40" s="48"/>
    </row>
    <row r="41" spans="1:8" ht="15" customHeight="1" x14ac:dyDescent="0.2">
      <c r="A41" s="38"/>
      <c r="B41" s="48"/>
      <c r="C41" s="53" t="str">
        <f t="shared" si="0"/>
        <v/>
      </c>
      <c r="D41" s="48" t="str">
        <f t="shared" si="1"/>
        <v/>
      </c>
      <c r="E41" s="53"/>
      <c r="F41" s="48" t="str">
        <f t="shared" si="2"/>
        <v/>
      </c>
      <c r="G41" s="53" t="str">
        <f t="shared" si="3"/>
        <v/>
      </c>
      <c r="H41" s="48"/>
    </row>
    <row r="42" spans="1:8" ht="15" customHeight="1" x14ac:dyDescent="0.2">
      <c r="A42" s="38"/>
      <c r="B42" s="48"/>
      <c r="C42" s="53" t="str">
        <f t="shared" si="0"/>
        <v/>
      </c>
      <c r="D42" s="48" t="str">
        <f t="shared" si="1"/>
        <v/>
      </c>
      <c r="E42" s="53"/>
      <c r="F42" s="48" t="str">
        <f t="shared" si="2"/>
        <v/>
      </c>
      <c r="G42" s="53" t="str">
        <f t="shared" si="3"/>
        <v/>
      </c>
      <c r="H42" s="48"/>
    </row>
    <row r="43" spans="1:8" ht="15" customHeight="1" x14ac:dyDescent="0.2">
      <c r="A43" s="38"/>
      <c r="B43" s="48"/>
      <c r="C43" s="53" t="str">
        <f t="shared" si="0"/>
        <v/>
      </c>
      <c r="D43" s="48" t="str">
        <f t="shared" si="1"/>
        <v/>
      </c>
      <c r="E43" s="53"/>
      <c r="F43" s="48" t="str">
        <f t="shared" si="2"/>
        <v/>
      </c>
      <c r="G43" s="53" t="str">
        <f t="shared" si="3"/>
        <v/>
      </c>
      <c r="H43" s="48"/>
    </row>
    <row r="44" spans="1:8" ht="15" customHeight="1" x14ac:dyDescent="0.2">
      <c r="A44" s="38"/>
      <c r="B44" s="48"/>
      <c r="C44" s="53" t="str">
        <f t="shared" si="0"/>
        <v/>
      </c>
      <c r="D44" s="48" t="str">
        <f t="shared" si="1"/>
        <v/>
      </c>
      <c r="E44" s="53"/>
      <c r="F44" s="48" t="str">
        <f t="shared" si="2"/>
        <v/>
      </c>
      <c r="G44" s="53" t="str">
        <f t="shared" si="3"/>
        <v/>
      </c>
      <c r="H44" s="48"/>
    </row>
    <row r="45" spans="1:8" ht="15" customHeight="1" x14ac:dyDescent="0.2">
      <c r="A45" s="38"/>
      <c r="B45" s="48"/>
      <c r="C45" s="53" t="str">
        <f t="shared" si="0"/>
        <v/>
      </c>
      <c r="D45" s="48" t="str">
        <f t="shared" si="1"/>
        <v/>
      </c>
      <c r="E45" s="53"/>
      <c r="F45" s="48" t="str">
        <f t="shared" si="2"/>
        <v/>
      </c>
      <c r="G45" s="53" t="str">
        <f t="shared" si="3"/>
        <v/>
      </c>
      <c r="H45" s="48"/>
    </row>
    <row r="46" spans="1:8" ht="15" customHeight="1" x14ac:dyDescent="0.2">
      <c r="A46" s="38"/>
      <c r="B46" s="48"/>
      <c r="C46" s="53" t="str">
        <f t="shared" si="0"/>
        <v/>
      </c>
      <c r="D46" s="48" t="str">
        <f t="shared" si="1"/>
        <v/>
      </c>
      <c r="E46" s="53"/>
      <c r="F46" s="48" t="str">
        <f t="shared" si="2"/>
        <v/>
      </c>
      <c r="G46" s="53" t="str">
        <f t="shared" si="3"/>
        <v/>
      </c>
      <c r="H46" s="48"/>
    </row>
    <row r="47" spans="1:8" ht="15" customHeight="1" x14ac:dyDescent="0.2">
      <c r="A47" s="38"/>
      <c r="B47" s="48"/>
      <c r="C47" s="53" t="str">
        <f t="shared" si="0"/>
        <v/>
      </c>
      <c r="D47" s="48" t="str">
        <f t="shared" si="1"/>
        <v/>
      </c>
      <c r="E47" s="53"/>
      <c r="F47" s="48" t="str">
        <f t="shared" si="2"/>
        <v/>
      </c>
      <c r="G47" s="53" t="str">
        <f t="shared" si="3"/>
        <v/>
      </c>
      <c r="H47" s="48"/>
    </row>
    <row r="48" spans="1:8" ht="15" customHeight="1" x14ac:dyDescent="0.2">
      <c r="A48" s="38"/>
      <c r="B48" s="48"/>
      <c r="C48" s="53" t="str">
        <f t="shared" si="0"/>
        <v/>
      </c>
      <c r="D48" s="48" t="str">
        <f t="shared" si="1"/>
        <v/>
      </c>
      <c r="E48" s="53"/>
      <c r="F48" s="48" t="str">
        <f t="shared" si="2"/>
        <v/>
      </c>
      <c r="G48" s="53" t="str">
        <f t="shared" si="3"/>
        <v/>
      </c>
      <c r="H48" s="48"/>
    </row>
    <row r="49" spans="1:8" ht="15" customHeight="1" x14ac:dyDescent="0.2">
      <c r="A49" s="38"/>
      <c r="B49" s="48"/>
      <c r="C49" s="53" t="str">
        <f t="shared" si="0"/>
        <v/>
      </c>
      <c r="D49" s="48" t="str">
        <f t="shared" si="1"/>
        <v/>
      </c>
      <c r="E49" s="53"/>
      <c r="F49" s="48" t="str">
        <f t="shared" si="2"/>
        <v/>
      </c>
      <c r="G49" s="53" t="str">
        <f t="shared" si="3"/>
        <v/>
      </c>
      <c r="H49" s="48"/>
    </row>
    <row r="50" spans="1:8" ht="15" customHeight="1" x14ac:dyDescent="0.2">
      <c r="A50" s="38"/>
      <c r="B50" s="48"/>
      <c r="C50" s="53" t="str">
        <f t="shared" si="0"/>
        <v/>
      </c>
      <c r="D50" s="48" t="str">
        <f t="shared" si="1"/>
        <v/>
      </c>
      <c r="E50" s="53"/>
      <c r="F50" s="48" t="str">
        <f t="shared" si="2"/>
        <v/>
      </c>
      <c r="G50" s="53" t="str">
        <f t="shared" si="3"/>
        <v/>
      </c>
      <c r="H50" s="48"/>
    </row>
    <row r="51" spans="1:8" ht="15" customHeight="1" x14ac:dyDescent="0.2">
      <c r="A51" s="38"/>
      <c r="B51" s="48"/>
      <c r="C51" s="53" t="str">
        <f t="shared" si="0"/>
        <v/>
      </c>
      <c r="D51" s="48" t="str">
        <f t="shared" si="1"/>
        <v/>
      </c>
      <c r="E51" s="53"/>
      <c r="F51" s="48" t="str">
        <f t="shared" si="2"/>
        <v/>
      </c>
      <c r="G51" s="53" t="str">
        <f t="shared" si="3"/>
        <v/>
      </c>
      <c r="H51" s="48"/>
    </row>
    <row r="52" spans="1:8" ht="15" customHeight="1" x14ac:dyDescent="0.2">
      <c r="A52" s="38"/>
      <c r="B52" s="48"/>
      <c r="C52" s="53" t="str">
        <f t="shared" si="0"/>
        <v/>
      </c>
      <c r="D52" s="48" t="str">
        <f t="shared" si="1"/>
        <v/>
      </c>
      <c r="E52" s="53"/>
      <c r="F52" s="48" t="str">
        <f t="shared" si="2"/>
        <v/>
      </c>
      <c r="G52" s="53" t="str">
        <f t="shared" si="3"/>
        <v/>
      </c>
      <c r="H52" s="48"/>
    </row>
    <row r="53" spans="1:8" ht="15" customHeight="1" x14ac:dyDescent="0.2">
      <c r="A53" s="38"/>
      <c r="B53" s="48"/>
      <c r="C53" s="53" t="str">
        <f t="shared" si="0"/>
        <v/>
      </c>
      <c r="D53" s="48" t="str">
        <f t="shared" si="1"/>
        <v/>
      </c>
      <c r="E53" s="53"/>
      <c r="F53" s="48" t="str">
        <f t="shared" si="2"/>
        <v/>
      </c>
      <c r="G53" s="53" t="str">
        <f t="shared" si="3"/>
        <v/>
      </c>
      <c r="H53" s="48"/>
    </row>
    <row r="54" spans="1:8" ht="15" customHeight="1" x14ac:dyDescent="0.2">
      <c r="A54" s="38"/>
      <c r="B54" s="48"/>
      <c r="C54" s="53" t="str">
        <f t="shared" si="0"/>
        <v/>
      </c>
      <c r="D54" s="48" t="str">
        <f t="shared" si="1"/>
        <v/>
      </c>
      <c r="E54" s="53"/>
      <c r="F54" s="48" t="str">
        <f t="shared" si="2"/>
        <v/>
      </c>
      <c r="G54" s="53" t="str">
        <f t="shared" si="3"/>
        <v/>
      </c>
      <c r="H54" s="48"/>
    </row>
    <row r="55" spans="1:8" ht="15" customHeight="1" x14ac:dyDescent="0.2">
      <c r="A55" s="38"/>
      <c r="B55" s="48"/>
      <c r="C55" s="53" t="str">
        <f t="shared" si="0"/>
        <v/>
      </c>
      <c r="D55" s="48" t="str">
        <f t="shared" si="1"/>
        <v/>
      </c>
      <c r="E55" s="53"/>
      <c r="F55" s="48" t="str">
        <f t="shared" si="2"/>
        <v/>
      </c>
      <c r="G55" s="53" t="str">
        <f t="shared" si="3"/>
        <v/>
      </c>
      <c r="H55" s="48"/>
    </row>
    <row r="56" spans="1:8" ht="15" customHeight="1" x14ac:dyDescent="0.2">
      <c r="A56" s="38"/>
      <c r="B56" s="48"/>
      <c r="C56" s="53" t="str">
        <f t="shared" si="0"/>
        <v/>
      </c>
      <c r="D56" s="48" t="str">
        <f t="shared" si="1"/>
        <v/>
      </c>
      <c r="E56" s="53"/>
      <c r="F56" s="48" t="str">
        <f t="shared" si="2"/>
        <v/>
      </c>
      <c r="G56" s="53" t="str">
        <f t="shared" si="3"/>
        <v/>
      </c>
      <c r="H56" s="48"/>
    </row>
    <row r="57" spans="1:8" ht="15" customHeight="1" x14ac:dyDescent="0.2">
      <c r="A57" s="38"/>
      <c r="B57" s="48"/>
      <c r="C57" s="53" t="str">
        <f t="shared" si="0"/>
        <v/>
      </c>
      <c r="D57" s="48" t="str">
        <f t="shared" si="1"/>
        <v/>
      </c>
      <c r="E57" s="53"/>
      <c r="F57" s="48" t="str">
        <f t="shared" si="2"/>
        <v/>
      </c>
      <c r="G57" s="53" t="str">
        <f t="shared" si="3"/>
        <v/>
      </c>
      <c r="H57" s="48"/>
    </row>
    <row r="58" spans="1:8" ht="15" customHeight="1" x14ac:dyDescent="0.2">
      <c r="A58" s="38"/>
      <c r="B58" s="48"/>
      <c r="C58" s="53" t="str">
        <f t="shared" si="0"/>
        <v/>
      </c>
      <c r="D58" s="48" t="str">
        <f t="shared" si="1"/>
        <v/>
      </c>
      <c r="E58" s="53"/>
      <c r="F58" s="48" t="str">
        <f t="shared" si="2"/>
        <v/>
      </c>
      <c r="G58" s="53" t="str">
        <f t="shared" si="3"/>
        <v/>
      </c>
      <c r="H58" s="48"/>
    </row>
    <row r="59" spans="1:8" ht="15" customHeight="1" x14ac:dyDescent="0.2">
      <c r="A59" s="38"/>
      <c r="B59" s="48"/>
      <c r="C59" s="53" t="str">
        <f t="shared" si="0"/>
        <v/>
      </c>
      <c r="D59" s="48" t="str">
        <f t="shared" si="1"/>
        <v/>
      </c>
      <c r="E59" s="53"/>
      <c r="F59" s="48" t="str">
        <f t="shared" si="2"/>
        <v/>
      </c>
      <c r="G59" s="53" t="str">
        <f t="shared" si="3"/>
        <v/>
      </c>
      <c r="H59" s="48"/>
    </row>
    <row r="60" spans="1:8" ht="15" customHeight="1" x14ac:dyDescent="0.2">
      <c r="A60" s="38"/>
      <c r="B60" s="48"/>
      <c r="C60" s="53" t="str">
        <f t="shared" si="0"/>
        <v/>
      </c>
      <c r="D60" s="48" t="str">
        <f t="shared" si="1"/>
        <v/>
      </c>
      <c r="E60" s="53"/>
      <c r="F60" s="48" t="str">
        <f t="shared" si="2"/>
        <v/>
      </c>
      <c r="G60" s="53" t="str">
        <f t="shared" si="3"/>
        <v/>
      </c>
      <c r="H60" s="48"/>
    </row>
    <row r="61" spans="1:8" ht="15" customHeight="1" x14ac:dyDescent="0.2">
      <c r="A61" s="38"/>
      <c r="B61" s="48"/>
      <c r="C61" s="53" t="str">
        <f t="shared" si="0"/>
        <v/>
      </c>
      <c r="D61" s="48" t="str">
        <f t="shared" si="1"/>
        <v/>
      </c>
      <c r="E61" s="53"/>
      <c r="F61" s="48" t="str">
        <f t="shared" si="2"/>
        <v/>
      </c>
      <c r="G61" s="53" t="str">
        <f t="shared" si="3"/>
        <v/>
      </c>
      <c r="H61" s="48"/>
    </row>
    <row r="62" spans="1:8" ht="15" customHeight="1" x14ac:dyDescent="0.2">
      <c r="A62" s="38"/>
      <c r="B62" s="48"/>
      <c r="C62" s="53" t="str">
        <f t="shared" si="0"/>
        <v/>
      </c>
      <c r="D62" s="48" t="str">
        <f t="shared" si="1"/>
        <v/>
      </c>
      <c r="E62" s="53"/>
      <c r="F62" s="48" t="str">
        <f t="shared" si="2"/>
        <v/>
      </c>
      <c r="G62" s="53" t="str">
        <f t="shared" si="3"/>
        <v/>
      </c>
      <c r="H62" s="48"/>
    </row>
    <row r="63" spans="1:8" ht="15" customHeight="1" x14ac:dyDescent="0.2">
      <c r="A63" s="38"/>
      <c r="B63" s="48"/>
      <c r="C63" s="53" t="str">
        <f t="shared" si="0"/>
        <v/>
      </c>
      <c r="D63" s="48" t="str">
        <f t="shared" si="1"/>
        <v/>
      </c>
      <c r="E63" s="53"/>
      <c r="F63" s="48" t="str">
        <f t="shared" si="2"/>
        <v/>
      </c>
      <c r="G63" s="53" t="str">
        <f t="shared" si="3"/>
        <v/>
      </c>
      <c r="H63" s="48"/>
    </row>
    <row r="64" spans="1:8" ht="15" customHeight="1" x14ac:dyDescent="0.2">
      <c r="A64" s="38"/>
      <c r="B64" s="48"/>
      <c r="C64" s="53" t="str">
        <f t="shared" si="0"/>
        <v/>
      </c>
      <c r="D64" s="48" t="str">
        <f t="shared" si="1"/>
        <v/>
      </c>
      <c r="E64" s="53"/>
      <c r="F64" s="48" t="str">
        <f t="shared" si="2"/>
        <v/>
      </c>
      <c r="G64" s="53" t="str">
        <f t="shared" si="3"/>
        <v/>
      </c>
      <c r="H64" s="48"/>
    </row>
    <row r="65" spans="1:8" ht="15" customHeight="1" x14ac:dyDescent="0.2">
      <c r="A65" s="38"/>
      <c r="B65" s="48"/>
      <c r="C65" s="53" t="str">
        <f t="shared" si="0"/>
        <v/>
      </c>
      <c r="D65" s="48" t="str">
        <f t="shared" si="1"/>
        <v/>
      </c>
      <c r="E65" s="53"/>
      <c r="F65" s="48" t="str">
        <f t="shared" si="2"/>
        <v/>
      </c>
      <c r="G65" s="53" t="str">
        <f t="shared" si="3"/>
        <v/>
      </c>
      <c r="H65" s="48"/>
    </row>
    <row r="66" spans="1:8" ht="15" customHeight="1" x14ac:dyDescent="0.2">
      <c r="A66" s="38"/>
      <c r="B66" s="48"/>
      <c r="C66" s="53" t="str">
        <f t="shared" si="0"/>
        <v/>
      </c>
      <c r="D66" s="48" t="str">
        <f t="shared" si="1"/>
        <v/>
      </c>
      <c r="E66" s="53"/>
      <c r="F66" s="48" t="str">
        <f t="shared" si="2"/>
        <v/>
      </c>
      <c r="G66" s="53" t="str">
        <f t="shared" si="3"/>
        <v/>
      </c>
      <c r="H66" s="48"/>
    </row>
    <row r="67" spans="1:8" ht="15" customHeight="1" x14ac:dyDescent="0.2">
      <c r="A67" s="38"/>
      <c r="B67" s="48"/>
      <c r="C67" s="53" t="str">
        <f t="shared" si="0"/>
        <v/>
      </c>
      <c r="D67" s="48" t="str">
        <f t="shared" si="1"/>
        <v/>
      </c>
      <c r="E67" s="53"/>
      <c r="F67" s="48" t="str">
        <f t="shared" si="2"/>
        <v/>
      </c>
      <c r="G67" s="53" t="str">
        <f t="shared" si="3"/>
        <v/>
      </c>
      <c r="H67" s="48"/>
    </row>
    <row r="68" spans="1:8" ht="15" customHeight="1" x14ac:dyDescent="0.2">
      <c r="A68" s="38"/>
      <c r="B68" s="48"/>
      <c r="C68" s="53" t="str">
        <f t="shared" si="0"/>
        <v/>
      </c>
      <c r="D68" s="48" t="str">
        <f t="shared" si="1"/>
        <v/>
      </c>
      <c r="E68" s="53"/>
      <c r="F68" s="48" t="str">
        <f t="shared" si="2"/>
        <v/>
      </c>
      <c r="G68" s="53" t="str">
        <f t="shared" si="3"/>
        <v/>
      </c>
      <c r="H68" s="48"/>
    </row>
    <row r="69" spans="1:8" ht="15" customHeight="1" x14ac:dyDescent="0.2">
      <c r="A69" s="38"/>
      <c r="B69" s="48"/>
      <c r="C69" s="53" t="str">
        <f t="shared" si="0"/>
        <v/>
      </c>
      <c r="D69" s="48" t="str">
        <f t="shared" si="1"/>
        <v/>
      </c>
      <c r="E69" s="53"/>
      <c r="F69" s="48" t="str">
        <f t="shared" si="2"/>
        <v/>
      </c>
      <c r="G69" s="53" t="str">
        <f t="shared" si="3"/>
        <v/>
      </c>
      <c r="H69" s="48"/>
    </row>
    <row r="70" spans="1:8" ht="15" customHeight="1" x14ac:dyDescent="0.2">
      <c r="A70" s="38"/>
      <c r="B70" s="48"/>
      <c r="C70" s="53" t="str">
        <f t="shared" si="0"/>
        <v/>
      </c>
      <c r="D70" s="48" t="str">
        <f t="shared" si="1"/>
        <v/>
      </c>
      <c r="E70" s="53"/>
      <c r="F70" s="48" t="str">
        <f t="shared" si="2"/>
        <v/>
      </c>
      <c r="G70" s="53" t="str">
        <f t="shared" si="3"/>
        <v/>
      </c>
      <c r="H70" s="48"/>
    </row>
    <row r="71" spans="1:8" ht="15" customHeight="1" x14ac:dyDescent="0.2">
      <c r="A71" s="38"/>
      <c r="B71" s="48"/>
      <c r="C71" s="53" t="str">
        <f t="shared" si="0"/>
        <v/>
      </c>
      <c r="D71" s="48" t="str">
        <f t="shared" si="1"/>
        <v/>
      </c>
      <c r="E71" s="53"/>
      <c r="F71" s="48" t="str">
        <f t="shared" si="2"/>
        <v/>
      </c>
      <c r="G71" s="53" t="str">
        <f t="shared" si="3"/>
        <v/>
      </c>
      <c r="H71" s="48"/>
    </row>
    <row r="72" spans="1:8" ht="15" customHeight="1" x14ac:dyDescent="0.2">
      <c r="A72" s="38"/>
      <c r="B72" s="48"/>
      <c r="C72" s="53" t="str">
        <f t="shared" si="0"/>
        <v/>
      </c>
      <c r="D72" s="48" t="str">
        <f t="shared" si="1"/>
        <v/>
      </c>
      <c r="E72" s="53"/>
      <c r="F72" s="48" t="str">
        <f t="shared" si="2"/>
        <v/>
      </c>
      <c r="G72" s="53" t="str">
        <f t="shared" si="3"/>
        <v/>
      </c>
      <c r="H72" s="48"/>
    </row>
    <row r="73" spans="1:8" ht="15" customHeight="1" x14ac:dyDescent="0.2">
      <c r="A73" s="38"/>
      <c r="B73" s="48"/>
      <c r="C73" s="53" t="str">
        <f t="shared" si="0"/>
        <v/>
      </c>
      <c r="D73" s="48" t="str">
        <f t="shared" si="1"/>
        <v/>
      </c>
      <c r="E73" s="53"/>
      <c r="F73" s="48" t="str">
        <f t="shared" si="2"/>
        <v/>
      </c>
      <c r="G73" s="53" t="str">
        <f t="shared" si="3"/>
        <v/>
      </c>
      <c r="H73" s="48"/>
    </row>
    <row r="74" spans="1:8" ht="15" customHeight="1" x14ac:dyDescent="0.2">
      <c r="A74" s="38"/>
      <c r="B74" s="48"/>
      <c r="C74" s="53" t="str">
        <f t="shared" si="0"/>
        <v/>
      </c>
      <c r="D74" s="48" t="str">
        <f t="shared" si="1"/>
        <v/>
      </c>
      <c r="E74" s="53"/>
      <c r="F74" s="48" t="str">
        <f t="shared" si="2"/>
        <v/>
      </c>
      <c r="G74" s="53" t="str">
        <f t="shared" si="3"/>
        <v/>
      </c>
      <c r="H74" s="48"/>
    </row>
    <row r="75" spans="1:8" ht="15" customHeight="1" x14ac:dyDescent="0.2">
      <c r="A75" s="38"/>
      <c r="B75" s="48"/>
      <c r="C75" s="53" t="str">
        <f t="shared" si="0"/>
        <v/>
      </c>
      <c r="D75" s="48" t="str">
        <f t="shared" si="1"/>
        <v/>
      </c>
      <c r="E75" s="53"/>
      <c r="F75" s="48" t="str">
        <f t="shared" si="2"/>
        <v/>
      </c>
      <c r="G75" s="53" t="str">
        <f t="shared" si="3"/>
        <v/>
      </c>
      <c r="H75" s="48"/>
    </row>
    <row r="76" spans="1:8" ht="15" customHeight="1" x14ac:dyDescent="0.2">
      <c r="A76" s="38"/>
      <c r="B76" s="48"/>
      <c r="C76" s="53" t="str">
        <f t="shared" si="0"/>
        <v/>
      </c>
      <c r="D76" s="48" t="str">
        <f t="shared" si="1"/>
        <v/>
      </c>
      <c r="E76" s="53"/>
      <c r="F76" s="48" t="str">
        <f t="shared" si="2"/>
        <v/>
      </c>
      <c r="G76" s="53" t="str">
        <f t="shared" si="3"/>
        <v/>
      </c>
      <c r="H76" s="48"/>
    </row>
    <row r="77" spans="1:8" ht="15" customHeight="1" x14ac:dyDescent="0.2">
      <c r="A77" s="38"/>
      <c r="B77" s="48"/>
      <c r="C77" s="53" t="str">
        <f t="shared" ref="C77:C140" si="4">IF(B77="","",20.412)</f>
        <v/>
      </c>
      <c r="D77" s="48" t="str">
        <f t="shared" ref="D77:D140" si="5">IF(B77="","",B77*C77)</f>
        <v/>
      </c>
      <c r="E77" s="53"/>
      <c r="F77" s="48" t="str">
        <f t="shared" ref="F77:F140" si="6">IF(D77="","",D77-IF(E77="",0,E77))</f>
        <v/>
      </c>
      <c r="G77" s="53" t="str">
        <f t="shared" ref="G77:G140" si="7">IF(A77="","","27"&amp;MID(A77,4,2)&amp;LEFT(A77,2))</f>
        <v/>
      </c>
      <c r="H77" s="48"/>
    </row>
    <row r="78" spans="1:8" ht="15" customHeight="1" x14ac:dyDescent="0.2">
      <c r="A78" s="38"/>
      <c r="B78" s="48"/>
      <c r="C78" s="53" t="str">
        <f t="shared" si="4"/>
        <v/>
      </c>
      <c r="D78" s="48" t="str">
        <f t="shared" si="5"/>
        <v/>
      </c>
      <c r="E78" s="53"/>
      <c r="F78" s="48" t="str">
        <f t="shared" si="6"/>
        <v/>
      </c>
      <c r="G78" s="53" t="str">
        <f t="shared" si="7"/>
        <v/>
      </c>
      <c r="H78" s="48"/>
    </row>
    <row r="79" spans="1:8" ht="15" customHeight="1" x14ac:dyDescent="0.2">
      <c r="A79" s="38"/>
      <c r="B79" s="48"/>
      <c r="C79" s="53" t="str">
        <f t="shared" si="4"/>
        <v/>
      </c>
      <c r="D79" s="48" t="str">
        <f t="shared" si="5"/>
        <v/>
      </c>
      <c r="E79" s="53"/>
      <c r="F79" s="48" t="str">
        <f t="shared" si="6"/>
        <v/>
      </c>
      <c r="G79" s="53" t="str">
        <f t="shared" si="7"/>
        <v/>
      </c>
      <c r="H79" s="48"/>
    </row>
    <row r="80" spans="1:8" ht="15" customHeight="1" x14ac:dyDescent="0.2">
      <c r="A80" s="38"/>
      <c r="B80" s="48"/>
      <c r="C80" s="53" t="str">
        <f t="shared" si="4"/>
        <v/>
      </c>
      <c r="D80" s="48" t="str">
        <f t="shared" si="5"/>
        <v/>
      </c>
      <c r="E80" s="53"/>
      <c r="F80" s="48" t="str">
        <f t="shared" si="6"/>
        <v/>
      </c>
      <c r="G80" s="53" t="str">
        <f t="shared" si="7"/>
        <v/>
      </c>
      <c r="H80" s="48"/>
    </row>
    <row r="81" spans="1:8" ht="15" customHeight="1" x14ac:dyDescent="0.2">
      <c r="A81" s="38"/>
      <c r="B81" s="48"/>
      <c r="C81" s="53" t="str">
        <f t="shared" si="4"/>
        <v/>
      </c>
      <c r="D81" s="48" t="str">
        <f t="shared" si="5"/>
        <v/>
      </c>
      <c r="E81" s="53"/>
      <c r="F81" s="48" t="str">
        <f t="shared" si="6"/>
        <v/>
      </c>
      <c r="G81" s="53" t="str">
        <f t="shared" si="7"/>
        <v/>
      </c>
      <c r="H81" s="48"/>
    </row>
    <row r="82" spans="1:8" ht="15" customHeight="1" x14ac:dyDescent="0.2">
      <c r="A82" s="38"/>
      <c r="B82" s="48"/>
      <c r="C82" s="53" t="str">
        <f t="shared" si="4"/>
        <v/>
      </c>
      <c r="D82" s="48" t="str">
        <f t="shared" si="5"/>
        <v/>
      </c>
      <c r="E82" s="53"/>
      <c r="F82" s="48" t="str">
        <f t="shared" si="6"/>
        <v/>
      </c>
      <c r="G82" s="53" t="str">
        <f t="shared" si="7"/>
        <v/>
      </c>
      <c r="H82" s="48"/>
    </row>
    <row r="83" spans="1:8" ht="15" customHeight="1" x14ac:dyDescent="0.2">
      <c r="A83" s="38"/>
      <c r="B83" s="48"/>
      <c r="C83" s="53" t="str">
        <f t="shared" si="4"/>
        <v/>
      </c>
      <c r="D83" s="48" t="str">
        <f t="shared" si="5"/>
        <v/>
      </c>
      <c r="E83" s="53"/>
      <c r="F83" s="48" t="str">
        <f t="shared" si="6"/>
        <v/>
      </c>
      <c r="G83" s="53" t="str">
        <f t="shared" si="7"/>
        <v/>
      </c>
      <c r="H83" s="48"/>
    </row>
    <row r="84" spans="1:8" ht="15" customHeight="1" x14ac:dyDescent="0.2">
      <c r="A84" s="38"/>
      <c r="B84" s="48"/>
      <c r="C84" s="53" t="str">
        <f t="shared" si="4"/>
        <v/>
      </c>
      <c r="D84" s="48" t="str">
        <f t="shared" si="5"/>
        <v/>
      </c>
      <c r="E84" s="53"/>
      <c r="F84" s="48" t="str">
        <f t="shared" si="6"/>
        <v/>
      </c>
      <c r="G84" s="53" t="str">
        <f t="shared" si="7"/>
        <v/>
      </c>
      <c r="H84" s="48"/>
    </row>
    <row r="85" spans="1:8" ht="15" customHeight="1" x14ac:dyDescent="0.2">
      <c r="A85" s="38"/>
      <c r="B85" s="48"/>
      <c r="C85" s="53" t="str">
        <f t="shared" si="4"/>
        <v/>
      </c>
      <c r="D85" s="48" t="str">
        <f t="shared" si="5"/>
        <v/>
      </c>
      <c r="E85" s="53"/>
      <c r="F85" s="48" t="str">
        <f t="shared" si="6"/>
        <v/>
      </c>
      <c r="G85" s="53" t="str">
        <f t="shared" si="7"/>
        <v/>
      </c>
      <c r="H85" s="48"/>
    </row>
    <row r="86" spans="1:8" ht="15" customHeight="1" x14ac:dyDescent="0.2">
      <c r="A86" s="38"/>
      <c r="B86" s="48"/>
      <c r="C86" s="53" t="str">
        <f t="shared" si="4"/>
        <v/>
      </c>
      <c r="D86" s="48" t="str">
        <f t="shared" si="5"/>
        <v/>
      </c>
      <c r="E86" s="53"/>
      <c r="F86" s="48" t="str">
        <f t="shared" si="6"/>
        <v/>
      </c>
      <c r="G86" s="53" t="str">
        <f t="shared" si="7"/>
        <v/>
      </c>
      <c r="H86" s="48"/>
    </row>
    <row r="87" spans="1:8" ht="15" customHeight="1" x14ac:dyDescent="0.2">
      <c r="A87" s="38"/>
      <c r="B87" s="48"/>
      <c r="C87" s="53" t="str">
        <f t="shared" si="4"/>
        <v/>
      </c>
      <c r="D87" s="48" t="str">
        <f t="shared" si="5"/>
        <v/>
      </c>
      <c r="E87" s="53"/>
      <c r="F87" s="48" t="str">
        <f t="shared" si="6"/>
        <v/>
      </c>
      <c r="G87" s="53" t="str">
        <f t="shared" si="7"/>
        <v/>
      </c>
      <c r="H87" s="48"/>
    </row>
    <row r="88" spans="1:8" ht="15" customHeight="1" x14ac:dyDescent="0.2">
      <c r="A88" s="38"/>
      <c r="B88" s="48"/>
      <c r="C88" s="53" t="str">
        <f t="shared" si="4"/>
        <v/>
      </c>
      <c r="D88" s="48" t="str">
        <f t="shared" si="5"/>
        <v/>
      </c>
      <c r="E88" s="53"/>
      <c r="F88" s="48" t="str">
        <f t="shared" si="6"/>
        <v/>
      </c>
      <c r="G88" s="53" t="str">
        <f t="shared" si="7"/>
        <v/>
      </c>
      <c r="H88" s="48"/>
    </row>
    <row r="89" spans="1:8" ht="15" customHeight="1" x14ac:dyDescent="0.2">
      <c r="A89" s="38"/>
      <c r="B89" s="48"/>
      <c r="C89" s="53" t="str">
        <f t="shared" si="4"/>
        <v/>
      </c>
      <c r="D89" s="48" t="str">
        <f t="shared" si="5"/>
        <v/>
      </c>
      <c r="E89" s="53"/>
      <c r="F89" s="48" t="str">
        <f t="shared" si="6"/>
        <v/>
      </c>
      <c r="G89" s="53" t="str">
        <f t="shared" si="7"/>
        <v/>
      </c>
      <c r="H89" s="48"/>
    </row>
    <row r="90" spans="1:8" ht="15" customHeight="1" x14ac:dyDescent="0.2">
      <c r="A90" s="38"/>
      <c r="B90" s="48"/>
      <c r="C90" s="53" t="str">
        <f t="shared" si="4"/>
        <v/>
      </c>
      <c r="D90" s="48" t="str">
        <f t="shared" si="5"/>
        <v/>
      </c>
      <c r="E90" s="53"/>
      <c r="F90" s="48" t="str">
        <f t="shared" si="6"/>
        <v/>
      </c>
      <c r="G90" s="53" t="str">
        <f t="shared" si="7"/>
        <v/>
      </c>
      <c r="H90" s="48"/>
    </row>
    <row r="91" spans="1:8" ht="15" customHeight="1" x14ac:dyDescent="0.2">
      <c r="A91" s="38"/>
      <c r="B91" s="48"/>
      <c r="C91" s="53" t="str">
        <f t="shared" si="4"/>
        <v/>
      </c>
      <c r="D91" s="48" t="str">
        <f t="shared" si="5"/>
        <v/>
      </c>
      <c r="E91" s="53"/>
      <c r="F91" s="48" t="str">
        <f t="shared" si="6"/>
        <v/>
      </c>
      <c r="G91" s="53" t="str">
        <f t="shared" si="7"/>
        <v/>
      </c>
      <c r="H91" s="48"/>
    </row>
    <row r="92" spans="1:8" ht="15" customHeight="1" x14ac:dyDescent="0.2">
      <c r="A92" s="38"/>
      <c r="B92" s="48"/>
      <c r="C92" s="53" t="str">
        <f t="shared" si="4"/>
        <v/>
      </c>
      <c r="D92" s="48" t="str">
        <f t="shared" si="5"/>
        <v/>
      </c>
      <c r="E92" s="53"/>
      <c r="F92" s="48" t="str">
        <f t="shared" si="6"/>
        <v/>
      </c>
      <c r="G92" s="53" t="str">
        <f t="shared" si="7"/>
        <v/>
      </c>
      <c r="H92" s="48"/>
    </row>
    <row r="93" spans="1:8" ht="15" customHeight="1" x14ac:dyDescent="0.2">
      <c r="A93" s="38"/>
      <c r="B93" s="48"/>
      <c r="C93" s="53" t="str">
        <f t="shared" si="4"/>
        <v/>
      </c>
      <c r="D93" s="48" t="str">
        <f t="shared" si="5"/>
        <v/>
      </c>
      <c r="E93" s="53"/>
      <c r="F93" s="48" t="str">
        <f t="shared" si="6"/>
        <v/>
      </c>
      <c r="G93" s="53" t="str">
        <f t="shared" si="7"/>
        <v/>
      </c>
      <c r="H93" s="48"/>
    </row>
    <row r="94" spans="1:8" ht="15" customHeight="1" x14ac:dyDescent="0.2">
      <c r="A94" s="38"/>
      <c r="B94" s="48"/>
      <c r="C94" s="53" t="str">
        <f t="shared" si="4"/>
        <v/>
      </c>
      <c r="D94" s="48" t="str">
        <f t="shared" si="5"/>
        <v/>
      </c>
      <c r="E94" s="53"/>
      <c r="F94" s="48" t="str">
        <f t="shared" si="6"/>
        <v/>
      </c>
      <c r="G94" s="53" t="str">
        <f t="shared" si="7"/>
        <v/>
      </c>
      <c r="H94" s="48"/>
    </row>
    <row r="95" spans="1:8" ht="15" customHeight="1" x14ac:dyDescent="0.2">
      <c r="A95" s="38"/>
      <c r="B95" s="48"/>
      <c r="C95" s="53" t="str">
        <f t="shared" si="4"/>
        <v/>
      </c>
      <c r="D95" s="48" t="str">
        <f t="shared" si="5"/>
        <v/>
      </c>
      <c r="E95" s="53"/>
      <c r="F95" s="48" t="str">
        <f t="shared" si="6"/>
        <v/>
      </c>
      <c r="G95" s="53" t="str">
        <f t="shared" si="7"/>
        <v/>
      </c>
      <c r="H95" s="48"/>
    </row>
    <row r="96" spans="1:8" ht="15" customHeight="1" x14ac:dyDescent="0.2">
      <c r="A96" s="38"/>
      <c r="B96" s="48"/>
      <c r="C96" s="53" t="str">
        <f t="shared" si="4"/>
        <v/>
      </c>
      <c r="D96" s="48" t="str">
        <f t="shared" si="5"/>
        <v/>
      </c>
      <c r="E96" s="53"/>
      <c r="F96" s="48" t="str">
        <f t="shared" si="6"/>
        <v/>
      </c>
      <c r="G96" s="53" t="str">
        <f t="shared" si="7"/>
        <v/>
      </c>
      <c r="H96" s="48"/>
    </row>
    <row r="97" spans="1:8" ht="15" customHeight="1" x14ac:dyDescent="0.2">
      <c r="A97" s="38"/>
      <c r="B97" s="48"/>
      <c r="C97" s="53" t="str">
        <f t="shared" si="4"/>
        <v/>
      </c>
      <c r="D97" s="48" t="str">
        <f t="shared" si="5"/>
        <v/>
      </c>
      <c r="E97" s="53"/>
      <c r="F97" s="48" t="str">
        <f t="shared" si="6"/>
        <v/>
      </c>
      <c r="G97" s="53" t="str">
        <f t="shared" si="7"/>
        <v/>
      </c>
      <c r="H97" s="48"/>
    </row>
    <row r="98" spans="1:8" ht="15" customHeight="1" x14ac:dyDescent="0.2">
      <c r="A98" s="38"/>
      <c r="B98" s="48"/>
      <c r="C98" s="53" t="str">
        <f t="shared" si="4"/>
        <v/>
      </c>
      <c r="D98" s="48" t="str">
        <f t="shared" si="5"/>
        <v/>
      </c>
      <c r="E98" s="53"/>
      <c r="F98" s="48" t="str">
        <f t="shared" si="6"/>
        <v/>
      </c>
      <c r="G98" s="53" t="str">
        <f t="shared" si="7"/>
        <v/>
      </c>
      <c r="H98" s="48"/>
    </row>
    <row r="99" spans="1:8" ht="15" customHeight="1" x14ac:dyDescent="0.2">
      <c r="A99" s="38"/>
      <c r="B99" s="48"/>
      <c r="C99" s="53" t="str">
        <f t="shared" si="4"/>
        <v/>
      </c>
      <c r="D99" s="48" t="str">
        <f t="shared" si="5"/>
        <v/>
      </c>
      <c r="E99" s="53"/>
      <c r="F99" s="48" t="str">
        <f t="shared" si="6"/>
        <v/>
      </c>
      <c r="G99" s="53" t="str">
        <f t="shared" si="7"/>
        <v/>
      </c>
      <c r="H99" s="48"/>
    </row>
    <row r="100" spans="1:8" ht="15" customHeight="1" x14ac:dyDescent="0.2">
      <c r="A100" s="38"/>
      <c r="B100" s="48"/>
      <c r="C100" s="53" t="str">
        <f t="shared" si="4"/>
        <v/>
      </c>
      <c r="D100" s="48" t="str">
        <f t="shared" si="5"/>
        <v/>
      </c>
      <c r="E100" s="53"/>
      <c r="F100" s="48" t="str">
        <f t="shared" si="6"/>
        <v/>
      </c>
      <c r="G100" s="53" t="str">
        <f t="shared" si="7"/>
        <v/>
      </c>
      <c r="H100" s="48"/>
    </row>
    <row r="101" spans="1:8" ht="15" customHeight="1" x14ac:dyDescent="0.2">
      <c r="A101" s="38"/>
      <c r="B101" s="48"/>
      <c r="C101" s="53" t="str">
        <f t="shared" si="4"/>
        <v/>
      </c>
      <c r="D101" s="48" t="str">
        <f t="shared" si="5"/>
        <v/>
      </c>
      <c r="E101" s="53"/>
      <c r="F101" s="48" t="str">
        <f t="shared" si="6"/>
        <v/>
      </c>
      <c r="G101" s="53" t="str">
        <f t="shared" si="7"/>
        <v/>
      </c>
      <c r="H101" s="48"/>
    </row>
    <row r="102" spans="1:8" ht="15" customHeight="1" x14ac:dyDescent="0.2">
      <c r="A102" s="38"/>
      <c r="B102" s="48"/>
      <c r="C102" s="53" t="str">
        <f t="shared" si="4"/>
        <v/>
      </c>
      <c r="D102" s="48" t="str">
        <f t="shared" si="5"/>
        <v/>
      </c>
      <c r="E102" s="53"/>
      <c r="F102" s="48" t="str">
        <f t="shared" si="6"/>
        <v/>
      </c>
      <c r="G102" s="53" t="str">
        <f t="shared" si="7"/>
        <v/>
      </c>
      <c r="H102" s="48"/>
    </row>
    <row r="103" spans="1:8" ht="15" customHeight="1" x14ac:dyDescent="0.2">
      <c r="A103" s="38"/>
      <c r="B103" s="48"/>
      <c r="C103" s="53" t="str">
        <f t="shared" si="4"/>
        <v/>
      </c>
      <c r="D103" s="48" t="str">
        <f t="shared" si="5"/>
        <v/>
      </c>
      <c r="E103" s="53"/>
      <c r="F103" s="48" t="str">
        <f t="shared" si="6"/>
        <v/>
      </c>
      <c r="G103" s="53" t="str">
        <f t="shared" si="7"/>
        <v/>
      </c>
      <c r="H103" s="48"/>
    </row>
    <row r="104" spans="1:8" ht="15" customHeight="1" x14ac:dyDescent="0.2">
      <c r="A104" s="38"/>
      <c r="B104" s="48"/>
      <c r="C104" s="53" t="str">
        <f t="shared" si="4"/>
        <v/>
      </c>
      <c r="D104" s="48" t="str">
        <f t="shared" si="5"/>
        <v/>
      </c>
      <c r="E104" s="53"/>
      <c r="F104" s="48" t="str">
        <f t="shared" si="6"/>
        <v/>
      </c>
      <c r="G104" s="53" t="str">
        <f t="shared" si="7"/>
        <v/>
      </c>
      <c r="H104" s="48"/>
    </row>
    <row r="105" spans="1:8" ht="15" customHeight="1" x14ac:dyDescent="0.2">
      <c r="A105" s="38"/>
      <c r="B105" s="48"/>
      <c r="C105" s="53" t="str">
        <f t="shared" si="4"/>
        <v/>
      </c>
      <c r="D105" s="48" t="str">
        <f t="shared" si="5"/>
        <v/>
      </c>
      <c r="E105" s="53"/>
      <c r="F105" s="48" t="str">
        <f t="shared" si="6"/>
        <v/>
      </c>
      <c r="G105" s="53" t="str">
        <f t="shared" si="7"/>
        <v/>
      </c>
      <c r="H105" s="48"/>
    </row>
    <row r="106" spans="1:8" ht="15" customHeight="1" x14ac:dyDescent="0.2">
      <c r="A106" s="38"/>
      <c r="B106" s="48"/>
      <c r="C106" s="53" t="str">
        <f t="shared" si="4"/>
        <v/>
      </c>
      <c r="D106" s="48" t="str">
        <f t="shared" si="5"/>
        <v/>
      </c>
      <c r="E106" s="53"/>
      <c r="F106" s="48" t="str">
        <f t="shared" si="6"/>
        <v/>
      </c>
      <c r="G106" s="53" t="str">
        <f t="shared" si="7"/>
        <v/>
      </c>
      <c r="H106" s="48"/>
    </row>
    <row r="107" spans="1:8" ht="15" customHeight="1" x14ac:dyDescent="0.2">
      <c r="A107" s="38"/>
      <c r="B107" s="48"/>
      <c r="C107" s="53" t="str">
        <f t="shared" si="4"/>
        <v/>
      </c>
      <c r="D107" s="48" t="str">
        <f t="shared" si="5"/>
        <v/>
      </c>
      <c r="E107" s="53"/>
      <c r="F107" s="48" t="str">
        <f t="shared" si="6"/>
        <v/>
      </c>
      <c r="G107" s="53" t="str">
        <f t="shared" si="7"/>
        <v/>
      </c>
      <c r="H107" s="48"/>
    </row>
    <row r="108" spans="1:8" ht="15" customHeight="1" x14ac:dyDescent="0.2">
      <c r="A108" s="38"/>
      <c r="B108" s="48"/>
      <c r="C108" s="53" t="str">
        <f t="shared" si="4"/>
        <v/>
      </c>
      <c r="D108" s="48" t="str">
        <f t="shared" si="5"/>
        <v/>
      </c>
      <c r="E108" s="53"/>
      <c r="F108" s="48" t="str">
        <f t="shared" si="6"/>
        <v/>
      </c>
      <c r="G108" s="53" t="str">
        <f t="shared" si="7"/>
        <v/>
      </c>
      <c r="H108" s="48"/>
    </row>
    <row r="109" spans="1:8" ht="15" customHeight="1" x14ac:dyDescent="0.2">
      <c r="A109" s="38"/>
      <c r="B109" s="48"/>
      <c r="C109" s="53" t="str">
        <f t="shared" si="4"/>
        <v/>
      </c>
      <c r="D109" s="48" t="str">
        <f t="shared" si="5"/>
        <v/>
      </c>
      <c r="E109" s="53"/>
      <c r="F109" s="48" t="str">
        <f t="shared" si="6"/>
        <v/>
      </c>
      <c r="G109" s="53" t="str">
        <f t="shared" si="7"/>
        <v/>
      </c>
      <c r="H109" s="48"/>
    </row>
    <row r="110" spans="1:8" ht="15" customHeight="1" x14ac:dyDescent="0.2">
      <c r="A110" s="38"/>
      <c r="B110" s="48"/>
      <c r="C110" s="53" t="str">
        <f t="shared" si="4"/>
        <v/>
      </c>
      <c r="D110" s="48" t="str">
        <f t="shared" si="5"/>
        <v/>
      </c>
      <c r="E110" s="53"/>
      <c r="F110" s="48" t="str">
        <f t="shared" si="6"/>
        <v/>
      </c>
      <c r="G110" s="53" t="str">
        <f t="shared" si="7"/>
        <v/>
      </c>
      <c r="H110" s="48"/>
    </row>
    <row r="111" spans="1:8" ht="15" customHeight="1" x14ac:dyDescent="0.2">
      <c r="A111" s="38"/>
      <c r="B111" s="48"/>
      <c r="C111" s="53" t="str">
        <f t="shared" si="4"/>
        <v/>
      </c>
      <c r="D111" s="48" t="str">
        <f t="shared" si="5"/>
        <v/>
      </c>
      <c r="E111" s="53"/>
      <c r="F111" s="48" t="str">
        <f t="shared" si="6"/>
        <v/>
      </c>
      <c r="G111" s="53" t="str">
        <f t="shared" si="7"/>
        <v/>
      </c>
      <c r="H111" s="48"/>
    </row>
    <row r="112" spans="1:8" ht="15" customHeight="1" x14ac:dyDescent="0.2">
      <c r="A112" s="38"/>
      <c r="B112" s="48"/>
      <c r="C112" s="53" t="str">
        <f t="shared" si="4"/>
        <v/>
      </c>
      <c r="D112" s="48" t="str">
        <f t="shared" si="5"/>
        <v/>
      </c>
      <c r="E112" s="53"/>
      <c r="F112" s="48" t="str">
        <f t="shared" si="6"/>
        <v/>
      </c>
      <c r="G112" s="53" t="str">
        <f t="shared" si="7"/>
        <v/>
      </c>
      <c r="H112" s="48"/>
    </row>
    <row r="113" spans="1:8" ht="15" customHeight="1" x14ac:dyDescent="0.2">
      <c r="A113" s="38"/>
      <c r="B113" s="48"/>
      <c r="C113" s="53" t="str">
        <f t="shared" si="4"/>
        <v/>
      </c>
      <c r="D113" s="48" t="str">
        <f t="shared" si="5"/>
        <v/>
      </c>
      <c r="E113" s="53"/>
      <c r="F113" s="48" t="str">
        <f t="shared" si="6"/>
        <v/>
      </c>
      <c r="G113" s="53" t="str">
        <f t="shared" si="7"/>
        <v/>
      </c>
      <c r="H113" s="48"/>
    </row>
    <row r="114" spans="1:8" ht="15" customHeight="1" x14ac:dyDescent="0.2">
      <c r="A114" s="38"/>
      <c r="B114" s="48"/>
      <c r="C114" s="53" t="str">
        <f t="shared" si="4"/>
        <v/>
      </c>
      <c r="D114" s="48" t="str">
        <f t="shared" si="5"/>
        <v/>
      </c>
      <c r="E114" s="53"/>
      <c r="F114" s="48" t="str">
        <f t="shared" si="6"/>
        <v/>
      </c>
      <c r="G114" s="53" t="str">
        <f t="shared" si="7"/>
        <v/>
      </c>
      <c r="H114" s="48"/>
    </row>
    <row r="115" spans="1:8" ht="15" customHeight="1" x14ac:dyDescent="0.2">
      <c r="A115" s="38"/>
      <c r="B115" s="48"/>
      <c r="C115" s="53" t="str">
        <f t="shared" si="4"/>
        <v/>
      </c>
      <c r="D115" s="48" t="str">
        <f t="shared" si="5"/>
        <v/>
      </c>
      <c r="E115" s="53"/>
      <c r="F115" s="48" t="str">
        <f t="shared" si="6"/>
        <v/>
      </c>
      <c r="G115" s="53" t="str">
        <f t="shared" si="7"/>
        <v/>
      </c>
      <c r="H115" s="48"/>
    </row>
    <row r="116" spans="1:8" ht="15" customHeight="1" x14ac:dyDescent="0.2">
      <c r="A116" s="38"/>
      <c r="B116" s="48"/>
      <c r="C116" s="53" t="str">
        <f t="shared" si="4"/>
        <v/>
      </c>
      <c r="D116" s="48" t="str">
        <f t="shared" si="5"/>
        <v/>
      </c>
      <c r="E116" s="53"/>
      <c r="F116" s="48" t="str">
        <f t="shared" si="6"/>
        <v/>
      </c>
      <c r="G116" s="53" t="str">
        <f t="shared" si="7"/>
        <v/>
      </c>
      <c r="H116" s="48"/>
    </row>
    <row r="117" spans="1:8" ht="15" customHeight="1" x14ac:dyDescent="0.2">
      <c r="A117" s="38"/>
      <c r="B117" s="48"/>
      <c r="C117" s="53" t="str">
        <f t="shared" si="4"/>
        <v/>
      </c>
      <c r="D117" s="48" t="str">
        <f t="shared" si="5"/>
        <v/>
      </c>
      <c r="E117" s="53"/>
      <c r="F117" s="48" t="str">
        <f t="shared" si="6"/>
        <v/>
      </c>
      <c r="G117" s="53" t="str">
        <f t="shared" si="7"/>
        <v/>
      </c>
      <c r="H117" s="48"/>
    </row>
    <row r="118" spans="1:8" ht="15" customHeight="1" x14ac:dyDescent="0.2">
      <c r="A118" s="38"/>
      <c r="B118" s="48"/>
      <c r="C118" s="53" t="str">
        <f t="shared" si="4"/>
        <v/>
      </c>
      <c r="D118" s="48" t="str">
        <f t="shared" si="5"/>
        <v/>
      </c>
      <c r="E118" s="53"/>
      <c r="F118" s="48" t="str">
        <f t="shared" si="6"/>
        <v/>
      </c>
      <c r="G118" s="53" t="str">
        <f t="shared" si="7"/>
        <v/>
      </c>
      <c r="H118" s="48"/>
    </row>
    <row r="119" spans="1:8" ht="15" customHeight="1" x14ac:dyDescent="0.2">
      <c r="A119" s="38"/>
      <c r="B119" s="48"/>
      <c r="C119" s="53" t="str">
        <f t="shared" si="4"/>
        <v/>
      </c>
      <c r="D119" s="48" t="str">
        <f t="shared" si="5"/>
        <v/>
      </c>
      <c r="E119" s="53"/>
      <c r="F119" s="48" t="str">
        <f t="shared" si="6"/>
        <v/>
      </c>
      <c r="G119" s="53" t="str">
        <f t="shared" si="7"/>
        <v/>
      </c>
      <c r="H119" s="48"/>
    </row>
    <row r="120" spans="1:8" ht="15" customHeight="1" x14ac:dyDescent="0.2">
      <c r="A120" s="38"/>
      <c r="B120" s="48"/>
      <c r="C120" s="53" t="str">
        <f t="shared" si="4"/>
        <v/>
      </c>
      <c r="D120" s="48" t="str">
        <f t="shared" si="5"/>
        <v/>
      </c>
      <c r="E120" s="53"/>
      <c r="F120" s="48" t="str">
        <f t="shared" si="6"/>
        <v/>
      </c>
      <c r="G120" s="53" t="str">
        <f t="shared" si="7"/>
        <v/>
      </c>
      <c r="H120" s="48"/>
    </row>
    <row r="121" spans="1:8" ht="15" customHeight="1" x14ac:dyDescent="0.2">
      <c r="A121" s="38"/>
      <c r="B121" s="48"/>
      <c r="C121" s="53" t="str">
        <f t="shared" si="4"/>
        <v/>
      </c>
      <c r="D121" s="48" t="str">
        <f t="shared" si="5"/>
        <v/>
      </c>
      <c r="E121" s="53"/>
      <c r="F121" s="48" t="str">
        <f t="shared" si="6"/>
        <v/>
      </c>
      <c r="G121" s="53" t="str">
        <f t="shared" si="7"/>
        <v/>
      </c>
      <c r="H121" s="48"/>
    </row>
    <row r="122" spans="1:8" ht="15" customHeight="1" x14ac:dyDescent="0.2">
      <c r="A122" s="38"/>
      <c r="B122" s="48"/>
      <c r="C122" s="53" t="str">
        <f t="shared" si="4"/>
        <v/>
      </c>
      <c r="D122" s="48" t="str">
        <f t="shared" si="5"/>
        <v/>
      </c>
      <c r="E122" s="53"/>
      <c r="F122" s="48" t="str">
        <f t="shared" si="6"/>
        <v/>
      </c>
      <c r="G122" s="53" t="str">
        <f t="shared" si="7"/>
        <v/>
      </c>
      <c r="H122" s="48"/>
    </row>
    <row r="123" spans="1:8" ht="15" customHeight="1" x14ac:dyDescent="0.2">
      <c r="A123" s="38"/>
      <c r="B123" s="48"/>
      <c r="C123" s="53" t="str">
        <f t="shared" si="4"/>
        <v/>
      </c>
      <c r="D123" s="48" t="str">
        <f t="shared" si="5"/>
        <v/>
      </c>
      <c r="E123" s="53"/>
      <c r="F123" s="48" t="str">
        <f t="shared" si="6"/>
        <v/>
      </c>
      <c r="G123" s="53" t="str">
        <f t="shared" si="7"/>
        <v/>
      </c>
      <c r="H123" s="48"/>
    </row>
    <row r="124" spans="1:8" ht="15" customHeight="1" x14ac:dyDescent="0.2">
      <c r="A124" s="38"/>
      <c r="B124" s="48"/>
      <c r="C124" s="53" t="str">
        <f t="shared" si="4"/>
        <v/>
      </c>
      <c r="D124" s="48" t="str">
        <f t="shared" si="5"/>
        <v/>
      </c>
      <c r="E124" s="53"/>
      <c r="F124" s="48" t="str">
        <f t="shared" si="6"/>
        <v/>
      </c>
      <c r="G124" s="53" t="str">
        <f t="shared" si="7"/>
        <v/>
      </c>
      <c r="H124" s="48"/>
    </row>
    <row r="125" spans="1:8" ht="15" customHeight="1" x14ac:dyDescent="0.2">
      <c r="A125" s="38"/>
      <c r="B125" s="48"/>
      <c r="C125" s="53" t="str">
        <f t="shared" si="4"/>
        <v/>
      </c>
      <c r="D125" s="48" t="str">
        <f t="shared" si="5"/>
        <v/>
      </c>
      <c r="E125" s="53"/>
      <c r="F125" s="48" t="str">
        <f t="shared" si="6"/>
        <v/>
      </c>
      <c r="G125" s="53" t="str">
        <f t="shared" si="7"/>
        <v/>
      </c>
      <c r="H125" s="48"/>
    </row>
    <row r="126" spans="1:8" ht="15" customHeight="1" x14ac:dyDescent="0.2">
      <c r="A126" s="38"/>
      <c r="B126" s="48"/>
      <c r="C126" s="53" t="str">
        <f t="shared" si="4"/>
        <v/>
      </c>
      <c r="D126" s="48" t="str">
        <f t="shared" si="5"/>
        <v/>
      </c>
      <c r="E126" s="53"/>
      <c r="F126" s="48" t="str">
        <f t="shared" si="6"/>
        <v/>
      </c>
      <c r="G126" s="53" t="str">
        <f t="shared" si="7"/>
        <v/>
      </c>
      <c r="H126" s="48"/>
    </row>
    <row r="127" spans="1:8" ht="15" customHeight="1" x14ac:dyDescent="0.2">
      <c r="A127" s="38"/>
      <c r="B127" s="48"/>
      <c r="C127" s="53" t="str">
        <f t="shared" si="4"/>
        <v/>
      </c>
      <c r="D127" s="48" t="str">
        <f t="shared" si="5"/>
        <v/>
      </c>
      <c r="E127" s="53"/>
      <c r="F127" s="48" t="str">
        <f t="shared" si="6"/>
        <v/>
      </c>
      <c r="G127" s="53" t="str">
        <f t="shared" si="7"/>
        <v/>
      </c>
      <c r="H127" s="48"/>
    </row>
    <row r="128" spans="1:8" ht="15" customHeight="1" x14ac:dyDescent="0.2">
      <c r="A128" s="38"/>
      <c r="B128" s="48"/>
      <c r="C128" s="53" t="str">
        <f t="shared" si="4"/>
        <v/>
      </c>
      <c r="D128" s="48" t="str">
        <f t="shared" si="5"/>
        <v/>
      </c>
      <c r="E128" s="53"/>
      <c r="F128" s="48" t="str">
        <f t="shared" si="6"/>
        <v/>
      </c>
      <c r="G128" s="53" t="str">
        <f t="shared" si="7"/>
        <v/>
      </c>
      <c r="H128" s="48"/>
    </row>
    <row r="129" spans="1:8" ht="15" customHeight="1" x14ac:dyDescent="0.2">
      <c r="A129" s="38"/>
      <c r="B129" s="48"/>
      <c r="C129" s="53" t="str">
        <f t="shared" si="4"/>
        <v/>
      </c>
      <c r="D129" s="48" t="str">
        <f t="shared" si="5"/>
        <v/>
      </c>
      <c r="E129" s="53"/>
      <c r="F129" s="48" t="str">
        <f t="shared" si="6"/>
        <v/>
      </c>
      <c r="G129" s="53" t="str">
        <f t="shared" si="7"/>
        <v/>
      </c>
      <c r="H129" s="48"/>
    </row>
    <row r="130" spans="1:8" ht="15" customHeight="1" x14ac:dyDescent="0.2">
      <c r="A130" s="38"/>
      <c r="B130" s="48"/>
      <c r="C130" s="53" t="str">
        <f t="shared" si="4"/>
        <v/>
      </c>
      <c r="D130" s="48" t="str">
        <f t="shared" si="5"/>
        <v/>
      </c>
      <c r="E130" s="53"/>
      <c r="F130" s="48" t="str">
        <f t="shared" si="6"/>
        <v/>
      </c>
      <c r="G130" s="53" t="str">
        <f t="shared" si="7"/>
        <v/>
      </c>
      <c r="H130" s="48"/>
    </row>
    <row r="131" spans="1:8" ht="15" customHeight="1" x14ac:dyDescent="0.2">
      <c r="A131" s="38"/>
      <c r="B131" s="48"/>
      <c r="C131" s="53" t="str">
        <f t="shared" si="4"/>
        <v/>
      </c>
      <c r="D131" s="48" t="str">
        <f t="shared" si="5"/>
        <v/>
      </c>
      <c r="E131" s="53"/>
      <c r="F131" s="48" t="str">
        <f t="shared" si="6"/>
        <v/>
      </c>
      <c r="G131" s="53" t="str">
        <f t="shared" si="7"/>
        <v/>
      </c>
      <c r="H131" s="48"/>
    </row>
    <row r="132" spans="1:8" ht="15" customHeight="1" x14ac:dyDescent="0.2">
      <c r="A132" s="38"/>
      <c r="B132" s="48"/>
      <c r="C132" s="53" t="str">
        <f t="shared" si="4"/>
        <v/>
      </c>
      <c r="D132" s="48" t="str">
        <f t="shared" si="5"/>
        <v/>
      </c>
      <c r="E132" s="53"/>
      <c r="F132" s="48" t="str">
        <f t="shared" si="6"/>
        <v/>
      </c>
      <c r="G132" s="53" t="str">
        <f t="shared" si="7"/>
        <v/>
      </c>
      <c r="H132" s="48"/>
    </row>
    <row r="133" spans="1:8" ht="15" customHeight="1" x14ac:dyDescent="0.2">
      <c r="A133" s="38"/>
      <c r="B133" s="48"/>
      <c r="C133" s="53" t="str">
        <f t="shared" si="4"/>
        <v/>
      </c>
      <c r="D133" s="48" t="str">
        <f t="shared" si="5"/>
        <v/>
      </c>
      <c r="E133" s="53"/>
      <c r="F133" s="48" t="str">
        <f t="shared" si="6"/>
        <v/>
      </c>
      <c r="G133" s="53" t="str">
        <f t="shared" si="7"/>
        <v/>
      </c>
      <c r="H133" s="48"/>
    </row>
    <row r="134" spans="1:8" ht="15" customHeight="1" x14ac:dyDescent="0.2">
      <c r="A134" s="38"/>
      <c r="B134" s="48"/>
      <c r="C134" s="53" t="str">
        <f t="shared" si="4"/>
        <v/>
      </c>
      <c r="D134" s="48" t="str">
        <f t="shared" si="5"/>
        <v/>
      </c>
      <c r="E134" s="53"/>
      <c r="F134" s="48" t="str">
        <f t="shared" si="6"/>
        <v/>
      </c>
      <c r="G134" s="53" t="str">
        <f t="shared" si="7"/>
        <v/>
      </c>
      <c r="H134" s="48"/>
    </row>
    <row r="135" spans="1:8" ht="15" customHeight="1" x14ac:dyDescent="0.2">
      <c r="A135" s="38"/>
      <c r="B135" s="48"/>
      <c r="C135" s="53" t="str">
        <f t="shared" si="4"/>
        <v/>
      </c>
      <c r="D135" s="48" t="str">
        <f t="shared" si="5"/>
        <v/>
      </c>
      <c r="E135" s="53"/>
      <c r="F135" s="48" t="str">
        <f t="shared" si="6"/>
        <v/>
      </c>
      <c r="G135" s="53" t="str">
        <f t="shared" si="7"/>
        <v/>
      </c>
      <c r="H135" s="48"/>
    </row>
    <row r="136" spans="1:8" ht="15" customHeight="1" x14ac:dyDescent="0.2">
      <c r="A136" s="38"/>
      <c r="B136" s="48"/>
      <c r="C136" s="53" t="str">
        <f t="shared" si="4"/>
        <v/>
      </c>
      <c r="D136" s="48" t="str">
        <f t="shared" si="5"/>
        <v/>
      </c>
      <c r="E136" s="53"/>
      <c r="F136" s="48" t="str">
        <f t="shared" si="6"/>
        <v/>
      </c>
      <c r="G136" s="53" t="str">
        <f t="shared" si="7"/>
        <v/>
      </c>
      <c r="H136" s="48"/>
    </row>
    <row r="137" spans="1:8" ht="15" customHeight="1" x14ac:dyDescent="0.2">
      <c r="A137" s="38"/>
      <c r="B137" s="48"/>
      <c r="C137" s="53" t="str">
        <f t="shared" si="4"/>
        <v/>
      </c>
      <c r="D137" s="48" t="str">
        <f t="shared" si="5"/>
        <v/>
      </c>
      <c r="E137" s="53"/>
      <c r="F137" s="48" t="str">
        <f t="shared" si="6"/>
        <v/>
      </c>
      <c r="G137" s="53" t="str">
        <f t="shared" si="7"/>
        <v/>
      </c>
      <c r="H137" s="48"/>
    </row>
    <row r="138" spans="1:8" ht="15" customHeight="1" x14ac:dyDescent="0.2">
      <c r="A138" s="38"/>
      <c r="B138" s="48"/>
      <c r="C138" s="53" t="str">
        <f t="shared" si="4"/>
        <v/>
      </c>
      <c r="D138" s="48" t="str">
        <f t="shared" si="5"/>
        <v/>
      </c>
      <c r="E138" s="53"/>
      <c r="F138" s="48" t="str">
        <f t="shared" si="6"/>
        <v/>
      </c>
      <c r="G138" s="53" t="str">
        <f t="shared" si="7"/>
        <v/>
      </c>
      <c r="H138" s="48"/>
    </row>
    <row r="139" spans="1:8" ht="15" customHeight="1" x14ac:dyDescent="0.2">
      <c r="A139" s="38"/>
      <c r="B139" s="48"/>
      <c r="C139" s="53" t="str">
        <f t="shared" si="4"/>
        <v/>
      </c>
      <c r="D139" s="48" t="str">
        <f t="shared" si="5"/>
        <v/>
      </c>
      <c r="E139" s="53"/>
      <c r="F139" s="48" t="str">
        <f t="shared" si="6"/>
        <v/>
      </c>
      <c r="G139" s="53" t="str">
        <f t="shared" si="7"/>
        <v/>
      </c>
      <c r="H139" s="48"/>
    </row>
    <row r="140" spans="1:8" ht="15" customHeight="1" x14ac:dyDescent="0.2">
      <c r="A140" s="38"/>
      <c r="B140" s="48"/>
      <c r="C140" s="53" t="str">
        <f t="shared" si="4"/>
        <v/>
      </c>
      <c r="D140" s="48" t="str">
        <f t="shared" si="5"/>
        <v/>
      </c>
      <c r="E140" s="53"/>
      <c r="F140" s="48" t="str">
        <f t="shared" si="6"/>
        <v/>
      </c>
      <c r="G140" s="53" t="str">
        <f t="shared" si="7"/>
        <v/>
      </c>
      <c r="H140" s="48"/>
    </row>
    <row r="141" spans="1:8" ht="15" customHeight="1" x14ac:dyDescent="0.2">
      <c r="A141" s="38"/>
      <c r="B141" s="48"/>
      <c r="C141" s="53" t="str">
        <f t="shared" ref="C141:C204" si="8">IF(B141="","",20.412)</f>
        <v/>
      </c>
      <c r="D141" s="48" t="str">
        <f t="shared" ref="D141:D204" si="9">IF(B141="","",B141*C141)</f>
        <v/>
      </c>
      <c r="E141" s="53"/>
      <c r="F141" s="48" t="str">
        <f t="shared" ref="F141:F204" si="10">IF(D141="","",D141-IF(E141="",0,E141))</f>
        <v/>
      </c>
      <c r="G141" s="53" t="str">
        <f t="shared" ref="G141:G204" si="11">IF(A141="","","27"&amp;MID(A141,4,2)&amp;LEFT(A141,2))</f>
        <v/>
      </c>
      <c r="H141" s="48"/>
    </row>
    <row r="142" spans="1:8" ht="15" customHeight="1" x14ac:dyDescent="0.2">
      <c r="A142" s="38"/>
      <c r="B142" s="48"/>
      <c r="C142" s="53" t="str">
        <f t="shared" si="8"/>
        <v/>
      </c>
      <c r="D142" s="48" t="str">
        <f t="shared" si="9"/>
        <v/>
      </c>
      <c r="E142" s="53"/>
      <c r="F142" s="48" t="str">
        <f t="shared" si="10"/>
        <v/>
      </c>
      <c r="G142" s="53" t="str">
        <f t="shared" si="11"/>
        <v/>
      </c>
      <c r="H142" s="48"/>
    </row>
    <row r="143" spans="1:8" ht="15" customHeight="1" x14ac:dyDescent="0.2">
      <c r="A143" s="38"/>
      <c r="B143" s="48"/>
      <c r="C143" s="53" t="str">
        <f t="shared" si="8"/>
        <v/>
      </c>
      <c r="D143" s="48" t="str">
        <f t="shared" si="9"/>
        <v/>
      </c>
      <c r="E143" s="53"/>
      <c r="F143" s="48" t="str">
        <f t="shared" si="10"/>
        <v/>
      </c>
      <c r="G143" s="53" t="str">
        <f t="shared" si="11"/>
        <v/>
      </c>
      <c r="H143" s="48"/>
    </row>
    <row r="144" spans="1:8" ht="15" customHeight="1" x14ac:dyDescent="0.2">
      <c r="A144" s="38"/>
      <c r="B144" s="48"/>
      <c r="C144" s="53" t="str">
        <f t="shared" si="8"/>
        <v/>
      </c>
      <c r="D144" s="48" t="str">
        <f t="shared" si="9"/>
        <v/>
      </c>
      <c r="E144" s="53"/>
      <c r="F144" s="48" t="str">
        <f t="shared" si="10"/>
        <v/>
      </c>
      <c r="G144" s="53" t="str">
        <f t="shared" si="11"/>
        <v/>
      </c>
      <c r="H144" s="48"/>
    </row>
    <row r="145" spans="1:8" ht="15" customHeight="1" x14ac:dyDescent="0.2">
      <c r="A145" s="38"/>
      <c r="B145" s="48"/>
      <c r="C145" s="53" t="str">
        <f t="shared" si="8"/>
        <v/>
      </c>
      <c r="D145" s="48" t="str">
        <f t="shared" si="9"/>
        <v/>
      </c>
      <c r="E145" s="53"/>
      <c r="F145" s="48" t="str">
        <f t="shared" si="10"/>
        <v/>
      </c>
      <c r="G145" s="53" t="str">
        <f t="shared" si="11"/>
        <v/>
      </c>
      <c r="H145" s="48"/>
    </row>
    <row r="146" spans="1:8" ht="15" customHeight="1" x14ac:dyDescent="0.2">
      <c r="A146" s="38"/>
      <c r="B146" s="48"/>
      <c r="C146" s="53" t="str">
        <f t="shared" si="8"/>
        <v/>
      </c>
      <c r="D146" s="48" t="str">
        <f t="shared" si="9"/>
        <v/>
      </c>
      <c r="E146" s="53"/>
      <c r="F146" s="48" t="str">
        <f t="shared" si="10"/>
        <v/>
      </c>
      <c r="G146" s="53" t="str">
        <f t="shared" si="11"/>
        <v/>
      </c>
      <c r="H146" s="48"/>
    </row>
    <row r="147" spans="1:8" ht="15" customHeight="1" x14ac:dyDescent="0.2">
      <c r="A147" s="38"/>
      <c r="B147" s="48"/>
      <c r="C147" s="53" t="str">
        <f t="shared" si="8"/>
        <v/>
      </c>
      <c r="D147" s="48" t="str">
        <f t="shared" si="9"/>
        <v/>
      </c>
      <c r="E147" s="53"/>
      <c r="F147" s="48" t="str">
        <f t="shared" si="10"/>
        <v/>
      </c>
      <c r="G147" s="53" t="str">
        <f t="shared" si="11"/>
        <v/>
      </c>
      <c r="H147" s="48"/>
    </row>
    <row r="148" spans="1:8" ht="15" customHeight="1" x14ac:dyDescent="0.2">
      <c r="A148" s="38"/>
      <c r="B148" s="48"/>
      <c r="C148" s="53" t="str">
        <f t="shared" si="8"/>
        <v/>
      </c>
      <c r="D148" s="48" t="str">
        <f t="shared" si="9"/>
        <v/>
      </c>
      <c r="E148" s="53"/>
      <c r="F148" s="48" t="str">
        <f t="shared" si="10"/>
        <v/>
      </c>
      <c r="G148" s="53" t="str">
        <f t="shared" si="11"/>
        <v/>
      </c>
      <c r="H148" s="48"/>
    </row>
    <row r="149" spans="1:8" ht="15" customHeight="1" x14ac:dyDescent="0.2">
      <c r="A149" s="38"/>
      <c r="B149" s="48"/>
      <c r="C149" s="53" t="str">
        <f t="shared" si="8"/>
        <v/>
      </c>
      <c r="D149" s="48" t="str">
        <f t="shared" si="9"/>
        <v/>
      </c>
      <c r="E149" s="53"/>
      <c r="F149" s="48" t="str">
        <f t="shared" si="10"/>
        <v/>
      </c>
      <c r="G149" s="53" t="str">
        <f t="shared" si="11"/>
        <v/>
      </c>
      <c r="H149" s="48"/>
    </row>
    <row r="150" spans="1:8" ht="15" customHeight="1" x14ac:dyDescent="0.2">
      <c r="A150" s="38"/>
      <c r="B150" s="48"/>
      <c r="C150" s="53" t="str">
        <f t="shared" si="8"/>
        <v/>
      </c>
      <c r="D150" s="48" t="str">
        <f t="shared" si="9"/>
        <v/>
      </c>
      <c r="E150" s="53"/>
      <c r="F150" s="48" t="str">
        <f t="shared" si="10"/>
        <v/>
      </c>
      <c r="G150" s="53" t="str">
        <f t="shared" si="11"/>
        <v/>
      </c>
      <c r="H150" s="48"/>
    </row>
    <row r="151" spans="1:8" ht="15" customHeight="1" x14ac:dyDescent="0.2">
      <c r="A151" s="38"/>
      <c r="B151" s="48"/>
      <c r="C151" s="53" t="str">
        <f t="shared" si="8"/>
        <v/>
      </c>
      <c r="D151" s="48" t="str">
        <f t="shared" si="9"/>
        <v/>
      </c>
      <c r="E151" s="53"/>
      <c r="F151" s="48" t="str">
        <f t="shared" si="10"/>
        <v/>
      </c>
      <c r="G151" s="53" t="str">
        <f t="shared" si="11"/>
        <v/>
      </c>
      <c r="H151" s="48"/>
    </row>
    <row r="152" spans="1:8" ht="15" customHeight="1" x14ac:dyDescent="0.2">
      <c r="A152" s="38"/>
      <c r="B152" s="48"/>
      <c r="C152" s="53" t="str">
        <f t="shared" si="8"/>
        <v/>
      </c>
      <c r="D152" s="48" t="str">
        <f t="shared" si="9"/>
        <v/>
      </c>
      <c r="E152" s="53"/>
      <c r="F152" s="48" t="str">
        <f t="shared" si="10"/>
        <v/>
      </c>
      <c r="G152" s="53" t="str">
        <f t="shared" si="11"/>
        <v/>
      </c>
      <c r="H152" s="48"/>
    </row>
    <row r="153" spans="1:8" ht="15" customHeight="1" x14ac:dyDescent="0.2">
      <c r="A153" s="38"/>
      <c r="B153" s="48"/>
      <c r="C153" s="53" t="str">
        <f t="shared" si="8"/>
        <v/>
      </c>
      <c r="D153" s="48" t="str">
        <f t="shared" si="9"/>
        <v/>
      </c>
      <c r="E153" s="53"/>
      <c r="F153" s="48" t="str">
        <f t="shared" si="10"/>
        <v/>
      </c>
      <c r="G153" s="53" t="str">
        <f t="shared" si="11"/>
        <v/>
      </c>
      <c r="H153" s="48"/>
    </row>
    <row r="154" spans="1:8" ht="15" customHeight="1" x14ac:dyDescent="0.2">
      <c r="A154" s="38"/>
      <c r="B154" s="48"/>
      <c r="C154" s="53" t="str">
        <f t="shared" si="8"/>
        <v/>
      </c>
      <c r="D154" s="48" t="str">
        <f t="shared" si="9"/>
        <v/>
      </c>
      <c r="E154" s="53"/>
      <c r="F154" s="48" t="str">
        <f t="shared" si="10"/>
        <v/>
      </c>
      <c r="G154" s="53" t="str">
        <f t="shared" si="11"/>
        <v/>
      </c>
      <c r="H154" s="48"/>
    </row>
    <row r="155" spans="1:8" ht="15" customHeight="1" x14ac:dyDescent="0.2">
      <c r="A155" s="38"/>
      <c r="B155" s="48"/>
      <c r="C155" s="53" t="str">
        <f t="shared" si="8"/>
        <v/>
      </c>
      <c r="D155" s="48" t="str">
        <f t="shared" si="9"/>
        <v/>
      </c>
      <c r="E155" s="53"/>
      <c r="F155" s="48" t="str">
        <f t="shared" si="10"/>
        <v/>
      </c>
      <c r="G155" s="53" t="str">
        <f t="shared" si="11"/>
        <v/>
      </c>
      <c r="H155" s="48"/>
    </row>
    <row r="156" spans="1:8" ht="15" customHeight="1" x14ac:dyDescent="0.2">
      <c r="A156" s="38"/>
      <c r="B156" s="48"/>
      <c r="C156" s="53" t="str">
        <f t="shared" si="8"/>
        <v/>
      </c>
      <c r="D156" s="48" t="str">
        <f t="shared" si="9"/>
        <v/>
      </c>
      <c r="E156" s="53"/>
      <c r="F156" s="48" t="str">
        <f t="shared" si="10"/>
        <v/>
      </c>
      <c r="G156" s="53" t="str">
        <f t="shared" si="11"/>
        <v/>
      </c>
      <c r="H156" s="48"/>
    </row>
    <row r="157" spans="1:8" ht="15" customHeight="1" x14ac:dyDescent="0.2">
      <c r="A157" s="38"/>
      <c r="B157" s="48"/>
      <c r="C157" s="53" t="str">
        <f t="shared" si="8"/>
        <v/>
      </c>
      <c r="D157" s="48" t="str">
        <f t="shared" si="9"/>
        <v/>
      </c>
      <c r="E157" s="53"/>
      <c r="F157" s="48" t="str">
        <f t="shared" si="10"/>
        <v/>
      </c>
      <c r="G157" s="53" t="str">
        <f t="shared" si="11"/>
        <v/>
      </c>
      <c r="H157" s="48"/>
    </row>
    <row r="158" spans="1:8" ht="15" customHeight="1" x14ac:dyDescent="0.2">
      <c r="A158" s="38"/>
      <c r="B158" s="48"/>
      <c r="C158" s="53" t="str">
        <f t="shared" si="8"/>
        <v/>
      </c>
      <c r="D158" s="48" t="str">
        <f t="shared" si="9"/>
        <v/>
      </c>
      <c r="E158" s="53"/>
      <c r="F158" s="48" t="str">
        <f t="shared" si="10"/>
        <v/>
      </c>
      <c r="G158" s="53" t="str">
        <f t="shared" si="11"/>
        <v/>
      </c>
      <c r="H158" s="48"/>
    </row>
    <row r="159" spans="1:8" ht="15" customHeight="1" x14ac:dyDescent="0.2">
      <c r="A159" s="38"/>
      <c r="B159" s="48"/>
      <c r="C159" s="53" t="str">
        <f t="shared" si="8"/>
        <v/>
      </c>
      <c r="D159" s="48" t="str">
        <f t="shared" si="9"/>
        <v/>
      </c>
      <c r="E159" s="53"/>
      <c r="F159" s="48" t="str">
        <f t="shared" si="10"/>
        <v/>
      </c>
      <c r="G159" s="53" t="str">
        <f t="shared" si="11"/>
        <v/>
      </c>
      <c r="H159" s="48"/>
    </row>
    <row r="160" spans="1:8" ht="15" customHeight="1" x14ac:dyDescent="0.2">
      <c r="A160" s="38"/>
      <c r="B160" s="48"/>
      <c r="C160" s="53" t="str">
        <f t="shared" si="8"/>
        <v/>
      </c>
      <c r="D160" s="48" t="str">
        <f t="shared" si="9"/>
        <v/>
      </c>
      <c r="E160" s="53"/>
      <c r="F160" s="48" t="str">
        <f t="shared" si="10"/>
        <v/>
      </c>
      <c r="G160" s="53" t="str">
        <f t="shared" si="11"/>
        <v/>
      </c>
      <c r="H160" s="48"/>
    </row>
    <row r="161" spans="1:8" ht="15" customHeight="1" x14ac:dyDescent="0.2">
      <c r="A161" s="38"/>
      <c r="B161" s="48"/>
      <c r="C161" s="53" t="str">
        <f t="shared" si="8"/>
        <v/>
      </c>
      <c r="D161" s="48" t="str">
        <f t="shared" si="9"/>
        <v/>
      </c>
      <c r="E161" s="53"/>
      <c r="F161" s="48" t="str">
        <f t="shared" si="10"/>
        <v/>
      </c>
      <c r="G161" s="53" t="str">
        <f t="shared" si="11"/>
        <v/>
      </c>
      <c r="H161" s="48"/>
    </row>
    <row r="162" spans="1:8" ht="15" customHeight="1" x14ac:dyDescent="0.2">
      <c r="A162" s="38"/>
      <c r="B162" s="48"/>
      <c r="C162" s="53" t="str">
        <f t="shared" si="8"/>
        <v/>
      </c>
      <c r="D162" s="48" t="str">
        <f t="shared" si="9"/>
        <v/>
      </c>
      <c r="E162" s="53"/>
      <c r="F162" s="48" t="str">
        <f t="shared" si="10"/>
        <v/>
      </c>
      <c r="G162" s="53" t="str">
        <f t="shared" si="11"/>
        <v/>
      </c>
      <c r="H162" s="48"/>
    </row>
    <row r="163" spans="1:8" ht="15" customHeight="1" x14ac:dyDescent="0.2">
      <c r="A163" s="38"/>
      <c r="B163" s="48"/>
      <c r="C163" s="53" t="str">
        <f t="shared" si="8"/>
        <v/>
      </c>
      <c r="D163" s="48" t="str">
        <f t="shared" si="9"/>
        <v/>
      </c>
      <c r="E163" s="53"/>
      <c r="F163" s="48" t="str">
        <f t="shared" si="10"/>
        <v/>
      </c>
      <c r="G163" s="53" t="str">
        <f t="shared" si="11"/>
        <v/>
      </c>
      <c r="H163" s="48"/>
    </row>
    <row r="164" spans="1:8" ht="15" customHeight="1" x14ac:dyDescent="0.2">
      <c r="A164" s="38"/>
      <c r="B164" s="48"/>
      <c r="C164" s="53" t="str">
        <f t="shared" si="8"/>
        <v/>
      </c>
      <c r="D164" s="48" t="str">
        <f t="shared" si="9"/>
        <v/>
      </c>
      <c r="E164" s="53"/>
      <c r="F164" s="48" t="str">
        <f t="shared" si="10"/>
        <v/>
      </c>
      <c r="G164" s="53" t="str">
        <f t="shared" si="11"/>
        <v/>
      </c>
      <c r="H164" s="48"/>
    </row>
    <row r="165" spans="1:8" ht="15" customHeight="1" x14ac:dyDescent="0.2">
      <c r="A165" s="38"/>
      <c r="B165" s="48"/>
      <c r="C165" s="53" t="str">
        <f t="shared" si="8"/>
        <v/>
      </c>
      <c r="D165" s="48" t="str">
        <f t="shared" si="9"/>
        <v/>
      </c>
      <c r="E165" s="53"/>
      <c r="F165" s="48" t="str">
        <f t="shared" si="10"/>
        <v/>
      </c>
      <c r="G165" s="53" t="str">
        <f t="shared" si="11"/>
        <v/>
      </c>
      <c r="H165" s="48"/>
    </row>
    <row r="166" spans="1:8" ht="15" customHeight="1" x14ac:dyDescent="0.2">
      <c r="A166" s="38"/>
      <c r="B166" s="48"/>
      <c r="C166" s="53" t="str">
        <f t="shared" si="8"/>
        <v/>
      </c>
      <c r="D166" s="48" t="str">
        <f t="shared" si="9"/>
        <v/>
      </c>
      <c r="E166" s="53"/>
      <c r="F166" s="48" t="str">
        <f t="shared" si="10"/>
        <v/>
      </c>
      <c r="G166" s="53" t="str">
        <f t="shared" si="11"/>
        <v/>
      </c>
      <c r="H166" s="48"/>
    </row>
    <row r="167" spans="1:8" ht="15" customHeight="1" x14ac:dyDescent="0.2">
      <c r="A167" s="38"/>
      <c r="B167" s="48"/>
      <c r="C167" s="53" t="str">
        <f t="shared" si="8"/>
        <v/>
      </c>
      <c r="D167" s="48" t="str">
        <f t="shared" si="9"/>
        <v/>
      </c>
      <c r="E167" s="53"/>
      <c r="F167" s="48" t="str">
        <f t="shared" si="10"/>
        <v/>
      </c>
      <c r="G167" s="53" t="str">
        <f t="shared" si="11"/>
        <v/>
      </c>
      <c r="H167" s="48"/>
    </row>
    <row r="168" spans="1:8" ht="15" customHeight="1" x14ac:dyDescent="0.2">
      <c r="A168" s="38"/>
      <c r="B168" s="48"/>
      <c r="C168" s="53" t="str">
        <f t="shared" si="8"/>
        <v/>
      </c>
      <c r="D168" s="48" t="str">
        <f t="shared" si="9"/>
        <v/>
      </c>
      <c r="E168" s="53"/>
      <c r="F168" s="48" t="str">
        <f t="shared" si="10"/>
        <v/>
      </c>
      <c r="G168" s="53" t="str">
        <f t="shared" si="11"/>
        <v/>
      </c>
      <c r="H168" s="48"/>
    </row>
    <row r="169" spans="1:8" ht="15" customHeight="1" x14ac:dyDescent="0.2">
      <c r="A169" s="38"/>
      <c r="B169" s="48"/>
      <c r="C169" s="53" t="str">
        <f t="shared" si="8"/>
        <v/>
      </c>
      <c r="D169" s="48" t="str">
        <f t="shared" si="9"/>
        <v/>
      </c>
      <c r="E169" s="53"/>
      <c r="F169" s="48" t="str">
        <f t="shared" si="10"/>
        <v/>
      </c>
      <c r="G169" s="53" t="str">
        <f t="shared" si="11"/>
        <v/>
      </c>
      <c r="H169" s="48"/>
    </row>
    <row r="170" spans="1:8" ht="15" customHeight="1" x14ac:dyDescent="0.2">
      <c r="A170" s="38"/>
      <c r="B170" s="48"/>
      <c r="C170" s="53" t="str">
        <f t="shared" si="8"/>
        <v/>
      </c>
      <c r="D170" s="48" t="str">
        <f t="shared" si="9"/>
        <v/>
      </c>
      <c r="E170" s="53"/>
      <c r="F170" s="48" t="str">
        <f t="shared" si="10"/>
        <v/>
      </c>
      <c r="G170" s="53" t="str">
        <f t="shared" si="11"/>
        <v/>
      </c>
      <c r="H170" s="48"/>
    </row>
    <row r="171" spans="1:8" ht="15" customHeight="1" x14ac:dyDescent="0.2">
      <c r="A171" s="38"/>
      <c r="B171" s="48"/>
      <c r="C171" s="53" t="str">
        <f t="shared" si="8"/>
        <v/>
      </c>
      <c r="D171" s="48" t="str">
        <f t="shared" si="9"/>
        <v/>
      </c>
      <c r="E171" s="53"/>
      <c r="F171" s="48" t="str">
        <f t="shared" si="10"/>
        <v/>
      </c>
      <c r="G171" s="53" t="str">
        <f t="shared" si="11"/>
        <v/>
      </c>
      <c r="H171" s="48"/>
    </row>
    <row r="172" spans="1:8" ht="15" customHeight="1" x14ac:dyDescent="0.2">
      <c r="A172" s="38"/>
      <c r="B172" s="48"/>
      <c r="C172" s="53" t="str">
        <f t="shared" si="8"/>
        <v/>
      </c>
      <c r="D172" s="48" t="str">
        <f t="shared" si="9"/>
        <v/>
      </c>
      <c r="E172" s="53"/>
      <c r="F172" s="48" t="str">
        <f t="shared" si="10"/>
        <v/>
      </c>
      <c r="G172" s="53" t="str">
        <f t="shared" si="11"/>
        <v/>
      </c>
      <c r="H172" s="48"/>
    </row>
    <row r="173" spans="1:8" ht="15" customHeight="1" x14ac:dyDescent="0.2">
      <c r="A173" s="38"/>
      <c r="B173" s="48"/>
      <c r="C173" s="53" t="str">
        <f t="shared" si="8"/>
        <v/>
      </c>
      <c r="D173" s="48" t="str">
        <f t="shared" si="9"/>
        <v/>
      </c>
      <c r="E173" s="53"/>
      <c r="F173" s="48" t="str">
        <f t="shared" si="10"/>
        <v/>
      </c>
      <c r="G173" s="53" t="str">
        <f t="shared" si="11"/>
        <v/>
      </c>
      <c r="H173" s="48"/>
    </row>
    <row r="174" spans="1:8" ht="15" customHeight="1" x14ac:dyDescent="0.2">
      <c r="A174" s="38"/>
      <c r="B174" s="48"/>
      <c r="C174" s="53" t="str">
        <f t="shared" si="8"/>
        <v/>
      </c>
      <c r="D174" s="48" t="str">
        <f t="shared" si="9"/>
        <v/>
      </c>
      <c r="E174" s="53"/>
      <c r="F174" s="48" t="str">
        <f t="shared" si="10"/>
        <v/>
      </c>
      <c r="G174" s="53" t="str">
        <f t="shared" si="11"/>
        <v/>
      </c>
      <c r="H174" s="48"/>
    </row>
    <row r="175" spans="1:8" ht="15" customHeight="1" x14ac:dyDescent="0.2">
      <c r="A175" s="38"/>
      <c r="B175" s="48"/>
      <c r="C175" s="53" t="str">
        <f t="shared" si="8"/>
        <v/>
      </c>
      <c r="D175" s="48" t="str">
        <f t="shared" si="9"/>
        <v/>
      </c>
      <c r="E175" s="53"/>
      <c r="F175" s="48" t="str">
        <f t="shared" si="10"/>
        <v/>
      </c>
      <c r="G175" s="53" t="str">
        <f t="shared" si="11"/>
        <v/>
      </c>
      <c r="H175" s="48"/>
    </row>
    <row r="176" spans="1:8" ht="15" customHeight="1" x14ac:dyDescent="0.2">
      <c r="A176" s="38"/>
      <c r="B176" s="48"/>
      <c r="C176" s="53" t="str">
        <f t="shared" si="8"/>
        <v/>
      </c>
      <c r="D176" s="48" t="str">
        <f t="shared" si="9"/>
        <v/>
      </c>
      <c r="E176" s="53"/>
      <c r="F176" s="48" t="str">
        <f t="shared" si="10"/>
        <v/>
      </c>
      <c r="G176" s="53" t="str">
        <f t="shared" si="11"/>
        <v/>
      </c>
      <c r="H176" s="48"/>
    </row>
    <row r="177" spans="1:8" ht="15" customHeight="1" x14ac:dyDescent="0.2">
      <c r="A177" s="38"/>
      <c r="B177" s="48"/>
      <c r="C177" s="53" t="str">
        <f t="shared" si="8"/>
        <v/>
      </c>
      <c r="D177" s="48" t="str">
        <f t="shared" si="9"/>
        <v/>
      </c>
      <c r="E177" s="53"/>
      <c r="F177" s="48" t="str">
        <f t="shared" si="10"/>
        <v/>
      </c>
      <c r="G177" s="53" t="str">
        <f t="shared" si="11"/>
        <v/>
      </c>
      <c r="H177" s="48"/>
    </row>
    <row r="178" spans="1:8" ht="15" customHeight="1" x14ac:dyDescent="0.2">
      <c r="A178" s="38"/>
      <c r="B178" s="48"/>
      <c r="C178" s="53" t="str">
        <f t="shared" si="8"/>
        <v/>
      </c>
      <c r="D178" s="48" t="str">
        <f t="shared" si="9"/>
        <v/>
      </c>
      <c r="E178" s="53"/>
      <c r="F178" s="48" t="str">
        <f t="shared" si="10"/>
        <v/>
      </c>
      <c r="G178" s="53" t="str">
        <f t="shared" si="11"/>
        <v/>
      </c>
      <c r="H178" s="48"/>
    </row>
    <row r="179" spans="1:8" ht="15" customHeight="1" x14ac:dyDescent="0.2">
      <c r="A179" s="38"/>
      <c r="B179" s="48"/>
      <c r="C179" s="53" t="str">
        <f t="shared" si="8"/>
        <v/>
      </c>
      <c r="D179" s="48" t="str">
        <f t="shared" si="9"/>
        <v/>
      </c>
      <c r="E179" s="53"/>
      <c r="F179" s="48" t="str">
        <f t="shared" si="10"/>
        <v/>
      </c>
      <c r="G179" s="53" t="str">
        <f t="shared" si="11"/>
        <v/>
      </c>
      <c r="H179" s="48"/>
    </row>
    <row r="180" spans="1:8" ht="15" customHeight="1" x14ac:dyDescent="0.2">
      <c r="A180" s="38"/>
      <c r="B180" s="48"/>
      <c r="C180" s="53" t="str">
        <f t="shared" si="8"/>
        <v/>
      </c>
      <c r="D180" s="48" t="str">
        <f t="shared" si="9"/>
        <v/>
      </c>
      <c r="E180" s="53"/>
      <c r="F180" s="48" t="str">
        <f t="shared" si="10"/>
        <v/>
      </c>
      <c r="G180" s="53" t="str">
        <f t="shared" si="11"/>
        <v/>
      </c>
      <c r="H180" s="48"/>
    </row>
    <row r="181" spans="1:8" ht="15" customHeight="1" x14ac:dyDescent="0.2">
      <c r="A181" s="38"/>
      <c r="B181" s="48"/>
      <c r="C181" s="53" t="str">
        <f t="shared" si="8"/>
        <v/>
      </c>
      <c r="D181" s="48" t="str">
        <f t="shared" si="9"/>
        <v/>
      </c>
      <c r="E181" s="53"/>
      <c r="F181" s="48" t="str">
        <f t="shared" si="10"/>
        <v/>
      </c>
      <c r="G181" s="53" t="str">
        <f t="shared" si="11"/>
        <v/>
      </c>
      <c r="H181" s="48"/>
    </row>
    <row r="182" spans="1:8" ht="15" customHeight="1" x14ac:dyDescent="0.2">
      <c r="A182" s="38"/>
      <c r="B182" s="48"/>
      <c r="C182" s="53" t="str">
        <f t="shared" si="8"/>
        <v/>
      </c>
      <c r="D182" s="48" t="str">
        <f t="shared" si="9"/>
        <v/>
      </c>
      <c r="E182" s="53"/>
      <c r="F182" s="48" t="str">
        <f t="shared" si="10"/>
        <v/>
      </c>
      <c r="G182" s="53" t="str">
        <f t="shared" si="11"/>
        <v/>
      </c>
      <c r="H182" s="48"/>
    </row>
    <row r="183" spans="1:8" ht="15" customHeight="1" x14ac:dyDescent="0.2">
      <c r="A183" s="38"/>
      <c r="B183" s="48"/>
      <c r="C183" s="53" t="str">
        <f t="shared" si="8"/>
        <v/>
      </c>
      <c r="D183" s="48" t="str">
        <f t="shared" si="9"/>
        <v/>
      </c>
      <c r="E183" s="53"/>
      <c r="F183" s="48" t="str">
        <f t="shared" si="10"/>
        <v/>
      </c>
      <c r="G183" s="53" t="str">
        <f t="shared" si="11"/>
        <v/>
      </c>
      <c r="H183" s="48"/>
    </row>
    <row r="184" spans="1:8" ht="15" customHeight="1" x14ac:dyDescent="0.2">
      <c r="A184" s="38"/>
      <c r="B184" s="48"/>
      <c r="C184" s="53" t="str">
        <f t="shared" si="8"/>
        <v/>
      </c>
      <c r="D184" s="48" t="str">
        <f t="shared" si="9"/>
        <v/>
      </c>
      <c r="E184" s="53"/>
      <c r="F184" s="48" t="str">
        <f t="shared" si="10"/>
        <v/>
      </c>
      <c r="G184" s="53" t="str">
        <f t="shared" si="11"/>
        <v/>
      </c>
      <c r="H184" s="48"/>
    </row>
    <row r="185" spans="1:8" ht="15" customHeight="1" x14ac:dyDescent="0.2">
      <c r="A185" s="38"/>
      <c r="B185" s="48"/>
      <c r="C185" s="53" t="str">
        <f t="shared" si="8"/>
        <v/>
      </c>
      <c r="D185" s="48" t="str">
        <f t="shared" si="9"/>
        <v/>
      </c>
      <c r="E185" s="53"/>
      <c r="F185" s="48" t="str">
        <f t="shared" si="10"/>
        <v/>
      </c>
      <c r="G185" s="53" t="str">
        <f t="shared" si="11"/>
        <v/>
      </c>
      <c r="H185" s="48"/>
    </row>
    <row r="186" spans="1:8" ht="15" customHeight="1" x14ac:dyDescent="0.2">
      <c r="A186" s="38"/>
      <c r="B186" s="48"/>
      <c r="C186" s="53" t="str">
        <f t="shared" si="8"/>
        <v/>
      </c>
      <c r="D186" s="48" t="str">
        <f t="shared" si="9"/>
        <v/>
      </c>
      <c r="E186" s="53"/>
      <c r="F186" s="48" t="str">
        <f t="shared" si="10"/>
        <v/>
      </c>
      <c r="G186" s="53" t="str">
        <f t="shared" si="11"/>
        <v/>
      </c>
      <c r="H186" s="48"/>
    </row>
    <row r="187" spans="1:8" ht="15" customHeight="1" x14ac:dyDescent="0.2">
      <c r="A187" s="38"/>
      <c r="B187" s="48"/>
      <c r="C187" s="53" t="str">
        <f t="shared" si="8"/>
        <v/>
      </c>
      <c r="D187" s="48" t="str">
        <f t="shared" si="9"/>
        <v/>
      </c>
      <c r="E187" s="53"/>
      <c r="F187" s="48" t="str">
        <f t="shared" si="10"/>
        <v/>
      </c>
      <c r="G187" s="53" t="str">
        <f t="shared" si="11"/>
        <v/>
      </c>
      <c r="H187" s="48"/>
    </row>
    <row r="188" spans="1:8" ht="15" customHeight="1" x14ac:dyDescent="0.2">
      <c r="A188" s="38"/>
      <c r="B188" s="48"/>
      <c r="C188" s="53" t="str">
        <f t="shared" si="8"/>
        <v/>
      </c>
      <c r="D188" s="48" t="str">
        <f t="shared" si="9"/>
        <v/>
      </c>
      <c r="E188" s="53"/>
      <c r="F188" s="48" t="str">
        <f t="shared" si="10"/>
        <v/>
      </c>
      <c r="G188" s="53" t="str">
        <f t="shared" si="11"/>
        <v/>
      </c>
      <c r="H188" s="48"/>
    </row>
    <row r="189" spans="1:8" ht="15" customHeight="1" x14ac:dyDescent="0.2">
      <c r="A189" s="38"/>
      <c r="B189" s="48"/>
      <c r="C189" s="53" t="str">
        <f t="shared" si="8"/>
        <v/>
      </c>
      <c r="D189" s="48" t="str">
        <f t="shared" si="9"/>
        <v/>
      </c>
      <c r="E189" s="53"/>
      <c r="F189" s="48" t="str">
        <f t="shared" si="10"/>
        <v/>
      </c>
      <c r="G189" s="53" t="str">
        <f t="shared" si="11"/>
        <v/>
      </c>
      <c r="H189" s="48"/>
    </row>
    <row r="190" spans="1:8" ht="15" customHeight="1" x14ac:dyDescent="0.2">
      <c r="A190" s="38"/>
      <c r="B190" s="48"/>
      <c r="C190" s="53" t="str">
        <f t="shared" si="8"/>
        <v/>
      </c>
      <c r="D190" s="48" t="str">
        <f t="shared" si="9"/>
        <v/>
      </c>
      <c r="E190" s="53"/>
      <c r="F190" s="48" t="str">
        <f t="shared" si="10"/>
        <v/>
      </c>
      <c r="G190" s="53" t="str">
        <f t="shared" si="11"/>
        <v/>
      </c>
      <c r="H190" s="48"/>
    </row>
    <row r="191" spans="1:8" ht="15" customHeight="1" x14ac:dyDescent="0.2">
      <c r="A191" s="38"/>
      <c r="B191" s="48"/>
      <c r="C191" s="53" t="str">
        <f t="shared" si="8"/>
        <v/>
      </c>
      <c r="D191" s="48" t="str">
        <f t="shared" si="9"/>
        <v/>
      </c>
      <c r="E191" s="53"/>
      <c r="F191" s="48" t="str">
        <f t="shared" si="10"/>
        <v/>
      </c>
      <c r="G191" s="53" t="str">
        <f t="shared" si="11"/>
        <v/>
      </c>
      <c r="H191" s="48"/>
    </row>
    <row r="192" spans="1:8" ht="15" customHeight="1" x14ac:dyDescent="0.2">
      <c r="A192" s="38"/>
      <c r="B192" s="48"/>
      <c r="C192" s="53" t="str">
        <f t="shared" si="8"/>
        <v/>
      </c>
      <c r="D192" s="48" t="str">
        <f t="shared" si="9"/>
        <v/>
      </c>
      <c r="E192" s="53"/>
      <c r="F192" s="48" t="str">
        <f t="shared" si="10"/>
        <v/>
      </c>
      <c r="G192" s="53" t="str">
        <f t="shared" si="11"/>
        <v/>
      </c>
      <c r="H192" s="48"/>
    </row>
    <row r="193" spans="1:8" ht="15" customHeight="1" x14ac:dyDescent="0.2">
      <c r="A193" s="38"/>
      <c r="B193" s="48"/>
      <c r="C193" s="53" t="str">
        <f t="shared" si="8"/>
        <v/>
      </c>
      <c r="D193" s="48" t="str">
        <f t="shared" si="9"/>
        <v/>
      </c>
      <c r="E193" s="53"/>
      <c r="F193" s="48" t="str">
        <f t="shared" si="10"/>
        <v/>
      </c>
      <c r="G193" s="53" t="str">
        <f t="shared" si="11"/>
        <v/>
      </c>
      <c r="H193" s="48"/>
    </row>
    <row r="194" spans="1:8" ht="15" customHeight="1" x14ac:dyDescent="0.2">
      <c r="A194" s="38"/>
      <c r="B194" s="48"/>
      <c r="C194" s="53" t="str">
        <f t="shared" si="8"/>
        <v/>
      </c>
      <c r="D194" s="48" t="str">
        <f t="shared" si="9"/>
        <v/>
      </c>
      <c r="E194" s="53"/>
      <c r="F194" s="48" t="str">
        <f t="shared" si="10"/>
        <v/>
      </c>
      <c r="G194" s="53" t="str">
        <f t="shared" si="11"/>
        <v/>
      </c>
      <c r="H194" s="48"/>
    </row>
    <row r="195" spans="1:8" ht="15" customHeight="1" x14ac:dyDescent="0.2">
      <c r="A195" s="38"/>
      <c r="B195" s="48"/>
      <c r="C195" s="53" t="str">
        <f t="shared" si="8"/>
        <v/>
      </c>
      <c r="D195" s="48" t="str">
        <f t="shared" si="9"/>
        <v/>
      </c>
      <c r="E195" s="53"/>
      <c r="F195" s="48" t="str">
        <f t="shared" si="10"/>
        <v/>
      </c>
      <c r="G195" s="53" t="str">
        <f t="shared" si="11"/>
        <v/>
      </c>
      <c r="H195" s="48"/>
    </row>
    <row r="196" spans="1:8" ht="15" customHeight="1" x14ac:dyDescent="0.2">
      <c r="A196" s="38"/>
      <c r="B196" s="48"/>
      <c r="C196" s="53" t="str">
        <f t="shared" si="8"/>
        <v/>
      </c>
      <c r="D196" s="48" t="str">
        <f t="shared" si="9"/>
        <v/>
      </c>
      <c r="E196" s="53"/>
      <c r="F196" s="48" t="str">
        <f t="shared" si="10"/>
        <v/>
      </c>
      <c r="G196" s="53" t="str">
        <f t="shared" si="11"/>
        <v/>
      </c>
      <c r="H196" s="48"/>
    </row>
    <row r="197" spans="1:8" ht="15" customHeight="1" x14ac:dyDescent="0.2">
      <c r="A197" s="38"/>
      <c r="B197" s="48"/>
      <c r="C197" s="53" t="str">
        <f t="shared" si="8"/>
        <v/>
      </c>
      <c r="D197" s="48" t="str">
        <f t="shared" si="9"/>
        <v/>
      </c>
      <c r="E197" s="53"/>
      <c r="F197" s="48" t="str">
        <f t="shared" si="10"/>
        <v/>
      </c>
      <c r="G197" s="53" t="str">
        <f t="shared" si="11"/>
        <v/>
      </c>
      <c r="H197" s="48"/>
    </row>
    <row r="198" spans="1:8" ht="15" customHeight="1" x14ac:dyDescent="0.2">
      <c r="A198" s="38"/>
      <c r="B198" s="48"/>
      <c r="C198" s="53" t="str">
        <f t="shared" si="8"/>
        <v/>
      </c>
      <c r="D198" s="48" t="str">
        <f t="shared" si="9"/>
        <v/>
      </c>
      <c r="E198" s="53"/>
      <c r="F198" s="48" t="str">
        <f t="shared" si="10"/>
        <v/>
      </c>
      <c r="G198" s="53" t="str">
        <f t="shared" si="11"/>
        <v/>
      </c>
      <c r="H198" s="48"/>
    </row>
    <row r="199" spans="1:8" ht="15" customHeight="1" x14ac:dyDescent="0.2">
      <c r="A199" s="38"/>
      <c r="B199" s="48"/>
      <c r="C199" s="53" t="str">
        <f t="shared" si="8"/>
        <v/>
      </c>
      <c r="D199" s="48" t="str">
        <f t="shared" si="9"/>
        <v/>
      </c>
      <c r="E199" s="53"/>
      <c r="F199" s="48" t="str">
        <f t="shared" si="10"/>
        <v/>
      </c>
      <c r="G199" s="53" t="str">
        <f t="shared" si="11"/>
        <v/>
      </c>
      <c r="H199" s="48"/>
    </row>
    <row r="200" spans="1:8" ht="15" customHeight="1" x14ac:dyDescent="0.2">
      <c r="A200" s="38"/>
      <c r="B200" s="48"/>
      <c r="C200" s="53" t="str">
        <f t="shared" si="8"/>
        <v/>
      </c>
      <c r="D200" s="48" t="str">
        <f t="shared" si="9"/>
        <v/>
      </c>
      <c r="E200" s="53"/>
      <c r="F200" s="48" t="str">
        <f t="shared" si="10"/>
        <v/>
      </c>
      <c r="G200" s="53" t="str">
        <f t="shared" si="11"/>
        <v/>
      </c>
      <c r="H200" s="48"/>
    </row>
    <row r="201" spans="1:8" ht="15" customHeight="1" x14ac:dyDescent="0.2">
      <c r="A201" s="38"/>
      <c r="B201" s="48"/>
      <c r="C201" s="53" t="str">
        <f t="shared" si="8"/>
        <v/>
      </c>
      <c r="D201" s="48" t="str">
        <f t="shared" si="9"/>
        <v/>
      </c>
      <c r="E201" s="53"/>
      <c r="F201" s="48" t="str">
        <f t="shared" si="10"/>
        <v/>
      </c>
      <c r="G201" s="53" t="str">
        <f t="shared" si="11"/>
        <v/>
      </c>
      <c r="H201" s="48"/>
    </row>
    <row r="202" spans="1:8" ht="15" customHeight="1" x14ac:dyDescent="0.2">
      <c r="A202" s="38"/>
      <c r="B202" s="48"/>
      <c r="C202" s="53" t="str">
        <f t="shared" si="8"/>
        <v/>
      </c>
      <c r="D202" s="48" t="str">
        <f t="shared" si="9"/>
        <v/>
      </c>
      <c r="E202" s="53"/>
      <c r="F202" s="48" t="str">
        <f t="shared" si="10"/>
        <v/>
      </c>
      <c r="G202" s="53" t="str">
        <f t="shared" si="11"/>
        <v/>
      </c>
      <c r="H202" s="48"/>
    </row>
    <row r="203" spans="1:8" ht="15" customHeight="1" x14ac:dyDescent="0.2">
      <c r="A203" s="38"/>
      <c r="B203" s="48"/>
      <c r="C203" s="53" t="str">
        <f t="shared" si="8"/>
        <v/>
      </c>
      <c r="D203" s="48" t="str">
        <f t="shared" si="9"/>
        <v/>
      </c>
      <c r="E203" s="53"/>
      <c r="F203" s="48" t="str">
        <f t="shared" si="10"/>
        <v/>
      </c>
      <c r="G203" s="53" t="str">
        <f t="shared" si="11"/>
        <v/>
      </c>
      <c r="H203" s="48"/>
    </row>
    <row r="204" spans="1:8" ht="15" customHeight="1" x14ac:dyDescent="0.2">
      <c r="A204" s="38"/>
      <c r="B204" s="48"/>
      <c r="C204" s="53" t="str">
        <f t="shared" si="8"/>
        <v/>
      </c>
      <c r="D204" s="48" t="str">
        <f t="shared" si="9"/>
        <v/>
      </c>
      <c r="E204" s="53"/>
      <c r="F204" s="48" t="str">
        <f t="shared" si="10"/>
        <v/>
      </c>
      <c r="G204" s="53" t="str">
        <f t="shared" si="11"/>
        <v/>
      </c>
      <c r="H204" s="48"/>
    </row>
    <row r="205" spans="1:8" ht="15" customHeight="1" x14ac:dyDescent="0.2">
      <c r="A205" s="38"/>
      <c r="B205" s="48"/>
      <c r="C205" s="53" t="str">
        <f t="shared" ref="C205:C268" si="12">IF(B205="","",20.412)</f>
        <v/>
      </c>
      <c r="D205" s="48" t="str">
        <f t="shared" ref="D205:D268" si="13">IF(B205="","",B205*C205)</f>
        <v/>
      </c>
      <c r="E205" s="53"/>
      <c r="F205" s="48" t="str">
        <f t="shared" ref="F205:F268" si="14">IF(D205="","",D205-IF(E205="",0,E205))</f>
        <v/>
      </c>
      <c r="G205" s="53" t="str">
        <f t="shared" ref="G205:G268" si="15">IF(A205="","","27"&amp;MID(A205,4,2)&amp;LEFT(A205,2))</f>
        <v/>
      </c>
      <c r="H205" s="48"/>
    </row>
    <row r="206" spans="1:8" ht="15" customHeight="1" x14ac:dyDescent="0.2">
      <c r="A206" s="38"/>
      <c r="B206" s="48"/>
      <c r="C206" s="53" t="str">
        <f t="shared" si="12"/>
        <v/>
      </c>
      <c r="D206" s="48" t="str">
        <f t="shared" si="13"/>
        <v/>
      </c>
      <c r="E206" s="53"/>
      <c r="F206" s="48" t="str">
        <f t="shared" si="14"/>
        <v/>
      </c>
      <c r="G206" s="53" t="str">
        <f t="shared" si="15"/>
        <v/>
      </c>
      <c r="H206" s="48"/>
    </row>
    <row r="207" spans="1:8" ht="15" customHeight="1" x14ac:dyDescent="0.2">
      <c r="A207" s="38"/>
      <c r="B207" s="48"/>
      <c r="C207" s="53" t="str">
        <f t="shared" si="12"/>
        <v/>
      </c>
      <c r="D207" s="48" t="str">
        <f t="shared" si="13"/>
        <v/>
      </c>
      <c r="E207" s="53"/>
      <c r="F207" s="48" t="str">
        <f t="shared" si="14"/>
        <v/>
      </c>
      <c r="G207" s="53" t="str">
        <f t="shared" si="15"/>
        <v/>
      </c>
      <c r="H207" s="48"/>
    </row>
    <row r="208" spans="1:8" ht="15" customHeight="1" x14ac:dyDescent="0.2">
      <c r="A208" s="38"/>
      <c r="B208" s="48"/>
      <c r="C208" s="53" t="str">
        <f t="shared" si="12"/>
        <v/>
      </c>
      <c r="D208" s="48" t="str">
        <f t="shared" si="13"/>
        <v/>
      </c>
      <c r="E208" s="53"/>
      <c r="F208" s="48" t="str">
        <f t="shared" si="14"/>
        <v/>
      </c>
      <c r="G208" s="53" t="str">
        <f t="shared" si="15"/>
        <v/>
      </c>
      <c r="H208" s="48"/>
    </row>
    <row r="209" spans="1:8" ht="15" customHeight="1" x14ac:dyDescent="0.2">
      <c r="A209" s="38"/>
      <c r="B209" s="48"/>
      <c r="C209" s="53" t="str">
        <f t="shared" si="12"/>
        <v/>
      </c>
      <c r="D209" s="48" t="str">
        <f t="shared" si="13"/>
        <v/>
      </c>
      <c r="E209" s="53"/>
      <c r="F209" s="48" t="str">
        <f t="shared" si="14"/>
        <v/>
      </c>
      <c r="G209" s="53" t="str">
        <f t="shared" si="15"/>
        <v/>
      </c>
      <c r="H209" s="48"/>
    </row>
    <row r="210" spans="1:8" ht="15" customHeight="1" x14ac:dyDescent="0.2">
      <c r="A210" s="38"/>
      <c r="B210" s="48"/>
      <c r="C210" s="53" t="str">
        <f t="shared" si="12"/>
        <v/>
      </c>
      <c r="D210" s="48" t="str">
        <f t="shared" si="13"/>
        <v/>
      </c>
      <c r="E210" s="53"/>
      <c r="F210" s="48" t="str">
        <f t="shared" si="14"/>
        <v/>
      </c>
      <c r="G210" s="53" t="str">
        <f t="shared" si="15"/>
        <v/>
      </c>
      <c r="H210" s="48"/>
    </row>
    <row r="211" spans="1:8" ht="15" customHeight="1" x14ac:dyDescent="0.2">
      <c r="A211" s="38"/>
      <c r="B211" s="48"/>
      <c r="C211" s="53" t="str">
        <f t="shared" si="12"/>
        <v/>
      </c>
      <c r="D211" s="48" t="str">
        <f t="shared" si="13"/>
        <v/>
      </c>
      <c r="E211" s="53"/>
      <c r="F211" s="48" t="str">
        <f t="shared" si="14"/>
        <v/>
      </c>
      <c r="G211" s="53" t="str">
        <f t="shared" si="15"/>
        <v/>
      </c>
      <c r="H211" s="48"/>
    </row>
    <row r="212" spans="1:8" ht="15" customHeight="1" x14ac:dyDescent="0.2">
      <c r="A212" s="38"/>
      <c r="B212" s="48"/>
      <c r="C212" s="53" t="str">
        <f t="shared" si="12"/>
        <v/>
      </c>
      <c r="D212" s="48" t="str">
        <f t="shared" si="13"/>
        <v/>
      </c>
      <c r="E212" s="53"/>
      <c r="F212" s="48" t="str">
        <f t="shared" si="14"/>
        <v/>
      </c>
      <c r="G212" s="53" t="str">
        <f t="shared" si="15"/>
        <v/>
      </c>
      <c r="H212" s="48"/>
    </row>
    <row r="213" spans="1:8" ht="15" customHeight="1" x14ac:dyDescent="0.2">
      <c r="A213" s="38"/>
      <c r="B213" s="48"/>
      <c r="C213" s="53" t="str">
        <f t="shared" si="12"/>
        <v/>
      </c>
      <c r="D213" s="48" t="str">
        <f t="shared" si="13"/>
        <v/>
      </c>
      <c r="E213" s="53"/>
      <c r="F213" s="48" t="str">
        <f t="shared" si="14"/>
        <v/>
      </c>
      <c r="G213" s="53" t="str">
        <f t="shared" si="15"/>
        <v/>
      </c>
      <c r="H213" s="48"/>
    </row>
    <row r="214" spans="1:8" ht="15" customHeight="1" x14ac:dyDescent="0.2">
      <c r="A214" s="38"/>
      <c r="B214" s="48"/>
      <c r="C214" s="53" t="str">
        <f t="shared" si="12"/>
        <v/>
      </c>
      <c r="D214" s="48" t="str">
        <f t="shared" si="13"/>
        <v/>
      </c>
      <c r="E214" s="53"/>
      <c r="F214" s="48" t="str">
        <f t="shared" si="14"/>
        <v/>
      </c>
      <c r="G214" s="53" t="str">
        <f t="shared" si="15"/>
        <v/>
      </c>
      <c r="H214" s="48"/>
    </row>
    <row r="215" spans="1:8" ht="15" customHeight="1" x14ac:dyDescent="0.2">
      <c r="A215" s="38"/>
      <c r="B215" s="48"/>
      <c r="C215" s="53" t="str">
        <f t="shared" si="12"/>
        <v/>
      </c>
      <c r="D215" s="48" t="str">
        <f t="shared" si="13"/>
        <v/>
      </c>
      <c r="E215" s="53"/>
      <c r="F215" s="48" t="str">
        <f t="shared" si="14"/>
        <v/>
      </c>
      <c r="G215" s="53" t="str">
        <f t="shared" si="15"/>
        <v/>
      </c>
      <c r="H215" s="48"/>
    </row>
    <row r="216" spans="1:8" ht="15" customHeight="1" x14ac:dyDescent="0.2">
      <c r="A216" s="38"/>
      <c r="B216" s="48"/>
      <c r="C216" s="53" t="str">
        <f t="shared" si="12"/>
        <v/>
      </c>
      <c r="D216" s="48" t="str">
        <f t="shared" si="13"/>
        <v/>
      </c>
      <c r="E216" s="53"/>
      <c r="F216" s="48" t="str">
        <f t="shared" si="14"/>
        <v/>
      </c>
      <c r="G216" s="53" t="str">
        <f t="shared" si="15"/>
        <v/>
      </c>
      <c r="H216" s="48"/>
    </row>
    <row r="217" spans="1:8" ht="15" customHeight="1" x14ac:dyDescent="0.2">
      <c r="A217" s="38"/>
      <c r="B217" s="48"/>
      <c r="C217" s="53" t="str">
        <f t="shared" si="12"/>
        <v/>
      </c>
      <c r="D217" s="48" t="str">
        <f t="shared" si="13"/>
        <v/>
      </c>
      <c r="E217" s="53"/>
      <c r="F217" s="48" t="str">
        <f t="shared" si="14"/>
        <v/>
      </c>
      <c r="G217" s="53" t="str">
        <f t="shared" si="15"/>
        <v/>
      </c>
      <c r="H217" s="48"/>
    </row>
    <row r="218" spans="1:8" ht="15" customHeight="1" x14ac:dyDescent="0.2">
      <c r="A218" s="38"/>
      <c r="B218" s="48"/>
      <c r="C218" s="53" t="str">
        <f t="shared" si="12"/>
        <v/>
      </c>
      <c r="D218" s="48" t="str">
        <f t="shared" si="13"/>
        <v/>
      </c>
      <c r="E218" s="53"/>
      <c r="F218" s="48" t="str">
        <f t="shared" si="14"/>
        <v/>
      </c>
      <c r="G218" s="53" t="str">
        <f t="shared" si="15"/>
        <v/>
      </c>
      <c r="H218" s="48"/>
    </row>
    <row r="219" spans="1:8" ht="15" customHeight="1" x14ac:dyDescent="0.2">
      <c r="A219" s="38"/>
      <c r="B219" s="48"/>
      <c r="C219" s="53" t="str">
        <f t="shared" si="12"/>
        <v/>
      </c>
      <c r="D219" s="48" t="str">
        <f t="shared" si="13"/>
        <v/>
      </c>
      <c r="E219" s="53"/>
      <c r="F219" s="48" t="str">
        <f t="shared" si="14"/>
        <v/>
      </c>
      <c r="G219" s="53" t="str">
        <f t="shared" si="15"/>
        <v/>
      </c>
      <c r="H219" s="48"/>
    </row>
    <row r="220" spans="1:8" ht="15" customHeight="1" x14ac:dyDescent="0.2">
      <c r="A220" s="38"/>
      <c r="B220" s="48"/>
      <c r="C220" s="53" t="str">
        <f t="shared" si="12"/>
        <v/>
      </c>
      <c r="D220" s="48" t="str">
        <f t="shared" si="13"/>
        <v/>
      </c>
      <c r="E220" s="53"/>
      <c r="F220" s="48" t="str">
        <f t="shared" si="14"/>
        <v/>
      </c>
      <c r="G220" s="53" t="str">
        <f t="shared" si="15"/>
        <v/>
      </c>
      <c r="H220" s="48"/>
    </row>
    <row r="221" spans="1:8" ht="15" customHeight="1" x14ac:dyDescent="0.2">
      <c r="A221" s="38"/>
      <c r="B221" s="48"/>
      <c r="C221" s="53" t="str">
        <f t="shared" si="12"/>
        <v/>
      </c>
      <c r="D221" s="48" t="str">
        <f t="shared" si="13"/>
        <v/>
      </c>
      <c r="E221" s="53"/>
      <c r="F221" s="48" t="str">
        <f t="shared" si="14"/>
        <v/>
      </c>
      <c r="G221" s="53" t="str">
        <f t="shared" si="15"/>
        <v/>
      </c>
      <c r="H221" s="48"/>
    </row>
    <row r="222" spans="1:8" ht="15" customHeight="1" x14ac:dyDescent="0.2">
      <c r="A222" s="38"/>
      <c r="B222" s="48"/>
      <c r="C222" s="53" t="str">
        <f t="shared" si="12"/>
        <v/>
      </c>
      <c r="D222" s="48" t="str">
        <f t="shared" si="13"/>
        <v/>
      </c>
      <c r="E222" s="53"/>
      <c r="F222" s="48" t="str">
        <f t="shared" si="14"/>
        <v/>
      </c>
      <c r="G222" s="53" t="str">
        <f t="shared" si="15"/>
        <v/>
      </c>
      <c r="H222" s="48"/>
    </row>
    <row r="223" spans="1:8" ht="15" customHeight="1" x14ac:dyDescent="0.2">
      <c r="A223" s="38"/>
      <c r="B223" s="48"/>
      <c r="C223" s="53" t="str">
        <f t="shared" si="12"/>
        <v/>
      </c>
      <c r="D223" s="48" t="str">
        <f t="shared" si="13"/>
        <v/>
      </c>
      <c r="E223" s="53"/>
      <c r="F223" s="48" t="str">
        <f t="shared" si="14"/>
        <v/>
      </c>
      <c r="G223" s="53" t="str">
        <f t="shared" si="15"/>
        <v/>
      </c>
      <c r="H223" s="48"/>
    </row>
    <row r="224" spans="1:8" ht="15" customHeight="1" x14ac:dyDescent="0.2">
      <c r="A224" s="38"/>
      <c r="B224" s="48"/>
      <c r="C224" s="53" t="str">
        <f t="shared" si="12"/>
        <v/>
      </c>
      <c r="D224" s="48" t="str">
        <f t="shared" si="13"/>
        <v/>
      </c>
      <c r="E224" s="53"/>
      <c r="F224" s="48" t="str">
        <f t="shared" si="14"/>
        <v/>
      </c>
      <c r="G224" s="53" t="str">
        <f t="shared" si="15"/>
        <v/>
      </c>
      <c r="H224" s="48"/>
    </row>
    <row r="225" spans="1:8" ht="15" customHeight="1" x14ac:dyDescent="0.2">
      <c r="A225" s="38"/>
      <c r="B225" s="48"/>
      <c r="C225" s="53" t="str">
        <f t="shared" si="12"/>
        <v/>
      </c>
      <c r="D225" s="48" t="str">
        <f t="shared" si="13"/>
        <v/>
      </c>
      <c r="E225" s="53"/>
      <c r="F225" s="48" t="str">
        <f t="shared" si="14"/>
        <v/>
      </c>
      <c r="G225" s="53" t="str">
        <f t="shared" si="15"/>
        <v/>
      </c>
      <c r="H225" s="48"/>
    </row>
    <row r="226" spans="1:8" ht="15" customHeight="1" x14ac:dyDescent="0.2">
      <c r="A226" s="38"/>
      <c r="B226" s="48"/>
      <c r="C226" s="53" t="str">
        <f t="shared" si="12"/>
        <v/>
      </c>
      <c r="D226" s="48" t="str">
        <f t="shared" si="13"/>
        <v/>
      </c>
      <c r="E226" s="53"/>
      <c r="F226" s="48" t="str">
        <f t="shared" si="14"/>
        <v/>
      </c>
      <c r="G226" s="53" t="str">
        <f t="shared" si="15"/>
        <v/>
      </c>
      <c r="H226" s="48"/>
    </row>
    <row r="227" spans="1:8" ht="15" customHeight="1" x14ac:dyDescent="0.2">
      <c r="A227" s="38"/>
      <c r="B227" s="48"/>
      <c r="C227" s="53" t="str">
        <f t="shared" si="12"/>
        <v/>
      </c>
      <c r="D227" s="48" t="str">
        <f t="shared" si="13"/>
        <v/>
      </c>
      <c r="E227" s="53"/>
      <c r="F227" s="48" t="str">
        <f t="shared" si="14"/>
        <v/>
      </c>
      <c r="G227" s="53" t="str">
        <f t="shared" si="15"/>
        <v/>
      </c>
      <c r="H227" s="48"/>
    </row>
    <row r="228" spans="1:8" ht="15" customHeight="1" x14ac:dyDescent="0.2">
      <c r="A228" s="38"/>
      <c r="B228" s="48"/>
      <c r="C228" s="53" t="str">
        <f t="shared" si="12"/>
        <v/>
      </c>
      <c r="D228" s="48" t="str">
        <f t="shared" si="13"/>
        <v/>
      </c>
      <c r="E228" s="53"/>
      <c r="F228" s="48" t="str">
        <f t="shared" si="14"/>
        <v/>
      </c>
      <c r="G228" s="53" t="str">
        <f t="shared" si="15"/>
        <v/>
      </c>
      <c r="H228" s="48"/>
    </row>
    <row r="229" spans="1:8" ht="15" customHeight="1" x14ac:dyDescent="0.2">
      <c r="A229" s="38"/>
      <c r="B229" s="48"/>
      <c r="C229" s="53" t="str">
        <f t="shared" si="12"/>
        <v/>
      </c>
      <c r="D229" s="48" t="str">
        <f t="shared" si="13"/>
        <v/>
      </c>
      <c r="E229" s="53"/>
      <c r="F229" s="48" t="str">
        <f t="shared" si="14"/>
        <v/>
      </c>
      <c r="G229" s="53" t="str">
        <f t="shared" si="15"/>
        <v/>
      </c>
      <c r="H229" s="48"/>
    </row>
    <row r="230" spans="1:8" ht="15" customHeight="1" x14ac:dyDescent="0.2">
      <c r="A230" s="38"/>
      <c r="B230" s="48"/>
      <c r="C230" s="53" t="str">
        <f t="shared" si="12"/>
        <v/>
      </c>
      <c r="D230" s="48" t="str">
        <f t="shared" si="13"/>
        <v/>
      </c>
      <c r="E230" s="53"/>
      <c r="F230" s="48" t="str">
        <f t="shared" si="14"/>
        <v/>
      </c>
      <c r="G230" s="53" t="str">
        <f t="shared" si="15"/>
        <v/>
      </c>
      <c r="H230" s="48"/>
    </row>
    <row r="231" spans="1:8" ht="15" customHeight="1" x14ac:dyDescent="0.2">
      <c r="A231" s="38"/>
      <c r="B231" s="48"/>
      <c r="C231" s="53" t="str">
        <f t="shared" si="12"/>
        <v/>
      </c>
      <c r="D231" s="48" t="str">
        <f t="shared" si="13"/>
        <v/>
      </c>
      <c r="E231" s="53"/>
      <c r="F231" s="48" t="str">
        <f t="shared" si="14"/>
        <v/>
      </c>
      <c r="G231" s="53" t="str">
        <f t="shared" si="15"/>
        <v/>
      </c>
      <c r="H231" s="48"/>
    </row>
    <row r="232" spans="1:8" ht="15" customHeight="1" x14ac:dyDescent="0.2">
      <c r="A232" s="38"/>
      <c r="B232" s="48"/>
      <c r="C232" s="53" t="str">
        <f t="shared" si="12"/>
        <v/>
      </c>
      <c r="D232" s="48" t="str">
        <f t="shared" si="13"/>
        <v/>
      </c>
      <c r="E232" s="53"/>
      <c r="F232" s="48" t="str">
        <f t="shared" si="14"/>
        <v/>
      </c>
      <c r="G232" s="53" t="str">
        <f t="shared" si="15"/>
        <v/>
      </c>
      <c r="H232" s="48"/>
    </row>
    <row r="233" spans="1:8" ht="15" customHeight="1" x14ac:dyDescent="0.2">
      <c r="A233" s="38"/>
      <c r="B233" s="48"/>
      <c r="C233" s="53" t="str">
        <f t="shared" si="12"/>
        <v/>
      </c>
      <c r="D233" s="48" t="str">
        <f t="shared" si="13"/>
        <v/>
      </c>
      <c r="E233" s="53"/>
      <c r="F233" s="48" t="str">
        <f t="shared" si="14"/>
        <v/>
      </c>
      <c r="G233" s="53" t="str">
        <f t="shared" si="15"/>
        <v/>
      </c>
      <c r="H233" s="48"/>
    </row>
    <row r="234" spans="1:8" ht="15" customHeight="1" x14ac:dyDescent="0.2">
      <c r="A234" s="38"/>
      <c r="B234" s="48"/>
      <c r="C234" s="53" t="str">
        <f t="shared" si="12"/>
        <v/>
      </c>
      <c r="D234" s="48" t="str">
        <f t="shared" si="13"/>
        <v/>
      </c>
      <c r="E234" s="53"/>
      <c r="F234" s="48" t="str">
        <f t="shared" si="14"/>
        <v/>
      </c>
      <c r="G234" s="53" t="str">
        <f t="shared" si="15"/>
        <v/>
      </c>
      <c r="H234" s="48"/>
    </row>
    <row r="235" spans="1:8" ht="15" customHeight="1" x14ac:dyDescent="0.2">
      <c r="A235" s="38"/>
      <c r="B235" s="48"/>
      <c r="C235" s="53" t="str">
        <f t="shared" si="12"/>
        <v/>
      </c>
      <c r="D235" s="48" t="str">
        <f t="shared" si="13"/>
        <v/>
      </c>
      <c r="E235" s="53"/>
      <c r="F235" s="48" t="str">
        <f t="shared" si="14"/>
        <v/>
      </c>
      <c r="G235" s="53" t="str">
        <f t="shared" si="15"/>
        <v/>
      </c>
      <c r="H235" s="48"/>
    </row>
    <row r="236" spans="1:8" ht="15" customHeight="1" x14ac:dyDescent="0.2">
      <c r="A236" s="38"/>
      <c r="B236" s="48"/>
      <c r="C236" s="53" t="str">
        <f t="shared" si="12"/>
        <v/>
      </c>
      <c r="D236" s="48" t="str">
        <f t="shared" si="13"/>
        <v/>
      </c>
      <c r="E236" s="53"/>
      <c r="F236" s="48" t="str">
        <f t="shared" si="14"/>
        <v/>
      </c>
      <c r="G236" s="53" t="str">
        <f t="shared" si="15"/>
        <v/>
      </c>
      <c r="H236" s="48"/>
    </row>
    <row r="237" spans="1:8" ht="15" customHeight="1" x14ac:dyDescent="0.2">
      <c r="A237" s="38"/>
      <c r="B237" s="48"/>
      <c r="C237" s="53" t="str">
        <f t="shared" si="12"/>
        <v/>
      </c>
      <c r="D237" s="48" t="str">
        <f t="shared" si="13"/>
        <v/>
      </c>
      <c r="E237" s="53"/>
      <c r="F237" s="48" t="str">
        <f t="shared" si="14"/>
        <v/>
      </c>
      <c r="G237" s="53" t="str">
        <f t="shared" si="15"/>
        <v/>
      </c>
      <c r="H237" s="48"/>
    </row>
    <row r="238" spans="1:8" ht="15" customHeight="1" x14ac:dyDescent="0.2">
      <c r="A238" s="38"/>
      <c r="B238" s="48"/>
      <c r="C238" s="53" t="str">
        <f t="shared" si="12"/>
        <v/>
      </c>
      <c r="D238" s="48" t="str">
        <f t="shared" si="13"/>
        <v/>
      </c>
      <c r="E238" s="53"/>
      <c r="F238" s="48" t="str">
        <f t="shared" si="14"/>
        <v/>
      </c>
      <c r="G238" s="53" t="str">
        <f t="shared" si="15"/>
        <v/>
      </c>
      <c r="H238" s="48"/>
    </row>
    <row r="239" spans="1:8" ht="15" customHeight="1" x14ac:dyDescent="0.2">
      <c r="A239" s="38"/>
      <c r="B239" s="48"/>
      <c r="C239" s="53" t="str">
        <f t="shared" si="12"/>
        <v/>
      </c>
      <c r="D239" s="48" t="str">
        <f t="shared" si="13"/>
        <v/>
      </c>
      <c r="E239" s="53"/>
      <c r="F239" s="48" t="str">
        <f t="shared" si="14"/>
        <v/>
      </c>
      <c r="G239" s="53" t="str">
        <f t="shared" si="15"/>
        <v/>
      </c>
      <c r="H239" s="48"/>
    </row>
    <row r="240" spans="1:8" ht="15" customHeight="1" x14ac:dyDescent="0.2">
      <c r="A240" s="38"/>
      <c r="B240" s="48"/>
      <c r="C240" s="53" t="str">
        <f t="shared" si="12"/>
        <v/>
      </c>
      <c r="D240" s="48" t="str">
        <f t="shared" si="13"/>
        <v/>
      </c>
      <c r="E240" s="53"/>
      <c r="F240" s="48" t="str">
        <f t="shared" si="14"/>
        <v/>
      </c>
      <c r="G240" s="53" t="str">
        <f t="shared" si="15"/>
        <v/>
      </c>
      <c r="H240" s="48"/>
    </row>
    <row r="241" spans="1:8" ht="15" customHeight="1" x14ac:dyDescent="0.2">
      <c r="A241" s="38"/>
      <c r="B241" s="48"/>
      <c r="C241" s="53" t="str">
        <f t="shared" si="12"/>
        <v/>
      </c>
      <c r="D241" s="48" t="str">
        <f t="shared" si="13"/>
        <v/>
      </c>
      <c r="E241" s="53"/>
      <c r="F241" s="48" t="str">
        <f t="shared" si="14"/>
        <v/>
      </c>
      <c r="G241" s="53" t="str">
        <f t="shared" si="15"/>
        <v/>
      </c>
      <c r="H241" s="48"/>
    </row>
    <row r="242" spans="1:8" ht="15" customHeight="1" x14ac:dyDescent="0.2">
      <c r="A242" s="38"/>
      <c r="B242" s="48"/>
      <c r="C242" s="53" t="str">
        <f t="shared" si="12"/>
        <v/>
      </c>
      <c r="D242" s="48" t="str">
        <f t="shared" si="13"/>
        <v/>
      </c>
      <c r="E242" s="53"/>
      <c r="F242" s="48" t="str">
        <f t="shared" si="14"/>
        <v/>
      </c>
      <c r="G242" s="53" t="str">
        <f t="shared" si="15"/>
        <v/>
      </c>
      <c r="H242" s="48"/>
    </row>
    <row r="243" spans="1:8" ht="15" customHeight="1" x14ac:dyDescent="0.2">
      <c r="A243" s="38"/>
      <c r="B243" s="48"/>
      <c r="C243" s="53" t="str">
        <f t="shared" si="12"/>
        <v/>
      </c>
      <c r="D243" s="48" t="str">
        <f t="shared" si="13"/>
        <v/>
      </c>
      <c r="E243" s="53"/>
      <c r="F243" s="48" t="str">
        <f t="shared" si="14"/>
        <v/>
      </c>
      <c r="G243" s="53" t="str">
        <f t="shared" si="15"/>
        <v/>
      </c>
      <c r="H243" s="48"/>
    </row>
    <row r="244" spans="1:8" ht="15" customHeight="1" x14ac:dyDescent="0.2">
      <c r="A244" s="38"/>
      <c r="B244" s="48"/>
      <c r="C244" s="53" t="str">
        <f t="shared" si="12"/>
        <v/>
      </c>
      <c r="D244" s="48" t="str">
        <f t="shared" si="13"/>
        <v/>
      </c>
      <c r="E244" s="53"/>
      <c r="F244" s="48" t="str">
        <f t="shared" si="14"/>
        <v/>
      </c>
      <c r="G244" s="53" t="str">
        <f t="shared" si="15"/>
        <v/>
      </c>
      <c r="H244" s="48"/>
    </row>
    <row r="245" spans="1:8" ht="15" customHeight="1" x14ac:dyDescent="0.2">
      <c r="A245" s="38"/>
      <c r="B245" s="48"/>
      <c r="C245" s="53" t="str">
        <f t="shared" si="12"/>
        <v/>
      </c>
      <c r="D245" s="48" t="str">
        <f t="shared" si="13"/>
        <v/>
      </c>
      <c r="E245" s="53"/>
      <c r="F245" s="48" t="str">
        <f t="shared" si="14"/>
        <v/>
      </c>
      <c r="G245" s="53" t="str">
        <f t="shared" si="15"/>
        <v/>
      </c>
      <c r="H245" s="48"/>
    </row>
    <row r="246" spans="1:8" ht="15" customHeight="1" x14ac:dyDescent="0.2">
      <c r="A246" s="38"/>
      <c r="B246" s="48"/>
      <c r="C246" s="53" t="str">
        <f t="shared" si="12"/>
        <v/>
      </c>
      <c r="D246" s="48" t="str">
        <f t="shared" si="13"/>
        <v/>
      </c>
      <c r="E246" s="53"/>
      <c r="F246" s="48" t="str">
        <f t="shared" si="14"/>
        <v/>
      </c>
      <c r="G246" s="53" t="str">
        <f t="shared" si="15"/>
        <v/>
      </c>
      <c r="H246" s="48"/>
    </row>
    <row r="247" spans="1:8" ht="15" customHeight="1" x14ac:dyDescent="0.2">
      <c r="A247" s="38"/>
      <c r="B247" s="48"/>
      <c r="C247" s="53" t="str">
        <f t="shared" si="12"/>
        <v/>
      </c>
      <c r="D247" s="48" t="str">
        <f t="shared" si="13"/>
        <v/>
      </c>
      <c r="E247" s="53"/>
      <c r="F247" s="48" t="str">
        <f t="shared" si="14"/>
        <v/>
      </c>
      <c r="G247" s="53" t="str">
        <f t="shared" si="15"/>
        <v/>
      </c>
      <c r="H247" s="48"/>
    </row>
    <row r="248" spans="1:8" ht="15" customHeight="1" x14ac:dyDescent="0.2">
      <c r="A248" s="38"/>
      <c r="B248" s="48"/>
      <c r="C248" s="53" t="str">
        <f t="shared" si="12"/>
        <v/>
      </c>
      <c r="D248" s="48" t="str">
        <f t="shared" si="13"/>
        <v/>
      </c>
      <c r="E248" s="53"/>
      <c r="F248" s="48" t="str">
        <f t="shared" si="14"/>
        <v/>
      </c>
      <c r="G248" s="53" t="str">
        <f t="shared" si="15"/>
        <v/>
      </c>
      <c r="H248" s="48"/>
    </row>
    <row r="249" spans="1:8" ht="15" customHeight="1" x14ac:dyDescent="0.2">
      <c r="A249" s="38"/>
      <c r="B249" s="48"/>
      <c r="C249" s="53" t="str">
        <f t="shared" si="12"/>
        <v/>
      </c>
      <c r="D249" s="48" t="str">
        <f t="shared" si="13"/>
        <v/>
      </c>
      <c r="E249" s="53"/>
      <c r="F249" s="48" t="str">
        <f t="shared" si="14"/>
        <v/>
      </c>
      <c r="G249" s="53" t="str">
        <f t="shared" si="15"/>
        <v/>
      </c>
      <c r="H249" s="48"/>
    </row>
    <row r="250" spans="1:8" ht="15" customHeight="1" x14ac:dyDescent="0.2">
      <c r="A250" s="38"/>
      <c r="B250" s="48"/>
      <c r="C250" s="53" t="str">
        <f t="shared" si="12"/>
        <v/>
      </c>
      <c r="D250" s="48" t="str">
        <f t="shared" si="13"/>
        <v/>
      </c>
      <c r="E250" s="53"/>
      <c r="F250" s="48" t="str">
        <f t="shared" si="14"/>
        <v/>
      </c>
      <c r="G250" s="53" t="str">
        <f t="shared" si="15"/>
        <v/>
      </c>
      <c r="H250" s="48"/>
    </row>
    <row r="251" spans="1:8" ht="15" customHeight="1" x14ac:dyDescent="0.2">
      <c r="A251" s="38"/>
      <c r="B251" s="48"/>
      <c r="C251" s="53" t="str">
        <f t="shared" si="12"/>
        <v/>
      </c>
      <c r="D251" s="48" t="str">
        <f t="shared" si="13"/>
        <v/>
      </c>
      <c r="E251" s="53"/>
      <c r="F251" s="48" t="str">
        <f t="shared" si="14"/>
        <v/>
      </c>
      <c r="G251" s="53" t="str">
        <f t="shared" si="15"/>
        <v/>
      </c>
      <c r="H251" s="48"/>
    </row>
    <row r="252" spans="1:8" ht="15" customHeight="1" x14ac:dyDescent="0.2">
      <c r="A252" s="38"/>
      <c r="B252" s="48"/>
      <c r="C252" s="53" t="str">
        <f t="shared" si="12"/>
        <v/>
      </c>
      <c r="D252" s="48" t="str">
        <f t="shared" si="13"/>
        <v/>
      </c>
      <c r="E252" s="53"/>
      <c r="F252" s="48" t="str">
        <f t="shared" si="14"/>
        <v/>
      </c>
      <c r="G252" s="53" t="str">
        <f t="shared" si="15"/>
        <v/>
      </c>
      <c r="H252" s="48"/>
    </row>
    <row r="253" spans="1:8" ht="15" customHeight="1" x14ac:dyDescent="0.2">
      <c r="A253" s="38"/>
      <c r="B253" s="48"/>
      <c r="C253" s="53" t="str">
        <f t="shared" si="12"/>
        <v/>
      </c>
      <c r="D253" s="48" t="str">
        <f t="shared" si="13"/>
        <v/>
      </c>
      <c r="E253" s="53"/>
      <c r="F253" s="48" t="str">
        <f t="shared" si="14"/>
        <v/>
      </c>
      <c r="G253" s="53" t="str">
        <f t="shared" si="15"/>
        <v/>
      </c>
      <c r="H253" s="48"/>
    </row>
    <row r="254" spans="1:8" ht="15" customHeight="1" x14ac:dyDescent="0.2">
      <c r="A254" s="38"/>
      <c r="B254" s="48"/>
      <c r="C254" s="53" t="str">
        <f t="shared" si="12"/>
        <v/>
      </c>
      <c r="D254" s="48" t="str">
        <f t="shared" si="13"/>
        <v/>
      </c>
      <c r="E254" s="53"/>
      <c r="F254" s="48" t="str">
        <f t="shared" si="14"/>
        <v/>
      </c>
      <c r="G254" s="53" t="str">
        <f t="shared" si="15"/>
        <v/>
      </c>
      <c r="H254" s="48"/>
    </row>
    <row r="255" spans="1:8" ht="15" customHeight="1" x14ac:dyDescent="0.2">
      <c r="A255" s="38"/>
      <c r="B255" s="48"/>
      <c r="C255" s="53" t="str">
        <f t="shared" si="12"/>
        <v/>
      </c>
      <c r="D255" s="48" t="str">
        <f t="shared" si="13"/>
        <v/>
      </c>
      <c r="E255" s="53"/>
      <c r="F255" s="48" t="str">
        <f t="shared" si="14"/>
        <v/>
      </c>
      <c r="G255" s="53" t="str">
        <f t="shared" si="15"/>
        <v/>
      </c>
      <c r="H255" s="48"/>
    </row>
    <row r="256" spans="1:8" ht="15" customHeight="1" x14ac:dyDescent="0.2">
      <c r="A256" s="38"/>
      <c r="B256" s="48"/>
      <c r="C256" s="53" t="str">
        <f t="shared" si="12"/>
        <v/>
      </c>
      <c r="D256" s="48" t="str">
        <f t="shared" si="13"/>
        <v/>
      </c>
      <c r="E256" s="53"/>
      <c r="F256" s="48" t="str">
        <f t="shared" si="14"/>
        <v/>
      </c>
      <c r="G256" s="53" t="str">
        <f t="shared" si="15"/>
        <v/>
      </c>
      <c r="H256" s="48"/>
    </row>
    <row r="257" spans="1:8" ht="15" customHeight="1" x14ac:dyDescent="0.2">
      <c r="A257" s="38"/>
      <c r="B257" s="48"/>
      <c r="C257" s="53" t="str">
        <f t="shared" si="12"/>
        <v/>
      </c>
      <c r="D257" s="48" t="str">
        <f t="shared" si="13"/>
        <v/>
      </c>
      <c r="E257" s="53"/>
      <c r="F257" s="48" t="str">
        <f t="shared" si="14"/>
        <v/>
      </c>
      <c r="G257" s="53" t="str">
        <f t="shared" si="15"/>
        <v/>
      </c>
      <c r="H257" s="48"/>
    </row>
    <row r="258" spans="1:8" ht="15" customHeight="1" x14ac:dyDescent="0.2">
      <c r="A258" s="38"/>
      <c r="B258" s="48"/>
      <c r="C258" s="53" t="str">
        <f t="shared" si="12"/>
        <v/>
      </c>
      <c r="D258" s="48" t="str">
        <f t="shared" si="13"/>
        <v/>
      </c>
      <c r="E258" s="53"/>
      <c r="F258" s="48" t="str">
        <f t="shared" si="14"/>
        <v/>
      </c>
      <c r="G258" s="53" t="str">
        <f t="shared" si="15"/>
        <v/>
      </c>
      <c r="H258" s="48"/>
    </row>
    <row r="259" spans="1:8" ht="15" customHeight="1" x14ac:dyDescent="0.2">
      <c r="A259" s="38"/>
      <c r="B259" s="48"/>
      <c r="C259" s="53" t="str">
        <f t="shared" si="12"/>
        <v/>
      </c>
      <c r="D259" s="48" t="str">
        <f t="shared" si="13"/>
        <v/>
      </c>
      <c r="E259" s="53"/>
      <c r="F259" s="48" t="str">
        <f t="shared" si="14"/>
        <v/>
      </c>
      <c r="G259" s="53" t="str">
        <f t="shared" si="15"/>
        <v/>
      </c>
      <c r="H259" s="48"/>
    </row>
    <row r="260" spans="1:8" ht="15" customHeight="1" x14ac:dyDescent="0.2">
      <c r="A260" s="38"/>
      <c r="B260" s="48"/>
      <c r="C260" s="53" t="str">
        <f t="shared" si="12"/>
        <v/>
      </c>
      <c r="D260" s="48" t="str">
        <f t="shared" si="13"/>
        <v/>
      </c>
      <c r="E260" s="53"/>
      <c r="F260" s="48" t="str">
        <f t="shared" si="14"/>
        <v/>
      </c>
      <c r="G260" s="53" t="str">
        <f t="shared" si="15"/>
        <v/>
      </c>
      <c r="H260" s="48"/>
    </row>
    <row r="261" spans="1:8" ht="15" customHeight="1" x14ac:dyDescent="0.2">
      <c r="A261" s="38"/>
      <c r="B261" s="48"/>
      <c r="C261" s="53" t="str">
        <f t="shared" si="12"/>
        <v/>
      </c>
      <c r="D261" s="48" t="str">
        <f t="shared" si="13"/>
        <v/>
      </c>
      <c r="E261" s="53"/>
      <c r="F261" s="48" t="str">
        <f t="shared" si="14"/>
        <v/>
      </c>
      <c r="G261" s="53" t="str">
        <f t="shared" si="15"/>
        <v/>
      </c>
      <c r="H261" s="48"/>
    </row>
    <row r="262" spans="1:8" ht="15" customHeight="1" x14ac:dyDescent="0.2">
      <c r="A262" s="38"/>
      <c r="B262" s="48"/>
      <c r="C262" s="53" t="str">
        <f t="shared" si="12"/>
        <v/>
      </c>
      <c r="D262" s="48" t="str">
        <f t="shared" si="13"/>
        <v/>
      </c>
      <c r="E262" s="53"/>
      <c r="F262" s="48" t="str">
        <f t="shared" si="14"/>
        <v/>
      </c>
      <c r="G262" s="53" t="str">
        <f t="shared" si="15"/>
        <v/>
      </c>
      <c r="H262" s="48"/>
    </row>
    <row r="263" spans="1:8" ht="15" customHeight="1" x14ac:dyDescent="0.2">
      <c r="A263" s="38"/>
      <c r="B263" s="48"/>
      <c r="C263" s="53" t="str">
        <f t="shared" si="12"/>
        <v/>
      </c>
      <c r="D263" s="48" t="str">
        <f t="shared" si="13"/>
        <v/>
      </c>
      <c r="E263" s="53"/>
      <c r="F263" s="48" t="str">
        <f t="shared" si="14"/>
        <v/>
      </c>
      <c r="G263" s="53" t="str">
        <f t="shared" si="15"/>
        <v/>
      </c>
      <c r="H263" s="48"/>
    </row>
    <row r="264" spans="1:8" ht="15" customHeight="1" x14ac:dyDescent="0.2">
      <c r="A264" s="38"/>
      <c r="B264" s="48"/>
      <c r="C264" s="53" t="str">
        <f t="shared" si="12"/>
        <v/>
      </c>
      <c r="D264" s="48" t="str">
        <f t="shared" si="13"/>
        <v/>
      </c>
      <c r="E264" s="53"/>
      <c r="F264" s="48" t="str">
        <f t="shared" si="14"/>
        <v/>
      </c>
      <c r="G264" s="53" t="str">
        <f t="shared" si="15"/>
        <v/>
      </c>
      <c r="H264" s="48"/>
    </row>
    <row r="265" spans="1:8" ht="15" customHeight="1" x14ac:dyDescent="0.2">
      <c r="A265" s="38"/>
      <c r="B265" s="48"/>
      <c r="C265" s="53" t="str">
        <f t="shared" si="12"/>
        <v/>
      </c>
      <c r="D265" s="48" t="str">
        <f t="shared" si="13"/>
        <v/>
      </c>
      <c r="E265" s="53"/>
      <c r="F265" s="48" t="str">
        <f t="shared" si="14"/>
        <v/>
      </c>
      <c r="G265" s="53" t="str">
        <f t="shared" si="15"/>
        <v/>
      </c>
      <c r="H265" s="48"/>
    </row>
    <row r="266" spans="1:8" ht="15" customHeight="1" x14ac:dyDescent="0.2">
      <c r="A266" s="38"/>
      <c r="B266" s="48"/>
      <c r="C266" s="53" t="str">
        <f t="shared" si="12"/>
        <v/>
      </c>
      <c r="D266" s="48" t="str">
        <f t="shared" si="13"/>
        <v/>
      </c>
      <c r="E266" s="53"/>
      <c r="F266" s="48" t="str">
        <f t="shared" si="14"/>
        <v/>
      </c>
      <c r="G266" s="53" t="str">
        <f t="shared" si="15"/>
        <v/>
      </c>
      <c r="H266" s="48"/>
    </row>
    <row r="267" spans="1:8" ht="15" customHeight="1" x14ac:dyDescent="0.2">
      <c r="A267" s="38"/>
      <c r="B267" s="48"/>
      <c r="C267" s="53" t="str">
        <f t="shared" si="12"/>
        <v/>
      </c>
      <c r="D267" s="48" t="str">
        <f t="shared" si="13"/>
        <v/>
      </c>
      <c r="E267" s="53"/>
      <c r="F267" s="48" t="str">
        <f t="shared" si="14"/>
        <v/>
      </c>
      <c r="G267" s="53" t="str">
        <f t="shared" si="15"/>
        <v/>
      </c>
      <c r="H267" s="48"/>
    </row>
    <row r="268" spans="1:8" ht="15" customHeight="1" x14ac:dyDescent="0.2">
      <c r="A268" s="38"/>
      <c r="B268" s="48"/>
      <c r="C268" s="53" t="str">
        <f t="shared" si="12"/>
        <v/>
      </c>
      <c r="D268" s="48" t="str">
        <f t="shared" si="13"/>
        <v/>
      </c>
      <c r="E268" s="53"/>
      <c r="F268" s="48" t="str">
        <f t="shared" si="14"/>
        <v/>
      </c>
      <c r="G268" s="53" t="str">
        <f t="shared" si="15"/>
        <v/>
      </c>
      <c r="H268" s="48"/>
    </row>
    <row r="269" spans="1:8" ht="15" customHeight="1" x14ac:dyDescent="0.2">
      <c r="A269" s="38"/>
      <c r="B269" s="48"/>
      <c r="C269" s="53" t="str">
        <f t="shared" ref="C269:C332" si="16">IF(B269="","",20.412)</f>
        <v/>
      </c>
      <c r="D269" s="48" t="str">
        <f t="shared" ref="D269:D332" si="17">IF(B269="","",B269*C269)</f>
        <v/>
      </c>
      <c r="E269" s="53"/>
      <c r="F269" s="48" t="str">
        <f t="shared" ref="F269:F332" si="18">IF(D269="","",D269-IF(E269="",0,E269))</f>
        <v/>
      </c>
      <c r="G269" s="53" t="str">
        <f t="shared" ref="G269:G332" si="19">IF(A269="","","27"&amp;MID(A269,4,2)&amp;LEFT(A269,2))</f>
        <v/>
      </c>
      <c r="H269" s="48"/>
    </row>
    <row r="270" spans="1:8" ht="15" customHeight="1" x14ac:dyDescent="0.2">
      <c r="A270" s="38"/>
      <c r="B270" s="48"/>
      <c r="C270" s="53" t="str">
        <f t="shared" si="16"/>
        <v/>
      </c>
      <c r="D270" s="48" t="str">
        <f t="shared" si="17"/>
        <v/>
      </c>
      <c r="E270" s="53"/>
      <c r="F270" s="48" t="str">
        <f t="shared" si="18"/>
        <v/>
      </c>
      <c r="G270" s="53" t="str">
        <f t="shared" si="19"/>
        <v/>
      </c>
      <c r="H270" s="48"/>
    </row>
    <row r="271" spans="1:8" ht="15" customHeight="1" x14ac:dyDescent="0.2">
      <c r="A271" s="38"/>
      <c r="B271" s="48"/>
      <c r="C271" s="53" t="str">
        <f t="shared" si="16"/>
        <v/>
      </c>
      <c r="D271" s="48" t="str">
        <f t="shared" si="17"/>
        <v/>
      </c>
      <c r="E271" s="53"/>
      <c r="F271" s="48" t="str">
        <f t="shared" si="18"/>
        <v/>
      </c>
      <c r="G271" s="53" t="str">
        <f t="shared" si="19"/>
        <v/>
      </c>
      <c r="H271" s="48"/>
    </row>
    <row r="272" spans="1:8" ht="15" customHeight="1" x14ac:dyDescent="0.2">
      <c r="A272" s="38"/>
      <c r="B272" s="48"/>
      <c r="C272" s="53" t="str">
        <f t="shared" si="16"/>
        <v/>
      </c>
      <c r="D272" s="48" t="str">
        <f t="shared" si="17"/>
        <v/>
      </c>
      <c r="E272" s="53"/>
      <c r="F272" s="48" t="str">
        <f t="shared" si="18"/>
        <v/>
      </c>
      <c r="G272" s="53" t="str">
        <f t="shared" si="19"/>
        <v/>
      </c>
      <c r="H272" s="48"/>
    </row>
    <row r="273" spans="1:8" ht="15" customHeight="1" x14ac:dyDescent="0.2">
      <c r="A273" s="38"/>
      <c r="B273" s="48"/>
      <c r="C273" s="53" t="str">
        <f t="shared" si="16"/>
        <v/>
      </c>
      <c r="D273" s="48" t="str">
        <f t="shared" si="17"/>
        <v/>
      </c>
      <c r="E273" s="53"/>
      <c r="F273" s="48" t="str">
        <f t="shared" si="18"/>
        <v/>
      </c>
      <c r="G273" s="53" t="str">
        <f t="shared" si="19"/>
        <v/>
      </c>
      <c r="H273" s="48"/>
    </row>
    <row r="274" spans="1:8" ht="15" customHeight="1" x14ac:dyDescent="0.2">
      <c r="A274" s="38"/>
      <c r="B274" s="48"/>
      <c r="C274" s="53" t="str">
        <f t="shared" si="16"/>
        <v/>
      </c>
      <c r="D274" s="48" t="str">
        <f t="shared" si="17"/>
        <v/>
      </c>
      <c r="E274" s="53"/>
      <c r="F274" s="48" t="str">
        <f t="shared" si="18"/>
        <v/>
      </c>
      <c r="G274" s="53" t="str">
        <f t="shared" si="19"/>
        <v/>
      </c>
      <c r="H274" s="48"/>
    </row>
    <row r="275" spans="1:8" ht="15" customHeight="1" x14ac:dyDescent="0.2">
      <c r="A275" s="38"/>
      <c r="B275" s="48"/>
      <c r="C275" s="53" t="str">
        <f t="shared" si="16"/>
        <v/>
      </c>
      <c r="D275" s="48" t="str">
        <f t="shared" si="17"/>
        <v/>
      </c>
      <c r="E275" s="53"/>
      <c r="F275" s="48" t="str">
        <f t="shared" si="18"/>
        <v/>
      </c>
      <c r="G275" s="53" t="str">
        <f t="shared" si="19"/>
        <v/>
      </c>
      <c r="H275" s="48"/>
    </row>
    <row r="276" spans="1:8" ht="15" customHeight="1" x14ac:dyDescent="0.2">
      <c r="A276" s="38"/>
      <c r="B276" s="48"/>
      <c r="C276" s="53" t="str">
        <f t="shared" si="16"/>
        <v/>
      </c>
      <c r="D276" s="48" t="str">
        <f t="shared" si="17"/>
        <v/>
      </c>
      <c r="E276" s="53"/>
      <c r="F276" s="48" t="str">
        <f t="shared" si="18"/>
        <v/>
      </c>
      <c r="G276" s="53" t="str">
        <f t="shared" si="19"/>
        <v/>
      </c>
      <c r="H276" s="48"/>
    </row>
    <row r="277" spans="1:8" ht="15" customHeight="1" x14ac:dyDescent="0.2">
      <c r="A277" s="38"/>
      <c r="B277" s="48"/>
      <c r="C277" s="53" t="str">
        <f t="shared" si="16"/>
        <v/>
      </c>
      <c r="D277" s="48" t="str">
        <f t="shared" si="17"/>
        <v/>
      </c>
      <c r="E277" s="53"/>
      <c r="F277" s="48" t="str">
        <f t="shared" si="18"/>
        <v/>
      </c>
      <c r="G277" s="53" t="str">
        <f t="shared" si="19"/>
        <v/>
      </c>
      <c r="H277" s="48"/>
    </row>
    <row r="278" spans="1:8" ht="15" customHeight="1" x14ac:dyDescent="0.2">
      <c r="A278" s="38"/>
      <c r="B278" s="48"/>
      <c r="C278" s="53" t="str">
        <f t="shared" si="16"/>
        <v/>
      </c>
      <c r="D278" s="48" t="str">
        <f t="shared" si="17"/>
        <v/>
      </c>
      <c r="E278" s="53"/>
      <c r="F278" s="48" t="str">
        <f t="shared" si="18"/>
        <v/>
      </c>
      <c r="G278" s="53" t="str">
        <f t="shared" si="19"/>
        <v/>
      </c>
      <c r="H278" s="48"/>
    </row>
    <row r="279" spans="1:8" ht="15" customHeight="1" x14ac:dyDescent="0.2">
      <c r="A279" s="38"/>
      <c r="B279" s="48"/>
      <c r="C279" s="53" t="str">
        <f t="shared" si="16"/>
        <v/>
      </c>
      <c r="D279" s="48" t="str">
        <f t="shared" si="17"/>
        <v/>
      </c>
      <c r="E279" s="53"/>
      <c r="F279" s="48" t="str">
        <f t="shared" si="18"/>
        <v/>
      </c>
      <c r="G279" s="53" t="str">
        <f t="shared" si="19"/>
        <v/>
      </c>
      <c r="H279" s="48"/>
    </row>
    <row r="280" spans="1:8" ht="15" customHeight="1" x14ac:dyDescent="0.2">
      <c r="A280" s="38"/>
      <c r="B280" s="48"/>
      <c r="C280" s="53" t="str">
        <f t="shared" si="16"/>
        <v/>
      </c>
      <c r="D280" s="48" t="str">
        <f t="shared" si="17"/>
        <v/>
      </c>
      <c r="E280" s="53"/>
      <c r="F280" s="48" t="str">
        <f t="shared" si="18"/>
        <v/>
      </c>
      <c r="G280" s="53" t="str">
        <f t="shared" si="19"/>
        <v/>
      </c>
      <c r="H280" s="48"/>
    </row>
    <row r="281" spans="1:8" ht="15" customHeight="1" x14ac:dyDescent="0.2">
      <c r="A281" s="38"/>
      <c r="B281" s="48"/>
      <c r="C281" s="53" t="str">
        <f t="shared" si="16"/>
        <v/>
      </c>
      <c r="D281" s="48" t="str">
        <f t="shared" si="17"/>
        <v/>
      </c>
      <c r="E281" s="53"/>
      <c r="F281" s="48" t="str">
        <f t="shared" si="18"/>
        <v/>
      </c>
      <c r="G281" s="53" t="str">
        <f t="shared" si="19"/>
        <v/>
      </c>
      <c r="H281" s="48"/>
    </row>
    <row r="282" spans="1:8" ht="15" customHeight="1" x14ac:dyDescent="0.2">
      <c r="A282" s="38"/>
      <c r="B282" s="48"/>
      <c r="C282" s="53" t="str">
        <f t="shared" si="16"/>
        <v/>
      </c>
      <c r="D282" s="48" t="str">
        <f t="shared" si="17"/>
        <v/>
      </c>
      <c r="E282" s="53"/>
      <c r="F282" s="48" t="str">
        <f t="shared" si="18"/>
        <v/>
      </c>
      <c r="G282" s="53" t="str">
        <f t="shared" si="19"/>
        <v/>
      </c>
      <c r="H282" s="48"/>
    </row>
    <row r="283" spans="1:8" ht="15" customHeight="1" x14ac:dyDescent="0.2">
      <c r="A283" s="38"/>
      <c r="B283" s="48"/>
      <c r="C283" s="53" t="str">
        <f t="shared" si="16"/>
        <v/>
      </c>
      <c r="D283" s="48" t="str">
        <f t="shared" si="17"/>
        <v/>
      </c>
      <c r="E283" s="53"/>
      <c r="F283" s="48" t="str">
        <f t="shared" si="18"/>
        <v/>
      </c>
      <c r="G283" s="53" t="str">
        <f t="shared" si="19"/>
        <v/>
      </c>
      <c r="H283" s="48"/>
    </row>
    <row r="284" spans="1:8" ht="15" customHeight="1" x14ac:dyDescent="0.2">
      <c r="A284" s="38"/>
      <c r="B284" s="48"/>
      <c r="C284" s="53" t="str">
        <f t="shared" si="16"/>
        <v/>
      </c>
      <c r="D284" s="48" t="str">
        <f t="shared" si="17"/>
        <v/>
      </c>
      <c r="E284" s="53"/>
      <c r="F284" s="48" t="str">
        <f t="shared" si="18"/>
        <v/>
      </c>
      <c r="G284" s="53" t="str">
        <f t="shared" si="19"/>
        <v/>
      </c>
      <c r="H284" s="48"/>
    </row>
    <row r="285" spans="1:8" ht="15" customHeight="1" x14ac:dyDescent="0.2">
      <c r="A285" s="38"/>
      <c r="B285" s="48"/>
      <c r="C285" s="53" t="str">
        <f t="shared" si="16"/>
        <v/>
      </c>
      <c r="D285" s="48" t="str">
        <f t="shared" si="17"/>
        <v/>
      </c>
      <c r="E285" s="53"/>
      <c r="F285" s="48" t="str">
        <f t="shared" si="18"/>
        <v/>
      </c>
      <c r="G285" s="53" t="str">
        <f t="shared" si="19"/>
        <v/>
      </c>
      <c r="H285" s="48"/>
    </row>
    <row r="286" spans="1:8" ht="15" customHeight="1" x14ac:dyDescent="0.2">
      <c r="A286" s="38"/>
      <c r="B286" s="48"/>
      <c r="C286" s="53" t="str">
        <f t="shared" si="16"/>
        <v/>
      </c>
      <c r="D286" s="48" t="str">
        <f t="shared" si="17"/>
        <v/>
      </c>
      <c r="E286" s="53"/>
      <c r="F286" s="48" t="str">
        <f t="shared" si="18"/>
        <v/>
      </c>
      <c r="G286" s="53" t="str">
        <f t="shared" si="19"/>
        <v/>
      </c>
      <c r="H286" s="48"/>
    </row>
    <row r="287" spans="1:8" ht="15" customHeight="1" x14ac:dyDescent="0.2">
      <c r="A287" s="38"/>
      <c r="B287" s="48"/>
      <c r="C287" s="53" t="str">
        <f t="shared" si="16"/>
        <v/>
      </c>
      <c r="D287" s="48" t="str">
        <f t="shared" si="17"/>
        <v/>
      </c>
      <c r="E287" s="53"/>
      <c r="F287" s="48" t="str">
        <f t="shared" si="18"/>
        <v/>
      </c>
      <c r="G287" s="53" t="str">
        <f t="shared" si="19"/>
        <v/>
      </c>
      <c r="H287" s="48"/>
    </row>
    <row r="288" spans="1:8" ht="15" customHeight="1" x14ac:dyDescent="0.2">
      <c r="A288" s="38"/>
      <c r="B288" s="48"/>
      <c r="C288" s="53" t="str">
        <f t="shared" si="16"/>
        <v/>
      </c>
      <c r="D288" s="48" t="str">
        <f t="shared" si="17"/>
        <v/>
      </c>
      <c r="E288" s="53"/>
      <c r="F288" s="48" t="str">
        <f t="shared" si="18"/>
        <v/>
      </c>
      <c r="G288" s="53" t="str">
        <f t="shared" si="19"/>
        <v/>
      </c>
      <c r="H288" s="48"/>
    </row>
    <row r="289" spans="1:8" ht="15" customHeight="1" x14ac:dyDescent="0.2">
      <c r="A289" s="38"/>
      <c r="B289" s="48"/>
      <c r="C289" s="53" t="str">
        <f t="shared" si="16"/>
        <v/>
      </c>
      <c r="D289" s="48" t="str">
        <f t="shared" si="17"/>
        <v/>
      </c>
      <c r="E289" s="53"/>
      <c r="F289" s="48" t="str">
        <f t="shared" si="18"/>
        <v/>
      </c>
      <c r="G289" s="53" t="str">
        <f t="shared" si="19"/>
        <v/>
      </c>
      <c r="H289" s="48"/>
    </row>
    <row r="290" spans="1:8" ht="15" customHeight="1" x14ac:dyDescent="0.2">
      <c r="A290" s="38"/>
      <c r="B290" s="48"/>
      <c r="C290" s="53" t="str">
        <f t="shared" si="16"/>
        <v/>
      </c>
      <c r="D290" s="48" t="str">
        <f t="shared" si="17"/>
        <v/>
      </c>
      <c r="E290" s="53"/>
      <c r="F290" s="48" t="str">
        <f t="shared" si="18"/>
        <v/>
      </c>
      <c r="G290" s="53" t="str">
        <f t="shared" si="19"/>
        <v/>
      </c>
      <c r="H290" s="48"/>
    </row>
    <row r="291" spans="1:8" ht="15" customHeight="1" x14ac:dyDescent="0.2">
      <c r="A291" s="38"/>
      <c r="B291" s="48"/>
      <c r="C291" s="53" t="str">
        <f t="shared" si="16"/>
        <v/>
      </c>
      <c r="D291" s="48" t="str">
        <f t="shared" si="17"/>
        <v/>
      </c>
      <c r="E291" s="53"/>
      <c r="F291" s="48" t="str">
        <f t="shared" si="18"/>
        <v/>
      </c>
      <c r="G291" s="53" t="str">
        <f t="shared" si="19"/>
        <v/>
      </c>
      <c r="H291" s="48"/>
    </row>
    <row r="292" spans="1:8" ht="15" customHeight="1" x14ac:dyDescent="0.2">
      <c r="A292" s="38"/>
      <c r="B292" s="48"/>
      <c r="C292" s="53" t="str">
        <f t="shared" si="16"/>
        <v/>
      </c>
      <c r="D292" s="48" t="str">
        <f t="shared" si="17"/>
        <v/>
      </c>
      <c r="E292" s="53"/>
      <c r="F292" s="48" t="str">
        <f t="shared" si="18"/>
        <v/>
      </c>
      <c r="G292" s="53" t="str">
        <f t="shared" si="19"/>
        <v/>
      </c>
      <c r="H292" s="48"/>
    </row>
    <row r="293" spans="1:8" ht="15" customHeight="1" x14ac:dyDescent="0.2">
      <c r="A293" s="38"/>
      <c r="B293" s="48"/>
      <c r="C293" s="53" t="str">
        <f t="shared" si="16"/>
        <v/>
      </c>
      <c r="D293" s="48" t="str">
        <f t="shared" si="17"/>
        <v/>
      </c>
      <c r="E293" s="53"/>
      <c r="F293" s="48" t="str">
        <f t="shared" si="18"/>
        <v/>
      </c>
      <c r="G293" s="53" t="str">
        <f t="shared" si="19"/>
        <v/>
      </c>
      <c r="H293" s="48"/>
    </row>
    <row r="294" spans="1:8" ht="15" customHeight="1" x14ac:dyDescent="0.2">
      <c r="A294" s="38"/>
      <c r="B294" s="48"/>
      <c r="C294" s="53" t="str">
        <f t="shared" si="16"/>
        <v/>
      </c>
      <c r="D294" s="48" t="str">
        <f t="shared" si="17"/>
        <v/>
      </c>
      <c r="E294" s="53"/>
      <c r="F294" s="48" t="str">
        <f t="shared" si="18"/>
        <v/>
      </c>
      <c r="G294" s="53" t="str">
        <f t="shared" si="19"/>
        <v/>
      </c>
      <c r="H294" s="48"/>
    </row>
    <row r="295" spans="1:8" ht="15" customHeight="1" x14ac:dyDescent="0.2">
      <c r="A295" s="38"/>
      <c r="B295" s="48"/>
      <c r="C295" s="53" t="str">
        <f t="shared" si="16"/>
        <v/>
      </c>
      <c r="D295" s="48" t="str">
        <f t="shared" si="17"/>
        <v/>
      </c>
      <c r="E295" s="53"/>
      <c r="F295" s="48" t="str">
        <f t="shared" si="18"/>
        <v/>
      </c>
      <c r="G295" s="53" t="str">
        <f t="shared" si="19"/>
        <v/>
      </c>
      <c r="H295" s="48"/>
    </row>
    <row r="296" spans="1:8" ht="15" customHeight="1" x14ac:dyDescent="0.2">
      <c r="A296" s="38"/>
      <c r="B296" s="48"/>
      <c r="C296" s="53" t="str">
        <f t="shared" si="16"/>
        <v/>
      </c>
      <c r="D296" s="48" t="str">
        <f t="shared" si="17"/>
        <v/>
      </c>
      <c r="E296" s="53"/>
      <c r="F296" s="48" t="str">
        <f t="shared" si="18"/>
        <v/>
      </c>
      <c r="G296" s="53" t="str">
        <f t="shared" si="19"/>
        <v/>
      </c>
      <c r="H296" s="48"/>
    </row>
    <row r="297" spans="1:8" ht="15" customHeight="1" x14ac:dyDescent="0.2">
      <c r="A297" s="38"/>
      <c r="B297" s="48"/>
      <c r="C297" s="53" t="str">
        <f t="shared" si="16"/>
        <v/>
      </c>
      <c r="D297" s="48" t="str">
        <f t="shared" si="17"/>
        <v/>
      </c>
      <c r="E297" s="53"/>
      <c r="F297" s="48" t="str">
        <f t="shared" si="18"/>
        <v/>
      </c>
      <c r="G297" s="53" t="str">
        <f t="shared" si="19"/>
        <v/>
      </c>
      <c r="H297" s="48"/>
    </row>
    <row r="298" spans="1:8" ht="15" customHeight="1" x14ac:dyDescent="0.2">
      <c r="A298" s="38"/>
      <c r="B298" s="48"/>
      <c r="C298" s="53" t="str">
        <f t="shared" si="16"/>
        <v/>
      </c>
      <c r="D298" s="48" t="str">
        <f t="shared" si="17"/>
        <v/>
      </c>
      <c r="E298" s="53"/>
      <c r="F298" s="48" t="str">
        <f t="shared" si="18"/>
        <v/>
      </c>
      <c r="G298" s="53" t="str">
        <f t="shared" si="19"/>
        <v/>
      </c>
      <c r="H298" s="48"/>
    </row>
    <row r="299" spans="1:8" ht="15" customHeight="1" x14ac:dyDescent="0.2">
      <c r="A299" s="38"/>
      <c r="B299" s="48"/>
      <c r="C299" s="53" t="str">
        <f t="shared" si="16"/>
        <v/>
      </c>
      <c r="D299" s="48" t="str">
        <f t="shared" si="17"/>
        <v/>
      </c>
      <c r="E299" s="53"/>
      <c r="F299" s="48" t="str">
        <f t="shared" si="18"/>
        <v/>
      </c>
      <c r="G299" s="53" t="str">
        <f t="shared" si="19"/>
        <v/>
      </c>
      <c r="H299" s="48"/>
    </row>
    <row r="300" spans="1:8" ht="15" customHeight="1" x14ac:dyDescent="0.2">
      <c r="A300" s="38"/>
      <c r="B300" s="48"/>
      <c r="C300" s="53" t="str">
        <f t="shared" si="16"/>
        <v/>
      </c>
      <c r="D300" s="48" t="str">
        <f t="shared" si="17"/>
        <v/>
      </c>
      <c r="E300" s="53"/>
      <c r="F300" s="48" t="str">
        <f t="shared" si="18"/>
        <v/>
      </c>
      <c r="G300" s="53" t="str">
        <f t="shared" si="19"/>
        <v/>
      </c>
      <c r="H300" s="48"/>
    </row>
    <row r="301" spans="1:8" ht="15" customHeight="1" x14ac:dyDescent="0.2">
      <c r="A301" s="38"/>
      <c r="B301" s="48"/>
      <c r="C301" s="53" t="str">
        <f t="shared" si="16"/>
        <v/>
      </c>
      <c r="D301" s="48" t="str">
        <f t="shared" si="17"/>
        <v/>
      </c>
      <c r="E301" s="53"/>
      <c r="F301" s="48" t="str">
        <f t="shared" si="18"/>
        <v/>
      </c>
      <c r="G301" s="53" t="str">
        <f t="shared" si="19"/>
        <v/>
      </c>
      <c r="H301" s="48"/>
    </row>
    <row r="302" spans="1:8" ht="15" customHeight="1" x14ac:dyDescent="0.2">
      <c r="A302" s="38"/>
      <c r="B302" s="48"/>
      <c r="C302" s="53" t="str">
        <f t="shared" si="16"/>
        <v/>
      </c>
      <c r="D302" s="48" t="str">
        <f t="shared" si="17"/>
        <v/>
      </c>
      <c r="E302" s="53"/>
      <c r="F302" s="48" t="str">
        <f t="shared" si="18"/>
        <v/>
      </c>
      <c r="G302" s="53" t="str">
        <f t="shared" si="19"/>
        <v/>
      </c>
      <c r="H302" s="48"/>
    </row>
    <row r="303" spans="1:8" ht="15" customHeight="1" x14ac:dyDescent="0.2">
      <c r="A303" s="38"/>
      <c r="B303" s="48"/>
      <c r="C303" s="53" t="str">
        <f t="shared" si="16"/>
        <v/>
      </c>
      <c r="D303" s="48" t="str">
        <f t="shared" si="17"/>
        <v/>
      </c>
      <c r="E303" s="53"/>
      <c r="F303" s="48" t="str">
        <f t="shared" si="18"/>
        <v/>
      </c>
      <c r="G303" s="53" t="str">
        <f t="shared" si="19"/>
        <v/>
      </c>
      <c r="H303" s="48"/>
    </row>
    <row r="304" spans="1:8" ht="15" customHeight="1" x14ac:dyDescent="0.2">
      <c r="A304" s="38"/>
      <c r="B304" s="48"/>
      <c r="C304" s="53" t="str">
        <f t="shared" si="16"/>
        <v/>
      </c>
      <c r="D304" s="48" t="str">
        <f t="shared" si="17"/>
        <v/>
      </c>
      <c r="E304" s="53"/>
      <c r="F304" s="48" t="str">
        <f t="shared" si="18"/>
        <v/>
      </c>
      <c r="G304" s="53" t="str">
        <f t="shared" si="19"/>
        <v/>
      </c>
      <c r="H304" s="48"/>
    </row>
    <row r="305" spans="1:8" ht="15" customHeight="1" x14ac:dyDescent="0.2">
      <c r="A305" s="38"/>
      <c r="B305" s="48"/>
      <c r="C305" s="53" t="str">
        <f t="shared" si="16"/>
        <v/>
      </c>
      <c r="D305" s="48" t="str">
        <f t="shared" si="17"/>
        <v/>
      </c>
      <c r="E305" s="53"/>
      <c r="F305" s="48" t="str">
        <f t="shared" si="18"/>
        <v/>
      </c>
      <c r="G305" s="53" t="str">
        <f t="shared" si="19"/>
        <v/>
      </c>
      <c r="H305" s="48"/>
    </row>
    <row r="306" spans="1:8" ht="15" customHeight="1" x14ac:dyDescent="0.2">
      <c r="A306" s="38"/>
      <c r="B306" s="48"/>
      <c r="C306" s="53" t="str">
        <f t="shared" si="16"/>
        <v/>
      </c>
      <c r="D306" s="48" t="str">
        <f t="shared" si="17"/>
        <v/>
      </c>
      <c r="E306" s="53"/>
      <c r="F306" s="48" t="str">
        <f t="shared" si="18"/>
        <v/>
      </c>
      <c r="G306" s="53" t="str">
        <f t="shared" si="19"/>
        <v/>
      </c>
      <c r="H306" s="48"/>
    </row>
    <row r="307" spans="1:8" ht="15" customHeight="1" x14ac:dyDescent="0.2">
      <c r="A307" s="38"/>
      <c r="B307" s="48"/>
      <c r="C307" s="53" t="str">
        <f t="shared" si="16"/>
        <v/>
      </c>
      <c r="D307" s="48" t="str">
        <f t="shared" si="17"/>
        <v/>
      </c>
      <c r="E307" s="53"/>
      <c r="F307" s="48" t="str">
        <f t="shared" si="18"/>
        <v/>
      </c>
      <c r="G307" s="53" t="str">
        <f t="shared" si="19"/>
        <v/>
      </c>
      <c r="H307" s="48"/>
    </row>
    <row r="308" spans="1:8" ht="15" customHeight="1" x14ac:dyDescent="0.2">
      <c r="A308" s="38"/>
      <c r="B308" s="48"/>
      <c r="C308" s="53" t="str">
        <f t="shared" si="16"/>
        <v/>
      </c>
      <c r="D308" s="48" t="str">
        <f t="shared" si="17"/>
        <v/>
      </c>
      <c r="E308" s="53"/>
      <c r="F308" s="48" t="str">
        <f t="shared" si="18"/>
        <v/>
      </c>
      <c r="G308" s="53" t="str">
        <f t="shared" si="19"/>
        <v/>
      </c>
      <c r="H308" s="48"/>
    </row>
    <row r="309" spans="1:8" ht="15" customHeight="1" x14ac:dyDescent="0.2">
      <c r="A309" s="38"/>
      <c r="B309" s="48"/>
      <c r="C309" s="53" t="str">
        <f t="shared" si="16"/>
        <v/>
      </c>
      <c r="D309" s="48" t="str">
        <f t="shared" si="17"/>
        <v/>
      </c>
      <c r="E309" s="53"/>
      <c r="F309" s="48" t="str">
        <f t="shared" si="18"/>
        <v/>
      </c>
      <c r="G309" s="53" t="str">
        <f t="shared" si="19"/>
        <v/>
      </c>
      <c r="H309" s="48"/>
    </row>
    <row r="310" spans="1:8" ht="15" customHeight="1" x14ac:dyDescent="0.2">
      <c r="A310" s="38"/>
      <c r="B310" s="48"/>
      <c r="C310" s="53" t="str">
        <f t="shared" si="16"/>
        <v/>
      </c>
      <c r="D310" s="48" t="str">
        <f t="shared" si="17"/>
        <v/>
      </c>
      <c r="E310" s="53"/>
      <c r="F310" s="48" t="str">
        <f t="shared" si="18"/>
        <v/>
      </c>
      <c r="G310" s="53" t="str">
        <f t="shared" si="19"/>
        <v/>
      </c>
      <c r="H310" s="48"/>
    </row>
    <row r="311" spans="1:8" ht="15" customHeight="1" x14ac:dyDescent="0.2">
      <c r="A311" s="38"/>
      <c r="B311" s="48"/>
      <c r="C311" s="53" t="str">
        <f t="shared" si="16"/>
        <v/>
      </c>
      <c r="D311" s="48" t="str">
        <f t="shared" si="17"/>
        <v/>
      </c>
      <c r="E311" s="53"/>
      <c r="F311" s="48" t="str">
        <f t="shared" si="18"/>
        <v/>
      </c>
      <c r="G311" s="53" t="str">
        <f t="shared" si="19"/>
        <v/>
      </c>
      <c r="H311" s="48"/>
    </row>
    <row r="312" spans="1:8" ht="15" customHeight="1" x14ac:dyDescent="0.2">
      <c r="A312" s="38"/>
      <c r="B312" s="48"/>
      <c r="C312" s="53" t="str">
        <f t="shared" si="16"/>
        <v/>
      </c>
      <c r="D312" s="48" t="str">
        <f t="shared" si="17"/>
        <v/>
      </c>
      <c r="E312" s="53"/>
      <c r="F312" s="48" t="str">
        <f t="shared" si="18"/>
        <v/>
      </c>
      <c r="G312" s="53" t="str">
        <f t="shared" si="19"/>
        <v/>
      </c>
      <c r="H312" s="48"/>
    </row>
    <row r="313" spans="1:8" ht="15" customHeight="1" x14ac:dyDescent="0.2">
      <c r="A313" s="38"/>
      <c r="B313" s="48"/>
      <c r="C313" s="53" t="str">
        <f t="shared" si="16"/>
        <v/>
      </c>
      <c r="D313" s="48" t="str">
        <f t="shared" si="17"/>
        <v/>
      </c>
      <c r="E313" s="53"/>
      <c r="F313" s="48" t="str">
        <f t="shared" si="18"/>
        <v/>
      </c>
      <c r="G313" s="53" t="str">
        <f t="shared" si="19"/>
        <v/>
      </c>
      <c r="H313" s="48"/>
    </row>
    <row r="314" spans="1:8" ht="15" customHeight="1" x14ac:dyDescent="0.2">
      <c r="A314" s="38"/>
      <c r="B314" s="48"/>
      <c r="C314" s="53" t="str">
        <f t="shared" si="16"/>
        <v/>
      </c>
      <c r="D314" s="48" t="str">
        <f t="shared" si="17"/>
        <v/>
      </c>
      <c r="E314" s="53"/>
      <c r="F314" s="48" t="str">
        <f t="shared" si="18"/>
        <v/>
      </c>
      <c r="G314" s="53" t="str">
        <f t="shared" si="19"/>
        <v/>
      </c>
      <c r="H314" s="48"/>
    </row>
    <row r="315" spans="1:8" ht="15" customHeight="1" x14ac:dyDescent="0.2">
      <c r="A315" s="38"/>
      <c r="B315" s="48"/>
      <c r="C315" s="53" t="str">
        <f t="shared" si="16"/>
        <v/>
      </c>
      <c r="D315" s="48" t="str">
        <f t="shared" si="17"/>
        <v/>
      </c>
      <c r="E315" s="53"/>
      <c r="F315" s="48" t="str">
        <f t="shared" si="18"/>
        <v/>
      </c>
      <c r="G315" s="53" t="str">
        <f t="shared" si="19"/>
        <v/>
      </c>
      <c r="H315" s="48"/>
    </row>
    <row r="316" spans="1:8" ht="15" customHeight="1" x14ac:dyDescent="0.2">
      <c r="A316" s="38"/>
      <c r="B316" s="48"/>
      <c r="C316" s="53" t="str">
        <f t="shared" si="16"/>
        <v/>
      </c>
      <c r="D316" s="48" t="str">
        <f t="shared" si="17"/>
        <v/>
      </c>
      <c r="E316" s="53"/>
      <c r="F316" s="48" t="str">
        <f t="shared" si="18"/>
        <v/>
      </c>
      <c r="G316" s="53" t="str">
        <f t="shared" si="19"/>
        <v/>
      </c>
      <c r="H316" s="48"/>
    </row>
    <row r="317" spans="1:8" ht="15" customHeight="1" x14ac:dyDescent="0.2">
      <c r="A317" s="38"/>
      <c r="B317" s="48"/>
      <c r="C317" s="53" t="str">
        <f t="shared" si="16"/>
        <v/>
      </c>
      <c r="D317" s="48" t="str">
        <f t="shared" si="17"/>
        <v/>
      </c>
      <c r="E317" s="53"/>
      <c r="F317" s="48" t="str">
        <f t="shared" si="18"/>
        <v/>
      </c>
      <c r="G317" s="53" t="str">
        <f t="shared" si="19"/>
        <v/>
      </c>
      <c r="H317" s="48"/>
    </row>
    <row r="318" spans="1:8" ht="15" customHeight="1" x14ac:dyDescent="0.2">
      <c r="A318" s="38"/>
      <c r="B318" s="48"/>
      <c r="C318" s="53" t="str">
        <f t="shared" si="16"/>
        <v/>
      </c>
      <c r="D318" s="48" t="str">
        <f t="shared" si="17"/>
        <v/>
      </c>
      <c r="E318" s="53"/>
      <c r="F318" s="48" t="str">
        <f t="shared" si="18"/>
        <v/>
      </c>
      <c r="G318" s="53" t="str">
        <f t="shared" si="19"/>
        <v/>
      </c>
      <c r="H318" s="48"/>
    </row>
    <row r="319" spans="1:8" ht="15" customHeight="1" x14ac:dyDescent="0.2">
      <c r="A319" s="38"/>
      <c r="B319" s="48"/>
      <c r="C319" s="53" t="str">
        <f t="shared" si="16"/>
        <v/>
      </c>
      <c r="D319" s="48" t="str">
        <f t="shared" si="17"/>
        <v/>
      </c>
      <c r="E319" s="53"/>
      <c r="F319" s="48" t="str">
        <f t="shared" si="18"/>
        <v/>
      </c>
      <c r="G319" s="53" t="str">
        <f t="shared" si="19"/>
        <v/>
      </c>
      <c r="H319" s="48"/>
    </row>
    <row r="320" spans="1:8" ht="15" customHeight="1" x14ac:dyDescent="0.2">
      <c r="A320" s="38"/>
      <c r="B320" s="48"/>
      <c r="C320" s="53" t="str">
        <f t="shared" si="16"/>
        <v/>
      </c>
      <c r="D320" s="48" t="str">
        <f t="shared" si="17"/>
        <v/>
      </c>
      <c r="E320" s="53"/>
      <c r="F320" s="48" t="str">
        <f t="shared" si="18"/>
        <v/>
      </c>
      <c r="G320" s="53" t="str">
        <f t="shared" si="19"/>
        <v/>
      </c>
      <c r="H320" s="48"/>
    </row>
    <row r="321" spans="1:8" ht="15" customHeight="1" x14ac:dyDescent="0.2">
      <c r="A321" s="38"/>
      <c r="B321" s="48"/>
      <c r="C321" s="53" t="str">
        <f t="shared" si="16"/>
        <v/>
      </c>
      <c r="D321" s="48" t="str">
        <f t="shared" si="17"/>
        <v/>
      </c>
      <c r="E321" s="53"/>
      <c r="F321" s="48" t="str">
        <f t="shared" si="18"/>
        <v/>
      </c>
      <c r="G321" s="53" t="str">
        <f t="shared" si="19"/>
        <v/>
      </c>
      <c r="H321" s="48"/>
    </row>
    <row r="322" spans="1:8" ht="15" customHeight="1" x14ac:dyDescent="0.2">
      <c r="A322" s="38"/>
      <c r="B322" s="48"/>
      <c r="C322" s="53" t="str">
        <f t="shared" si="16"/>
        <v/>
      </c>
      <c r="D322" s="48" t="str">
        <f t="shared" si="17"/>
        <v/>
      </c>
      <c r="E322" s="53"/>
      <c r="F322" s="48" t="str">
        <f t="shared" si="18"/>
        <v/>
      </c>
      <c r="G322" s="53" t="str">
        <f t="shared" si="19"/>
        <v/>
      </c>
      <c r="H322" s="48"/>
    </row>
    <row r="323" spans="1:8" ht="15" customHeight="1" x14ac:dyDescent="0.2">
      <c r="A323" s="38"/>
      <c r="B323" s="48"/>
      <c r="C323" s="53" t="str">
        <f t="shared" si="16"/>
        <v/>
      </c>
      <c r="D323" s="48" t="str">
        <f t="shared" si="17"/>
        <v/>
      </c>
      <c r="E323" s="53"/>
      <c r="F323" s="48" t="str">
        <f t="shared" si="18"/>
        <v/>
      </c>
      <c r="G323" s="53" t="str">
        <f t="shared" si="19"/>
        <v/>
      </c>
      <c r="H323" s="48"/>
    </row>
    <row r="324" spans="1:8" ht="15" customHeight="1" x14ac:dyDescent="0.2">
      <c r="A324" s="38"/>
      <c r="B324" s="48"/>
      <c r="C324" s="53" t="str">
        <f t="shared" si="16"/>
        <v/>
      </c>
      <c r="D324" s="48" t="str">
        <f t="shared" si="17"/>
        <v/>
      </c>
      <c r="E324" s="53"/>
      <c r="F324" s="48" t="str">
        <f t="shared" si="18"/>
        <v/>
      </c>
      <c r="G324" s="53" t="str">
        <f t="shared" si="19"/>
        <v/>
      </c>
      <c r="H324" s="48"/>
    </row>
    <row r="325" spans="1:8" ht="15" customHeight="1" x14ac:dyDescent="0.2">
      <c r="A325" s="38"/>
      <c r="B325" s="48"/>
      <c r="C325" s="53" t="str">
        <f t="shared" si="16"/>
        <v/>
      </c>
      <c r="D325" s="48" t="str">
        <f t="shared" si="17"/>
        <v/>
      </c>
      <c r="E325" s="53"/>
      <c r="F325" s="48" t="str">
        <f t="shared" si="18"/>
        <v/>
      </c>
      <c r="G325" s="53" t="str">
        <f t="shared" si="19"/>
        <v/>
      </c>
      <c r="H325" s="48"/>
    </row>
    <row r="326" spans="1:8" ht="15" customHeight="1" x14ac:dyDescent="0.2">
      <c r="A326" s="38"/>
      <c r="B326" s="48"/>
      <c r="C326" s="53" t="str">
        <f t="shared" si="16"/>
        <v/>
      </c>
      <c r="D326" s="48" t="str">
        <f t="shared" si="17"/>
        <v/>
      </c>
      <c r="E326" s="53"/>
      <c r="F326" s="48" t="str">
        <f t="shared" si="18"/>
        <v/>
      </c>
      <c r="G326" s="53" t="str">
        <f t="shared" si="19"/>
        <v/>
      </c>
      <c r="H326" s="48"/>
    </row>
    <row r="327" spans="1:8" ht="15" customHeight="1" x14ac:dyDescent="0.2">
      <c r="A327" s="38"/>
      <c r="B327" s="48"/>
      <c r="C327" s="53" t="str">
        <f t="shared" si="16"/>
        <v/>
      </c>
      <c r="D327" s="48" t="str">
        <f t="shared" si="17"/>
        <v/>
      </c>
      <c r="E327" s="53"/>
      <c r="F327" s="48" t="str">
        <f t="shared" si="18"/>
        <v/>
      </c>
      <c r="G327" s="53" t="str">
        <f t="shared" si="19"/>
        <v/>
      </c>
      <c r="H327" s="48"/>
    </row>
    <row r="328" spans="1:8" ht="15" customHeight="1" x14ac:dyDescent="0.2">
      <c r="A328" s="38"/>
      <c r="B328" s="48"/>
      <c r="C328" s="53" t="str">
        <f t="shared" si="16"/>
        <v/>
      </c>
      <c r="D328" s="48" t="str">
        <f t="shared" si="17"/>
        <v/>
      </c>
      <c r="E328" s="53"/>
      <c r="F328" s="48" t="str">
        <f t="shared" si="18"/>
        <v/>
      </c>
      <c r="G328" s="53" t="str">
        <f t="shared" si="19"/>
        <v/>
      </c>
      <c r="H328" s="48"/>
    </row>
    <row r="329" spans="1:8" ht="15" customHeight="1" x14ac:dyDescent="0.2">
      <c r="A329" s="38"/>
      <c r="B329" s="48"/>
      <c r="C329" s="53" t="str">
        <f t="shared" si="16"/>
        <v/>
      </c>
      <c r="D329" s="48" t="str">
        <f t="shared" si="17"/>
        <v/>
      </c>
      <c r="E329" s="53"/>
      <c r="F329" s="48" t="str">
        <f t="shared" si="18"/>
        <v/>
      </c>
      <c r="G329" s="53" t="str">
        <f t="shared" si="19"/>
        <v/>
      </c>
      <c r="H329" s="48"/>
    </row>
    <row r="330" spans="1:8" ht="15" customHeight="1" x14ac:dyDescent="0.2">
      <c r="A330" s="38"/>
      <c r="B330" s="48"/>
      <c r="C330" s="53" t="str">
        <f t="shared" si="16"/>
        <v/>
      </c>
      <c r="D330" s="48" t="str">
        <f t="shared" si="17"/>
        <v/>
      </c>
      <c r="E330" s="53"/>
      <c r="F330" s="48" t="str">
        <f t="shared" si="18"/>
        <v/>
      </c>
      <c r="G330" s="53" t="str">
        <f t="shared" si="19"/>
        <v/>
      </c>
      <c r="H330" s="48"/>
    </row>
    <row r="331" spans="1:8" ht="15" customHeight="1" x14ac:dyDescent="0.2">
      <c r="A331" s="38"/>
      <c r="B331" s="48"/>
      <c r="C331" s="53" t="str">
        <f t="shared" si="16"/>
        <v/>
      </c>
      <c r="D331" s="48" t="str">
        <f t="shared" si="17"/>
        <v/>
      </c>
      <c r="E331" s="53"/>
      <c r="F331" s="48" t="str">
        <f t="shared" si="18"/>
        <v/>
      </c>
      <c r="G331" s="53" t="str">
        <f t="shared" si="19"/>
        <v/>
      </c>
      <c r="H331" s="48"/>
    </row>
    <row r="332" spans="1:8" ht="15" customHeight="1" x14ac:dyDescent="0.2">
      <c r="A332" s="38"/>
      <c r="B332" s="48"/>
      <c r="C332" s="53" t="str">
        <f t="shared" si="16"/>
        <v/>
      </c>
      <c r="D332" s="48" t="str">
        <f t="shared" si="17"/>
        <v/>
      </c>
      <c r="E332" s="53"/>
      <c r="F332" s="48" t="str">
        <f t="shared" si="18"/>
        <v/>
      </c>
      <c r="G332" s="53" t="str">
        <f t="shared" si="19"/>
        <v/>
      </c>
      <c r="H332" s="48"/>
    </row>
    <row r="333" spans="1:8" ht="15" customHeight="1" x14ac:dyDescent="0.2">
      <c r="A333" s="38"/>
      <c r="B333" s="48"/>
      <c r="C333" s="53" t="str">
        <f t="shared" ref="C333:C396" si="20">IF(B333="","",20.412)</f>
        <v/>
      </c>
      <c r="D333" s="48" t="str">
        <f t="shared" ref="D333:D396" si="21">IF(B333="","",B333*C333)</f>
        <v/>
      </c>
      <c r="E333" s="53"/>
      <c r="F333" s="48" t="str">
        <f t="shared" ref="F333:F396" si="22">IF(D333="","",D333-IF(E333="",0,E333))</f>
        <v/>
      </c>
      <c r="G333" s="53" t="str">
        <f t="shared" ref="G333:G396" si="23">IF(A333="","","27"&amp;MID(A333,4,2)&amp;LEFT(A333,2))</f>
        <v/>
      </c>
      <c r="H333" s="48"/>
    </row>
    <row r="334" spans="1:8" ht="15" customHeight="1" x14ac:dyDescent="0.2">
      <c r="A334" s="38"/>
      <c r="B334" s="48"/>
      <c r="C334" s="53" t="str">
        <f t="shared" si="20"/>
        <v/>
      </c>
      <c r="D334" s="48" t="str">
        <f t="shared" si="21"/>
        <v/>
      </c>
      <c r="E334" s="53"/>
      <c r="F334" s="48" t="str">
        <f t="shared" si="22"/>
        <v/>
      </c>
      <c r="G334" s="53" t="str">
        <f t="shared" si="23"/>
        <v/>
      </c>
      <c r="H334" s="48"/>
    </row>
    <row r="335" spans="1:8" ht="15" customHeight="1" x14ac:dyDescent="0.2">
      <c r="A335" s="38"/>
      <c r="B335" s="48"/>
      <c r="C335" s="53" t="str">
        <f t="shared" si="20"/>
        <v/>
      </c>
      <c r="D335" s="48" t="str">
        <f t="shared" si="21"/>
        <v/>
      </c>
      <c r="E335" s="53"/>
      <c r="F335" s="48" t="str">
        <f t="shared" si="22"/>
        <v/>
      </c>
      <c r="G335" s="53" t="str">
        <f t="shared" si="23"/>
        <v/>
      </c>
      <c r="H335" s="48"/>
    </row>
    <row r="336" spans="1:8" ht="15" customHeight="1" x14ac:dyDescent="0.2">
      <c r="A336" s="38"/>
      <c r="B336" s="48"/>
      <c r="C336" s="53" t="str">
        <f t="shared" si="20"/>
        <v/>
      </c>
      <c r="D336" s="48" t="str">
        <f t="shared" si="21"/>
        <v/>
      </c>
      <c r="E336" s="53"/>
      <c r="F336" s="48" t="str">
        <f t="shared" si="22"/>
        <v/>
      </c>
      <c r="G336" s="53" t="str">
        <f t="shared" si="23"/>
        <v/>
      </c>
      <c r="H336" s="48"/>
    </row>
    <row r="337" spans="1:8" ht="15" customHeight="1" x14ac:dyDescent="0.2">
      <c r="A337" s="38"/>
      <c r="B337" s="48"/>
      <c r="C337" s="53" t="str">
        <f t="shared" si="20"/>
        <v/>
      </c>
      <c r="D337" s="48" t="str">
        <f t="shared" si="21"/>
        <v/>
      </c>
      <c r="E337" s="53"/>
      <c r="F337" s="48" t="str">
        <f t="shared" si="22"/>
        <v/>
      </c>
      <c r="G337" s="53" t="str">
        <f t="shared" si="23"/>
        <v/>
      </c>
      <c r="H337" s="48"/>
    </row>
    <row r="338" spans="1:8" ht="15" customHeight="1" x14ac:dyDescent="0.2">
      <c r="A338" s="38"/>
      <c r="B338" s="48"/>
      <c r="C338" s="53" t="str">
        <f t="shared" si="20"/>
        <v/>
      </c>
      <c r="D338" s="48" t="str">
        <f t="shared" si="21"/>
        <v/>
      </c>
      <c r="E338" s="53"/>
      <c r="F338" s="48" t="str">
        <f t="shared" si="22"/>
        <v/>
      </c>
      <c r="G338" s="53" t="str">
        <f t="shared" si="23"/>
        <v/>
      </c>
      <c r="H338" s="48"/>
    </row>
    <row r="339" spans="1:8" ht="15" customHeight="1" x14ac:dyDescent="0.2">
      <c r="A339" s="38"/>
      <c r="B339" s="48"/>
      <c r="C339" s="53" t="str">
        <f t="shared" si="20"/>
        <v/>
      </c>
      <c r="D339" s="48" t="str">
        <f t="shared" si="21"/>
        <v/>
      </c>
      <c r="E339" s="53"/>
      <c r="F339" s="48" t="str">
        <f t="shared" si="22"/>
        <v/>
      </c>
      <c r="G339" s="53" t="str">
        <f t="shared" si="23"/>
        <v/>
      </c>
      <c r="H339" s="48"/>
    </row>
    <row r="340" spans="1:8" ht="15" customHeight="1" x14ac:dyDescent="0.2">
      <c r="A340" s="38"/>
      <c r="B340" s="48"/>
      <c r="C340" s="53" t="str">
        <f t="shared" si="20"/>
        <v/>
      </c>
      <c r="D340" s="48" t="str">
        <f t="shared" si="21"/>
        <v/>
      </c>
      <c r="E340" s="53"/>
      <c r="F340" s="48" t="str">
        <f t="shared" si="22"/>
        <v/>
      </c>
      <c r="G340" s="53" t="str">
        <f t="shared" si="23"/>
        <v/>
      </c>
      <c r="H340" s="48"/>
    </row>
    <row r="341" spans="1:8" ht="15" customHeight="1" x14ac:dyDescent="0.2">
      <c r="A341" s="38"/>
      <c r="B341" s="48"/>
      <c r="C341" s="53" t="str">
        <f t="shared" si="20"/>
        <v/>
      </c>
      <c r="D341" s="48" t="str">
        <f t="shared" si="21"/>
        <v/>
      </c>
      <c r="E341" s="53"/>
      <c r="F341" s="48" t="str">
        <f t="shared" si="22"/>
        <v/>
      </c>
      <c r="G341" s="53" t="str">
        <f t="shared" si="23"/>
        <v/>
      </c>
      <c r="H341" s="48"/>
    </row>
    <row r="342" spans="1:8" ht="15" customHeight="1" x14ac:dyDescent="0.2">
      <c r="A342" s="38"/>
      <c r="B342" s="48"/>
      <c r="C342" s="53" t="str">
        <f t="shared" si="20"/>
        <v/>
      </c>
      <c r="D342" s="48" t="str">
        <f t="shared" si="21"/>
        <v/>
      </c>
      <c r="E342" s="53"/>
      <c r="F342" s="48" t="str">
        <f t="shared" si="22"/>
        <v/>
      </c>
      <c r="G342" s="53" t="str">
        <f t="shared" si="23"/>
        <v/>
      </c>
      <c r="H342" s="48"/>
    </row>
    <row r="343" spans="1:8" ht="15" customHeight="1" x14ac:dyDescent="0.2">
      <c r="A343" s="38"/>
      <c r="B343" s="48"/>
      <c r="C343" s="53" t="str">
        <f t="shared" si="20"/>
        <v/>
      </c>
      <c r="D343" s="48" t="str">
        <f t="shared" si="21"/>
        <v/>
      </c>
      <c r="E343" s="53"/>
      <c r="F343" s="48" t="str">
        <f t="shared" si="22"/>
        <v/>
      </c>
      <c r="G343" s="53" t="str">
        <f t="shared" si="23"/>
        <v/>
      </c>
      <c r="H343" s="48"/>
    </row>
    <row r="344" spans="1:8" ht="15" customHeight="1" x14ac:dyDescent="0.2">
      <c r="A344" s="38"/>
      <c r="B344" s="48"/>
      <c r="C344" s="53" t="str">
        <f t="shared" si="20"/>
        <v/>
      </c>
      <c r="D344" s="48" t="str">
        <f t="shared" si="21"/>
        <v/>
      </c>
      <c r="E344" s="53"/>
      <c r="F344" s="48" t="str">
        <f t="shared" si="22"/>
        <v/>
      </c>
      <c r="G344" s="53" t="str">
        <f t="shared" si="23"/>
        <v/>
      </c>
      <c r="H344" s="48"/>
    </row>
    <row r="345" spans="1:8" ht="15" customHeight="1" x14ac:dyDescent="0.2">
      <c r="A345" s="38"/>
      <c r="B345" s="48"/>
      <c r="C345" s="53" t="str">
        <f t="shared" si="20"/>
        <v/>
      </c>
      <c r="D345" s="48" t="str">
        <f t="shared" si="21"/>
        <v/>
      </c>
      <c r="E345" s="53"/>
      <c r="F345" s="48" t="str">
        <f t="shared" si="22"/>
        <v/>
      </c>
      <c r="G345" s="53" t="str">
        <f t="shared" si="23"/>
        <v/>
      </c>
      <c r="H345" s="48"/>
    </row>
    <row r="346" spans="1:8" ht="15" customHeight="1" x14ac:dyDescent="0.2">
      <c r="A346" s="38"/>
      <c r="B346" s="48"/>
      <c r="C346" s="53" t="str">
        <f t="shared" si="20"/>
        <v/>
      </c>
      <c r="D346" s="48" t="str">
        <f t="shared" si="21"/>
        <v/>
      </c>
      <c r="E346" s="53"/>
      <c r="F346" s="48" t="str">
        <f t="shared" si="22"/>
        <v/>
      </c>
      <c r="G346" s="53" t="str">
        <f t="shared" si="23"/>
        <v/>
      </c>
      <c r="H346" s="48"/>
    </row>
    <row r="347" spans="1:8" ht="15" customHeight="1" x14ac:dyDescent="0.2">
      <c r="A347" s="38"/>
      <c r="B347" s="48"/>
      <c r="C347" s="53" t="str">
        <f t="shared" si="20"/>
        <v/>
      </c>
      <c r="D347" s="48" t="str">
        <f t="shared" si="21"/>
        <v/>
      </c>
      <c r="E347" s="53"/>
      <c r="F347" s="48" t="str">
        <f t="shared" si="22"/>
        <v/>
      </c>
      <c r="G347" s="53" t="str">
        <f t="shared" si="23"/>
        <v/>
      </c>
      <c r="H347" s="48"/>
    </row>
    <row r="348" spans="1:8" ht="15" customHeight="1" x14ac:dyDescent="0.2">
      <c r="A348" s="38"/>
      <c r="B348" s="48"/>
      <c r="C348" s="53" t="str">
        <f t="shared" si="20"/>
        <v/>
      </c>
      <c r="D348" s="48" t="str">
        <f t="shared" si="21"/>
        <v/>
      </c>
      <c r="E348" s="53"/>
      <c r="F348" s="48" t="str">
        <f t="shared" si="22"/>
        <v/>
      </c>
      <c r="G348" s="53" t="str">
        <f t="shared" si="23"/>
        <v/>
      </c>
      <c r="H348" s="48"/>
    </row>
    <row r="349" spans="1:8" ht="15" customHeight="1" x14ac:dyDescent="0.2">
      <c r="A349" s="38"/>
      <c r="B349" s="48"/>
      <c r="C349" s="53" t="str">
        <f t="shared" si="20"/>
        <v/>
      </c>
      <c r="D349" s="48" t="str">
        <f t="shared" si="21"/>
        <v/>
      </c>
      <c r="E349" s="53"/>
      <c r="F349" s="48" t="str">
        <f t="shared" si="22"/>
        <v/>
      </c>
      <c r="G349" s="53" t="str">
        <f t="shared" si="23"/>
        <v/>
      </c>
      <c r="H349" s="48"/>
    </row>
    <row r="350" spans="1:8" ht="15" customHeight="1" x14ac:dyDescent="0.2">
      <c r="A350" s="38"/>
      <c r="B350" s="48"/>
      <c r="C350" s="53" t="str">
        <f t="shared" si="20"/>
        <v/>
      </c>
      <c r="D350" s="48" t="str">
        <f t="shared" si="21"/>
        <v/>
      </c>
      <c r="E350" s="53"/>
      <c r="F350" s="48" t="str">
        <f t="shared" si="22"/>
        <v/>
      </c>
      <c r="G350" s="53" t="str">
        <f t="shared" si="23"/>
        <v/>
      </c>
      <c r="H350" s="48"/>
    </row>
    <row r="351" spans="1:8" ht="15" customHeight="1" x14ac:dyDescent="0.2">
      <c r="A351" s="38"/>
      <c r="B351" s="48"/>
      <c r="C351" s="53" t="str">
        <f t="shared" si="20"/>
        <v/>
      </c>
      <c r="D351" s="48" t="str">
        <f t="shared" si="21"/>
        <v/>
      </c>
      <c r="E351" s="53"/>
      <c r="F351" s="48" t="str">
        <f t="shared" si="22"/>
        <v/>
      </c>
      <c r="G351" s="53" t="str">
        <f t="shared" si="23"/>
        <v/>
      </c>
      <c r="H351" s="48"/>
    </row>
    <row r="352" spans="1:8" ht="15" customHeight="1" x14ac:dyDescent="0.2">
      <c r="A352" s="38"/>
      <c r="B352" s="48"/>
      <c r="C352" s="53" t="str">
        <f t="shared" si="20"/>
        <v/>
      </c>
      <c r="D352" s="48" t="str">
        <f t="shared" si="21"/>
        <v/>
      </c>
      <c r="E352" s="53"/>
      <c r="F352" s="48" t="str">
        <f t="shared" si="22"/>
        <v/>
      </c>
      <c r="G352" s="53" t="str">
        <f t="shared" si="23"/>
        <v/>
      </c>
      <c r="H352" s="48"/>
    </row>
    <row r="353" spans="1:8" ht="15" customHeight="1" x14ac:dyDescent="0.2">
      <c r="A353" s="38"/>
      <c r="B353" s="48"/>
      <c r="C353" s="53" t="str">
        <f t="shared" si="20"/>
        <v/>
      </c>
      <c r="D353" s="48" t="str">
        <f t="shared" si="21"/>
        <v/>
      </c>
      <c r="E353" s="53"/>
      <c r="F353" s="48" t="str">
        <f t="shared" si="22"/>
        <v/>
      </c>
      <c r="G353" s="53" t="str">
        <f t="shared" si="23"/>
        <v/>
      </c>
      <c r="H353" s="48"/>
    </row>
    <row r="354" spans="1:8" ht="15" customHeight="1" x14ac:dyDescent="0.2">
      <c r="A354" s="38"/>
      <c r="B354" s="48"/>
      <c r="C354" s="53" t="str">
        <f t="shared" si="20"/>
        <v/>
      </c>
      <c r="D354" s="48" t="str">
        <f t="shared" si="21"/>
        <v/>
      </c>
      <c r="E354" s="53"/>
      <c r="F354" s="48" t="str">
        <f t="shared" si="22"/>
        <v/>
      </c>
      <c r="G354" s="53" t="str">
        <f t="shared" si="23"/>
        <v/>
      </c>
      <c r="H354" s="48"/>
    </row>
    <row r="355" spans="1:8" ht="15" customHeight="1" x14ac:dyDescent="0.2">
      <c r="A355" s="38"/>
      <c r="B355" s="48"/>
      <c r="C355" s="53" t="str">
        <f t="shared" si="20"/>
        <v/>
      </c>
      <c r="D355" s="48" t="str">
        <f t="shared" si="21"/>
        <v/>
      </c>
      <c r="E355" s="53"/>
      <c r="F355" s="48" t="str">
        <f t="shared" si="22"/>
        <v/>
      </c>
      <c r="G355" s="53" t="str">
        <f t="shared" si="23"/>
        <v/>
      </c>
      <c r="H355" s="48"/>
    </row>
    <row r="356" spans="1:8" ht="15" customHeight="1" x14ac:dyDescent="0.2">
      <c r="A356" s="38"/>
      <c r="B356" s="48"/>
      <c r="C356" s="53" t="str">
        <f t="shared" si="20"/>
        <v/>
      </c>
      <c r="D356" s="48" t="str">
        <f t="shared" si="21"/>
        <v/>
      </c>
      <c r="E356" s="53"/>
      <c r="F356" s="48" t="str">
        <f t="shared" si="22"/>
        <v/>
      </c>
      <c r="G356" s="53" t="str">
        <f t="shared" si="23"/>
        <v/>
      </c>
      <c r="H356" s="48"/>
    </row>
    <row r="357" spans="1:8" ht="15" customHeight="1" x14ac:dyDescent="0.2">
      <c r="A357" s="38"/>
      <c r="B357" s="48"/>
      <c r="C357" s="53" t="str">
        <f t="shared" si="20"/>
        <v/>
      </c>
      <c r="D357" s="48" t="str">
        <f t="shared" si="21"/>
        <v/>
      </c>
      <c r="E357" s="53"/>
      <c r="F357" s="48" t="str">
        <f t="shared" si="22"/>
        <v/>
      </c>
      <c r="G357" s="53" t="str">
        <f t="shared" si="23"/>
        <v/>
      </c>
      <c r="H357" s="48"/>
    </row>
    <row r="358" spans="1:8" ht="15" customHeight="1" x14ac:dyDescent="0.2">
      <c r="A358" s="38"/>
      <c r="B358" s="48"/>
      <c r="C358" s="53" t="str">
        <f t="shared" si="20"/>
        <v/>
      </c>
      <c r="D358" s="48" t="str">
        <f t="shared" si="21"/>
        <v/>
      </c>
      <c r="E358" s="53"/>
      <c r="F358" s="48" t="str">
        <f t="shared" si="22"/>
        <v/>
      </c>
      <c r="G358" s="53" t="str">
        <f t="shared" si="23"/>
        <v/>
      </c>
      <c r="H358" s="48"/>
    </row>
    <row r="359" spans="1:8" ht="15" customHeight="1" x14ac:dyDescent="0.2">
      <c r="A359" s="38"/>
      <c r="B359" s="48"/>
      <c r="C359" s="53" t="str">
        <f t="shared" si="20"/>
        <v/>
      </c>
      <c r="D359" s="48" t="str">
        <f t="shared" si="21"/>
        <v/>
      </c>
      <c r="E359" s="53"/>
      <c r="F359" s="48" t="str">
        <f t="shared" si="22"/>
        <v/>
      </c>
      <c r="G359" s="53" t="str">
        <f t="shared" si="23"/>
        <v/>
      </c>
      <c r="H359" s="48"/>
    </row>
    <row r="360" spans="1:8" ht="15" customHeight="1" x14ac:dyDescent="0.2">
      <c r="A360" s="38"/>
      <c r="B360" s="48"/>
      <c r="C360" s="53" t="str">
        <f t="shared" si="20"/>
        <v/>
      </c>
      <c r="D360" s="48" t="str">
        <f t="shared" si="21"/>
        <v/>
      </c>
      <c r="E360" s="53"/>
      <c r="F360" s="48" t="str">
        <f t="shared" si="22"/>
        <v/>
      </c>
      <c r="G360" s="53" t="str">
        <f t="shared" si="23"/>
        <v/>
      </c>
      <c r="H360" s="48"/>
    </row>
    <row r="361" spans="1:8" ht="15" customHeight="1" x14ac:dyDescent="0.2">
      <c r="A361" s="38"/>
      <c r="B361" s="48"/>
      <c r="C361" s="53" t="str">
        <f t="shared" si="20"/>
        <v/>
      </c>
      <c r="D361" s="48" t="str">
        <f t="shared" si="21"/>
        <v/>
      </c>
      <c r="E361" s="53"/>
      <c r="F361" s="48" t="str">
        <f t="shared" si="22"/>
        <v/>
      </c>
      <c r="G361" s="53" t="str">
        <f t="shared" si="23"/>
        <v/>
      </c>
      <c r="H361" s="48"/>
    </row>
    <row r="362" spans="1:8" ht="15" customHeight="1" x14ac:dyDescent="0.2">
      <c r="A362" s="38"/>
      <c r="B362" s="48"/>
      <c r="C362" s="53" t="str">
        <f t="shared" si="20"/>
        <v/>
      </c>
      <c r="D362" s="48" t="str">
        <f t="shared" si="21"/>
        <v/>
      </c>
      <c r="E362" s="53"/>
      <c r="F362" s="48" t="str">
        <f t="shared" si="22"/>
        <v/>
      </c>
      <c r="G362" s="53" t="str">
        <f t="shared" si="23"/>
        <v/>
      </c>
      <c r="H362" s="48"/>
    </row>
    <row r="363" spans="1:8" ht="15" customHeight="1" x14ac:dyDescent="0.2">
      <c r="A363" s="38"/>
      <c r="B363" s="48"/>
      <c r="C363" s="53" t="str">
        <f t="shared" si="20"/>
        <v/>
      </c>
      <c r="D363" s="48" t="str">
        <f t="shared" si="21"/>
        <v/>
      </c>
      <c r="E363" s="53"/>
      <c r="F363" s="48" t="str">
        <f t="shared" si="22"/>
        <v/>
      </c>
      <c r="G363" s="53" t="str">
        <f t="shared" si="23"/>
        <v/>
      </c>
      <c r="H363" s="48"/>
    </row>
    <row r="364" spans="1:8" ht="15" customHeight="1" x14ac:dyDescent="0.2">
      <c r="A364" s="38"/>
      <c r="B364" s="48"/>
      <c r="C364" s="53" t="str">
        <f t="shared" si="20"/>
        <v/>
      </c>
      <c r="D364" s="48" t="str">
        <f t="shared" si="21"/>
        <v/>
      </c>
      <c r="E364" s="53"/>
      <c r="F364" s="48" t="str">
        <f t="shared" si="22"/>
        <v/>
      </c>
      <c r="G364" s="53" t="str">
        <f t="shared" si="23"/>
        <v/>
      </c>
      <c r="H364" s="48"/>
    </row>
    <row r="365" spans="1:8" ht="15" customHeight="1" x14ac:dyDescent="0.2">
      <c r="A365" s="38"/>
      <c r="B365" s="48"/>
      <c r="C365" s="53" t="str">
        <f t="shared" si="20"/>
        <v/>
      </c>
      <c r="D365" s="48" t="str">
        <f t="shared" si="21"/>
        <v/>
      </c>
      <c r="E365" s="53"/>
      <c r="F365" s="48" t="str">
        <f t="shared" si="22"/>
        <v/>
      </c>
      <c r="G365" s="53" t="str">
        <f t="shared" si="23"/>
        <v/>
      </c>
      <c r="H365" s="48"/>
    </row>
    <row r="366" spans="1:8" ht="15" customHeight="1" x14ac:dyDescent="0.2">
      <c r="A366" s="38"/>
      <c r="B366" s="48"/>
      <c r="C366" s="53" t="str">
        <f t="shared" si="20"/>
        <v/>
      </c>
      <c r="D366" s="48" t="str">
        <f t="shared" si="21"/>
        <v/>
      </c>
      <c r="E366" s="53"/>
      <c r="F366" s="48" t="str">
        <f t="shared" si="22"/>
        <v/>
      </c>
      <c r="G366" s="53" t="str">
        <f t="shared" si="23"/>
        <v/>
      </c>
      <c r="H366" s="48"/>
    </row>
    <row r="367" spans="1:8" ht="15" customHeight="1" x14ac:dyDescent="0.2">
      <c r="A367" s="38"/>
      <c r="B367" s="48"/>
      <c r="C367" s="53" t="str">
        <f t="shared" si="20"/>
        <v/>
      </c>
      <c r="D367" s="48" t="str">
        <f t="shared" si="21"/>
        <v/>
      </c>
      <c r="E367" s="53"/>
      <c r="F367" s="48" t="str">
        <f t="shared" si="22"/>
        <v/>
      </c>
      <c r="G367" s="53" t="str">
        <f t="shared" si="23"/>
        <v/>
      </c>
      <c r="H367" s="48"/>
    </row>
    <row r="368" spans="1:8" ht="15" customHeight="1" x14ac:dyDescent="0.2">
      <c r="A368" s="38"/>
      <c r="B368" s="48"/>
      <c r="C368" s="53" t="str">
        <f t="shared" si="20"/>
        <v/>
      </c>
      <c r="D368" s="48" t="str">
        <f t="shared" si="21"/>
        <v/>
      </c>
      <c r="E368" s="53"/>
      <c r="F368" s="48" t="str">
        <f t="shared" si="22"/>
        <v/>
      </c>
      <c r="G368" s="53" t="str">
        <f t="shared" si="23"/>
        <v/>
      </c>
      <c r="H368" s="48"/>
    </row>
    <row r="369" spans="1:8" ht="15" customHeight="1" x14ac:dyDescent="0.2">
      <c r="A369" s="38"/>
      <c r="B369" s="48"/>
      <c r="C369" s="53" t="str">
        <f t="shared" si="20"/>
        <v/>
      </c>
      <c r="D369" s="48" t="str">
        <f t="shared" si="21"/>
        <v/>
      </c>
      <c r="E369" s="53"/>
      <c r="F369" s="48" t="str">
        <f t="shared" si="22"/>
        <v/>
      </c>
      <c r="G369" s="53" t="str">
        <f t="shared" si="23"/>
        <v/>
      </c>
      <c r="H369" s="48"/>
    </row>
    <row r="370" spans="1:8" ht="15" customHeight="1" x14ac:dyDescent="0.2">
      <c r="A370" s="38"/>
      <c r="B370" s="48"/>
      <c r="C370" s="53" t="str">
        <f t="shared" si="20"/>
        <v/>
      </c>
      <c r="D370" s="48" t="str">
        <f t="shared" si="21"/>
        <v/>
      </c>
      <c r="E370" s="53"/>
      <c r="F370" s="48" t="str">
        <f t="shared" si="22"/>
        <v/>
      </c>
      <c r="G370" s="53" t="str">
        <f t="shared" si="23"/>
        <v/>
      </c>
      <c r="H370" s="48"/>
    </row>
    <row r="371" spans="1:8" ht="15" customHeight="1" x14ac:dyDescent="0.2">
      <c r="A371" s="38"/>
      <c r="B371" s="48"/>
      <c r="C371" s="53" t="str">
        <f t="shared" si="20"/>
        <v/>
      </c>
      <c r="D371" s="48" t="str">
        <f t="shared" si="21"/>
        <v/>
      </c>
      <c r="E371" s="53"/>
      <c r="F371" s="48" t="str">
        <f t="shared" si="22"/>
        <v/>
      </c>
      <c r="G371" s="53" t="str">
        <f t="shared" si="23"/>
        <v/>
      </c>
      <c r="H371" s="48"/>
    </row>
    <row r="372" spans="1:8" ht="15" customHeight="1" x14ac:dyDescent="0.2">
      <c r="A372" s="38"/>
      <c r="B372" s="48"/>
      <c r="C372" s="53" t="str">
        <f t="shared" si="20"/>
        <v/>
      </c>
      <c r="D372" s="48" t="str">
        <f t="shared" si="21"/>
        <v/>
      </c>
      <c r="E372" s="53"/>
      <c r="F372" s="48" t="str">
        <f t="shared" si="22"/>
        <v/>
      </c>
      <c r="G372" s="53" t="str">
        <f t="shared" si="23"/>
        <v/>
      </c>
      <c r="H372" s="48"/>
    </row>
    <row r="373" spans="1:8" ht="15" customHeight="1" x14ac:dyDescent="0.2">
      <c r="A373" s="38"/>
      <c r="B373" s="48"/>
      <c r="C373" s="53" t="str">
        <f t="shared" si="20"/>
        <v/>
      </c>
      <c r="D373" s="48" t="str">
        <f t="shared" si="21"/>
        <v/>
      </c>
      <c r="E373" s="53"/>
      <c r="F373" s="48" t="str">
        <f t="shared" si="22"/>
        <v/>
      </c>
      <c r="G373" s="53" t="str">
        <f t="shared" si="23"/>
        <v/>
      </c>
      <c r="H373" s="48"/>
    </row>
    <row r="374" spans="1:8" ht="15" customHeight="1" x14ac:dyDescent="0.2">
      <c r="A374" s="38"/>
      <c r="B374" s="48"/>
      <c r="C374" s="53" t="str">
        <f t="shared" si="20"/>
        <v/>
      </c>
      <c r="D374" s="48" t="str">
        <f t="shared" si="21"/>
        <v/>
      </c>
      <c r="E374" s="53"/>
      <c r="F374" s="48" t="str">
        <f t="shared" si="22"/>
        <v/>
      </c>
      <c r="G374" s="53" t="str">
        <f t="shared" si="23"/>
        <v/>
      </c>
      <c r="H374" s="48"/>
    </row>
    <row r="375" spans="1:8" ht="15" customHeight="1" x14ac:dyDescent="0.2">
      <c r="A375" s="38"/>
      <c r="B375" s="48"/>
      <c r="C375" s="53" t="str">
        <f t="shared" si="20"/>
        <v/>
      </c>
      <c r="D375" s="48" t="str">
        <f t="shared" si="21"/>
        <v/>
      </c>
      <c r="E375" s="53"/>
      <c r="F375" s="48" t="str">
        <f t="shared" si="22"/>
        <v/>
      </c>
      <c r="G375" s="53" t="str">
        <f t="shared" si="23"/>
        <v/>
      </c>
      <c r="H375" s="48"/>
    </row>
    <row r="376" spans="1:8" ht="15" customHeight="1" x14ac:dyDescent="0.2">
      <c r="A376" s="38"/>
      <c r="B376" s="48"/>
      <c r="C376" s="53" t="str">
        <f t="shared" si="20"/>
        <v/>
      </c>
      <c r="D376" s="48" t="str">
        <f t="shared" si="21"/>
        <v/>
      </c>
      <c r="E376" s="53"/>
      <c r="F376" s="48" t="str">
        <f t="shared" si="22"/>
        <v/>
      </c>
      <c r="G376" s="53" t="str">
        <f t="shared" si="23"/>
        <v/>
      </c>
      <c r="H376" s="48"/>
    </row>
    <row r="377" spans="1:8" ht="15" customHeight="1" x14ac:dyDescent="0.2">
      <c r="A377" s="38"/>
      <c r="B377" s="48"/>
      <c r="C377" s="53" t="str">
        <f t="shared" si="20"/>
        <v/>
      </c>
      <c r="D377" s="48" t="str">
        <f t="shared" si="21"/>
        <v/>
      </c>
      <c r="E377" s="53"/>
      <c r="F377" s="48" t="str">
        <f t="shared" si="22"/>
        <v/>
      </c>
      <c r="G377" s="53" t="str">
        <f t="shared" si="23"/>
        <v/>
      </c>
      <c r="H377" s="48"/>
    </row>
    <row r="378" spans="1:8" ht="15" customHeight="1" x14ac:dyDescent="0.2">
      <c r="A378" s="38"/>
      <c r="B378" s="48"/>
      <c r="C378" s="53" t="str">
        <f t="shared" si="20"/>
        <v/>
      </c>
      <c r="D378" s="48" t="str">
        <f t="shared" si="21"/>
        <v/>
      </c>
      <c r="E378" s="53"/>
      <c r="F378" s="48" t="str">
        <f t="shared" si="22"/>
        <v/>
      </c>
      <c r="G378" s="53" t="str">
        <f t="shared" si="23"/>
        <v/>
      </c>
      <c r="H378" s="48"/>
    </row>
    <row r="379" spans="1:8" ht="15" customHeight="1" x14ac:dyDescent="0.2">
      <c r="A379" s="38"/>
      <c r="B379" s="48"/>
      <c r="C379" s="53" t="str">
        <f t="shared" si="20"/>
        <v/>
      </c>
      <c r="D379" s="48" t="str">
        <f t="shared" si="21"/>
        <v/>
      </c>
      <c r="E379" s="53"/>
      <c r="F379" s="48" t="str">
        <f t="shared" si="22"/>
        <v/>
      </c>
      <c r="G379" s="53" t="str">
        <f t="shared" si="23"/>
        <v/>
      </c>
      <c r="H379" s="48"/>
    </row>
    <row r="380" spans="1:8" ht="15" customHeight="1" x14ac:dyDescent="0.2">
      <c r="A380" s="38"/>
      <c r="B380" s="48"/>
      <c r="C380" s="53" t="str">
        <f t="shared" si="20"/>
        <v/>
      </c>
      <c r="D380" s="48" t="str">
        <f t="shared" si="21"/>
        <v/>
      </c>
      <c r="E380" s="53"/>
      <c r="F380" s="48" t="str">
        <f t="shared" si="22"/>
        <v/>
      </c>
      <c r="G380" s="53" t="str">
        <f t="shared" si="23"/>
        <v/>
      </c>
      <c r="H380" s="48"/>
    </row>
    <row r="381" spans="1:8" ht="15" customHeight="1" x14ac:dyDescent="0.2">
      <c r="A381" s="38"/>
      <c r="B381" s="48"/>
      <c r="C381" s="53" t="str">
        <f t="shared" si="20"/>
        <v/>
      </c>
      <c r="D381" s="48" t="str">
        <f t="shared" si="21"/>
        <v/>
      </c>
      <c r="E381" s="53"/>
      <c r="F381" s="48" t="str">
        <f t="shared" si="22"/>
        <v/>
      </c>
      <c r="G381" s="53" t="str">
        <f t="shared" si="23"/>
        <v/>
      </c>
      <c r="H381" s="48"/>
    </row>
    <row r="382" spans="1:8" ht="15" customHeight="1" x14ac:dyDescent="0.2">
      <c r="A382" s="38"/>
      <c r="B382" s="48"/>
      <c r="C382" s="53" t="str">
        <f t="shared" si="20"/>
        <v/>
      </c>
      <c r="D382" s="48" t="str">
        <f t="shared" si="21"/>
        <v/>
      </c>
      <c r="E382" s="53"/>
      <c r="F382" s="48" t="str">
        <f t="shared" si="22"/>
        <v/>
      </c>
      <c r="G382" s="53" t="str">
        <f t="shared" si="23"/>
        <v/>
      </c>
      <c r="H382" s="48"/>
    </row>
    <row r="383" spans="1:8" ht="15" customHeight="1" x14ac:dyDescent="0.2">
      <c r="A383" s="38"/>
      <c r="B383" s="48"/>
      <c r="C383" s="53" t="str">
        <f t="shared" si="20"/>
        <v/>
      </c>
      <c r="D383" s="48" t="str">
        <f t="shared" si="21"/>
        <v/>
      </c>
      <c r="E383" s="53"/>
      <c r="F383" s="48" t="str">
        <f t="shared" si="22"/>
        <v/>
      </c>
      <c r="G383" s="53" t="str">
        <f t="shared" si="23"/>
        <v/>
      </c>
      <c r="H383" s="48"/>
    </row>
    <row r="384" spans="1:8" ht="15" customHeight="1" x14ac:dyDescent="0.2">
      <c r="A384" s="38"/>
      <c r="B384" s="48"/>
      <c r="C384" s="53" t="str">
        <f t="shared" si="20"/>
        <v/>
      </c>
      <c r="D384" s="48" t="str">
        <f t="shared" si="21"/>
        <v/>
      </c>
      <c r="E384" s="53"/>
      <c r="F384" s="48" t="str">
        <f t="shared" si="22"/>
        <v/>
      </c>
      <c r="G384" s="53" t="str">
        <f t="shared" si="23"/>
        <v/>
      </c>
      <c r="H384" s="48"/>
    </row>
    <row r="385" spans="1:8" ht="15" customHeight="1" x14ac:dyDescent="0.2">
      <c r="A385" s="38"/>
      <c r="B385" s="48"/>
      <c r="C385" s="53" t="str">
        <f t="shared" si="20"/>
        <v/>
      </c>
      <c r="D385" s="48" t="str">
        <f t="shared" si="21"/>
        <v/>
      </c>
      <c r="E385" s="53"/>
      <c r="F385" s="48" t="str">
        <f t="shared" si="22"/>
        <v/>
      </c>
      <c r="G385" s="53" t="str">
        <f t="shared" si="23"/>
        <v/>
      </c>
      <c r="H385" s="48"/>
    </row>
    <row r="386" spans="1:8" ht="15" customHeight="1" x14ac:dyDescent="0.2">
      <c r="A386" s="38"/>
      <c r="B386" s="48"/>
      <c r="C386" s="53" t="str">
        <f t="shared" si="20"/>
        <v/>
      </c>
      <c r="D386" s="48" t="str">
        <f t="shared" si="21"/>
        <v/>
      </c>
      <c r="E386" s="53"/>
      <c r="F386" s="48" t="str">
        <f t="shared" si="22"/>
        <v/>
      </c>
      <c r="G386" s="53" t="str">
        <f t="shared" si="23"/>
        <v/>
      </c>
      <c r="H386" s="48"/>
    </row>
    <row r="387" spans="1:8" ht="15" customHeight="1" x14ac:dyDescent="0.2">
      <c r="A387" s="38"/>
      <c r="B387" s="48"/>
      <c r="C387" s="53" t="str">
        <f t="shared" si="20"/>
        <v/>
      </c>
      <c r="D387" s="48" t="str">
        <f t="shared" si="21"/>
        <v/>
      </c>
      <c r="E387" s="53"/>
      <c r="F387" s="48" t="str">
        <f t="shared" si="22"/>
        <v/>
      </c>
      <c r="G387" s="53" t="str">
        <f t="shared" si="23"/>
        <v/>
      </c>
      <c r="H387" s="48"/>
    </row>
    <row r="388" spans="1:8" ht="15" customHeight="1" x14ac:dyDescent="0.2">
      <c r="A388" s="38"/>
      <c r="B388" s="48"/>
      <c r="C388" s="53" t="str">
        <f t="shared" si="20"/>
        <v/>
      </c>
      <c r="D388" s="48" t="str">
        <f t="shared" si="21"/>
        <v/>
      </c>
      <c r="E388" s="53"/>
      <c r="F388" s="48" t="str">
        <f t="shared" si="22"/>
        <v/>
      </c>
      <c r="G388" s="53" t="str">
        <f t="shared" si="23"/>
        <v/>
      </c>
      <c r="H388" s="48"/>
    </row>
    <row r="389" spans="1:8" ht="15" customHeight="1" x14ac:dyDescent="0.2">
      <c r="A389" s="38"/>
      <c r="B389" s="48"/>
      <c r="C389" s="53" t="str">
        <f t="shared" si="20"/>
        <v/>
      </c>
      <c r="D389" s="48" t="str">
        <f t="shared" si="21"/>
        <v/>
      </c>
      <c r="E389" s="53"/>
      <c r="F389" s="48" t="str">
        <f t="shared" si="22"/>
        <v/>
      </c>
      <c r="G389" s="53" t="str">
        <f t="shared" si="23"/>
        <v/>
      </c>
      <c r="H389" s="48"/>
    </row>
    <row r="390" spans="1:8" ht="15" customHeight="1" x14ac:dyDescent="0.2">
      <c r="A390" s="38"/>
      <c r="B390" s="48"/>
      <c r="C390" s="53" t="str">
        <f t="shared" si="20"/>
        <v/>
      </c>
      <c r="D390" s="48" t="str">
        <f t="shared" si="21"/>
        <v/>
      </c>
      <c r="E390" s="53"/>
      <c r="F390" s="48" t="str">
        <f t="shared" si="22"/>
        <v/>
      </c>
      <c r="G390" s="53" t="str">
        <f t="shared" si="23"/>
        <v/>
      </c>
      <c r="H390" s="48"/>
    </row>
    <row r="391" spans="1:8" ht="15" customHeight="1" x14ac:dyDescent="0.2">
      <c r="A391" s="38"/>
      <c r="B391" s="48"/>
      <c r="C391" s="53" t="str">
        <f t="shared" si="20"/>
        <v/>
      </c>
      <c r="D391" s="48" t="str">
        <f t="shared" si="21"/>
        <v/>
      </c>
      <c r="E391" s="53"/>
      <c r="F391" s="48" t="str">
        <f t="shared" si="22"/>
        <v/>
      </c>
      <c r="G391" s="53" t="str">
        <f t="shared" si="23"/>
        <v/>
      </c>
      <c r="H391" s="48"/>
    </row>
    <row r="392" spans="1:8" ht="15" customHeight="1" x14ac:dyDescent="0.2">
      <c r="A392" s="38"/>
      <c r="B392" s="48"/>
      <c r="C392" s="53" t="str">
        <f t="shared" si="20"/>
        <v/>
      </c>
      <c r="D392" s="48" t="str">
        <f t="shared" si="21"/>
        <v/>
      </c>
      <c r="E392" s="53"/>
      <c r="F392" s="48" t="str">
        <f t="shared" si="22"/>
        <v/>
      </c>
      <c r="G392" s="53" t="str">
        <f t="shared" si="23"/>
        <v/>
      </c>
      <c r="H392" s="48"/>
    </row>
    <row r="393" spans="1:8" ht="15" customHeight="1" x14ac:dyDescent="0.2">
      <c r="A393" s="38"/>
      <c r="B393" s="48"/>
      <c r="C393" s="53" t="str">
        <f t="shared" si="20"/>
        <v/>
      </c>
      <c r="D393" s="48" t="str">
        <f t="shared" si="21"/>
        <v/>
      </c>
      <c r="E393" s="53"/>
      <c r="F393" s="48" t="str">
        <f t="shared" si="22"/>
        <v/>
      </c>
      <c r="G393" s="53" t="str">
        <f t="shared" si="23"/>
        <v/>
      </c>
      <c r="H393" s="48"/>
    </row>
    <row r="394" spans="1:8" ht="15" customHeight="1" x14ac:dyDescent="0.2">
      <c r="A394" s="38"/>
      <c r="B394" s="48"/>
      <c r="C394" s="53" t="str">
        <f t="shared" si="20"/>
        <v/>
      </c>
      <c r="D394" s="48" t="str">
        <f t="shared" si="21"/>
        <v/>
      </c>
      <c r="E394" s="53"/>
      <c r="F394" s="48" t="str">
        <f t="shared" si="22"/>
        <v/>
      </c>
      <c r="G394" s="53" t="str">
        <f t="shared" si="23"/>
        <v/>
      </c>
      <c r="H394" s="48"/>
    </row>
    <row r="395" spans="1:8" ht="15" customHeight="1" x14ac:dyDescent="0.2">
      <c r="A395" s="38"/>
      <c r="B395" s="48"/>
      <c r="C395" s="53" t="str">
        <f t="shared" si="20"/>
        <v/>
      </c>
      <c r="D395" s="48" t="str">
        <f t="shared" si="21"/>
        <v/>
      </c>
      <c r="E395" s="53"/>
      <c r="F395" s="48" t="str">
        <f t="shared" si="22"/>
        <v/>
      </c>
      <c r="G395" s="53" t="str">
        <f t="shared" si="23"/>
        <v/>
      </c>
      <c r="H395" s="48"/>
    </row>
    <row r="396" spans="1:8" ht="15" customHeight="1" x14ac:dyDescent="0.2">
      <c r="A396" s="38"/>
      <c r="B396" s="48"/>
      <c r="C396" s="53" t="str">
        <f t="shared" si="20"/>
        <v/>
      </c>
      <c r="D396" s="48" t="str">
        <f t="shared" si="21"/>
        <v/>
      </c>
      <c r="E396" s="53"/>
      <c r="F396" s="48" t="str">
        <f t="shared" si="22"/>
        <v/>
      </c>
      <c r="G396" s="53" t="str">
        <f t="shared" si="23"/>
        <v/>
      </c>
      <c r="H396" s="48"/>
    </row>
    <row r="397" spans="1:8" ht="15" customHeight="1" x14ac:dyDescent="0.2">
      <c r="A397" s="38"/>
      <c r="B397" s="48"/>
      <c r="C397" s="53" t="str">
        <f t="shared" ref="C397:C460" si="24">IF(B397="","",20.412)</f>
        <v/>
      </c>
      <c r="D397" s="48" t="str">
        <f t="shared" ref="D397:D460" si="25">IF(B397="","",B397*C397)</f>
        <v/>
      </c>
      <c r="E397" s="53"/>
      <c r="F397" s="48" t="str">
        <f t="shared" ref="F397:F460" si="26">IF(D397="","",D397-IF(E397="",0,E397))</f>
        <v/>
      </c>
      <c r="G397" s="53" t="str">
        <f t="shared" ref="G397:G460" si="27">IF(A397="","","27"&amp;MID(A397,4,2)&amp;LEFT(A397,2))</f>
        <v/>
      </c>
      <c r="H397" s="48"/>
    </row>
    <row r="398" spans="1:8" ht="15" customHeight="1" x14ac:dyDescent="0.2">
      <c r="A398" s="38"/>
      <c r="B398" s="48"/>
      <c r="C398" s="53" t="str">
        <f t="shared" si="24"/>
        <v/>
      </c>
      <c r="D398" s="48" t="str">
        <f t="shared" si="25"/>
        <v/>
      </c>
      <c r="E398" s="53"/>
      <c r="F398" s="48" t="str">
        <f t="shared" si="26"/>
        <v/>
      </c>
      <c r="G398" s="53" t="str">
        <f t="shared" si="27"/>
        <v/>
      </c>
      <c r="H398" s="48"/>
    </row>
    <row r="399" spans="1:8" ht="15" customHeight="1" x14ac:dyDescent="0.2">
      <c r="A399" s="38"/>
      <c r="B399" s="48"/>
      <c r="C399" s="53" t="str">
        <f t="shared" si="24"/>
        <v/>
      </c>
      <c r="D399" s="48" t="str">
        <f t="shared" si="25"/>
        <v/>
      </c>
      <c r="E399" s="53"/>
      <c r="F399" s="48" t="str">
        <f t="shared" si="26"/>
        <v/>
      </c>
      <c r="G399" s="53" t="str">
        <f t="shared" si="27"/>
        <v/>
      </c>
      <c r="H399" s="48"/>
    </row>
    <row r="400" spans="1:8" ht="15" customHeight="1" x14ac:dyDescent="0.2">
      <c r="A400" s="38"/>
      <c r="B400" s="48"/>
      <c r="C400" s="53" t="str">
        <f t="shared" si="24"/>
        <v/>
      </c>
      <c r="D400" s="48" t="str">
        <f t="shared" si="25"/>
        <v/>
      </c>
      <c r="E400" s="53"/>
      <c r="F400" s="48" t="str">
        <f t="shared" si="26"/>
        <v/>
      </c>
      <c r="G400" s="53" t="str">
        <f t="shared" si="27"/>
        <v/>
      </c>
      <c r="H400" s="48"/>
    </row>
    <row r="401" spans="1:8" ht="15" customHeight="1" x14ac:dyDescent="0.2">
      <c r="A401" s="38"/>
      <c r="B401" s="48"/>
      <c r="C401" s="53" t="str">
        <f t="shared" si="24"/>
        <v/>
      </c>
      <c r="D401" s="48" t="str">
        <f t="shared" si="25"/>
        <v/>
      </c>
      <c r="E401" s="53"/>
      <c r="F401" s="48" t="str">
        <f t="shared" si="26"/>
        <v/>
      </c>
      <c r="G401" s="53" t="str">
        <f t="shared" si="27"/>
        <v/>
      </c>
      <c r="H401" s="48"/>
    </row>
    <row r="402" spans="1:8" ht="15" customHeight="1" x14ac:dyDescent="0.2">
      <c r="A402" s="38"/>
      <c r="B402" s="48"/>
      <c r="C402" s="53" t="str">
        <f t="shared" si="24"/>
        <v/>
      </c>
      <c r="D402" s="48" t="str">
        <f t="shared" si="25"/>
        <v/>
      </c>
      <c r="E402" s="53"/>
      <c r="F402" s="48" t="str">
        <f t="shared" si="26"/>
        <v/>
      </c>
      <c r="G402" s="53" t="str">
        <f t="shared" si="27"/>
        <v/>
      </c>
      <c r="H402" s="48"/>
    </row>
    <row r="403" spans="1:8" ht="15" customHeight="1" x14ac:dyDescent="0.2">
      <c r="A403" s="38"/>
      <c r="B403" s="48"/>
      <c r="C403" s="53" t="str">
        <f t="shared" si="24"/>
        <v/>
      </c>
      <c r="D403" s="48" t="str">
        <f t="shared" si="25"/>
        <v/>
      </c>
      <c r="E403" s="53"/>
      <c r="F403" s="48" t="str">
        <f t="shared" si="26"/>
        <v/>
      </c>
      <c r="G403" s="53" t="str">
        <f t="shared" si="27"/>
        <v/>
      </c>
      <c r="H403" s="48"/>
    </row>
    <row r="404" spans="1:8" ht="15" customHeight="1" x14ac:dyDescent="0.2">
      <c r="A404" s="38"/>
      <c r="B404" s="48"/>
      <c r="C404" s="53" t="str">
        <f t="shared" si="24"/>
        <v/>
      </c>
      <c r="D404" s="48" t="str">
        <f t="shared" si="25"/>
        <v/>
      </c>
      <c r="E404" s="53"/>
      <c r="F404" s="48" t="str">
        <f t="shared" si="26"/>
        <v/>
      </c>
      <c r="G404" s="53" t="str">
        <f t="shared" si="27"/>
        <v/>
      </c>
      <c r="H404" s="48"/>
    </row>
    <row r="405" spans="1:8" ht="15" customHeight="1" x14ac:dyDescent="0.2">
      <c r="A405" s="38"/>
      <c r="B405" s="48"/>
      <c r="C405" s="53" t="str">
        <f t="shared" si="24"/>
        <v/>
      </c>
      <c r="D405" s="48" t="str">
        <f t="shared" si="25"/>
        <v/>
      </c>
      <c r="E405" s="53"/>
      <c r="F405" s="48" t="str">
        <f t="shared" si="26"/>
        <v/>
      </c>
      <c r="G405" s="53" t="str">
        <f t="shared" si="27"/>
        <v/>
      </c>
      <c r="H405" s="48"/>
    </row>
    <row r="406" spans="1:8" ht="15" customHeight="1" x14ac:dyDescent="0.2">
      <c r="A406" s="38"/>
      <c r="B406" s="48"/>
      <c r="C406" s="53" t="str">
        <f t="shared" si="24"/>
        <v/>
      </c>
      <c r="D406" s="48" t="str">
        <f t="shared" si="25"/>
        <v/>
      </c>
      <c r="E406" s="53"/>
      <c r="F406" s="48" t="str">
        <f t="shared" si="26"/>
        <v/>
      </c>
      <c r="G406" s="53" t="str">
        <f t="shared" si="27"/>
        <v/>
      </c>
      <c r="H406" s="48"/>
    </row>
    <row r="407" spans="1:8" ht="15" customHeight="1" x14ac:dyDescent="0.2">
      <c r="A407" s="38"/>
      <c r="B407" s="48"/>
      <c r="C407" s="53" t="str">
        <f t="shared" si="24"/>
        <v/>
      </c>
      <c r="D407" s="48" t="str">
        <f t="shared" si="25"/>
        <v/>
      </c>
      <c r="E407" s="53"/>
      <c r="F407" s="48" t="str">
        <f t="shared" si="26"/>
        <v/>
      </c>
      <c r="G407" s="53" t="str">
        <f t="shared" si="27"/>
        <v/>
      </c>
      <c r="H407" s="48"/>
    </row>
    <row r="408" spans="1:8" ht="15" customHeight="1" x14ac:dyDescent="0.2">
      <c r="A408" s="38"/>
      <c r="B408" s="48"/>
      <c r="C408" s="53" t="str">
        <f t="shared" si="24"/>
        <v/>
      </c>
      <c r="D408" s="48" t="str">
        <f t="shared" si="25"/>
        <v/>
      </c>
      <c r="E408" s="53"/>
      <c r="F408" s="48" t="str">
        <f t="shared" si="26"/>
        <v/>
      </c>
      <c r="G408" s="53" t="str">
        <f t="shared" si="27"/>
        <v/>
      </c>
      <c r="H408" s="48"/>
    </row>
    <row r="409" spans="1:8" ht="15" customHeight="1" x14ac:dyDescent="0.2">
      <c r="A409" s="38"/>
      <c r="B409" s="48"/>
      <c r="C409" s="53" t="str">
        <f t="shared" si="24"/>
        <v/>
      </c>
      <c r="D409" s="48" t="str">
        <f t="shared" si="25"/>
        <v/>
      </c>
      <c r="E409" s="53"/>
      <c r="F409" s="48" t="str">
        <f t="shared" si="26"/>
        <v/>
      </c>
      <c r="G409" s="53" t="str">
        <f t="shared" si="27"/>
        <v/>
      </c>
      <c r="H409" s="48"/>
    </row>
    <row r="410" spans="1:8" ht="15" customHeight="1" x14ac:dyDescent="0.2">
      <c r="A410" s="38"/>
      <c r="B410" s="48"/>
      <c r="C410" s="53" t="str">
        <f t="shared" si="24"/>
        <v/>
      </c>
      <c r="D410" s="48" t="str">
        <f t="shared" si="25"/>
        <v/>
      </c>
      <c r="E410" s="53"/>
      <c r="F410" s="48" t="str">
        <f t="shared" si="26"/>
        <v/>
      </c>
      <c r="G410" s="53" t="str">
        <f t="shared" si="27"/>
        <v/>
      </c>
      <c r="H410" s="48"/>
    </row>
    <row r="411" spans="1:8" ht="15" customHeight="1" x14ac:dyDescent="0.2">
      <c r="A411" s="38"/>
      <c r="B411" s="48"/>
      <c r="C411" s="53" t="str">
        <f t="shared" si="24"/>
        <v/>
      </c>
      <c r="D411" s="48" t="str">
        <f t="shared" si="25"/>
        <v/>
      </c>
      <c r="E411" s="53"/>
      <c r="F411" s="48" t="str">
        <f t="shared" si="26"/>
        <v/>
      </c>
      <c r="G411" s="53" t="str">
        <f t="shared" si="27"/>
        <v/>
      </c>
      <c r="H411" s="48"/>
    </row>
    <row r="412" spans="1:8" ht="15" customHeight="1" x14ac:dyDescent="0.2">
      <c r="A412" s="38"/>
      <c r="B412" s="48"/>
      <c r="C412" s="53" t="str">
        <f t="shared" si="24"/>
        <v/>
      </c>
      <c r="D412" s="48" t="str">
        <f t="shared" si="25"/>
        <v/>
      </c>
      <c r="E412" s="53"/>
      <c r="F412" s="48" t="str">
        <f t="shared" si="26"/>
        <v/>
      </c>
      <c r="G412" s="53" t="str">
        <f t="shared" si="27"/>
        <v/>
      </c>
      <c r="H412" s="48"/>
    </row>
    <row r="413" spans="1:8" ht="15" customHeight="1" x14ac:dyDescent="0.2">
      <c r="A413" s="38"/>
      <c r="B413" s="48"/>
      <c r="C413" s="53" t="str">
        <f t="shared" si="24"/>
        <v/>
      </c>
      <c r="D413" s="48" t="str">
        <f t="shared" si="25"/>
        <v/>
      </c>
      <c r="E413" s="53"/>
      <c r="F413" s="48" t="str">
        <f t="shared" si="26"/>
        <v/>
      </c>
      <c r="G413" s="53" t="str">
        <f t="shared" si="27"/>
        <v/>
      </c>
      <c r="H413" s="48"/>
    </row>
    <row r="414" spans="1:8" ht="15" customHeight="1" x14ac:dyDescent="0.2">
      <c r="A414" s="38"/>
      <c r="B414" s="48"/>
      <c r="C414" s="53" t="str">
        <f t="shared" si="24"/>
        <v/>
      </c>
      <c r="D414" s="48" t="str">
        <f t="shared" si="25"/>
        <v/>
      </c>
      <c r="E414" s="53"/>
      <c r="F414" s="48" t="str">
        <f t="shared" si="26"/>
        <v/>
      </c>
      <c r="G414" s="53" t="str">
        <f t="shared" si="27"/>
        <v/>
      </c>
      <c r="H414" s="48"/>
    </row>
    <row r="415" spans="1:8" ht="15" customHeight="1" x14ac:dyDescent="0.2">
      <c r="A415" s="38"/>
      <c r="B415" s="48"/>
      <c r="C415" s="53" t="str">
        <f t="shared" si="24"/>
        <v/>
      </c>
      <c r="D415" s="48" t="str">
        <f t="shared" si="25"/>
        <v/>
      </c>
      <c r="E415" s="53"/>
      <c r="F415" s="48" t="str">
        <f t="shared" si="26"/>
        <v/>
      </c>
      <c r="G415" s="53" t="str">
        <f t="shared" si="27"/>
        <v/>
      </c>
      <c r="H415" s="48"/>
    </row>
    <row r="416" spans="1:8" ht="15" customHeight="1" x14ac:dyDescent="0.2">
      <c r="A416" s="38"/>
      <c r="B416" s="48"/>
      <c r="C416" s="53" t="str">
        <f t="shared" si="24"/>
        <v/>
      </c>
      <c r="D416" s="48" t="str">
        <f t="shared" si="25"/>
        <v/>
      </c>
      <c r="E416" s="53"/>
      <c r="F416" s="48" t="str">
        <f t="shared" si="26"/>
        <v/>
      </c>
      <c r="G416" s="53" t="str">
        <f t="shared" si="27"/>
        <v/>
      </c>
      <c r="H416" s="48"/>
    </row>
    <row r="417" spans="1:8" ht="15" customHeight="1" x14ac:dyDescent="0.2">
      <c r="A417" s="38"/>
      <c r="B417" s="48"/>
      <c r="C417" s="53" t="str">
        <f t="shared" si="24"/>
        <v/>
      </c>
      <c r="D417" s="48" t="str">
        <f t="shared" si="25"/>
        <v/>
      </c>
      <c r="E417" s="53"/>
      <c r="F417" s="48" t="str">
        <f t="shared" si="26"/>
        <v/>
      </c>
      <c r="G417" s="53" t="str">
        <f t="shared" si="27"/>
        <v/>
      </c>
      <c r="H417" s="48"/>
    </row>
    <row r="418" spans="1:8" ht="15" customHeight="1" x14ac:dyDescent="0.2">
      <c r="A418" s="38"/>
      <c r="B418" s="48"/>
      <c r="C418" s="53" t="str">
        <f t="shared" si="24"/>
        <v/>
      </c>
      <c r="D418" s="48" t="str">
        <f t="shared" si="25"/>
        <v/>
      </c>
      <c r="E418" s="53"/>
      <c r="F418" s="48" t="str">
        <f t="shared" si="26"/>
        <v/>
      </c>
      <c r="G418" s="53" t="str">
        <f t="shared" si="27"/>
        <v/>
      </c>
      <c r="H418" s="48"/>
    </row>
    <row r="419" spans="1:8" ht="15" customHeight="1" x14ac:dyDescent="0.2">
      <c r="A419" s="38"/>
      <c r="B419" s="48"/>
      <c r="C419" s="53" t="str">
        <f t="shared" si="24"/>
        <v/>
      </c>
      <c r="D419" s="48" t="str">
        <f t="shared" si="25"/>
        <v/>
      </c>
      <c r="E419" s="53"/>
      <c r="F419" s="48" t="str">
        <f t="shared" si="26"/>
        <v/>
      </c>
      <c r="G419" s="53" t="str">
        <f t="shared" si="27"/>
        <v/>
      </c>
      <c r="H419" s="48"/>
    </row>
    <row r="420" spans="1:8" ht="15" customHeight="1" x14ac:dyDescent="0.2">
      <c r="A420" s="38"/>
      <c r="B420" s="48"/>
      <c r="C420" s="53" t="str">
        <f t="shared" si="24"/>
        <v/>
      </c>
      <c r="D420" s="48" t="str">
        <f t="shared" si="25"/>
        <v/>
      </c>
      <c r="E420" s="53"/>
      <c r="F420" s="48" t="str">
        <f t="shared" si="26"/>
        <v/>
      </c>
      <c r="G420" s="53" t="str">
        <f t="shared" si="27"/>
        <v/>
      </c>
      <c r="H420" s="48"/>
    </row>
    <row r="421" spans="1:8" ht="15" customHeight="1" x14ac:dyDescent="0.2">
      <c r="A421" s="38"/>
      <c r="B421" s="48"/>
      <c r="C421" s="53" t="str">
        <f t="shared" si="24"/>
        <v/>
      </c>
      <c r="D421" s="48" t="str">
        <f t="shared" si="25"/>
        <v/>
      </c>
      <c r="E421" s="53"/>
      <c r="F421" s="48" t="str">
        <f t="shared" si="26"/>
        <v/>
      </c>
      <c r="G421" s="53" t="str">
        <f t="shared" si="27"/>
        <v/>
      </c>
      <c r="H421" s="48"/>
    </row>
    <row r="422" spans="1:8" ht="15" customHeight="1" x14ac:dyDescent="0.2">
      <c r="A422" s="38"/>
      <c r="B422" s="48"/>
      <c r="C422" s="53" t="str">
        <f t="shared" si="24"/>
        <v/>
      </c>
      <c r="D422" s="48" t="str">
        <f t="shared" si="25"/>
        <v/>
      </c>
      <c r="E422" s="53"/>
      <c r="F422" s="48" t="str">
        <f t="shared" si="26"/>
        <v/>
      </c>
      <c r="G422" s="53" t="str">
        <f t="shared" si="27"/>
        <v/>
      </c>
      <c r="H422" s="48"/>
    </row>
    <row r="423" spans="1:8" ht="15" customHeight="1" x14ac:dyDescent="0.2">
      <c r="A423" s="38"/>
      <c r="B423" s="48"/>
      <c r="C423" s="53" t="str">
        <f t="shared" si="24"/>
        <v/>
      </c>
      <c r="D423" s="48" t="str">
        <f t="shared" si="25"/>
        <v/>
      </c>
      <c r="E423" s="53"/>
      <c r="F423" s="48" t="str">
        <f t="shared" si="26"/>
        <v/>
      </c>
      <c r="G423" s="53" t="str">
        <f t="shared" si="27"/>
        <v/>
      </c>
      <c r="H423" s="48"/>
    </row>
    <row r="424" spans="1:8" ht="15" customHeight="1" x14ac:dyDescent="0.2">
      <c r="A424" s="38"/>
      <c r="B424" s="48"/>
      <c r="C424" s="53" t="str">
        <f t="shared" si="24"/>
        <v/>
      </c>
      <c r="D424" s="48" t="str">
        <f t="shared" si="25"/>
        <v/>
      </c>
      <c r="E424" s="53"/>
      <c r="F424" s="48" t="str">
        <f t="shared" si="26"/>
        <v/>
      </c>
      <c r="G424" s="53" t="str">
        <f t="shared" si="27"/>
        <v/>
      </c>
      <c r="H424" s="48"/>
    </row>
    <row r="425" spans="1:8" ht="15" customHeight="1" x14ac:dyDescent="0.2">
      <c r="A425" s="38"/>
      <c r="B425" s="48"/>
      <c r="C425" s="53" t="str">
        <f t="shared" si="24"/>
        <v/>
      </c>
      <c r="D425" s="48" t="str">
        <f t="shared" si="25"/>
        <v/>
      </c>
      <c r="E425" s="53"/>
      <c r="F425" s="48" t="str">
        <f t="shared" si="26"/>
        <v/>
      </c>
      <c r="G425" s="53" t="str">
        <f t="shared" si="27"/>
        <v/>
      </c>
      <c r="H425" s="48"/>
    </row>
    <row r="426" spans="1:8" ht="15" customHeight="1" x14ac:dyDescent="0.2">
      <c r="A426" s="38"/>
      <c r="B426" s="48"/>
      <c r="C426" s="53" t="str">
        <f t="shared" si="24"/>
        <v/>
      </c>
      <c r="D426" s="48" t="str">
        <f t="shared" si="25"/>
        <v/>
      </c>
      <c r="E426" s="53"/>
      <c r="F426" s="48" t="str">
        <f t="shared" si="26"/>
        <v/>
      </c>
      <c r="G426" s="53" t="str">
        <f t="shared" si="27"/>
        <v/>
      </c>
      <c r="H426" s="48"/>
    </row>
    <row r="427" spans="1:8" ht="15" customHeight="1" x14ac:dyDescent="0.2">
      <c r="A427" s="38"/>
      <c r="B427" s="48"/>
      <c r="C427" s="53" t="str">
        <f t="shared" si="24"/>
        <v/>
      </c>
      <c r="D427" s="48" t="str">
        <f t="shared" si="25"/>
        <v/>
      </c>
      <c r="E427" s="53"/>
      <c r="F427" s="48" t="str">
        <f t="shared" si="26"/>
        <v/>
      </c>
      <c r="G427" s="53" t="str">
        <f t="shared" si="27"/>
        <v/>
      </c>
      <c r="H427" s="48"/>
    </row>
    <row r="428" spans="1:8" ht="15" customHeight="1" x14ac:dyDescent="0.2">
      <c r="A428" s="38"/>
      <c r="B428" s="48"/>
      <c r="C428" s="53" t="str">
        <f t="shared" si="24"/>
        <v/>
      </c>
      <c r="D428" s="48" t="str">
        <f t="shared" si="25"/>
        <v/>
      </c>
      <c r="E428" s="53"/>
      <c r="F428" s="48" t="str">
        <f t="shared" si="26"/>
        <v/>
      </c>
      <c r="G428" s="53" t="str">
        <f t="shared" si="27"/>
        <v/>
      </c>
      <c r="H428" s="48"/>
    </row>
    <row r="429" spans="1:8" ht="15" customHeight="1" x14ac:dyDescent="0.2">
      <c r="A429" s="38"/>
      <c r="B429" s="48"/>
      <c r="C429" s="53" t="str">
        <f t="shared" si="24"/>
        <v/>
      </c>
      <c r="D429" s="48" t="str">
        <f t="shared" si="25"/>
        <v/>
      </c>
      <c r="E429" s="53"/>
      <c r="F429" s="48" t="str">
        <f t="shared" si="26"/>
        <v/>
      </c>
      <c r="G429" s="53" t="str">
        <f t="shared" si="27"/>
        <v/>
      </c>
      <c r="H429" s="48"/>
    </row>
    <row r="430" spans="1:8" ht="15" customHeight="1" x14ac:dyDescent="0.2">
      <c r="A430" s="38"/>
      <c r="B430" s="48"/>
      <c r="C430" s="53" t="str">
        <f t="shared" si="24"/>
        <v/>
      </c>
      <c r="D430" s="48" t="str">
        <f t="shared" si="25"/>
        <v/>
      </c>
      <c r="E430" s="53"/>
      <c r="F430" s="48" t="str">
        <f t="shared" si="26"/>
        <v/>
      </c>
      <c r="G430" s="53" t="str">
        <f t="shared" si="27"/>
        <v/>
      </c>
      <c r="H430" s="48"/>
    </row>
    <row r="431" spans="1:8" ht="15" customHeight="1" x14ac:dyDescent="0.2">
      <c r="A431" s="38"/>
      <c r="B431" s="48"/>
      <c r="C431" s="53" t="str">
        <f t="shared" si="24"/>
        <v/>
      </c>
      <c r="D431" s="48" t="str">
        <f t="shared" si="25"/>
        <v/>
      </c>
      <c r="E431" s="53"/>
      <c r="F431" s="48" t="str">
        <f t="shared" si="26"/>
        <v/>
      </c>
      <c r="G431" s="53" t="str">
        <f t="shared" si="27"/>
        <v/>
      </c>
      <c r="H431" s="48"/>
    </row>
    <row r="432" spans="1:8" ht="15" customHeight="1" x14ac:dyDescent="0.2">
      <c r="A432" s="38"/>
      <c r="B432" s="48"/>
      <c r="C432" s="53" t="str">
        <f t="shared" si="24"/>
        <v/>
      </c>
      <c r="D432" s="48" t="str">
        <f t="shared" si="25"/>
        <v/>
      </c>
      <c r="E432" s="53"/>
      <c r="F432" s="48" t="str">
        <f t="shared" si="26"/>
        <v/>
      </c>
      <c r="G432" s="53" t="str">
        <f t="shared" si="27"/>
        <v/>
      </c>
      <c r="H432" s="48"/>
    </row>
    <row r="433" spans="1:8" ht="15" customHeight="1" x14ac:dyDescent="0.2">
      <c r="A433" s="38"/>
      <c r="B433" s="48"/>
      <c r="C433" s="53" t="str">
        <f t="shared" si="24"/>
        <v/>
      </c>
      <c r="D433" s="48" t="str">
        <f t="shared" si="25"/>
        <v/>
      </c>
      <c r="E433" s="53"/>
      <c r="F433" s="48" t="str">
        <f t="shared" si="26"/>
        <v/>
      </c>
      <c r="G433" s="53" t="str">
        <f t="shared" si="27"/>
        <v/>
      </c>
      <c r="H433" s="48"/>
    </row>
    <row r="434" spans="1:8" ht="15" customHeight="1" x14ac:dyDescent="0.2">
      <c r="A434" s="38"/>
      <c r="B434" s="48"/>
      <c r="C434" s="53" t="str">
        <f t="shared" si="24"/>
        <v/>
      </c>
      <c r="D434" s="48" t="str">
        <f t="shared" si="25"/>
        <v/>
      </c>
      <c r="E434" s="53"/>
      <c r="F434" s="48" t="str">
        <f t="shared" si="26"/>
        <v/>
      </c>
      <c r="G434" s="53" t="str">
        <f t="shared" si="27"/>
        <v/>
      </c>
      <c r="H434" s="48"/>
    </row>
    <row r="435" spans="1:8" ht="15" customHeight="1" x14ac:dyDescent="0.2">
      <c r="A435" s="38"/>
      <c r="B435" s="48"/>
      <c r="C435" s="53" t="str">
        <f t="shared" si="24"/>
        <v/>
      </c>
      <c r="D435" s="48" t="str">
        <f t="shared" si="25"/>
        <v/>
      </c>
      <c r="E435" s="53"/>
      <c r="F435" s="48" t="str">
        <f t="shared" si="26"/>
        <v/>
      </c>
      <c r="G435" s="53" t="str">
        <f t="shared" si="27"/>
        <v/>
      </c>
      <c r="H435" s="48"/>
    </row>
    <row r="436" spans="1:8" ht="15" customHeight="1" x14ac:dyDescent="0.2">
      <c r="A436" s="38"/>
      <c r="B436" s="48"/>
      <c r="C436" s="53" t="str">
        <f t="shared" si="24"/>
        <v/>
      </c>
      <c r="D436" s="48" t="str">
        <f t="shared" si="25"/>
        <v/>
      </c>
      <c r="E436" s="53"/>
      <c r="F436" s="48" t="str">
        <f t="shared" si="26"/>
        <v/>
      </c>
      <c r="G436" s="53" t="str">
        <f t="shared" si="27"/>
        <v/>
      </c>
      <c r="H436" s="48"/>
    </row>
    <row r="437" spans="1:8" ht="15" customHeight="1" x14ac:dyDescent="0.2">
      <c r="A437" s="38"/>
      <c r="B437" s="48"/>
      <c r="C437" s="53" t="str">
        <f t="shared" si="24"/>
        <v/>
      </c>
      <c r="D437" s="48" t="str">
        <f t="shared" si="25"/>
        <v/>
      </c>
      <c r="E437" s="53"/>
      <c r="F437" s="48" t="str">
        <f t="shared" si="26"/>
        <v/>
      </c>
      <c r="G437" s="53" t="str">
        <f t="shared" si="27"/>
        <v/>
      </c>
      <c r="H437" s="48"/>
    </row>
    <row r="438" spans="1:8" ht="15" customHeight="1" x14ac:dyDescent="0.2">
      <c r="A438" s="38"/>
      <c r="B438" s="48"/>
      <c r="C438" s="53" t="str">
        <f t="shared" si="24"/>
        <v/>
      </c>
      <c r="D438" s="48" t="str">
        <f t="shared" si="25"/>
        <v/>
      </c>
      <c r="E438" s="53"/>
      <c r="F438" s="48" t="str">
        <f t="shared" si="26"/>
        <v/>
      </c>
      <c r="G438" s="53" t="str">
        <f t="shared" si="27"/>
        <v/>
      </c>
      <c r="H438" s="48"/>
    </row>
    <row r="439" spans="1:8" ht="15" customHeight="1" x14ac:dyDescent="0.2">
      <c r="A439" s="38"/>
      <c r="B439" s="48"/>
      <c r="C439" s="53" t="str">
        <f t="shared" si="24"/>
        <v/>
      </c>
      <c r="D439" s="48" t="str">
        <f t="shared" si="25"/>
        <v/>
      </c>
      <c r="E439" s="53"/>
      <c r="F439" s="48" t="str">
        <f t="shared" si="26"/>
        <v/>
      </c>
      <c r="G439" s="53" t="str">
        <f t="shared" si="27"/>
        <v/>
      </c>
      <c r="H439" s="48"/>
    </row>
    <row r="440" spans="1:8" ht="15" customHeight="1" x14ac:dyDescent="0.2">
      <c r="A440" s="38"/>
      <c r="B440" s="48"/>
      <c r="C440" s="53" t="str">
        <f t="shared" si="24"/>
        <v/>
      </c>
      <c r="D440" s="48" t="str">
        <f t="shared" si="25"/>
        <v/>
      </c>
      <c r="E440" s="53"/>
      <c r="F440" s="48" t="str">
        <f t="shared" si="26"/>
        <v/>
      </c>
      <c r="G440" s="53" t="str">
        <f t="shared" si="27"/>
        <v/>
      </c>
      <c r="H440" s="48"/>
    </row>
    <row r="441" spans="1:8" ht="15" customHeight="1" x14ac:dyDescent="0.2">
      <c r="A441" s="38"/>
      <c r="B441" s="48"/>
      <c r="C441" s="53" t="str">
        <f t="shared" si="24"/>
        <v/>
      </c>
      <c r="D441" s="48" t="str">
        <f t="shared" si="25"/>
        <v/>
      </c>
      <c r="E441" s="53"/>
      <c r="F441" s="48" t="str">
        <f t="shared" si="26"/>
        <v/>
      </c>
      <c r="G441" s="53" t="str">
        <f t="shared" si="27"/>
        <v/>
      </c>
      <c r="H441" s="48"/>
    </row>
    <row r="442" spans="1:8" ht="15" customHeight="1" x14ac:dyDescent="0.2">
      <c r="A442" s="38"/>
      <c r="B442" s="48"/>
      <c r="C442" s="53" t="str">
        <f t="shared" si="24"/>
        <v/>
      </c>
      <c r="D442" s="48" t="str">
        <f t="shared" si="25"/>
        <v/>
      </c>
      <c r="E442" s="53"/>
      <c r="F442" s="48" t="str">
        <f t="shared" si="26"/>
        <v/>
      </c>
      <c r="G442" s="53" t="str">
        <f t="shared" si="27"/>
        <v/>
      </c>
      <c r="H442" s="48"/>
    </row>
    <row r="443" spans="1:8" ht="15" customHeight="1" x14ac:dyDescent="0.2">
      <c r="A443" s="38"/>
      <c r="B443" s="48"/>
      <c r="C443" s="53" t="str">
        <f t="shared" si="24"/>
        <v/>
      </c>
      <c r="D443" s="48" t="str">
        <f t="shared" si="25"/>
        <v/>
      </c>
      <c r="E443" s="53"/>
      <c r="F443" s="48" t="str">
        <f t="shared" si="26"/>
        <v/>
      </c>
      <c r="G443" s="53" t="str">
        <f t="shared" si="27"/>
        <v/>
      </c>
      <c r="H443" s="48"/>
    </row>
    <row r="444" spans="1:8" ht="15" customHeight="1" x14ac:dyDescent="0.2">
      <c r="A444" s="38"/>
      <c r="B444" s="48"/>
      <c r="C444" s="53" t="str">
        <f t="shared" si="24"/>
        <v/>
      </c>
      <c r="D444" s="48" t="str">
        <f t="shared" si="25"/>
        <v/>
      </c>
      <c r="E444" s="53"/>
      <c r="F444" s="48" t="str">
        <f t="shared" si="26"/>
        <v/>
      </c>
      <c r="G444" s="53" t="str">
        <f t="shared" si="27"/>
        <v/>
      </c>
      <c r="H444" s="48"/>
    </row>
    <row r="445" spans="1:8" ht="15" customHeight="1" x14ac:dyDescent="0.2">
      <c r="A445" s="38"/>
      <c r="B445" s="48"/>
      <c r="C445" s="53" t="str">
        <f t="shared" si="24"/>
        <v/>
      </c>
      <c r="D445" s="48" t="str">
        <f t="shared" si="25"/>
        <v/>
      </c>
      <c r="E445" s="53"/>
      <c r="F445" s="48" t="str">
        <f t="shared" si="26"/>
        <v/>
      </c>
      <c r="G445" s="53" t="str">
        <f t="shared" si="27"/>
        <v/>
      </c>
      <c r="H445" s="48"/>
    </row>
    <row r="446" spans="1:8" ht="15" customHeight="1" x14ac:dyDescent="0.2">
      <c r="A446" s="38"/>
      <c r="B446" s="48"/>
      <c r="C446" s="53" t="str">
        <f t="shared" si="24"/>
        <v/>
      </c>
      <c r="D446" s="48" t="str">
        <f t="shared" si="25"/>
        <v/>
      </c>
      <c r="E446" s="53"/>
      <c r="F446" s="48" t="str">
        <f t="shared" si="26"/>
        <v/>
      </c>
      <c r="G446" s="53" t="str">
        <f t="shared" si="27"/>
        <v/>
      </c>
      <c r="H446" s="48"/>
    </row>
    <row r="447" spans="1:8" ht="15" customHeight="1" x14ac:dyDescent="0.2">
      <c r="A447" s="38"/>
      <c r="B447" s="48"/>
      <c r="C447" s="53" t="str">
        <f t="shared" si="24"/>
        <v/>
      </c>
      <c r="D447" s="48" t="str">
        <f t="shared" si="25"/>
        <v/>
      </c>
      <c r="E447" s="53"/>
      <c r="F447" s="48" t="str">
        <f t="shared" si="26"/>
        <v/>
      </c>
      <c r="G447" s="53" t="str">
        <f t="shared" si="27"/>
        <v/>
      </c>
      <c r="H447" s="48"/>
    </row>
    <row r="448" spans="1:8" ht="15" customHeight="1" x14ac:dyDescent="0.2">
      <c r="A448" s="38"/>
      <c r="B448" s="48"/>
      <c r="C448" s="53" t="str">
        <f t="shared" si="24"/>
        <v/>
      </c>
      <c r="D448" s="48" t="str">
        <f t="shared" si="25"/>
        <v/>
      </c>
      <c r="E448" s="53"/>
      <c r="F448" s="48" t="str">
        <f t="shared" si="26"/>
        <v/>
      </c>
      <c r="G448" s="53" t="str">
        <f t="shared" si="27"/>
        <v/>
      </c>
      <c r="H448" s="48"/>
    </row>
    <row r="449" spans="1:8" ht="15" customHeight="1" x14ac:dyDescent="0.2">
      <c r="A449" s="38"/>
      <c r="B449" s="48"/>
      <c r="C449" s="53" t="str">
        <f t="shared" si="24"/>
        <v/>
      </c>
      <c r="D449" s="48" t="str">
        <f t="shared" si="25"/>
        <v/>
      </c>
      <c r="E449" s="53"/>
      <c r="F449" s="48" t="str">
        <f t="shared" si="26"/>
        <v/>
      </c>
      <c r="G449" s="53" t="str">
        <f t="shared" si="27"/>
        <v/>
      </c>
      <c r="H449" s="48"/>
    </row>
    <row r="450" spans="1:8" ht="15" customHeight="1" x14ac:dyDescent="0.2">
      <c r="A450" s="38"/>
      <c r="B450" s="48"/>
      <c r="C450" s="53" t="str">
        <f t="shared" si="24"/>
        <v/>
      </c>
      <c r="D450" s="48" t="str">
        <f t="shared" si="25"/>
        <v/>
      </c>
      <c r="E450" s="53"/>
      <c r="F450" s="48" t="str">
        <f t="shared" si="26"/>
        <v/>
      </c>
      <c r="G450" s="53" t="str">
        <f t="shared" si="27"/>
        <v/>
      </c>
      <c r="H450" s="48"/>
    </row>
    <row r="451" spans="1:8" ht="15" customHeight="1" x14ac:dyDescent="0.2">
      <c r="A451" s="38"/>
      <c r="B451" s="48"/>
      <c r="C451" s="53" t="str">
        <f t="shared" si="24"/>
        <v/>
      </c>
      <c r="D451" s="48" t="str">
        <f t="shared" si="25"/>
        <v/>
      </c>
      <c r="E451" s="53"/>
      <c r="F451" s="48" t="str">
        <f t="shared" si="26"/>
        <v/>
      </c>
      <c r="G451" s="53" t="str">
        <f t="shared" si="27"/>
        <v/>
      </c>
      <c r="H451" s="48"/>
    </row>
    <row r="452" spans="1:8" ht="15" customHeight="1" x14ac:dyDescent="0.2">
      <c r="A452" s="38"/>
      <c r="B452" s="48"/>
      <c r="C452" s="53" t="str">
        <f t="shared" si="24"/>
        <v/>
      </c>
      <c r="D452" s="48" t="str">
        <f t="shared" si="25"/>
        <v/>
      </c>
      <c r="E452" s="53"/>
      <c r="F452" s="48" t="str">
        <f t="shared" si="26"/>
        <v/>
      </c>
      <c r="G452" s="53" t="str">
        <f t="shared" si="27"/>
        <v/>
      </c>
      <c r="H452" s="48"/>
    </row>
    <row r="453" spans="1:8" ht="15" customHeight="1" x14ac:dyDescent="0.2">
      <c r="A453" s="38"/>
      <c r="B453" s="48"/>
      <c r="C453" s="53" t="str">
        <f t="shared" si="24"/>
        <v/>
      </c>
      <c r="D453" s="48" t="str">
        <f t="shared" si="25"/>
        <v/>
      </c>
      <c r="E453" s="53"/>
      <c r="F453" s="48" t="str">
        <f t="shared" si="26"/>
        <v/>
      </c>
      <c r="G453" s="53" t="str">
        <f t="shared" si="27"/>
        <v/>
      </c>
      <c r="H453" s="48"/>
    </row>
    <row r="454" spans="1:8" ht="15" customHeight="1" x14ac:dyDescent="0.2">
      <c r="A454" s="38"/>
      <c r="B454" s="48"/>
      <c r="C454" s="53" t="str">
        <f t="shared" si="24"/>
        <v/>
      </c>
      <c r="D454" s="48" t="str">
        <f t="shared" si="25"/>
        <v/>
      </c>
      <c r="E454" s="53"/>
      <c r="F454" s="48" t="str">
        <f t="shared" si="26"/>
        <v/>
      </c>
      <c r="G454" s="53" t="str">
        <f t="shared" si="27"/>
        <v/>
      </c>
      <c r="H454" s="48"/>
    </row>
    <row r="455" spans="1:8" ht="15" customHeight="1" x14ac:dyDescent="0.2">
      <c r="A455" s="38"/>
      <c r="B455" s="48"/>
      <c r="C455" s="53" t="str">
        <f t="shared" si="24"/>
        <v/>
      </c>
      <c r="D455" s="48" t="str">
        <f t="shared" si="25"/>
        <v/>
      </c>
      <c r="E455" s="53"/>
      <c r="F455" s="48" t="str">
        <f t="shared" si="26"/>
        <v/>
      </c>
      <c r="G455" s="53" t="str">
        <f t="shared" si="27"/>
        <v/>
      </c>
      <c r="H455" s="48"/>
    </row>
    <row r="456" spans="1:8" ht="15" customHeight="1" x14ac:dyDescent="0.2">
      <c r="A456" s="38"/>
      <c r="B456" s="48"/>
      <c r="C456" s="53" t="str">
        <f t="shared" si="24"/>
        <v/>
      </c>
      <c r="D456" s="48" t="str">
        <f t="shared" si="25"/>
        <v/>
      </c>
      <c r="E456" s="53"/>
      <c r="F456" s="48" t="str">
        <f t="shared" si="26"/>
        <v/>
      </c>
      <c r="G456" s="53" t="str">
        <f t="shared" si="27"/>
        <v/>
      </c>
      <c r="H456" s="48"/>
    </row>
    <row r="457" spans="1:8" ht="15" customHeight="1" x14ac:dyDescent="0.2">
      <c r="A457" s="38"/>
      <c r="B457" s="48"/>
      <c r="C457" s="53" t="str">
        <f t="shared" si="24"/>
        <v/>
      </c>
      <c r="D457" s="48" t="str">
        <f t="shared" si="25"/>
        <v/>
      </c>
      <c r="E457" s="53"/>
      <c r="F457" s="48" t="str">
        <f t="shared" si="26"/>
        <v/>
      </c>
      <c r="G457" s="53" t="str">
        <f t="shared" si="27"/>
        <v/>
      </c>
      <c r="H457" s="48"/>
    </row>
    <row r="458" spans="1:8" ht="15" customHeight="1" x14ac:dyDescent="0.2">
      <c r="A458" s="38"/>
      <c r="B458" s="48"/>
      <c r="C458" s="53" t="str">
        <f t="shared" si="24"/>
        <v/>
      </c>
      <c r="D458" s="48" t="str">
        <f t="shared" si="25"/>
        <v/>
      </c>
      <c r="E458" s="53"/>
      <c r="F458" s="48" t="str">
        <f t="shared" si="26"/>
        <v/>
      </c>
      <c r="G458" s="53" t="str">
        <f t="shared" si="27"/>
        <v/>
      </c>
      <c r="H458" s="48"/>
    </row>
    <row r="459" spans="1:8" ht="15" customHeight="1" x14ac:dyDescent="0.2">
      <c r="A459" s="38"/>
      <c r="B459" s="48"/>
      <c r="C459" s="53" t="str">
        <f t="shared" si="24"/>
        <v/>
      </c>
      <c r="D459" s="48" t="str">
        <f t="shared" si="25"/>
        <v/>
      </c>
      <c r="E459" s="53"/>
      <c r="F459" s="48" t="str">
        <f t="shared" si="26"/>
        <v/>
      </c>
      <c r="G459" s="53" t="str">
        <f t="shared" si="27"/>
        <v/>
      </c>
      <c r="H459" s="48"/>
    </row>
    <row r="460" spans="1:8" ht="15" customHeight="1" x14ac:dyDescent="0.2">
      <c r="A460" s="38"/>
      <c r="B460" s="48"/>
      <c r="C460" s="53" t="str">
        <f t="shared" si="24"/>
        <v/>
      </c>
      <c r="D460" s="48" t="str">
        <f t="shared" si="25"/>
        <v/>
      </c>
      <c r="E460" s="53"/>
      <c r="F460" s="48" t="str">
        <f t="shared" si="26"/>
        <v/>
      </c>
      <c r="G460" s="53" t="str">
        <f t="shared" si="27"/>
        <v/>
      </c>
      <c r="H460" s="48"/>
    </row>
    <row r="461" spans="1:8" ht="15" customHeight="1" x14ac:dyDescent="0.2">
      <c r="A461" s="38"/>
      <c r="B461" s="48"/>
      <c r="C461" s="53" t="str">
        <f t="shared" ref="C461:C524" si="28">IF(B461="","",20.412)</f>
        <v/>
      </c>
      <c r="D461" s="48" t="str">
        <f t="shared" ref="D461:D524" si="29">IF(B461="","",B461*C461)</f>
        <v/>
      </c>
      <c r="E461" s="53"/>
      <c r="F461" s="48" t="str">
        <f t="shared" ref="F461:F524" si="30">IF(D461="","",D461-IF(E461="",0,E461))</f>
        <v/>
      </c>
      <c r="G461" s="53" t="str">
        <f t="shared" ref="G461:G501" si="31">IF(A461="","","27"&amp;MID(A461,4,2)&amp;LEFT(A461,2))</f>
        <v/>
      </c>
      <c r="H461" s="48"/>
    </row>
    <row r="462" spans="1:8" ht="15" customHeight="1" x14ac:dyDescent="0.2">
      <c r="A462" s="38"/>
      <c r="B462" s="48"/>
      <c r="C462" s="53" t="str">
        <f t="shared" si="28"/>
        <v/>
      </c>
      <c r="D462" s="48" t="str">
        <f t="shared" si="29"/>
        <v/>
      </c>
      <c r="E462" s="53"/>
      <c r="F462" s="48" t="str">
        <f t="shared" si="30"/>
        <v/>
      </c>
      <c r="G462" s="53" t="str">
        <f t="shared" si="31"/>
        <v/>
      </c>
      <c r="H462" s="48"/>
    </row>
    <row r="463" spans="1:8" ht="15" customHeight="1" x14ac:dyDescent="0.2">
      <c r="A463" s="38"/>
      <c r="B463" s="48"/>
      <c r="C463" s="53" t="str">
        <f t="shared" si="28"/>
        <v/>
      </c>
      <c r="D463" s="48" t="str">
        <f t="shared" si="29"/>
        <v/>
      </c>
      <c r="E463" s="53"/>
      <c r="F463" s="48" t="str">
        <f t="shared" si="30"/>
        <v/>
      </c>
      <c r="G463" s="53" t="str">
        <f t="shared" si="31"/>
        <v/>
      </c>
      <c r="H463" s="48"/>
    </row>
    <row r="464" spans="1:8" ht="15" customHeight="1" x14ac:dyDescent="0.2">
      <c r="A464" s="38"/>
      <c r="B464" s="48"/>
      <c r="C464" s="53" t="str">
        <f t="shared" si="28"/>
        <v/>
      </c>
      <c r="D464" s="48" t="str">
        <f t="shared" si="29"/>
        <v/>
      </c>
      <c r="E464" s="53"/>
      <c r="F464" s="48" t="str">
        <f t="shared" si="30"/>
        <v/>
      </c>
      <c r="G464" s="53" t="str">
        <f t="shared" si="31"/>
        <v/>
      </c>
      <c r="H464" s="48"/>
    </row>
    <row r="465" spans="1:8" ht="15" customHeight="1" x14ac:dyDescent="0.2">
      <c r="A465" s="38"/>
      <c r="B465" s="48"/>
      <c r="C465" s="53" t="str">
        <f t="shared" si="28"/>
        <v/>
      </c>
      <c r="D465" s="48" t="str">
        <f t="shared" si="29"/>
        <v/>
      </c>
      <c r="E465" s="53"/>
      <c r="F465" s="48" t="str">
        <f t="shared" si="30"/>
        <v/>
      </c>
      <c r="G465" s="53" t="str">
        <f t="shared" si="31"/>
        <v/>
      </c>
      <c r="H465" s="48"/>
    </row>
    <row r="466" spans="1:8" ht="15" customHeight="1" x14ac:dyDescent="0.2">
      <c r="A466" s="38"/>
      <c r="B466" s="48"/>
      <c r="C466" s="53" t="str">
        <f t="shared" si="28"/>
        <v/>
      </c>
      <c r="D466" s="48" t="str">
        <f t="shared" si="29"/>
        <v/>
      </c>
      <c r="E466" s="53"/>
      <c r="F466" s="48" t="str">
        <f t="shared" si="30"/>
        <v/>
      </c>
      <c r="G466" s="53" t="str">
        <f t="shared" si="31"/>
        <v/>
      </c>
      <c r="H466" s="48"/>
    </row>
    <row r="467" spans="1:8" ht="15" customHeight="1" x14ac:dyDescent="0.2">
      <c r="A467" s="38"/>
      <c r="B467" s="48"/>
      <c r="C467" s="53" t="str">
        <f t="shared" si="28"/>
        <v/>
      </c>
      <c r="D467" s="48" t="str">
        <f t="shared" si="29"/>
        <v/>
      </c>
      <c r="E467" s="53"/>
      <c r="F467" s="48" t="str">
        <f t="shared" si="30"/>
        <v/>
      </c>
      <c r="G467" s="53" t="str">
        <f t="shared" si="31"/>
        <v/>
      </c>
      <c r="H467" s="48"/>
    </row>
    <row r="468" spans="1:8" ht="15" customHeight="1" x14ac:dyDescent="0.2">
      <c r="A468" s="38"/>
      <c r="B468" s="48"/>
      <c r="C468" s="53" t="str">
        <f t="shared" si="28"/>
        <v/>
      </c>
      <c r="D468" s="48" t="str">
        <f t="shared" si="29"/>
        <v/>
      </c>
      <c r="E468" s="53"/>
      <c r="F468" s="48" t="str">
        <f t="shared" si="30"/>
        <v/>
      </c>
      <c r="G468" s="53" t="str">
        <f t="shared" si="31"/>
        <v/>
      </c>
      <c r="H468" s="48"/>
    </row>
    <row r="469" spans="1:8" ht="15" customHeight="1" x14ac:dyDescent="0.2">
      <c r="A469" s="38"/>
      <c r="B469" s="48"/>
      <c r="C469" s="53" t="str">
        <f t="shared" si="28"/>
        <v/>
      </c>
      <c r="D469" s="48" t="str">
        <f t="shared" si="29"/>
        <v/>
      </c>
      <c r="E469" s="53"/>
      <c r="F469" s="48" t="str">
        <f t="shared" si="30"/>
        <v/>
      </c>
      <c r="G469" s="53" t="str">
        <f t="shared" si="31"/>
        <v/>
      </c>
      <c r="H469" s="48"/>
    </row>
    <row r="470" spans="1:8" ht="15" customHeight="1" x14ac:dyDescent="0.2">
      <c r="A470" s="38"/>
      <c r="B470" s="48"/>
      <c r="C470" s="53" t="str">
        <f t="shared" si="28"/>
        <v/>
      </c>
      <c r="D470" s="48" t="str">
        <f t="shared" si="29"/>
        <v/>
      </c>
      <c r="E470" s="53"/>
      <c r="F470" s="48" t="str">
        <f t="shared" si="30"/>
        <v/>
      </c>
      <c r="G470" s="53" t="str">
        <f t="shared" si="31"/>
        <v/>
      </c>
      <c r="H470" s="48"/>
    </row>
    <row r="471" spans="1:8" ht="15" customHeight="1" x14ac:dyDescent="0.2">
      <c r="A471" s="38"/>
      <c r="B471" s="48"/>
      <c r="C471" s="53" t="str">
        <f t="shared" si="28"/>
        <v/>
      </c>
      <c r="D471" s="48" t="str">
        <f t="shared" si="29"/>
        <v/>
      </c>
      <c r="E471" s="53"/>
      <c r="F471" s="48" t="str">
        <f t="shared" si="30"/>
        <v/>
      </c>
      <c r="G471" s="53" t="str">
        <f t="shared" si="31"/>
        <v/>
      </c>
      <c r="H471" s="48"/>
    </row>
    <row r="472" spans="1:8" ht="15" customHeight="1" x14ac:dyDescent="0.2">
      <c r="A472" s="38"/>
      <c r="B472" s="48"/>
      <c r="C472" s="53" t="str">
        <f t="shared" si="28"/>
        <v/>
      </c>
      <c r="D472" s="48" t="str">
        <f t="shared" si="29"/>
        <v/>
      </c>
      <c r="E472" s="53"/>
      <c r="F472" s="48" t="str">
        <f t="shared" si="30"/>
        <v/>
      </c>
      <c r="G472" s="53" t="str">
        <f t="shared" si="31"/>
        <v/>
      </c>
      <c r="H472" s="48"/>
    </row>
    <row r="473" spans="1:8" ht="15" customHeight="1" x14ac:dyDescent="0.2">
      <c r="A473" s="38"/>
      <c r="B473" s="48"/>
      <c r="C473" s="53" t="str">
        <f t="shared" si="28"/>
        <v/>
      </c>
      <c r="D473" s="48" t="str">
        <f t="shared" si="29"/>
        <v/>
      </c>
      <c r="E473" s="53"/>
      <c r="F473" s="48" t="str">
        <f t="shared" si="30"/>
        <v/>
      </c>
      <c r="G473" s="53" t="str">
        <f t="shared" si="31"/>
        <v/>
      </c>
      <c r="H473" s="48"/>
    </row>
    <row r="474" spans="1:8" ht="15" customHeight="1" x14ac:dyDescent="0.2">
      <c r="A474" s="38"/>
      <c r="B474" s="48"/>
      <c r="C474" s="53" t="str">
        <f t="shared" si="28"/>
        <v/>
      </c>
      <c r="D474" s="48" t="str">
        <f t="shared" si="29"/>
        <v/>
      </c>
      <c r="E474" s="53"/>
      <c r="F474" s="48" t="str">
        <f t="shared" si="30"/>
        <v/>
      </c>
      <c r="G474" s="53" t="str">
        <f t="shared" si="31"/>
        <v/>
      </c>
      <c r="H474" s="48"/>
    </row>
    <row r="475" spans="1:8" ht="15" customHeight="1" x14ac:dyDescent="0.2">
      <c r="A475" s="38"/>
      <c r="B475" s="48"/>
      <c r="C475" s="53" t="str">
        <f t="shared" si="28"/>
        <v/>
      </c>
      <c r="D475" s="48" t="str">
        <f t="shared" si="29"/>
        <v/>
      </c>
      <c r="E475" s="53"/>
      <c r="F475" s="48" t="str">
        <f t="shared" si="30"/>
        <v/>
      </c>
      <c r="G475" s="53" t="str">
        <f t="shared" si="31"/>
        <v/>
      </c>
      <c r="H475" s="48"/>
    </row>
    <row r="476" spans="1:8" ht="15" customHeight="1" x14ac:dyDescent="0.2">
      <c r="A476" s="38"/>
      <c r="B476" s="48"/>
      <c r="C476" s="53" t="str">
        <f t="shared" si="28"/>
        <v/>
      </c>
      <c r="D476" s="48" t="str">
        <f t="shared" si="29"/>
        <v/>
      </c>
      <c r="E476" s="53"/>
      <c r="F476" s="48" t="str">
        <f t="shared" si="30"/>
        <v/>
      </c>
      <c r="G476" s="53" t="str">
        <f t="shared" si="31"/>
        <v/>
      </c>
      <c r="H476" s="48"/>
    </row>
    <row r="477" spans="1:8" ht="15" customHeight="1" x14ac:dyDescent="0.2">
      <c r="A477" s="38"/>
      <c r="B477" s="48"/>
      <c r="C477" s="53" t="str">
        <f t="shared" si="28"/>
        <v/>
      </c>
      <c r="D477" s="48" t="str">
        <f t="shared" si="29"/>
        <v/>
      </c>
      <c r="E477" s="53"/>
      <c r="F477" s="48" t="str">
        <f t="shared" si="30"/>
        <v/>
      </c>
      <c r="G477" s="53" t="str">
        <f t="shared" si="31"/>
        <v/>
      </c>
      <c r="H477" s="48"/>
    </row>
    <row r="478" spans="1:8" ht="15" customHeight="1" x14ac:dyDescent="0.2">
      <c r="A478" s="38"/>
      <c r="B478" s="48"/>
      <c r="C478" s="53" t="str">
        <f t="shared" si="28"/>
        <v/>
      </c>
      <c r="D478" s="48" t="str">
        <f t="shared" si="29"/>
        <v/>
      </c>
      <c r="E478" s="53"/>
      <c r="F478" s="48" t="str">
        <f t="shared" si="30"/>
        <v/>
      </c>
      <c r="G478" s="53" t="str">
        <f t="shared" si="31"/>
        <v/>
      </c>
      <c r="H478" s="48"/>
    </row>
    <row r="479" spans="1:8" ht="15" customHeight="1" x14ac:dyDescent="0.2">
      <c r="A479" s="38"/>
      <c r="B479" s="48"/>
      <c r="C479" s="53" t="str">
        <f t="shared" si="28"/>
        <v/>
      </c>
      <c r="D479" s="48" t="str">
        <f t="shared" si="29"/>
        <v/>
      </c>
      <c r="E479" s="53"/>
      <c r="F479" s="48" t="str">
        <f t="shared" si="30"/>
        <v/>
      </c>
      <c r="G479" s="53" t="str">
        <f t="shared" si="31"/>
        <v/>
      </c>
      <c r="H479" s="48"/>
    </row>
    <row r="480" spans="1:8" ht="15" customHeight="1" x14ac:dyDescent="0.2">
      <c r="A480" s="38"/>
      <c r="B480" s="48"/>
      <c r="C480" s="53" t="str">
        <f t="shared" si="28"/>
        <v/>
      </c>
      <c r="D480" s="48" t="str">
        <f t="shared" si="29"/>
        <v/>
      </c>
      <c r="E480" s="53"/>
      <c r="F480" s="48" t="str">
        <f t="shared" si="30"/>
        <v/>
      </c>
      <c r="G480" s="53" t="str">
        <f t="shared" si="31"/>
        <v/>
      </c>
      <c r="H480" s="48"/>
    </row>
    <row r="481" spans="1:8" ht="15" customHeight="1" x14ac:dyDescent="0.2">
      <c r="A481" s="38"/>
      <c r="B481" s="48"/>
      <c r="C481" s="53" t="str">
        <f t="shared" si="28"/>
        <v/>
      </c>
      <c r="D481" s="48" t="str">
        <f t="shared" si="29"/>
        <v/>
      </c>
      <c r="E481" s="53"/>
      <c r="F481" s="48" t="str">
        <f t="shared" si="30"/>
        <v/>
      </c>
      <c r="G481" s="53" t="str">
        <f t="shared" si="31"/>
        <v/>
      </c>
      <c r="H481" s="48"/>
    </row>
    <row r="482" spans="1:8" ht="15" customHeight="1" x14ac:dyDescent="0.2">
      <c r="A482" s="38"/>
      <c r="B482" s="48"/>
      <c r="C482" s="53" t="str">
        <f t="shared" si="28"/>
        <v/>
      </c>
      <c r="D482" s="48" t="str">
        <f t="shared" si="29"/>
        <v/>
      </c>
      <c r="E482" s="53"/>
      <c r="F482" s="48" t="str">
        <f t="shared" si="30"/>
        <v/>
      </c>
      <c r="G482" s="53" t="str">
        <f t="shared" si="31"/>
        <v/>
      </c>
      <c r="H482" s="48"/>
    </row>
    <row r="483" spans="1:8" ht="15" customHeight="1" x14ac:dyDescent="0.2">
      <c r="A483" s="38"/>
      <c r="B483" s="48"/>
      <c r="C483" s="53" t="str">
        <f t="shared" si="28"/>
        <v/>
      </c>
      <c r="D483" s="48" t="str">
        <f t="shared" si="29"/>
        <v/>
      </c>
      <c r="E483" s="53"/>
      <c r="F483" s="48" t="str">
        <f t="shared" si="30"/>
        <v/>
      </c>
      <c r="G483" s="53" t="str">
        <f t="shared" si="31"/>
        <v/>
      </c>
      <c r="H483" s="48"/>
    </row>
    <row r="484" spans="1:8" ht="15" customHeight="1" x14ac:dyDescent="0.2">
      <c r="A484" s="38"/>
      <c r="B484" s="48"/>
      <c r="C484" s="53" t="str">
        <f t="shared" si="28"/>
        <v/>
      </c>
      <c r="D484" s="48" t="str">
        <f t="shared" si="29"/>
        <v/>
      </c>
      <c r="E484" s="53"/>
      <c r="F484" s="48" t="str">
        <f t="shared" si="30"/>
        <v/>
      </c>
      <c r="G484" s="53" t="str">
        <f t="shared" si="31"/>
        <v/>
      </c>
      <c r="H484" s="48"/>
    </row>
    <row r="485" spans="1:8" ht="15" customHeight="1" x14ac:dyDescent="0.2">
      <c r="A485" s="38"/>
      <c r="B485" s="48"/>
      <c r="C485" s="53" t="str">
        <f t="shared" si="28"/>
        <v/>
      </c>
      <c r="D485" s="48" t="str">
        <f t="shared" si="29"/>
        <v/>
      </c>
      <c r="E485" s="53"/>
      <c r="F485" s="48" t="str">
        <f t="shared" si="30"/>
        <v/>
      </c>
      <c r="G485" s="53" t="str">
        <f t="shared" si="31"/>
        <v/>
      </c>
      <c r="H485" s="48"/>
    </row>
    <row r="486" spans="1:8" ht="15" customHeight="1" x14ac:dyDescent="0.2">
      <c r="A486" s="38"/>
      <c r="B486" s="48"/>
      <c r="C486" s="53" t="str">
        <f t="shared" si="28"/>
        <v/>
      </c>
      <c r="D486" s="48" t="str">
        <f t="shared" si="29"/>
        <v/>
      </c>
      <c r="E486" s="53"/>
      <c r="F486" s="48" t="str">
        <f t="shared" si="30"/>
        <v/>
      </c>
      <c r="G486" s="53" t="str">
        <f t="shared" si="31"/>
        <v/>
      </c>
      <c r="H486" s="48"/>
    </row>
    <row r="487" spans="1:8" ht="15" customHeight="1" x14ac:dyDescent="0.2">
      <c r="A487" s="38"/>
      <c r="B487" s="48"/>
      <c r="C487" s="53" t="str">
        <f t="shared" si="28"/>
        <v/>
      </c>
      <c r="D487" s="48" t="str">
        <f t="shared" si="29"/>
        <v/>
      </c>
      <c r="E487" s="53"/>
      <c r="F487" s="48" t="str">
        <f t="shared" si="30"/>
        <v/>
      </c>
      <c r="G487" s="53" t="str">
        <f t="shared" si="31"/>
        <v/>
      </c>
      <c r="H487" s="48"/>
    </row>
    <row r="488" spans="1:8" ht="15" customHeight="1" x14ac:dyDescent="0.2">
      <c r="A488" s="38"/>
      <c r="B488" s="48"/>
      <c r="C488" s="53" t="str">
        <f t="shared" si="28"/>
        <v/>
      </c>
      <c r="D488" s="48" t="str">
        <f t="shared" si="29"/>
        <v/>
      </c>
      <c r="E488" s="53"/>
      <c r="F488" s="48" t="str">
        <f t="shared" si="30"/>
        <v/>
      </c>
      <c r="G488" s="53" t="str">
        <f t="shared" si="31"/>
        <v/>
      </c>
      <c r="H488" s="48"/>
    </row>
    <row r="489" spans="1:8" ht="15" customHeight="1" x14ac:dyDescent="0.2">
      <c r="A489" s="38"/>
      <c r="B489" s="48"/>
      <c r="C489" s="53" t="str">
        <f t="shared" si="28"/>
        <v/>
      </c>
      <c r="D489" s="48" t="str">
        <f t="shared" si="29"/>
        <v/>
      </c>
      <c r="E489" s="53"/>
      <c r="F489" s="48" t="str">
        <f t="shared" si="30"/>
        <v/>
      </c>
      <c r="G489" s="53" t="str">
        <f t="shared" si="31"/>
        <v/>
      </c>
      <c r="H489" s="48"/>
    </row>
    <row r="490" spans="1:8" ht="15" customHeight="1" x14ac:dyDescent="0.2">
      <c r="A490" s="38"/>
      <c r="B490" s="48"/>
      <c r="C490" s="53" t="str">
        <f t="shared" si="28"/>
        <v/>
      </c>
      <c r="D490" s="48" t="str">
        <f t="shared" si="29"/>
        <v/>
      </c>
      <c r="E490" s="53"/>
      <c r="F490" s="48" t="str">
        <f t="shared" si="30"/>
        <v/>
      </c>
      <c r="G490" s="53" t="str">
        <f t="shared" si="31"/>
        <v/>
      </c>
      <c r="H490" s="48"/>
    </row>
    <row r="491" spans="1:8" ht="15" customHeight="1" x14ac:dyDescent="0.2">
      <c r="A491" s="38"/>
      <c r="B491" s="48"/>
      <c r="C491" s="53" t="str">
        <f t="shared" si="28"/>
        <v/>
      </c>
      <c r="D491" s="48" t="str">
        <f t="shared" si="29"/>
        <v/>
      </c>
      <c r="E491" s="53"/>
      <c r="F491" s="48" t="str">
        <f t="shared" si="30"/>
        <v/>
      </c>
      <c r="G491" s="53" t="str">
        <f t="shared" si="31"/>
        <v/>
      </c>
      <c r="H491" s="48"/>
    </row>
    <row r="492" spans="1:8" ht="15" customHeight="1" x14ac:dyDescent="0.2">
      <c r="A492" s="38"/>
      <c r="B492" s="48"/>
      <c r="C492" s="53" t="str">
        <f t="shared" si="28"/>
        <v/>
      </c>
      <c r="D492" s="48" t="str">
        <f t="shared" si="29"/>
        <v/>
      </c>
      <c r="E492" s="53"/>
      <c r="F492" s="48" t="str">
        <f t="shared" si="30"/>
        <v/>
      </c>
      <c r="G492" s="53" t="str">
        <f t="shared" si="31"/>
        <v/>
      </c>
      <c r="H492" s="48"/>
    </row>
    <row r="493" spans="1:8" ht="15" customHeight="1" x14ac:dyDescent="0.2">
      <c r="A493" s="38"/>
      <c r="B493" s="48"/>
      <c r="C493" s="53" t="str">
        <f t="shared" si="28"/>
        <v/>
      </c>
      <c r="D493" s="48" t="str">
        <f t="shared" si="29"/>
        <v/>
      </c>
      <c r="E493" s="53"/>
      <c r="F493" s="48" t="str">
        <f t="shared" si="30"/>
        <v/>
      </c>
      <c r="G493" s="53" t="str">
        <f t="shared" si="31"/>
        <v/>
      </c>
      <c r="H493" s="48"/>
    </row>
    <row r="494" spans="1:8" ht="15" customHeight="1" x14ac:dyDescent="0.2">
      <c r="A494" s="38"/>
      <c r="B494" s="48"/>
      <c r="C494" s="53" t="str">
        <f t="shared" si="28"/>
        <v/>
      </c>
      <c r="D494" s="48" t="str">
        <f t="shared" si="29"/>
        <v/>
      </c>
      <c r="E494" s="53"/>
      <c r="F494" s="48" t="str">
        <f t="shared" si="30"/>
        <v/>
      </c>
      <c r="G494" s="53" t="str">
        <f t="shared" si="31"/>
        <v/>
      </c>
      <c r="H494" s="48"/>
    </row>
    <row r="495" spans="1:8" ht="15" customHeight="1" x14ac:dyDescent="0.2">
      <c r="A495" s="38"/>
      <c r="B495" s="48"/>
      <c r="C495" s="53" t="str">
        <f t="shared" si="28"/>
        <v/>
      </c>
      <c r="D495" s="48" t="str">
        <f t="shared" si="29"/>
        <v/>
      </c>
      <c r="E495" s="53"/>
      <c r="F495" s="48" t="str">
        <f t="shared" si="30"/>
        <v/>
      </c>
      <c r="G495" s="53" t="str">
        <f t="shared" si="31"/>
        <v/>
      </c>
      <c r="H495" s="48"/>
    </row>
    <row r="496" spans="1:8" ht="15" customHeight="1" x14ac:dyDescent="0.2">
      <c r="A496" s="38"/>
      <c r="B496" s="48"/>
      <c r="C496" s="53" t="str">
        <f t="shared" si="28"/>
        <v/>
      </c>
      <c r="D496" s="48" t="str">
        <f t="shared" si="29"/>
        <v/>
      </c>
      <c r="E496" s="53"/>
      <c r="F496" s="48" t="str">
        <f t="shared" si="30"/>
        <v/>
      </c>
      <c r="G496" s="53" t="str">
        <f t="shared" si="31"/>
        <v/>
      </c>
      <c r="H496" s="48"/>
    </row>
    <row r="497" spans="1:8" ht="15" customHeight="1" x14ac:dyDescent="0.2">
      <c r="A497" s="38"/>
      <c r="B497" s="48"/>
      <c r="C497" s="53" t="str">
        <f t="shared" si="28"/>
        <v/>
      </c>
      <c r="D497" s="48" t="str">
        <f t="shared" si="29"/>
        <v/>
      </c>
      <c r="E497" s="53"/>
      <c r="F497" s="48" t="str">
        <f t="shared" si="30"/>
        <v/>
      </c>
      <c r="G497" s="53" t="str">
        <f t="shared" si="31"/>
        <v/>
      </c>
      <c r="H497" s="48"/>
    </row>
    <row r="498" spans="1:8" ht="15" customHeight="1" x14ac:dyDescent="0.2">
      <c r="A498" s="38"/>
      <c r="B498" s="48"/>
      <c r="C498" s="53" t="str">
        <f t="shared" si="28"/>
        <v/>
      </c>
      <c r="D498" s="48" t="str">
        <f t="shared" si="29"/>
        <v/>
      </c>
      <c r="E498" s="53"/>
      <c r="F498" s="48" t="str">
        <f t="shared" si="30"/>
        <v/>
      </c>
      <c r="G498" s="53" t="str">
        <f t="shared" si="31"/>
        <v/>
      </c>
      <c r="H498" s="48"/>
    </row>
    <row r="499" spans="1:8" ht="15" customHeight="1" x14ac:dyDescent="0.2">
      <c r="A499" s="38"/>
      <c r="B499" s="48"/>
      <c r="C499" s="53" t="str">
        <f t="shared" si="28"/>
        <v/>
      </c>
      <c r="D499" s="48" t="str">
        <f t="shared" si="29"/>
        <v/>
      </c>
      <c r="E499" s="53"/>
      <c r="F499" s="48" t="str">
        <f t="shared" si="30"/>
        <v/>
      </c>
      <c r="G499" s="53" t="str">
        <f t="shared" si="31"/>
        <v/>
      </c>
      <c r="H499" s="48"/>
    </row>
    <row r="500" spans="1:8" ht="15" customHeight="1" x14ac:dyDescent="0.2">
      <c r="A500" s="38"/>
      <c r="B500" s="48"/>
      <c r="C500" s="53" t="str">
        <f t="shared" si="28"/>
        <v/>
      </c>
      <c r="D500" s="48" t="str">
        <f t="shared" si="29"/>
        <v/>
      </c>
      <c r="E500" s="53"/>
      <c r="F500" s="48" t="str">
        <f t="shared" si="30"/>
        <v/>
      </c>
      <c r="G500" s="53" t="str">
        <f t="shared" si="31"/>
        <v/>
      </c>
      <c r="H500" s="48"/>
    </row>
    <row r="501" spans="1:8" ht="15" customHeight="1" x14ac:dyDescent="0.2">
      <c r="A501" s="38"/>
      <c r="B501" s="48"/>
      <c r="C501" s="53" t="str">
        <f t="shared" si="28"/>
        <v/>
      </c>
      <c r="D501" s="48" t="str">
        <f t="shared" si="29"/>
        <v/>
      </c>
      <c r="E501" s="53"/>
      <c r="F501" s="48" t="str">
        <f t="shared" si="30"/>
        <v/>
      </c>
      <c r="G501" s="53" t="str">
        <f t="shared" si="31"/>
        <v/>
      </c>
      <c r="H501" s="48"/>
    </row>
    <row r="502" spans="1:8" ht="15" customHeight="1" x14ac:dyDescent="0.2"/>
    <row r="503" spans="1:8" ht="15" customHeight="1" x14ac:dyDescent="0.2"/>
    <row r="504" spans="1:8" ht="28.25" customHeight="1" x14ac:dyDescent="0.2"/>
    <row r="505" spans="1:8" ht="15" customHeight="1" x14ac:dyDescent="0.2"/>
    <row r="506" spans="1:8" ht="15" customHeight="1" x14ac:dyDescent="0.2"/>
    <row r="507" spans="1:8" ht="15" customHeight="1" x14ac:dyDescent="0.2"/>
    <row r="508" spans="1:8" ht="15" customHeight="1" x14ac:dyDescent="0.2"/>
    <row r="509" spans="1:8" ht="15" customHeight="1" x14ac:dyDescent="0.2"/>
    <row r="510" spans="1:8" ht="28.25" customHeight="1" x14ac:dyDescent="0.2"/>
    <row r="511" spans="1:8" ht="15" customHeight="1" x14ac:dyDescent="0.2"/>
    <row r="512" spans="1:8" ht="15" customHeight="1" x14ac:dyDescent="0.2"/>
  </sheetData>
  <autoFilter ref="A1:H501" xr:uid="{00000000-0009-0000-0000-00000C000000}"/>
  <hyperlinks>
    <hyperlink ref="V1" location="'00 ANA SAYFA'!A1" display="⌂ ANA SAYFA" xr:uid="{00000000-0004-0000-0C00-000000000000}"/>
    <hyperlink ref="V2" location="'21 2026 ÜRETİM'!A1" display="→ ÜRETİM" xr:uid="{00000000-0004-0000-0C00-000001000000}"/>
    <hyperlink ref="V3" location="'25 2026 LOT BAĞI'!A1" display="→ LOT BAĞI" xr:uid="{00000000-0004-0000-0C00-000002000000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5B9BD5"/>
  </sheetPr>
  <dimension ref="A1:V501"/>
  <sheetViews>
    <sheetView showGridLines="0" workbookViewId="0">
      <pane ySplit="1" topLeftCell="A2" activePane="bottomLeft" state="frozen"/>
      <selection pane="bottomLeft" activeCell="M14" sqref="M14"/>
    </sheetView>
  </sheetViews>
  <sheetFormatPr baseColWidth="10" defaultColWidth="8.83203125" defaultRowHeight="15" x14ac:dyDescent="0.2"/>
  <cols>
    <col min="1" max="1" width="18" style="39" customWidth="1"/>
    <col min="2" max="2" width="8.83203125" style="49"/>
    <col min="3" max="3" width="16" style="54" customWidth="1"/>
    <col min="4" max="4" width="15" style="49" customWidth="1"/>
    <col min="5" max="5" width="13" style="54" customWidth="1"/>
    <col min="6" max="6" width="15" style="49" customWidth="1"/>
    <col min="7" max="7" width="13" style="54" customWidth="1"/>
    <col min="8" max="8" width="20" style="49" customWidth="1"/>
    <col min="9" max="9" width="14" style="54" customWidth="1"/>
    <col min="10" max="10" width="8.83203125" style="49"/>
    <col min="11" max="11" width="35" style="66" customWidth="1"/>
    <col min="22" max="22" width="18" customWidth="1"/>
  </cols>
  <sheetData>
    <row r="1" spans="1:22" ht="31.5" customHeight="1" thickBot="1" x14ac:dyDescent="0.25">
      <c r="A1" s="34" t="s">
        <v>427</v>
      </c>
      <c r="B1" s="45" t="s">
        <v>324</v>
      </c>
      <c r="C1" s="50" t="s">
        <v>313</v>
      </c>
      <c r="D1" s="45" t="s">
        <v>325</v>
      </c>
      <c r="E1" s="50" t="s">
        <v>326</v>
      </c>
      <c r="F1" s="45" t="s">
        <v>329</v>
      </c>
      <c r="G1" s="50" t="s">
        <v>330</v>
      </c>
      <c r="H1" s="45" t="s">
        <v>331</v>
      </c>
      <c r="I1" s="50" t="s">
        <v>428</v>
      </c>
      <c r="J1" s="45" t="s">
        <v>272</v>
      </c>
      <c r="K1" s="69" t="s">
        <v>273</v>
      </c>
      <c r="V1" s="19" t="s">
        <v>365</v>
      </c>
    </row>
    <row r="2" spans="1:22" ht="15" customHeight="1" x14ac:dyDescent="0.2">
      <c r="A2" s="67" t="s">
        <v>429</v>
      </c>
      <c r="B2" s="46" t="s">
        <v>400</v>
      </c>
      <c r="C2" s="51">
        <v>240.94399999999999</v>
      </c>
      <c r="D2" s="46">
        <v>0</v>
      </c>
      <c r="E2" s="51">
        <v>0</v>
      </c>
      <c r="F2" s="46">
        <v>96</v>
      </c>
      <c r="G2" s="51">
        <v>240</v>
      </c>
      <c r="H2" s="46">
        <v>0.94399999999999995</v>
      </c>
      <c r="I2" s="51">
        <f t="shared" ref="I2:I12" si="0">C2-E2-G2-H2</f>
        <v>-1.1546319456101628E-14</v>
      </c>
      <c r="J2" s="46" t="str">
        <f t="shared" ref="J2:J12" si="1">IF(ABS(I2)&lt;0.001,"KAPALI","KONTROL")</f>
        <v>KAPALI</v>
      </c>
      <c r="K2" s="68" t="s">
        <v>430</v>
      </c>
      <c r="V2" s="20" t="s">
        <v>367</v>
      </c>
    </row>
    <row r="3" spans="1:22" ht="15" customHeight="1" x14ac:dyDescent="0.2">
      <c r="A3" s="37" t="s">
        <v>431</v>
      </c>
      <c r="B3" s="47" t="s">
        <v>393</v>
      </c>
      <c r="C3" s="52">
        <v>221.53200000000001</v>
      </c>
      <c r="D3" s="47">
        <v>352</v>
      </c>
      <c r="E3" s="52">
        <v>176</v>
      </c>
      <c r="F3" s="47">
        <v>18</v>
      </c>
      <c r="G3" s="52">
        <v>45</v>
      </c>
      <c r="H3" s="47">
        <v>0.53200000000000003</v>
      </c>
      <c r="I3" s="52">
        <f t="shared" si="0"/>
        <v>1.0658141036401503E-14</v>
      </c>
      <c r="J3" s="47" t="str">
        <f t="shared" si="1"/>
        <v>KAPALI</v>
      </c>
      <c r="K3" s="64" t="s">
        <v>432</v>
      </c>
      <c r="V3" s="21" t="s">
        <v>370</v>
      </c>
    </row>
    <row r="4" spans="1:22" ht="15" customHeight="1" x14ac:dyDescent="0.2">
      <c r="A4" s="60" t="s">
        <v>433</v>
      </c>
      <c r="B4" s="56" t="s">
        <v>405</v>
      </c>
      <c r="C4" s="52">
        <v>260</v>
      </c>
      <c r="D4" s="56">
        <v>520</v>
      </c>
      <c r="E4" s="52">
        <v>260</v>
      </c>
      <c r="F4" s="56">
        <v>0</v>
      </c>
      <c r="G4" s="52">
        <v>0</v>
      </c>
      <c r="H4" s="56">
        <v>0</v>
      </c>
      <c r="I4" s="52">
        <f t="shared" si="0"/>
        <v>0</v>
      </c>
      <c r="J4" s="47" t="str">
        <f t="shared" si="1"/>
        <v>KAPALI</v>
      </c>
      <c r="K4" s="65"/>
    </row>
    <row r="5" spans="1:22" ht="15" customHeight="1" x14ac:dyDescent="0.2">
      <c r="A5" s="60" t="s">
        <v>434</v>
      </c>
      <c r="B5" s="56" t="s">
        <v>408</v>
      </c>
      <c r="C5" s="52">
        <v>261.35599999999999</v>
      </c>
      <c r="D5" s="56">
        <v>522</v>
      </c>
      <c r="E5" s="52">
        <v>261</v>
      </c>
      <c r="F5" s="56">
        <v>0</v>
      </c>
      <c r="G5" s="52">
        <v>0</v>
      </c>
      <c r="H5" s="56">
        <v>0.35599999999999998</v>
      </c>
      <c r="I5" s="52">
        <f t="shared" si="0"/>
        <v>-5.440092820663267E-15</v>
      </c>
      <c r="J5" s="47" t="str">
        <f t="shared" si="1"/>
        <v>KAPALI</v>
      </c>
      <c r="K5" s="65"/>
    </row>
    <row r="6" spans="1:22" ht="15" customHeight="1" x14ac:dyDescent="0.2">
      <c r="A6" s="60" t="s">
        <v>413</v>
      </c>
      <c r="B6" s="56" t="s">
        <v>411</v>
      </c>
      <c r="C6" s="52">
        <v>259.35599999999999</v>
      </c>
      <c r="D6" s="56">
        <v>518</v>
      </c>
      <c r="E6" s="52">
        <v>259</v>
      </c>
      <c r="F6" s="56">
        <v>0</v>
      </c>
      <c r="G6" s="52">
        <v>0</v>
      </c>
      <c r="H6" s="56">
        <v>0.35599999999999998</v>
      </c>
      <c r="I6" s="52">
        <f t="shared" si="0"/>
        <v>-5.440092820663267E-15</v>
      </c>
      <c r="J6" s="47" t="str">
        <f t="shared" si="1"/>
        <v>KAPALI</v>
      </c>
      <c r="K6" s="65"/>
    </row>
    <row r="7" spans="1:22" ht="15" customHeight="1" x14ac:dyDescent="0.2">
      <c r="A7" s="60" t="s">
        <v>435</v>
      </c>
      <c r="B7" s="56" t="s">
        <v>413</v>
      </c>
      <c r="C7" s="52">
        <v>260.35599999999999</v>
      </c>
      <c r="D7" s="56">
        <v>520</v>
      </c>
      <c r="E7" s="52">
        <v>260</v>
      </c>
      <c r="F7" s="56">
        <v>0</v>
      </c>
      <c r="G7" s="52">
        <v>0</v>
      </c>
      <c r="H7" s="56">
        <v>0.35599999999999998</v>
      </c>
      <c r="I7" s="52">
        <f t="shared" si="0"/>
        <v>-5.440092820663267E-15</v>
      </c>
      <c r="J7" s="47" t="str">
        <f t="shared" si="1"/>
        <v>KAPALI</v>
      </c>
      <c r="K7" s="65"/>
    </row>
    <row r="8" spans="1:22" ht="15" customHeight="1" x14ac:dyDescent="0.2">
      <c r="A8" s="60" t="s">
        <v>436</v>
      </c>
      <c r="B8" s="56" t="s">
        <v>415</v>
      </c>
      <c r="C8" s="52">
        <v>259.35599999999999</v>
      </c>
      <c r="D8" s="56">
        <v>518</v>
      </c>
      <c r="E8" s="52">
        <v>259</v>
      </c>
      <c r="F8" s="56">
        <v>0</v>
      </c>
      <c r="G8" s="52">
        <v>0</v>
      </c>
      <c r="H8" s="56">
        <v>0.35599999999999998</v>
      </c>
      <c r="I8" s="52">
        <f t="shared" si="0"/>
        <v>-5.440092820663267E-15</v>
      </c>
      <c r="J8" s="47" t="str">
        <f t="shared" si="1"/>
        <v>KAPALI</v>
      </c>
      <c r="K8" s="65"/>
    </row>
    <row r="9" spans="1:22" ht="15" customHeight="1" x14ac:dyDescent="0.2">
      <c r="A9" s="60" t="s">
        <v>437</v>
      </c>
      <c r="B9" s="56" t="s">
        <v>417</v>
      </c>
      <c r="C9" s="52">
        <v>260.35599999999999</v>
      </c>
      <c r="D9" s="56">
        <v>520</v>
      </c>
      <c r="E9" s="52">
        <v>260</v>
      </c>
      <c r="F9" s="56">
        <v>0</v>
      </c>
      <c r="G9" s="52">
        <v>0</v>
      </c>
      <c r="H9" s="56">
        <v>0.35599999999999998</v>
      </c>
      <c r="I9" s="52">
        <f t="shared" si="0"/>
        <v>-5.440092820663267E-15</v>
      </c>
      <c r="J9" s="47" t="str">
        <f t="shared" si="1"/>
        <v>KAPALI</v>
      </c>
      <c r="K9" s="65"/>
    </row>
    <row r="10" spans="1:22" ht="15" customHeight="1" x14ac:dyDescent="0.2">
      <c r="A10" s="60" t="s">
        <v>438</v>
      </c>
      <c r="B10" s="56" t="s">
        <v>419</v>
      </c>
      <c r="C10" s="52">
        <v>82.471999999999994</v>
      </c>
      <c r="D10" s="56">
        <v>164</v>
      </c>
      <c r="E10" s="52">
        <v>82</v>
      </c>
      <c r="F10" s="56">
        <v>0</v>
      </c>
      <c r="G10" s="52">
        <v>0</v>
      </c>
      <c r="H10" s="56">
        <v>0.47199999999999998</v>
      </c>
      <c r="I10" s="52">
        <f t="shared" si="0"/>
        <v>-5.773159728050814E-15</v>
      </c>
      <c r="J10" s="47" t="str">
        <f t="shared" si="1"/>
        <v>KAPALI</v>
      </c>
      <c r="K10" s="65"/>
    </row>
    <row r="11" spans="1:22" ht="15" customHeight="1" x14ac:dyDescent="0.2">
      <c r="A11" s="60" t="s">
        <v>439</v>
      </c>
      <c r="B11" s="56" t="s">
        <v>422</v>
      </c>
      <c r="C11" s="52">
        <v>127.884</v>
      </c>
      <c r="D11" s="56">
        <v>255</v>
      </c>
      <c r="E11" s="52">
        <v>127.5</v>
      </c>
      <c r="F11" s="56">
        <v>0</v>
      </c>
      <c r="G11" s="52">
        <v>0</v>
      </c>
      <c r="H11" s="56">
        <v>0.38400000000000001</v>
      </c>
      <c r="I11" s="52">
        <f t="shared" si="0"/>
        <v>0</v>
      </c>
      <c r="J11" s="47" t="str">
        <f t="shared" si="1"/>
        <v>KAPALI</v>
      </c>
      <c r="K11" s="65"/>
    </row>
    <row r="12" spans="1:22" ht="15" customHeight="1" x14ac:dyDescent="0.2">
      <c r="A12" s="60" t="s">
        <v>440</v>
      </c>
      <c r="B12" s="56" t="s">
        <v>425</v>
      </c>
      <c r="C12" s="52">
        <v>132.88399999999999</v>
      </c>
      <c r="D12" s="56">
        <v>265</v>
      </c>
      <c r="E12" s="52">
        <v>132.5</v>
      </c>
      <c r="F12" s="56">
        <v>0</v>
      </c>
      <c r="G12" s="52">
        <v>0</v>
      </c>
      <c r="H12" s="56">
        <v>0.38400000000000001</v>
      </c>
      <c r="I12" s="52">
        <f t="shared" si="0"/>
        <v>-1.3877787807814457E-14</v>
      </c>
      <c r="J12" s="47" t="str">
        <f t="shared" si="1"/>
        <v>KAPALI</v>
      </c>
      <c r="K12" s="65"/>
    </row>
    <row r="13" spans="1:22" ht="15" customHeight="1" x14ac:dyDescent="0.2">
      <c r="A13" s="60" t="str">
        <f t="shared" ref="A13:A76" si="2">IF(B13="","",IFERROR(DATE(RIGHT(B13,4),MID(B13,4,2),LEFT(B13,2))+1,""))</f>
        <v/>
      </c>
      <c r="B13" s="56"/>
      <c r="C13" s="58" t="str">
        <f>IF(B13="","",IFERROR(INDEX('21 2026 ÜRETİM'!$F$2:$F$501,MATCH(B13,'21 2026 ÜRETİM'!$A$2:$A$501,0)),""))</f>
        <v/>
      </c>
      <c r="D13" s="56"/>
      <c r="E13" s="58" t="str">
        <f t="shared" ref="E13:E76" si="3">IF(D13="","",D13*0.5)</f>
        <v/>
      </c>
      <c r="F13" s="56"/>
      <c r="G13" s="58" t="str">
        <f t="shared" ref="G13:G76" si="4">IF(F13="","",F13*2.5)</f>
        <v/>
      </c>
      <c r="H13" s="56"/>
      <c r="I13" s="58" t="str">
        <f t="shared" ref="I13:I76" si="5">IF(C13="","",C13-E13-G13-IF(H13="",0,H13))</f>
        <v/>
      </c>
      <c r="J13" s="56" t="str">
        <f t="shared" ref="J13:J76" si="6">IF(C13="","",IF(ABS(I13)&lt;0.001,"KAPALI","KONTROL"))</f>
        <v/>
      </c>
      <c r="K13" s="65"/>
    </row>
    <row r="14" spans="1:22" ht="15" customHeight="1" x14ac:dyDescent="0.2">
      <c r="A14" s="60" t="str">
        <f t="shared" si="2"/>
        <v/>
      </c>
      <c r="B14" s="56"/>
      <c r="C14" s="58" t="str">
        <f>IF(B14="","",IFERROR(INDEX('21 2026 ÜRETİM'!$F$2:$F$501,MATCH(B14,'21 2026 ÜRETİM'!$A$2:$A$501,0)),""))</f>
        <v/>
      </c>
      <c r="D14" s="56"/>
      <c r="E14" s="58" t="str">
        <f t="shared" si="3"/>
        <v/>
      </c>
      <c r="F14" s="56"/>
      <c r="G14" s="58" t="str">
        <f t="shared" si="4"/>
        <v/>
      </c>
      <c r="H14" s="56"/>
      <c r="I14" s="58" t="str">
        <f t="shared" si="5"/>
        <v/>
      </c>
      <c r="J14" s="56" t="str">
        <f t="shared" si="6"/>
        <v/>
      </c>
      <c r="K14" s="65"/>
    </row>
    <row r="15" spans="1:22" ht="15" customHeight="1" x14ac:dyDescent="0.2">
      <c r="A15" s="60" t="str">
        <f t="shared" si="2"/>
        <v/>
      </c>
      <c r="B15" s="56"/>
      <c r="C15" s="58" t="str">
        <f>IF(B15="","",IFERROR(INDEX('21 2026 ÜRETİM'!$F$2:$F$501,MATCH(B15,'21 2026 ÜRETİM'!$A$2:$A$501,0)),""))</f>
        <v/>
      </c>
      <c r="D15" s="56"/>
      <c r="E15" s="58" t="str">
        <f t="shared" si="3"/>
        <v/>
      </c>
      <c r="F15" s="56"/>
      <c r="G15" s="58" t="str">
        <f t="shared" si="4"/>
        <v/>
      </c>
      <c r="H15" s="56"/>
      <c r="I15" s="58" t="str">
        <f t="shared" si="5"/>
        <v/>
      </c>
      <c r="J15" s="56" t="str">
        <f t="shared" si="6"/>
        <v/>
      </c>
      <c r="K15" s="65"/>
    </row>
    <row r="16" spans="1:22" ht="15" customHeight="1" x14ac:dyDescent="0.2">
      <c r="A16" s="60" t="str">
        <f t="shared" si="2"/>
        <v/>
      </c>
      <c r="B16" s="56"/>
      <c r="C16" s="58" t="str">
        <f>IF(B16="","",IFERROR(INDEX('21 2026 ÜRETİM'!$F$2:$F$501,MATCH(B16,'21 2026 ÜRETİM'!$A$2:$A$501,0)),""))</f>
        <v/>
      </c>
      <c r="D16" s="56"/>
      <c r="E16" s="58" t="str">
        <f t="shared" si="3"/>
        <v/>
      </c>
      <c r="F16" s="56"/>
      <c r="G16" s="58" t="str">
        <f t="shared" si="4"/>
        <v/>
      </c>
      <c r="H16" s="56"/>
      <c r="I16" s="58" t="str">
        <f t="shared" si="5"/>
        <v/>
      </c>
      <c r="J16" s="56" t="str">
        <f t="shared" si="6"/>
        <v/>
      </c>
      <c r="K16" s="65"/>
    </row>
    <row r="17" spans="1:11" ht="15" customHeight="1" x14ac:dyDescent="0.2">
      <c r="A17" s="60" t="str">
        <f t="shared" si="2"/>
        <v/>
      </c>
      <c r="B17" s="56"/>
      <c r="C17" s="58" t="str">
        <f>IF(B17="","",IFERROR(INDEX('21 2026 ÜRETİM'!$F$2:$F$501,MATCH(B17,'21 2026 ÜRETİM'!$A$2:$A$501,0)),""))</f>
        <v/>
      </c>
      <c r="D17" s="56"/>
      <c r="E17" s="58" t="str">
        <f t="shared" si="3"/>
        <v/>
      </c>
      <c r="F17" s="56"/>
      <c r="G17" s="58" t="str">
        <f t="shared" si="4"/>
        <v/>
      </c>
      <c r="H17" s="56"/>
      <c r="I17" s="58" t="str">
        <f t="shared" si="5"/>
        <v/>
      </c>
      <c r="J17" s="56" t="str">
        <f t="shared" si="6"/>
        <v/>
      </c>
      <c r="K17" s="65"/>
    </row>
    <row r="18" spans="1:11" ht="15" customHeight="1" x14ac:dyDescent="0.2">
      <c r="A18" s="60" t="str">
        <f t="shared" si="2"/>
        <v/>
      </c>
      <c r="B18" s="56"/>
      <c r="C18" s="58" t="str">
        <f>IF(B18="","",IFERROR(INDEX('21 2026 ÜRETİM'!$F$2:$F$501,MATCH(B18,'21 2026 ÜRETİM'!$A$2:$A$501,0)),""))</f>
        <v/>
      </c>
      <c r="D18" s="56"/>
      <c r="E18" s="58" t="str">
        <f t="shared" si="3"/>
        <v/>
      </c>
      <c r="F18" s="56"/>
      <c r="G18" s="58" t="str">
        <f t="shared" si="4"/>
        <v/>
      </c>
      <c r="H18" s="56"/>
      <c r="I18" s="58" t="str">
        <f t="shared" si="5"/>
        <v/>
      </c>
      <c r="J18" s="56" t="str">
        <f t="shared" si="6"/>
        <v/>
      </c>
      <c r="K18" s="65"/>
    </row>
    <row r="19" spans="1:11" ht="15" customHeight="1" x14ac:dyDescent="0.2">
      <c r="A19" s="60" t="str">
        <f t="shared" si="2"/>
        <v/>
      </c>
      <c r="B19" s="56"/>
      <c r="C19" s="58" t="str">
        <f>IF(B19="","",IFERROR(INDEX('21 2026 ÜRETİM'!$F$2:$F$501,MATCH(B19,'21 2026 ÜRETİM'!$A$2:$A$501,0)),""))</f>
        <v/>
      </c>
      <c r="D19" s="56"/>
      <c r="E19" s="58" t="str">
        <f t="shared" si="3"/>
        <v/>
      </c>
      <c r="F19" s="56"/>
      <c r="G19" s="58" t="str">
        <f t="shared" si="4"/>
        <v/>
      </c>
      <c r="H19" s="56"/>
      <c r="I19" s="58" t="str">
        <f t="shared" si="5"/>
        <v/>
      </c>
      <c r="J19" s="56" t="str">
        <f t="shared" si="6"/>
        <v/>
      </c>
      <c r="K19" s="65"/>
    </row>
    <row r="20" spans="1:11" ht="15" customHeight="1" x14ac:dyDescent="0.2">
      <c r="A20" s="60" t="str">
        <f t="shared" si="2"/>
        <v/>
      </c>
      <c r="B20" s="56"/>
      <c r="C20" s="58" t="str">
        <f>IF(B20="","",IFERROR(INDEX('21 2026 ÜRETİM'!$F$2:$F$501,MATCH(B20,'21 2026 ÜRETİM'!$A$2:$A$501,0)),""))</f>
        <v/>
      </c>
      <c r="D20" s="56"/>
      <c r="E20" s="58" t="str">
        <f t="shared" si="3"/>
        <v/>
      </c>
      <c r="F20" s="56"/>
      <c r="G20" s="58" t="str">
        <f t="shared" si="4"/>
        <v/>
      </c>
      <c r="H20" s="56"/>
      <c r="I20" s="58" t="str">
        <f t="shared" si="5"/>
        <v/>
      </c>
      <c r="J20" s="56" t="str">
        <f t="shared" si="6"/>
        <v/>
      </c>
      <c r="K20" s="65"/>
    </row>
    <row r="21" spans="1:11" ht="15" customHeight="1" x14ac:dyDescent="0.2">
      <c r="A21" s="60" t="str">
        <f t="shared" si="2"/>
        <v/>
      </c>
      <c r="B21" s="56"/>
      <c r="C21" s="58" t="str">
        <f>IF(B21="","",IFERROR(INDEX('21 2026 ÜRETİM'!$F$2:$F$501,MATCH(B21,'21 2026 ÜRETİM'!$A$2:$A$501,0)),""))</f>
        <v/>
      </c>
      <c r="D21" s="56"/>
      <c r="E21" s="58" t="str">
        <f t="shared" si="3"/>
        <v/>
      </c>
      <c r="F21" s="56"/>
      <c r="G21" s="58" t="str">
        <f t="shared" si="4"/>
        <v/>
      </c>
      <c r="H21" s="56"/>
      <c r="I21" s="58" t="str">
        <f t="shared" si="5"/>
        <v/>
      </c>
      <c r="J21" s="56" t="str">
        <f t="shared" si="6"/>
        <v/>
      </c>
      <c r="K21" s="65"/>
    </row>
    <row r="22" spans="1:11" ht="15" customHeight="1" x14ac:dyDescent="0.2">
      <c r="A22" s="60" t="str">
        <f t="shared" si="2"/>
        <v/>
      </c>
      <c r="B22" s="56"/>
      <c r="C22" s="58" t="str">
        <f>IF(B22="","",IFERROR(INDEX('21 2026 ÜRETİM'!$F$2:$F$501,MATCH(B22,'21 2026 ÜRETİM'!$A$2:$A$501,0)),""))</f>
        <v/>
      </c>
      <c r="D22" s="56"/>
      <c r="E22" s="58" t="str">
        <f t="shared" si="3"/>
        <v/>
      </c>
      <c r="F22" s="56"/>
      <c r="G22" s="58" t="str">
        <f t="shared" si="4"/>
        <v/>
      </c>
      <c r="H22" s="56"/>
      <c r="I22" s="58" t="str">
        <f t="shared" si="5"/>
        <v/>
      </c>
      <c r="J22" s="56" t="str">
        <f t="shared" si="6"/>
        <v/>
      </c>
      <c r="K22" s="65"/>
    </row>
    <row r="23" spans="1:11" ht="15" customHeight="1" x14ac:dyDescent="0.2">
      <c r="A23" s="60" t="str">
        <f t="shared" si="2"/>
        <v/>
      </c>
      <c r="B23" s="56"/>
      <c r="C23" s="58" t="str">
        <f>IF(B23="","",IFERROR(INDEX('21 2026 ÜRETİM'!$F$2:$F$501,MATCH(B23,'21 2026 ÜRETİM'!$A$2:$A$501,0)),""))</f>
        <v/>
      </c>
      <c r="D23" s="56"/>
      <c r="E23" s="58" t="str">
        <f t="shared" si="3"/>
        <v/>
      </c>
      <c r="F23" s="56"/>
      <c r="G23" s="58" t="str">
        <f t="shared" si="4"/>
        <v/>
      </c>
      <c r="H23" s="56"/>
      <c r="I23" s="58" t="str">
        <f t="shared" si="5"/>
        <v/>
      </c>
      <c r="J23" s="56" t="str">
        <f t="shared" si="6"/>
        <v/>
      </c>
      <c r="K23" s="65"/>
    </row>
    <row r="24" spans="1:11" ht="15" customHeight="1" x14ac:dyDescent="0.2">
      <c r="A24" s="60" t="str">
        <f t="shared" si="2"/>
        <v/>
      </c>
      <c r="B24" s="56"/>
      <c r="C24" s="58" t="str">
        <f>IF(B24="","",IFERROR(INDEX('21 2026 ÜRETİM'!$F$2:$F$501,MATCH(B24,'21 2026 ÜRETİM'!$A$2:$A$501,0)),""))</f>
        <v/>
      </c>
      <c r="D24" s="56"/>
      <c r="E24" s="58" t="str">
        <f t="shared" si="3"/>
        <v/>
      </c>
      <c r="F24" s="56"/>
      <c r="G24" s="58" t="str">
        <f t="shared" si="4"/>
        <v/>
      </c>
      <c r="H24" s="56"/>
      <c r="I24" s="58" t="str">
        <f t="shared" si="5"/>
        <v/>
      </c>
      <c r="J24" s="56" t="str">
        <f t="shared" si="6"/>
        <v/>
      </c>
      <c r="K24" s="65"/>
    </row>
    <row r="25" spans="1:11" ht="15" customHeight="1" x14ac:dyDescent="0.2">
      <c r="A25" s="60" t="str">
        <f t="shared" si="2"/>
        <v/>
      </c>
      <c r="B25" s="56"/>
      <c r="C25" s="58" t="str">
        <f>IF(B25="","",IFERROR(INDEX('21 2026 ÜRETİM'!$F$2:$F$501,MATCH(B25,'21 2026 ÜRETİM'!$A$2:$A$501,0)),""))</f>
        <v/>
      </c>
      <c r="D25" s="56"/>
      <c r="E25" s="58" t="str">
        <f t="shared" si="3"/>
        <v/>
      </c>
      <c r="F25" s="56"/>
      <c r="G25" s="58" t="str">
        <f t="shared" si="4"/>
        <v/>
      </c>
      <c r="H25" s="56"/>
      <c r="I25" s="58" t="str">
        <f t="shared" si="5"/>
        <v/>
      </c>
      <c r="J25" s="56" t="str">
        <f t="shared" si="6"/>
        <v/>
      </c>
      <c r="K25" s="65"/>
    </row>
    <row r="26" spans="1:11" ht="15" customHeight="1" x14ac:dyDescent="0.2">
      <c r="A26" s="60" t="str">
        <f t="shared" si="2"/>
        <v/>
      </c>
      <c r="B26" s="56"/>
      <c r="C26" s="58" t="str">
        <f>IF(B26="","",IFERROR(INDEX('21 2026 ÜRETİM'!$F$2:$F$501,MATCH(B26,'21 2026 ÜRETİM'!$A$2:$A$501,0)),""))</f>
        <v/>
      </c>
      <c r="D26" s="56"/>
      <c r="E26" s="58" t="str">
        <f t="shared" si="3"/>
        <v/>
      </c>
      <c r="F26" s="56"/>
      <c r="G26" s="58" t="str">
        <f t="shared" si="4"/>
        <v/>
      </c>
      <c r="H26" s="56"/>
      <c r="I26" s="58" t="str">
        <f t="shared" si="5"/>
        <v/>
      </c>
      <c r="J26" s="56" t="str">
        <f t="shared" si="6"/>
        <v/>
      </c>
      <c r="K26" s="65"/>
    </row>
    <row r="27" spans="1:11" ht="15" customHeight="1" x14ac:dyDescent="0.2">
      <c r="A27" s="60" t="str">
        <f t="shared" si="2"/>
        <v/>
      </c>
      <c r="B27" s="56"/>
      <c r="C27" s="58" t="str">
        <f>IF(B27="","",IFERROR(INDEX('21 2026 ÜRETİM'!$F$2:$F$501,MATCH(B27,'21 2026 ÜRETİM'!$A$2:$A$501,0)),""))</f>
        <v/>
      </c>
      <c r="D27" s="56"/>
      <c r="E27" s="58" t="str">
        <f t="shared" si="3"/>
        <v/>
      </c>
      <c r="F27" s="56"/>
      <c r="G27" s="58" t="str">
        <f t="shared" si="4"/>
        <v/>
      </c>
      <c r="H27" s="56"/>
      <c r="I27" s="58" t="str">
        <f t="shared" si="5"/>
        <v/>
      </c>
      <c r="J27" s="56" t="str">
        <f t="shared" si="6"/>
        <v/>
      </c>
      <c r="K27" s="65"/>
    </row>
    <row r="28" spans="1:11" ht="15" customHeight="1" x14ac:dyDescent="0.2">
      <c r="A28" s="60" t="str">
        <f t="shared" si="2"/>
        <v/>
      </c>
      <c r="B28" s="56"/>
      <c r="C28" s="58" t="str">
        <f>IF(B28="","",IFERROR(INDEX('21 2026 ÜRETİM'!$F$2:$F$501,MATCH(B28,'21 2026 ÜRETİM'!$A$2:$A$501,0)),""))</f>
        <v/>
      </c>
      <c r="D28" s="56"/>
      <c r="E28" s="58" t="str">
        <f t="shared" si="3"/>
        <v/>
      </c>
      <c r="F28" s="56"/>
      <c r="G28" s="58" t="str">
        <f t="shared" si="4"/>
        <v/>
      </c>
      <c r="H28" s="56"/>
      <c r="I28" s="58" t="str">
        <f t="shared" si="5"/>
        <v/>
      </c>
      <c r="J28" s="56" t="str">
        <f t="shared" si="6"/>
        <v/>
      </c>
      <c r="K28" s="65"/>
    </row>
    <row r="29" spans="1:11" ht="15" customHeight="1" x14ac:dyDescent="0.2">
      <c r="A29" s="60" t="str">
        <f t="shared" si="2"/>
        <v/>
      </c>
      <c r="B29" s="56"/>
      <c r="C29" s="58" t="str">
        <f>IF(B29="","",IFERROR(INDEX('21 2026 ÜRETİM'!$F$2:$F$501,MATCH(B29,'21 2026 ÜRETİM'!$A$2:$A$501,0)),""))</f>
        <v/>
      </c>
      <c r="D29" s="56"/>
      <c r="E29" s="58" t="str">
        <f t="shared" si="3"/>
        <v/>
      </c>
      <c r="F29" s="56"/>
      <c r="G29" s="58" t="str">
        <f t="shared" si="4"/>
        <v/>
      </c>
      <c r="H29" s="56"/>
      <c r="I29" s="58" t="str">
        <f t="shared" si="5"/>
        <v/>
      </c>
      <c r="J29" s="56" t="str">
        <f t="shared" si="6"/>
        <v/>
      </c>
      <c r="K29" s="65"/>
    </row>
    <row r="30" spans="1:11" ht="15" customHeight="1" x14ac:dyDescent="0.2">
      <c r="A30" s="60" t="str">
        <f t="shared" si="2"/>
        <v/>
      </c>
      <c r="B30" s="56"/>
      <c r="C30" s="58" t="str">
        <f>IF(B30="","",IFERROR(INDEX('21 2026 ÜRETİM'!$F$2:$F$501,MATCH(B30,'21 2026 ÜRETİM'!$A$2:$A$501,0)),""))</f>
        <v/>
      </c>
      <c r="D30" s="56"/>
      <c r="E30" s="58" t="str">
        <f t="shared" si="3"/>
        <v/>
      </c>
      <c r="F30" s="56"/>
      <c r="G30" s="58" t="str">
        <f t="shared" si="4"/>
        <v/>
      </c>
      <c r="H30" s="56"/>
      <c r="I30" s="58" t="str">
        <f t="shared" si="5"/>
        <v/>
      </c>
      <c r="J30" s="56" t="str">
        <f t="shared" si="6"/>
        <v/>
      </c>
      <c r="K30" s="65"/>
    </row>
    <row r="31" spans="1:11" ht="15" customHeight="1" x14ac:dyDescent="0.2">
      <c r="A31" s="60" t="str">
        <f t="shared" si="2"/>
        <v/>
      </c>
      <c r="B31" s="56"/>
      <c r="C31" s="58" t="str">
        <f>IF(B31="","",IFERROR(INDEX('21 2026 ÜRETİM'!$F$2:$F$501,MATCH(B31,'21 2026 ÜRETİM'!$A$2:$A$501,0)),""))</f>
        <v/>
      </c>
      <c r="D31" s="56"/>
      <c r="E31" s="58" t="str">
        <f t="shared" si="3"/>
        <v/>
      </c>
      <c r="F31" s="56"/>
      <c r="G31" s="58" t="str">
        <f t="shared" si="4"/>
        <v/>
      </c>
      <c r="H31" s="56"/>
      <c r="I31" s="58" t="str">
        <f t="shared" si="5"/>
        <v/>
      </c>
      <c r="J31" s="56" t="str">
        <f t="shared" si="6"/>
        <v/>
      </c>
      <c r="K31" s="65"/>
    </row>
    <row r="32" spans="1:11" ht="15" customHeight="1" x14ac:dyDescent="0.2">
      <c r="A32" s="60" t="str">
        <f t="shared" si="2"/>
        <v/>
      </c>
      <c r="B32" s="56"/>
      <c r="C32" s="58" t="str">
        <f>IF(B32="","",IFERROR(INDEX('21 2026 ÜRETİM'!$F$2:$F$501,MATCH(B32,'21 2026 ÜRETİM'!$A$2:$A$501,0)),""))</f>
        <v/>
      </c>
      <c r="D32" s="56"/>
      <c r="E32" s="58" t="str">
        <f t="shared" si="3"/>
        <v/>
      </c>
      <c r="F32" s="56"/>
      <c r="G32" s="58" t="str">
        <f t="shared" si="4"/>
        <v/>
      </c>
      <c r="H32" s="56"/>
      <c r="I32" s="58" t="str">
        <f t="shared" si="5"/>
        <v/>
      </c>
      <c r="J32" s="56" t="str">
        <f t="shared" si="6"/>
        <v/>
      </c>
      <c r="K32" s="65"/>
    </row>
    <row r="33" spans="1:11" ht="15" customHeight="1" x14ac:dyDescent="0.2">
      <c r="A33" s="60" t="str">
        <f t="shared" si="2"/>
        <v/>
      </c>
      <c r="B33" s="56"/>
      <c r="C33" s="58" t="str">
        <f>IF(B33="","",IFERROR(INDEX('21 2026 ÜRETİM'!$F$2:$F$501,MATCH(B33,'21 2026 ÜRETİM'!$A$2:$A$501,0)),""))</f>
        <v/>
      </c>
      <c r="D33" s="56"/>
      <c r="E33" s="58" t="str">
        <f t="shared" si="3"/>
        <v/>
      </c>
      <c r="F33" s="56"/>
      <c r="G33" s="58" t="str">
        <f t="shared" si="4"/>
        <v/>
      </c>
      <c r="H33" s="56"/>
      <c r="I33" s="58" t="str">
        <f t="shared" si="5"/>
        <v/>
      </c>
      <c r="J33" s="56" t="str">
        <f t="shared" si="6"/>
        <v/>
      </c>
      <c r="K33" s="65"/>
    </row>
    <row r="34" spans="1:11" ht="15" customHeight="1" x14ac:dyDescent="0.2">
      <c r="A34" s="60" t="str">
        <f t="shared" si="2"/>
        <v/>
      </c>
      <c r="B34" s="56"/>
      <c r="C34" s="58" t="str">
        <f>IF(B34="","",IFERROR(INDEX('21 2026 ÜRETİM'!$F$2:$F$501,MATCH(B34,'21 2026 ÜRETİM'!$A$2:$A$501,0)),""))</f>
        <v/>
      </c>
      <c r="D34" s="56"/>
      <c r="E34" s="58" t="str">
        <f t="shared" si="3"/>
        <v/>
      </c>
      <c r="F34" s="56"/>
      <c r="G34" s="58" t="str">
        <f t="shared" si="4"/>
        <v/>
      </c>
      <c r="H34" s="56"/>
      <c r="I34" s="58" t="str">
        <f t="shared" si="5"/>
        <v/>
      </c>
      <c r="J34" s="56" t="str">
        <f t="shared" si="6"/>
        <v/>
      </c>
      <c r="K34" s="65"/>
    </row>
    <row r="35" spans="1:11" ht="15" customHeight="1" x14ac:dyDescent="0.2">
      <c r="A35" s="60" t="str">
        <f t="shared" si="2"/>
        <v/>
      </c>
      <c r="B35" s="56"/>
      <c r="C35" s="58" t="str">
        <f>IF(B35="","",IFERROR(INDEX('21 2026 ÜRETİM'!$F$2:$F$501,MATCH(B35,'21 2026 ÜRETİM'!$A$2:$A$501,0)),""))</f>
        <v/>
      </c>
      <c r="D35" s="56"/>
      <c r="E35" s="58" t="str">
        <f t="shared" si="3"/>
        <v/>
      </c>
      <c r="F35" s="56"/>
      <c r="G35" s="58" t="str">
        <f t="shared" si="4"/>
        <v/>
      </c>
      <c r="H35" s="56"/>
      <c r="I35" s="58" t="str">
        <f t="shared" si="5"/>
        <v/>
      </c>
      <c r="J35" s="56" t="str">
        <f t="shared" si="6"/>
        <v/>
      </c>
      <c r="K35" s="65"/>
    </row>
    <row r="36" spans="1:11" ht="15" customHeight="1" x14ac:dyDescent="0.2">
      <c r="A36" s="60" t="str">
        <f t="shared" si="2"/>
        <v/>
      </c>
      <c r="B36" s="56"/>
      <c r="C36" s="58" t="str">
        <f>IF(B36="","",IFERROR(INDEX('21 2026 ÜRETİM'!$F$2:$F$501,MATCH(B36,'21 2026 ÜRETİM'!$A$2:$A$501,0)),""))</f>
        <v/>
      </c>
      <c r="D36" s="56"/>
      <c r="E36" s="58" t="str">
        <f t="shared" si="3"/>
        <v/>
      </c>
      <c r="F36" s="56"/>
      <c r="G36" s="58" t="str">
        <f t="shared" si="4"/>
        <v/>
      </c>
      <c r="H36" s="56"/>
      <c r="I36" s="58" t="str">
        <f t="shared" si="5"/>
        <v/>
      </c>
      <c r="J36" s="56" t="str">
        <f t="shared" si="6"/>
        <v/>
      </c>
      <c r="K36" s="65"/>
    </row>
    <row r="37" spans="1:11" ht="15" customHeight="1" x14ac:dyDescent="0.2">
      <c r="A37" s="60" t="str">
        <f t="shared" si="2"/>
        <v/>
      </c>
      <c r="B37" s="56"/>
      <c r="C37" s="58" t="str">
        <f>IF(B37="","",IFERROR(INDEX('21 2026 ÜRETİM'!$F$2:$F$501,MATCH(B37,'21 2026 ÜRETİM'!$A$2:$A$501,0)),""))</f>
        <v/>
      </c>
      <c r="D37" s="56"/>
      <c r="E37" s="58" t="str">
        <f t="shared" si="3"/>
        <v/>
      </c>
      <c r="F37" s="56"/>
      <c r="G37" s="58" t="str">
        <f t="shared" si="4"/>
        <v/>
      </c>
      <c r="H37" s="56"/>
      <c r="I37" s="58" t="str">
        <f t="shared" si="5"/>
        <v/>
      </c>
      <c r="J37" s="56" t="str">
        <f t="shared" si="6"/>
        <v/>
      </c>
      <c r="K37" s="65"/>
    </row>
    <row r="38" spans="1:11" ht="15" customHeight="1" x14ac:dyDescent="0.2">
      <c r="A38" s="60" t="str">
        <f t="shared" si="2"/>
        <v/>
      </c>
      <c r="B38" s="56"/>
      <c r="C38" s="58" t="str">
        <f>IF(B38="","",IFERROR(INDEX('21 2026 ÜRETİM'!$F$2:$F$501,MATCH(B38,'21 2026 ÜRETİM'!$A$2:$A$501,0)),""))</f>
        <v/>
      </c>
      <c r="D38" s="56"/>
      <c r="E38" s="58" t="str">
        <f t="shared" si="3"/>
        <v/>
      </c>
      <c r="F38" s="56"/>
      <c r="G38" s="58" t="str">
        <f t="shared" si="4"/>
        <v/>
      </c>
      <c r="H38" s="56"/>
      <c r="I38" s="58" t="str">
        <f t="shared" si="5"/>
        <v/>
      </c>
      <c r="J38" s="56" t="str">
        <f t="shared" si="6"/>
        <v/>
      </c>
      <c r="K38" s="65"/>
    </row>
    <row r="39" spans="1:11" ht="15" customHeight="1" x14ac:dyDescent="0.2">
      <c r="A39" s="60" t="str">
        <f t="shared" si="2"/>
        <v/>
      </c>
      <c r="B39" s="56"/>
      <c r="C39" s="58" t="str">
        <f>IF(B39="","",IFERROR(INDEX('21 2026 ÜRETİM'!$F$2:$F$501,MATCH(B39,'21 2026 ÜRETİM'!$A$2:$A$501,0)),""))</f>
        <v/>
      </c>
      <c r="D39" s="56"/>
      <c r="E39" s="58" t="str">
        <f t="shared" si="3"/>
        <v/>
      </c>
      <c r="F39" s="56"/>
      <c r="G39" s="58" t="str">
        <f t="shared" si="4"/>
        <v/>
      </c>
      <c r="H39" s="56"/>
      <c r="I39" s="58" t="str">
        <f t="shared" si="5"/>
        <v/>
      </c>
      <c r="J39" s="56" t="str">
        <f t="shared" si="6"/>
        <v/>
      </c>
      <c r="K39" s="65"/>
    </row>
    <row r="40" spans="1:11" ht="15" customHeight="1" x14ac:dyDescent="0.2">
      <c r="A40" s="60" t="str">
        <f t="shared" si="2"/>
        <v/>
      </c>
      <c r="B40" s="56"/>
      <c r="C40" s="58" t="str">
        <f>IF(B40="","",IFERROR(INDEX('21 2026 ÜRETİM'!$F$2:$F$501,MATCH(B40,'21 2026 ÜRETİM'!$A$2:$A$501,0)),""))</f>
        <v/>
      </c>
      <c r="D40" s="56"/>
      <c r="E40" s="58" t="str">
        <f t="shared" si="3"/>
        <v/>
      </c>
      <c r="F40" s="56"/>
      <c r="G40" s="58" t="str">
        <f t="shared" si="4"/>
        <v/>
      </c>
      <c r="H40" s="56"/>
      <c r="I40" s="58" t="str">
        <f t="shared" si="5"/>
        <v/>
      </c>
      <c r="J40" s="56" t="str">
        <f t="shared" si="6"/>
        <v/>
      </c>
      <c r="K40" s="65"/>
    </row>
    <row r="41" spans="1:11" ht="15" customHeight="1" x14ac:dyDescent="0.2">
      <c r="A41" s="60" t="str">
        <f t="shared" si="2"/>
        <v/>
      </c>
      <c r="B41" s="56"/>
      <c r="C41" s="58" t="str">
        <f>IF(B41="","",IFERROR(INDEX('21 2026 ÜRETİM'!$F$2:$F$501,MATCH(B41,'21 2026 ÜRETİM'!$A$2:$A$501,0)),""))</f>
        <v/>
      </c>
      <c r="D41" s="56"/>
      <c r="E41" s="58" t="str">
        <f t="shared" si="3"/>
        <v/>
      </c>
      <c r="F41" s="56"/>
      <c r="G41" s="58" t="str">
        <f t="shared" si="4"/>
        <v/>
      </c>
      <c r="H41" s="56"/>
      <c r="I41" s="58" t="str">
        <f t="shared" si="5"/>
        <v/>
      </c>
      <c r="J41" s="56" t="str">
        <f t="shared" si="6"/>
        <v/>
      </c>
      <c r="K41" s="65"/>
    </row>
    <row r="42" spans="1:11" ht="15" customHeight="1" x14ac:dyDescent="0.2">
      <c r="A42" s="60" t="str">
        <f t="shared" si="2"/>
        <v/>
      </c>
      <c r="B42" s="56"/>
      <c r="C42" s="58" t="str">
        <f>IF(B42="","",IFERROR(INDEX('21 2026 ÜRETİM'!$F$2:$F$501,MATCH(B42,'21 2026 ÜRETİM'!$A$2:$A$501,0)),""))</f>
        <v/>
      </c>
      <c r="D42" s="56"/>
      <c r="E42" s="58" t="str">
        <f t="shared" si="3"/>
        <v/>
      </c>
      <c r="F42" s="56"/>
      <c r="G42" s="58" t="str">
        <f t="shared" si="4"/>
        <v/>
      </c>
      <c r="H42" s="56"/>
      <c r="I42" s="58" t="str">
        <f t="shared" si="5"/>
        <v/>
      </c>
      <c r="J42" s="56" t="str">
        <f t="shared" si="6"/>
        <v/>
      </c>
      <c r="K42" s="65"/>
    </row>
    <row r="43" spans="1:11" ht="15" customHeight="1" x14ac:dyDescent="0.2">
      <c r="A43" s="60" t="str">
        <f t="shared" si="2"/>
        <v/>
      </c>
      <c r="B43" s="56"/>
      <c r="C43" s="58" t="str">
        <f>IF(B43="","",IFERROR(INDEX('21 2026 ÜRETİM'!$F$2:$F$501,MATCH(B43,'21 2026 ÜRETİM'!$A$2:$A$501,0)),""))</f>
        <v/>
      </c>
      <c r="D43" s="56"/>
      <c r="E43" s="58" t="str">
        <f t="shared" si="3"/>
        <v/>
      </c>
      <c r="F43" s="56"/>
      <c r="G43" s="58" t="str">
        <f t="shared" si="4"/>
        <v/>
      </c>
      <c r="H43" s="56"/>
      <c r="I43" s="58" t="str">
        <f t="shared" si="5"/>
        <v/>
      </c>
      <c r="J43" s="56" t="str">
        <f t="shared" si="6"/>
        <v/>
      </c>
      <c r="K43" s="65"/>
    </row>
    <row r="44" spans="1:11" ht="15" customHeight="1" x14ac:dyDescent="0.2">
      <c r="A44" s="60" t="str">
        <f t="shared" si="2"/>
        <v/>
      </c>
      <c r="B44" s="56"/>
      <c r="C44" s="58" t="str">
        <f>IF(B44="","",IFERROR(INDEX('21 2026 ÜRETİM'!$F$2:$F$501,MATCH(B44,'21 2026 ÜRETİM'!$A$2:$A$501,0)),""))</f>
        <v/>
      </c>
      <c r="D44" s="56"/>
      <c r="E44" s="58" t="str">
        <f t="shared" si="3"/>
        <v/>
      </c>
      <c r="F44" s="56"/>
      <c r="G44" s="58" t="str">
        <f t="shared" si="4"/>
        <v/>
      </c>
      <c r="H44" s="56"/>
      <c r="I44" s="58" t="str">
        <f t="shared" si="5"/>
        <v/>
      </c>
      <c r="J44" s="56" t="str">
        <f t="shared" si="6"/>
        <v/>
      </c>
      <c r="K44" s="65"/>
    </row>
    <row r="45" spans="1:11" ht="15" customHeight="1" x14ac:dyDescent="0.2">
      <c r="A45" s="60" t="str">
        <f t="shared" si="2"/>
        <v/>
      </c>
      <c r="B45" s="56"/>
      <c r="C45" s="58" t="str">
        <f>IF(B45="","",IFERROR(INDEX('21 2026 ÜRETİM'!$F$2:$F$501,MATCH(B45,'21 2026 ÜRETİM'!$A$2:$A$501,0)),""))</f>
        <v/>
      </c>
      <c r="D45" s="56"/>
      <c r="E45" s="58" t="str">
        <f t="shared" si="3"/>
        <v/>
      </c>
      <c r="F45" s="56"/>
      <c r="G45" s="58" t="str">
        <f t="shared" si="4"/>
        <v/>
      </c>
      <c r="H45" s="56"/>
      <c r="I45" s="58" t="str">
        <f t="shared" si="5"/>
        <v/>
      </c>
      <c r="J45" s="56" t="str">
        <f t="shared" si="6"/>
        <v/>
      </c>
      <c r="K45" s="65"/>
    </row>
    <row r="46" spans="1:11" ht="15" customHeight="1" x14ac:dyDescent="0.2">
      <c r="A46" s="60" t="str">
        <f t="shared" si="2"/>
        <v/>
      </c>
      <c r="B46" s="56"/>
      <c r="C46" s="58" t="str">
        <f>IF(B46="","",IFERROR(INDEX('21 2026 ÜRETİM'!$F$2:$F$501,MATCH(B46,'21 2026 ÜRETİM'!$A$2:$A$501,0)),""))</f>
        <v/>
      </c>
      <c r="D46" s="56"/>
      <c r="E46" s="58" t="str">
        <f t="shared" si="3"/>
        <v/>
      </c>
      <c r="F46" s="56"/>
      <c r="G46" s="58" t="str">
        <f t="shared" si="4"/>
        <v/>
      </c>
      <c r="H46" s="56"/>
      <c r="I46" s="58" t="str">
        <f t="shared" si="5"/>
        <v/>
      </c>
      <c r="J46" s="56" t="str">
        <f t="shared" si="6"/>
        <v/>
      </c>
      <c r="K46" s="65"/>
    </row>
    <row r="47" spans="1:11" ht="15" customHeight="1" x14ac:dyDescent="0.2">
      <c r="A47" s="60" t="str">
        <f t="shared" si="2"/>
        <v/>
      </c>
      <c r="B47" s="56"/>
      <c r="C47" s="58" t="str">
        <f>IF(B47="","",IFERROR(INDEX('21 2026 ÜRETİM'!$F$2:$F$501,MATCH(B47,'21 2026 ÜRETİM'!$A$2:$A$501,0)),""))</f>
        <v/>
      </c>
      <c r="D47" s="56"/>
      <c r="E47" s="58" t="str">
        <f t="shared" si="3"/>
        <v/>
      </c>
      <c r="F47" s="56"/>
      <c r="G47" s="58" t="str">
        <f t="shared" si="4"/>
        <v/>
      </c>
      <c r="H47" s="56"/>
      <c r="I47" s="58" t="str">
        <f t="shared" si="5"/>
        <v/>
      </c>
      <c r="J47" s="56" t="str">
        <f t="shared" si="6"/>
        <v/>
      </c>
      <c r="K47" s="65"/>
    </row>
    <row r="48" spans="1:11" ht="15" customHeight="1" x14ac:dyDescent="0.2">
      <c r="A48" s="60" t="str">
        <f t="shared" si="2"/>
        <v/>
      </c>
      <c r="B48" s="56"/>
      <c r="C48" s="58" t="str">
        <f>IF(B48="","",IFERROR(INDEX('21 2026 ÜRETİM'!$F$2:$F$501,MATCH(B48,'21 2026 ÜRETİM'!$A$2:$A$501,0)),""))</f>
        <v/>
      </c>
      <c r="D48" s="56"/>
      <c r="E48" s="58" t="str">
        <f t="shared" si="3"/>
        <v/>
      </c>
      <c r="F48" s="56"/>
      <c r="G48" s="58" t="str">
        <f t="shared" si="4"/>
        <v/>
      </c>
      <c r="H48" s="56"/>
      <c r="I48" s="58" t="str">
        <f t="shared" si="5"/>
        <v/>
      </c>
      <c r="J48" s="56" t="str">
        <f t="shared" si="6"/>
        <v/>
      </c>
      <c r="K48" s="65"/>
    </row>
    <row r="49" spans="1:11" ht="15" customHeight="1" x14ac:dyDescent="0.2">
      <c r="A49" s="60" t="str">
        <f t="shared" si="2"/>
        <v/>
      </c>
      <c r="B49" s="56"/>
      <c r="C49" s="58" t="str">
        <f>IF(B49="","",IFERROR(INDEX('21 2026 ÜRETİM'!$F$2:$F$501,MATCH(B49,'21 2026 ÜRETİM'!$A$2:$A$501,0)),""))</f>
        <v/>
      </c>
      <c r="D49" s="56"/>
      <c r="E49" s="58" t="str">
        <f t="shared" si="3"/>
        <v/>
      </c>
      <c r="F49" s="56"/>
      <c r="G49" s="58" t="str">
        <f t="shared" si="4"/>
        <v/>
      </c>
      <c r="H49" s="56"/>
      <c r="I49" s="58" t="str">
        <f t="shared" si="5"/>
        <v/>
      </c>
      <c r="J49" s="56" t="str">
        <f t="shared" si="6"/>
        <v/>
      </c>
      <c r="K49" s="65"/>
    </row>
    <row r="50" spans="1:11" ht="15" customHeight="1" x14ac:dyDescent="0.2">
      <c r="A50" s="60" t="str">
        <f t="shared" si="2"/>
        <v/>
      </c>
      <c r="B50" s="56"/>
      <c r="C50" s="58" t="str">
        <f>IF(B50="","",IFERROR(INDEX('21 2026 ÜRETİM'!$F$2:$F$501,MATCH(B50,'21 2026 ÜRETİM'!$A$2:$A$501,0)),""))</f>
        <v/>
      </c>
      <c r="D50" s="56"/>
      <c r="E50" s="58" t="str">
        <f t="shared" si="3"/>
        <v/>
      </c>
      <c r="F50" s="56"/>
      <c r="G50" s="58" t="str">
        <f t="shared" si="4"/>
        <v/>
      </c>
      <c r="H50" s="56"/>
      <c r="I50" s="58" t="str">
        <f t="shared" si="5"/>
        <v/>
      </c>
      <c r="J50" s="56" t="str">
        <f t="shared" si="6"/>
        <v/>
      </c>
      <c r="K50" s="65"/>
    </row>
    <row r="51" spans="1:11" ht="15" customHeight="1" x14ac:dyDescent="0.2">
      <c r="A51" s="60" t="str">
        <f t="shared" si="2"/>
        <v/>
      </c>
      <c r="B51" s="56"/>
      <c r="C51" s="58" t="str">
        <f>IF(B51="","",IFERROR(INDEX('21 2026 ÜRETİM'!$F$2:$F$501,MATCH(B51,'21 2026 ÜRETİM'!$A$2:$A$501,0)),""))</f>
        <v/>
      </c>
      <c r="D51" s="56"/>
      <c r="E51" s="58" t="str">
        <f t="shared" si="3"/>
        <v/>
      </c>
      <c r="F51" s="56"/>
      <c r="G51" s="58" t="str">
        <f t="shared" si="4"/>
        <v/>
      </c>
      <c r="H51" s="56"/>
      <c r="I51" s="58" t="str">
        <f t="shared" si="5"/>
        <v/>
      </c>
      <c r="J51" s="56" t="str">
        <f t="shared" si="6"/>
        <v/>
      </c>
      <c r="K51" s="65"/>
    </row>
    <row r="52" spans="1:11" ht="15" customHeight="1" x14ac:dyDescent="0.2">
      <c r="A52" s="60" t="str">
        <f t="shared" si="2"/>
        <v/>
      </c>
      <c r="B52" s="56"/>
      <c r="C52" s="58" t="str">
        <f>IF(B52="","",IFERROR(INDEX('21 2026 ÜRETİM'!$F$2:$F$501,MATCH(B52,'21 2026 ÜRETİM'!$A$2:$A$501,0)),""))</f>
        <v/>
      </c>
      <c r="D52" s="56"/>
      <c r="E52" s="58" t="str">
        <f t="shared" si="3"/>
        <v/>
      </c>
      <c r="F52" s="56"/>
      <c r="G52" s="58" t="str">
        <f t="shared" si="4"/>
        <v/>
      </c>
      <c r="H52" s="56"/>
      <c r="I52" s="58" t="str">
        <f t="shared" si="5"/>
        <v/>
      </c>
      <c r="J52" s="56" t="str">
        <f t="shared" si="6"/>
        <v/>
      </c>
      <c r="K52" s="65"/>
    </row>
    <row r="53" spans="1:11" ht="15" customHeight="1" x14ac:dyDescent="0.2">
      <c r="A53" s="60" t="str">
        <f t="shared" si="2"/>
        <v/>
      </c>
      <c r="B53" s="56"/>
      <c r="C53" s="58" t="str">
        <f>IF(B53="","",IFERROR(INDEX('21 2026 ÜRETİM'!$F$2:$F$501,MATCH(B53,'21 2026 ÜRETİM'!$A$2:$A$501,0)),""))</f>
        <v/>
      </c>
      <c r="D53" s="56"/>
      <c r="E53" s="58" t="str">
        <f t="shared" si="3"/>
        <v/>
      </c>
      <c r="F53" s="56"/>
      <c r="G53" s="58" t="str">
        <f t="shared" si="4"/>
        <v/>
      </c>
      <c r="H53" s="56"/>
      <c r="I53" s="58" t="str">
        <f t="shared" si="5"/>
        <v/>
      </c>
      <c r="J53" s="56" t="str">
        <f t="shared" si="6"/>
        <v/>
      </c>
      <c r="K53" s="65"/>
    </row>
    <row r="54" spans="1:11" ht="15" customHeight="1" x14ac:dyDescent="0.2">
      <c r="A54" s="60" t="str">
        <f t="shared" si="2"/>
        <v/>
      </c>
      <c r="B54" s="56"/>
      <c r="C54" s="58" t="str">
        <f>IF(B54="","",IFERROR(INDEX('21 2026 ÜRETİM'!$F$2:$F$501,MATCH(B54,'21 2026 ÜRETİM'!$A$2:$A$501,0)),""))</f>
        <v/>
      </c>
      <c r="D54" s="56"/>
      <c r="E54" s="58" t="str">
        <f t="shared" si="3"/>
        <v/>
      </c>
      <c r="F54" s="56"/>
      <c r="G54" s="58" t="str">
        <f t="shared" si="4"/>
        <v/>
      </c>
      <c r="H54" s="56"/>
      <c r="I54" s="58" t="str">
        <f t="shared" si="5"/>
        <v/>
      </c>
      <c r="J54" s="56" t="str">
        <f t="shared" si="6"/>
        <v/>
      </c>
      <c r="K54" s="65"/>
    </row>
    <row r="55" spans="1:11" ht="15" customHeight="1" x14ac:dyDescent="0.2">
      <c r="A55" s="60" t="str">
        <f t="shared" si="2"/>
        <v/>
      </c>
      <c r="B55" s="56"/>
      <c r="C55" s="58" t="str">
        <f>IF(B55="","",IFERROR(INDEX('21 2026 ÜRETİM'!$F$2:$F$501,MATCH(B55,'21 2026 ÜRETİM'!$A$2:$A$501,0)),""))</f>
        <v/>
      </c>
      <c r="D55" s="56"/>
      <c r="E55" s="58" t="str">
        <f t="shared" si="3"/>
        <v/>
      </c>
      <c r="F55" s="56"/>
      <c r="G55" s="58" t="str">
        <f t="shared" si="4"/>
        <v/>
      </c>
      <c r="H55" s="56"/>
      <c r="I55" s="58" t="str">
        <f t="shared" si="5"/>
        <v/>
      </c>
      <c r="J55" s="56" t="str">
        <f t="shared" si="6"/>
        <v/>
      </c>
      <c r="K55" s="65"/>
    </row>
    <row r="56" spans="1:11" ht="15" customHeight="1" x14ac:dyDescent="0.2">
      <c r="A56" s="60" t="str">
        <f t="shared" si="2"/>
        <v/>
      </c>
      <c r="B56" s="56"/>
      <c r="C56" s="58" t="str">
        <f>IF(B56="","",IFERROR(INDEX('21 2026 ÜRETİM'!$F$2:$F$501,MATCH(B56,'21 2026 ÜRETİM'!$A$2:$A$501,0)),""))</f>
        <v/>
      </c>
      <c r="D56" s="56"/>
      <c r="E56" s="58" t="str">
        <f t="shared" si="3"/>
        <v/>
      </c>
      <c r="F56" s="56"/>
      <c r="G56" s="58" t="str">
        <f t="shared" si="4"/>
        <v/>
      </c>
      <c r="H56" s="56"/>
      <c r="I56" s="58" t="str">
        <f t="shared" si="5"/>
        <v/>
      </c>
      <c r="J56" s="56" t="str">
        <f t="shared" si="6"/>
        <v/>
      </c>
      <c r="K56" s="65"/>
    </row>
    <row r="57" spans="1:11" ht="15" customHeight="1" x14ac:dyDescent="0.2">
      <c r="A57" s="60" t="str">
        <f t="shared" si="2"/>
        <v/>
      </c>
      <c r="B57" s="56"/>
      <c r="C57" s="58" t="str">
        <f>IF(B57="","",IFERROR(INDEX('21 2026 ÜRETİM'!$F$2:$F$501,MATCH(B57,'21 2026 ÜRETİM'!$A$2:$A$501,0)),""))</f>
        <v/>
      </c>
      <c r="D57" s="56"/>
      <c r="E57" s="58" t="str">
        <f t="shared" si="3"/>
        <v/>
      </c>
      <c r="F57" s="56"/>
      <c r="G57" s="58" t="str">
        <f t="shared" si="4"/>
        <v/>
      </c>
      <c r="H57" s="56"/>
      <c r="I57" s="58" t="str">
        <f t="shared" si="5"/>
        <v/>
      </c>
      <c r="J57" s="56" t="str">
        <f t="shared" si="6"/>
        <v/>
      </c>
      <c r="K57" s="65"/>
    </row>
    <row r="58" spans="1:11" ht="15" customHeight="1" x14ac:dyDescent="0.2">
      <c r="A58" s="60" t="str">
        <f t="shared" si="2"/>
        <v/>
      </c>
      <c r="B58" s="56"/>
      <c r="C58" s="58" t="str">
        <f>IF(B58="","",IFERROR(INDEX('21 2026 ÜRETİM'!$F$2:$F$501,MATCH(B58,'21 2026 ÜRETİM'!$A$2:$A$501,0)),""))</f>
        <v/>
      </c>
      <c r="D58" s="56"/>
      <c r="E58" s="58" t="str">
        <f t="shared" si="3"/>
        <v/>
      </c>
      <c r="F58" s="56"/>
      <c r="G58" s="58" t="str">
        <f t="shared" si="4"/>
        <v/>
      </c>
      <c r="H58" s="56"/>
      <c r="I58" s="58" t="str">
        <f t="shared" si="5"/>
        <v/>
      </c>
      <c r="J58" s="56" t="str">
        <f t="shared" si="6"/>
        <v/>
      </c>
      <c r="K58" s="65"/>
    </row>
    <row r="59" spans="1:11" ht="15" customHeight="1" x14ac:dyDescent="0.2">
      <c r="A59" s="60" t="str">
        <f t="shared" si="2"/>
        <v/>
      </c>
      <c r="B59" s="56"/>
      <c r="C59" s="58" t="str">
        <f>IF(B59="","",IFERROR(INDEX('21 2026 ÜRETİM'!$F$2:$F$501,MATCH(B59,'21 2026 ÜRETİM'!$A$2:$A$501,0)),""))</f>
        <v/>
      </c>
      <c r="D59" s="56"/>
      <c r="E59" s="58" t="str">
        <f t="shared" si="3"/>
        <v/>
      </c>
      <c r="F59" s="56"/>
      <c r="G59" s="58" t="str">
        <f t="shared" si="4"/>
        <v/>
      </c>
      <c r="H59" s="56"/>
      <c r="I59" s="58" t="str">
        <f t="shared" si="5"/>
        <v/>
      </c>
      <c r="J59" s="56" t="str">
        <f t="shared" si="6"/>
        <v/>
      </c>
      <c r="K59" s="65"/>
    </row>
    <row r="60" spans="1:11" ht="15" customHeight="1" x14ac:dyDescent="0.2">
      <c r="A60" s="60" t="str">
        <f t="shared" si="2"/>
        <v/>
      </c>
      <c r="B60" s="56"/>
      <c r="C60" s="58" t="str">
        <f>IF(B60="","",IFERROR(INDEX('21 2026 ÜRETİM'!$F$2:$F$501,MATCH(B60,'21 2026 ÜRETİM'!$A$2:$A$501,0)),""))</f>
        <v/>
      </c>
      <c r="D60" s="56"/>
      <c r="E60" s="58" t="str">
        <f t="shared" si="3"/>
        <v/>
      </c>
      <c r="F60" s="56"/>
      <c r="G60" s="58" t="str">
        <f t="shared" si="4"/>
        <v/>
      </c>
      <c r="H60" s="56"/>
      <c r="I60" s="58" t="str">
        <f t="shared" si="5"/>
        <v/>
      </c>
      <c r="J60" s="56" t="str">
        <f t="shared" si="6"/>
        <v/>
      </c>
      <c r="K60" s="65"/>
    </row>
    <row r="61" spans="1:11" ht="15" customHeight="1" x14ac:dyDescent="0.2">
      <c r="A61" s="60" t="str">
        <f t="shared" si="2"/>
        <v/>
      </c>
      <c r="B61" s="56"/>
      <c r="C61" s="58" t="str">
        <f>IF(B61="","",IFERROR(INDEX('21 2026 ÜRETİM'!$F$2:$F$501,MATCH(B61,'21 2026 ÜRETİM'!$A$2:$A$501,0)),""))</f>
        <v/>
      </c>
      <c r="D61" s="56"/>
      <c r="E61" s="58" t="str">
        <f t="shared" si="3"/>
        <v/>
      </c>
      <c r="F61" s="56"/>
      <c r="G61" s="58" t="str">
        <f t="shared" si="4"/>
        <v/>
      </c>
      <c r="H61" s="56"/>
      <c r="I61" s="58" t="str">
        <f t="shared" si="5"/>
        <v/>
      </c>
      <c r="J61" s="56" t="str">
        <f t="shared" si="6"/>
        <v/>
      </c>
      <c r="K61" s="65"/>
    </row>
    <row r="62" spans="1:11" ht="15" customHeight="1" x14ac:dyDescent="0.2">
      <c r="A62" s="60" t="str">
        <f t="shared" si="2"/>
        <v/>
      </c>
      <c r="B62" s="56"/>
      <c r="C62" s="58" t="str">
        <f>IF(B62="","",IFERROR(INDEX('21 2026 ÜRETİM'!$F$2:$F$501,MATCH(B62,'21 2026 ÜRETİM'!$A$2:$A$501,0)),""))</f>
        <v/>
      </c>
      <c r="D62" s="56"/>
      <c r="E62" s="58" t="str">
        <f t="shared" si="3"/>
        <v/>
      </c>
      <c r="F62" s="56"/>
      <c r="G62" s="58" t="str">
        <f t="shared" si="4"/>
        <v/>
      </c>
      <c r="H62" s="56"/>
      <c r="I62" s="58" t="str">
        <f t="shared" si="5"/>
        <v/>
      </c>
      <c r="J62" s="56" t="str">
        <f t="shared" si="6"/>
        <v/>
      </c>
      <c r="K62" s="65"/>
    </row>
    <row r="63" spans="1:11" ht="15" customHeight="1" x14ac:dyDescent="0.2">
      <c r="A63" s="60" t="str">
        <f t="shared" si="2"/>
        <v/>
      </c>
      <c r="B63" s="56"/>
      <c r="C63" s="58" t="str">
        <f>IF(B63="","",IFERROR(INDEX('21 2026 ÜRETİM'!$F$2:$F$501,MATCH(B63,'21 2026 ÜRETİM'!$A$2:$A$501,0)),""))</f>
        <v/>
      </c>
      <c r="D63" s="56"/>
      <c r="E63" s="58" t="str">
        <f t="shared" si="3"/>
        <v/>
      </c>
      <c r="F63" s="56"/>
      <c r="G63" s="58" t="str">
        <f t="shared" si="4"/>
        <v/>
      </c>
      <c r="H63" s="56"/>
      <c r="I63" s="58" t="str">
        <f t="shared" si="5"/>
        <v/>
      </c>
      <c r="J63" s="56" t="str">
        <f t="shared" si="6"/>
        <v/>
      </c>
      <c r="K63" s="65"/>
    </row>
    <row r="64" spans="1:11" ht="15" customHeight="1" x14ac:dyDescent="0.2">
      <c r="A64" s="60" t="str">
        <f t="shared" si="2"/>
        <v/>
      </c>
      <c r="B64" s="56"/>
      <c r="C64" s="58" t="str">
        <f>IF(B64="","",IFERROR(INDEX('21 2026 ÜRETİM'!$F$2:$F$501,MATCH(B64,'21 2026 ÜRETİM'!$A$2:$A$501,0)),""))</f>
        <v/>
      </c>
      <c r="D64" s="56"/>
      <c r="E64" s="58" t="str">
        <f t="shared" si="3"/>
        <v/>
      </c>
      <c r="F64" s="56"/>
      <c r="G64" s="58" t="str">
        <f t="shared" si="4"/>
        <v/>
      </c>
      <c r="H64" s="56"/>
      <c r="I64" s="58" t="str">
        <f t="shared" si="5"/>
        <v/>
      </c>
      <c r="J64" s="56" t="str">
        <f t="shared" si="6"/>
        <v/>
      </c>
      <c r="K64" s="65"/>
    </row>
    <row r="65" spans="1:11" ht="15" customHeight="1" x14ac:dyDescent="0.2">
      <c r="A65" s="60" t="str">
        <f t="shared" si="2"/>
        <v/>
      </c>
      <c r="B65" s="56"/>
      <c r="C65" s="58" t="str">
        <f>IF(B65="","",IFERROR(INDEX('21 2026 ÜRETİM'!$F$2:$F$501,MATCH(B65,'21 2026 ÜRETİM'!$A$2:$A$501,0)),""))</f>
        <v/>
      </c>
      <c r="D65" s="56"/>
      <c r="E65" s="58" t="str">
        <f t="shared" si="3"/>
        <v/>
      </c>
      <c r="F65" s="56"/>
      <c r="G65" s="58" t="str">
        <f t="shared" si="4"/>
        <v/>
      </c>
      <c r="H65" s="56"/>
      <c r="I65" s="58" t="str">
        <f t="shared" si="5"/>
        <v/>
      </c>
      <c r="J65" s="56" t="str">
        <f t="shared" si="6"/>
        <v/>
      </c>
      <c r="K65" s="65"/>
    </row>
    <row r="66" spans="1:11" ht="15" customHeight="1" x14ac:dyDescent="0.2">
      <c r="A66" s="60" t="str">
        <f t="shared" si="2"/>
        <v/>
      </c>
      <c r="B66" s="56"/>
      <c r="C66" s="58" t="str">
        <f>IF(B66="","",IFERROR(INDEX('21 2026 ÜRETİM'!$F$2:$F$501,MATCH(B66,'21 2026 ÜRETİM'!$A$2:$A$501,0)),""))</f>
        <v/>
      </c>
      <c r="D66" s="56"/>
      <c r="E66" s="58" t="str">
        <f t="shared" si="3"/>
        <v/>
      </c>
      <c r="F66" s="56"/>
      <c r="G66" s="58" t="str">
        <f t="shared" si="4"/>
        <v/>
      </c>
      <c r="H66" s="56"/>
      <c r="I66" s="58" t="str">
        <f t="shared" si="5"/>
        <v/>
      </c>
      <c r="J66" s="56" t="str">
        <f t="shared" si="6"/>
        <v/>
      </c>
      <c r="K66" s="65"/>
    </row>
    <row r="67" spans="1:11" ht="15" customHeight="1" x14ac:dyDescent="0.2">
      <c r="A67" s="60" t="str">
        <f t="shared" si="2"/>
        <v/>
      </c>
      <c r="B67" s="56"/>
      <c r="C67" s="58" t="str">
        <f>IF(B67="","",IFERROR(INDEX('21 2026 ÜRETİM'!$F$2:$F$501,MATCH(B67,'21 2026 ÜRETİM'!$A$2:$A$501,0)),""))</f>
        <v/>
      </c>
      <c r="D67" s="56"/>
      <c r="E67" s="58" t="str">
        <f t="shared" si="3"/>
        <v/>
      </c>
      <c r="F67" s="56"/>
      <c r="G67" s="58" t="str">
        <f t="shared" si="4"/>
        <v/>
      </c>
      <c r="H67" s="56"/>
      <c r="I67" s="58" t="str">
        <f t="shared" si="5"/>
        <v/>
      </c>
      <c r="J67" s="56" t="str">
        <f t="shared" si="6"/>
        <v/>
      </c>
      <c r="K67" s="65"/>
    </row>
    <row r="68" spans="1:11" ht="15" customHeight="1" x14ac:dyDescent="0.2">
      <c r="A68" s="60" t="str">
        <f t="shared" si="2"/>
        <v/>
      </c>
      <c r="B68" s="56"/>
      <c r="C68" s="58" t="str">
        <f>IF(B68="","",IFERROR(INDEX('21 2026 ÜRETİM'!$F$2:$F$501,MATCH(B68,'21 2026 ÜRETİM'!$A$2:$A$501,0)),""))</f>
        <v/>
      </c>
      <c r="D68" s="56"/>
      <c r="E68" s="58" t="str">
        <f t="shared" si="3"/>
        <v/>
      </c>
      <c r="F68" s="56"/>
      <c r="G68" s="58" t="str">
        <f t="shared" si="4"/>
        <v/>
      </c>
      <c r="H68" s="56"/>
      <c r="I68" s="58" t="str">
        <f t="shared" si="5"/>
        <v/>
      </c>
      <c r="J68" s="56" t="str">
        <f t="shared" si="6"/>
        <v/>
      </c>
      <c r="K68" s="65"/>
    </row>
    <row r="69" spans="1:11" ht="15" customHeight="1" x14ac:dyDescent="0.2">
      <c r="A69" s="60" t="str">
        <f t="shared" si="2"/>
        <v/>
      </c>
      <c r="B69" s="56"/>
      <c r="C69" s="58" t="str">
        <f>IF(B69="","",IFERROR(INDEX('21 2026 ÜRETİM'!$F$2:$F$501,MATCH(B69,'21 2026 ÜRETİM'!$A$2:$A$501,0)),""))</f>
        <v/>
      </c>
      <c r="D69" s="56"/>
      <c r="E69" s="58" t="str">
        <f t="shared" si="3"/>
        <v/>
      </c>
      <c r="F69" s="56"/>
      <c r="G69" s="58" t="str">
        <f t="shared" si="4"/>
        <v/>
      </c>
      <c r="H69" s="56"/>
      <c r="I69" s="58" t="str">
        <f t="shared" si="5"/>
        <v/>
      </c>
      <c r="J69" s="56" t="str">
        <f t="shared" si="6"/>
        <v/>
      </c>
      <c r="K69" s="65"/>
    </row>
    <row r="70" spans="1:11" ht="15" customHeight="1" x14ac:dyDescent="0.2">
      <c r="A70" s="60" t="str">
        <f t="shared" si="2"/>
        <v/>
      </c>
      <c r="B70" s="56"/>
      <c r="C70" s="58" t="str">
        <f>IF(B70="","",IFERROR(INDEX('21 2026 ÜRETİM'!$F$2:$F$501,MATCH(B70,'21 2026 ÜRETİM'!$A$2:$A$501,0)),""))</f>
        <v/>
      </c>
      <c r="D70" s="56"/>
      <c r="E70" s="58" t="str">
        <f t="shared" si="3"/>
        <v/>
      </c>
      <c r="F70" s="56"/>
      <c r="G70" s="58" t="str">
        <f t="shared" si="4"/>
        <v/>
      </c>
      <c r="H70" s="56"/>
      <c r="I70" s="58" t="str">
        <f t="shared" si="5"/>
        <v/>
      </c>
      <c r="J70" s="56" t="str">
        <f t="shared" si="6"/>
        <v/>
      </c>
      <c r="K70" s="65"/>
    </row>
    <row r="71" spans="1:11" ht="15" customHeight="1" x14ac:dyDescent="0.2">
      <c r="A71" s="60" t="str">
        <f t="shared" si="2"/>
        <v/>
      </c>
      <c r="B71" s="56"/>
      <c r="C71" s="58" t="str">
        <f>IF(B71="","",IFERROR(INDEX('21 2026 ÜRETİM'!$F$2:$F$501,MATCH(B71,'21 2026 ÜRETİM'!$A$2:$A$501,0)),""))</f>
        <v/>
      </c>
      <c r="D71" s="56"/>
      <c r="E71" s="58" t="str">
        <f t="shared" si="3"/>
        <v/>
      </c>
      <c r="F71" s="56"/>
      <c r="G71" s="58" t="str">
        <f t="shared" si="4"/>
        <v/>
      </c>
      <c r="H71" s="56"/>
      <c r="I71" s="58" t="str">
        <f t="shared" si="5"/>
        <v/>
      </c>
      <c r="J71" s="56" t="str">
        <f t="shared" si="6"/>
        <v/>
      </c>
      <c r="K71" s="65"/>
    </row>
    <row r="72" spans="1:11" ht="15" customHeight="1" x14ac:dyDescent="0.2">
      <c r="A72" s="60" t="str">
        <f t="shared" si="2"/>
        <v/>
      </c>
      <c r="B72" s="56"/>
      <c r="C72" s="58" t="str">
        <f>IF(B72="","",IFERROR(INDEX('21 2026 ÜRETİM'!$F$2:$F$501,MATCH(B72,'21 2026 ÜRETİM'!$A$2:$A$501,0)),""))</f>
        <v/>
      </c>
      <c r="D72" s="56"/>
      <c r="E72" s="58" t="str">
        <f t="shared" si="3"/>
        <v/>
      </c>
      <c r="F72" s="56"/>
      <c r="G72" s="58" t="str">
        <f t="shared" si="4"/>
        <v/>
      </c>
      <c r="H72" s="56"/>
      <c r="I72" s="58" t="str">
        <f t="shared" si="5"/>
        <v/>
      </c>
      <c r="J72" s="56" t="str">
        <f t="shared" si="6"/>
        <v/>
      </c>
      <c r="K72" s="65"/>
    </row>
    <row r="73" spans="1:11" ht="15" customHeight="1" x14ac:dyDescent="0.2">
      <c r="A73" s="60" t="str">
        <f t="shared" si="2"/>
        <v/>
      </c>
      <c r="B73" s="56"/>
      <c r="C73" s="58" t="str">
        <f>IF(B73="","",IFERROR(INDEX('21 2026 ÜRETİM'!$F$2:$F$501,MATCH(B73,'21 2026 ÜRETİM'!$A$2:$A$501,0)),""))</f>
        <v/>
      </c>
      <c r="D73" s="56"/>
      <c r="E73" s="58" t="str">
        <f t="shared" si="3"/>
        <v/>
      </c>
      <c r="F73" s="56"/>
      <c r="G73" s="58" t="str">
        <f t="shared" si="4"/>
        <v/>
      </c>
      <c r="H73" s="56"/>
      <c r="I73" s="58" t="str">
        <f t="shared" si="5"/>
        <v/>
      </c>
      <c r="J73" s="56" t="str">
        <f t="shared" si="6"/>
        <v/>
      </c>
      <c r="K73" s="65"/>
    </row>
    <row r="74" spans="1:11" ht="15" customHeight="1" x14ac:dyDescent="0.2">
      <c r="A74" s="60" t="str">
        <f t="shared" si="2"/>
        <v/>
      </c>
      <c r="B74" s="56"/>
      <c r="C74" s="58" t="str">
        <f>IF(B74="","",IFERROR(INDEX('21 2026 ÜRETİM'!$F$2:$F$501,MATCH(B74,'21 2026 ÜRETİM'!$A$2:$A$501,0)),""))</f>
        <v/>
      </c>
      <c r="D74" s="56"/>
      <c r="E74" s="58" t="str">
        <f t="shared" si="3"/>
        <v/>
      </c>
      <c r="F74" s="56"/>
      <c r="G74" s="58" t="str">
        <f t="shared" si="4"/>
        <v/>
      </c>
      <c r="H74" s="56"/>
      <c r="I74" s="58" t="str">
        <f t="shared" si="5"/>
        <v/>
      </c>
      <c r="J74" s="56" t="str">
        <f t="shared" si="6"/>
        <v/>
      </c>
      <c r="K74" s="65"/>
    </row>
    <row r="75" spans="1:11" ht="15" customHeight="1" x14ac:dyDescent="0.2">
      <c r="A75" s="60" t="str">
        <f t="shared" si="2"/>
        <v/>
      </c>
      <c r="B75" s="56"/>
      <c r="C75" s="58" t="str">
        <f>IF(B75="","",IFERROR(INDEX('21 2026 ÜRETİM'!$F$2:$F$501,MATCH(B75,'21 2026 ÜRETİM'!$A$2:$A$501,0)),""))</f>
        <v/>
      </c>
      <c r="D75" s="56"/>
      <c r="E75" s="58" t="str">
        <f t="shared" si="3"/>
        <v/>
      </c>
      <c r="F75" s="56"/>
      <c r="G75" s="58" t="str">
        <f t="shared" si="4"/>
        <v/>
      </c>
      <c r="H75" s="56"/>
      <c r="I75" s="58" t="str">
        <f t="shared" si="5"/>
        <v/>
      </c>
      <c r="J75" s="56" t="str">
        <f t="shared" si="6"/>
        <v/>
      </c>
      <c r="K75" s="65"/>
    </row>
    <row r="76" spans="1:11" ht="15" customHeight="1" x14ac:dyDescent="0.2">
      <c r="A76" s="60" t="str">
        <f t="shared" si="2"/>
        <v/>
      </c>
      <c r="B76" s="56"/>
      <c r="C76" s="58" t="str">
        <f>IF(B76="","",IFERROR(INDEX('21 2026 ÜRETİM'!$F$2:$F$501,MATCH(B76,'21 2026 ÜRETİM'!$A$2:$A$501,0)),""))</f>
        <v/>
      </c>
      <c r="D76" s="56"/>
      <c r="E76" s="58" t="str">
        <f t="shared" si="3"/>
        <v/>
      </c>
      <c r="F76" s="56"/>
      <c r="G76" s="58" t="str">
        <f t="shared" si="4"/>
        <v/>
      </c>
      <c r="H76" s="56"/>
      <c r="I76" s="58" t="str">
        <f t="shared" si="5"/>
        <v/>
      </c>
      <c r="J76" s="56" t="str">
        <f t="shared" si="6"/>
        <v/>
      </c>
      <c r="K76" s="65"/>
    </row>
    <row r="77" spans="1:11" ht="15" customHeight="1" x14ac:dyDescent="0.2">
      <c r="A77" s="60" t="str">
        <f t="shared" ref="A77:A140" si="7">IF(B77="","",IFERROR(DATE(RIGHT(B77,4),MID(B77,4,2),LEFT(B77,2))+1,""))</f>
        <v/>
      </c>
      <c r="B77" s="56"/>
      <c r="C77" s="58" t="str">
        <f>IF(B77="","",IFERROR(INDEX('21 2026 ÜRETİM'!$F$2:$F$501,MATCH(B77,'21 2026 ÜRETİM'!$A$2:$A$501,0)),""))</f>
        <v/>
      </c>
      <c r="D77" s="56"/>
      <c r="E77" s="58" t="str">
        <f t="shared" ref="E77:E140" si="8">IF(D77="","",D77*0.5)</f>
        <v/>
      </c>
      <c r="F77" s="56"/>
      <c r="G77" s="58" t="str">
        <f t="shared" ref="G77:G140" si="9">IF(F77="","",F77*2.5)</f>
        <v/>
      </c>
      <c r="H77" s="56"/>
      <c r="I77" s="58" t="str">
        <f t="shared" ref="I77:I140" si="10">IF(C77="","",C77-E77-G77-IF(H77="",0,H77))</f>
        <v/>
      </c>
      <c r="J77" s="56" t="str">
        <f t="shared" ref="J77:J140" si="11">IF(C77="","",IF(ABS(I77)&lt;0.001,"KAPALI","KONTROL"))</f>
        <v/>
      </c>
      <c r="K77" s="65"/>
    </row>
    <row r="78" spans="1:11" ht="15" customHeight="1" x14ac:dyDescent="0.2">
      <c r="A78" s="60" t="str">
        <f t="shared" si="7"/>
        <v/>
      </c>
      <c r="B78" s="56"/>
      <c r="C78" s="58" t="str">
        <f>IF(B78="","",IFERROR(INDEX('21 2026 ÜRETİM'!$F$2:$F$501,MATCH(B78,'21 2026 ÜRETİM'!$A$2:$A$501,0)),""))</f>
        <v/>
      </c>
      <c r="D78" s="56"/>
      <c r="E78" s="58" t="str">
        <f t="shared" si="8"/>
        <v/>
      </c>
      <c r="F78" s="56"/>
      <c r="G78" s="58" t="str">
        <f t="shared" si="9"/>
        <v/>
      </c>
      <c r="H78" s="56"/>
      <c r="I78" s="58" t="str">
        <f t="shared" si="10"/>
        <v/>
      </c>
      <c r="J78" s="56" t="str">
        <f t="shared" si="11"/>
        <v/>
      </c>
      <c r="K78" s="65"/>
    </row>
    <row r="79" spans="1:11" ht="15" customHeight="1" x14ac:dyDescent="0.2">
      <c r="A79" s="60" t="str">
        <f t="shared" si="7"/>
        <v/>
      </c>
      <c r="B79" s="56"/>
      <c r="C79" s="58" t="str">
        <f>IF(B79="","",IFERROR(INDEX('21 2026 ÜRETİM'!$F$2:$F$501,MATCH(B79,'21 2026 ÜRETİM'!$A$2:$A$501,0)),""))</f>
        <v/>
      </c>
      <c r="D79" s="56"/>
      <c r="E79" s="58" t="str">
        <f t="shared" si="8"/>
        <v/>
      </c>
      <c r="F79" s="56"/>
      <c r="G79" s="58" t="str">
        <f t="shared" si="9"/>
        <v/>
      </c>
      <c r="H79" s="56"/>
      <c r="I79" s="58" t="str">
        <f t="shared" si="10"/>
        <v/>
      </c>
      <c r="J79" s="56" t="str">
        <f t="shared" si="11"/>
        <v/>
      </c>
      <c r="K79" s="65"/>
    </row>
    <row r="80" spans="1:11" ht="15" customHeight="1" x14ac:dyDescent="0.2">
      <c r="A80" s="60" t="str">
        <f t="shared" si="7"/>
        <v/>
      </c>
      <c r="B80" s="56"/>
      <c r="C80" s="58" t="str">
        <f>IF(B80="","",IFERROR(INDEX('21 2026 ÜRETİM'!$F$2:$F$501,MATCH(B80,'21 2026 ÜRETİM'!$A$2:$A$501,0)),""))</f>
        <v/>
      </c>
      <c r="D80" s="56"/>
      <c r="E80" s="58" t="str">
        <f t="shared" si="8"/>
        <v/>
      </c>
      <c r="F80" s="56"/>
      <c r="G80" s="58" t="str">
        <f t="shared" si="9"/>
        <v/>
      </c>
      <c r="H80" s="56"/>
      <c r="I80" s="58" t="str">
        <f t="shared" si="10"/>
        <v/>
      </c>
      <c r="J80" s="56" t="str">
        <f t="shared" si="11"/>
        <v/>
      </c>
      <c r="K80" s="65"/>
    </row>
    <row r="81" spans="1:11" ht="15" customHeight="1" x14ac:dyDescent="0.2">
      <c r="A81" s="60" t="str">
        <f t="shared" si="7"/>
        <v/>
      </c>
      <c r="B81" s="56"/>
      <c r="C81" s="58" t="str">
        <f>IF(B81="","",IFERROR(INDEX('21 2026 ÜRETİM'!$F$2:$F$501,MATCH(B81,'21 2026 ÜRETİM'!$A$2:$A$501,0)),""))</f>
        <v/>
      </c>
      <c r="D81" s="56"/>
      <c r="E81" s="58" t="str">
        <f t="shared" si="8"/>
        <v/>
      </c>
      <c r="F81" s="56"/>
      <c r="G81" s="58" t="str">
        <f t="shared" si="9"/>
        <v/>
      </c>
      <c r="H81" s="56"/>
      <c r="I81" s="58" t="str">
        <f t="shared" si="10"/>
        <v/>
      </c>
      <c r="J81" s="56" t="str">
        <f t="shared" si="11"/>
        <v/>
      </c>
      <c r="K81" s="65"/>
    </row>
    <row r="82" spans="1:11" ht="15" customHeight="1" x14ac:dyDescent="0.2">
      <c r="A82" s="60" t="str">
        <f t="shared" si="7"/>
        <v/>
      </c>
      <c r="B82" s="56"/>
      <c r="C82" s="58" t="str">
        <f>IF(B82="","",IFERROR(INDEX('21 2026 ÜRETİM'!$F$2:$F$501,MATCH(B82,'21 2026 ÜRETİM'!$A$2:$A$501,0)),""))</f>
        <v/>
      </c>
      <c r="D82" s="56"/>
      <c r="E82" s="58" t="str">
        <f t="shared" si="8"/>
        <v/>
      </c>
      <c r="F82" s="56"/>
      <c r="G82" s="58" t="str">
        <f t="shared" si="9"/>
        <v/>
      </c>
      <c r="H82" s="56"/>
      <c r="I82" s="58" t="str">
        <f t="shared" si="10"/>
        <v/>
      </c>
      <c r="J82" s="56" t="str">
        <f t="shared" si="11"/>
        <v/>
      </c>
      <c r="K82" s="65"/>
    </row>
    <row r="83" spans="1:11" ht="15" customHeight="1" x14ac:dyDescent="0.2">
      <c r="A83" s="60" t="str">
        <f t="shared" si="7"/>
        <v/>
      </c>
      <c r="B83" s="56"/>
      <c r="C83" s="58" t="str">
        <f>IF(B83="","",IFERROR(INDEX('21 2026 ÜRETİM'!$F$2:$F$501,MATCH(B83,'21 2026 ÜRETİM'!$A$2:$A$501,0)),""))</f>
        <v/>
      </c>
      <c r="D83" s="56"/>
      <c r="E83" s="58" t="str">
        <f t="shared" si="8"/>
        <v/>
      </c>
      <c r="F83" s="56"/>
      <c r="G83" s="58" t="str">
        <f t="shared" si="9"/>
        <v/>
      </c>
      <c r="H83" s="56"/>
      <c r="I83" s="58" t="str">
        <f t="shared" si="10"/>
        <v/>
      </c>
      <c r="J83" s="56" t="str">
        <f t="shared" si="11"/>
        <v/>
      </c>
      <c r="K83" s="65"/>
    </row>
    <row r="84" spans="1:11" ht="15" customHeight="1" x14ac:dyDescent="0.2">
      <c r="A84" s="60" t="str">
        <f t="shared" si="7"/>
        <v/>
      </c>
      <c r="B84" s="56"/>
      <c r="C84" s="58" t="str">
        <f>IF(B84="","",IFERROR(INDEX('21 2026 ÜRETİM'!$F$2:$F$501,MATCH(B84,'21 2026 ÜRETİM'!$A$2:$A$501,0)),""))</f>
        <v/>
      </c>
      <c r="D84" s="56"/>
      <c r="E84" s="58" t="str">
        <f t="shared" si="8"/>
        <v/>
      </c>
      <c r="F84" s="56"/>
      <c r="G84" s="58" t="str">
        <f t="shared" si="9"/>
        <v/>
      </c>
      <c r="H84" s="56"/>
      <c r="I84" s="58" t="str">
        <f t="shared" si="10"/>
        <v/>
      </c>
      <c r="J84" s="56" t="str">
        <f t="shared" si="11"/>
        <v/>
      </c>
      <c r="K84" s="65"/>
    </row>
    <row r="85" spans="1:11" ht="15" customHeight="1" x14ac:dyDescent="0.2">
      <c r="A85" s="60" t="str">
        <f t="shared" si="7"/>
        <v/>
      </c>
      <c r="B85" s="56"/>
      <c r="C85" s="58" t="str">
        <f>IF(B85="","",IFERROR(INDEX('21 2026 ÜRETİM'!$F$2:$F$501,MATCH(B85,'21 2026 ÜRETİM'!$A$2:$A$501,0)),""))</f>
        <v/>
      </c>
      <c r="D85" s="56"/>
      <c r="E85" s="58" t="str">
        <f t="shared" si="8"/>
        <v/>
      </c>
      <c r="F85" s="56"/>
      <c r="G85" s="58" t="str">
        <f t="shared" si="9"/>
        <v/>
      </c>
      <c r="H85" s="56"/>
      <c r="I85" s="58" t="str">
        <f t="shared" si="10"/>
        <v/>
      </c>
      <c r="J85" s="56" t="str">
        <f t="shared" si="11"/>
        <v/>
      </c>
      <c r="K85" s="65"/>
    </row>
    <row r="86" spans="1:11" ht="15" customHeight="1" x14ac:dyDescent="0.2">
      <c r="A86" s="60" t="str">
        <f t="shared" si="7"/>
        <v/>
      </c>
      <c r="B86" s="56"/>
      <c r="C86" s="58" t="str">
        <f>IF(B86="","",IFERROR(INDEX('21 2026 ÜRETİM'!$F$2:$F$501,MATCH(B86,'21 2026 ÜRETİM'!$A$2:$A$501,0)),""))</f>
        <v/>
      </c>
      <c r="D86" s="56"/>
      <c r="E86" s="58" t="str">
        <f t="shared" si="8"/>
        <v/>
      </c>
      <c r="F86" s="56"/>
      <c r="G86" s="58" t="str">
        <f t="shared" si="9"/>
        <v/>
      </c>
      <c r="H86" s="56"/>
      <c r="I86" s="58" t="str">
        <f t="shared" si="10"/>
        <v/>
      </c>
      <c r="J86" s="56" t="str">
        <f t="shared" si="11"/>
        <v/>
      </c>
      <c r="K86" s="65"/>
    </row>
    <row r="87" spans="1:11" ht="15" customHeight="1" x14ac:dyDescent="0.2">
      <c r="A87" s="60" t="str">
        <f t="shared" si="7"/>
        <v/>
      </c>
      <c r="B87" s="56"/>
      <c r="C87" s="58" t="str">
        <f>IF(B87="","",IFERROR(INDEX('21 2026 ÜRETİM'!$F$2:$F$501,MATCH(B87,'21 2026 ÜRETİM'!$A$2:$A$501,0)),""))</f>
        <v/>
      </c>
      <c r="D87" s="56"/>
      <c r="E87" s="58" t="str">
        <f t="shared" si="8"/>
        <v/>
      </c>
      <c r="F87" s="56"/>
      <c r="G87" s="58" t="str">
        <f t="shared" si="9"/>
        <v/>
      </c>
      <c r="H87" s="56"/>
      <c r="I87" s="58" t="str">
        <f t="shared" si="10"/>
        <v/>
      </c>
      <c r="J87" s="56" t="str">
        <f t="shared" si="11"/>
        <v/>
      </c>
      <c r="K87" s="65"/>
    </row>
    <row r="88" spans="1:11" ht="15" customHeight="1" x14ac:dyDescent="0.2">
      <c r="A88" s="60" t="str">
        <f t="shared" si="7"/>
        <v/>
      </c>
      <c r="B88" s="56"/>
      <c r="C88" s="58" t="str">
        <f>IF(B88="","",IFERROR(INDEX('21 2026 ÜRETİM'!$F$2:$F$501,MATCH(B88,'21 2026 ÜRETİM'!$A$2:$A$501,0)),""))</f>
        <v/>
      </c>
      <c r="D88" s="56"/>
      <c r="E88" s="58" t="str">
        <f t="shared" si="8"/>
        <v/>
      </c>
      <c r="F88" s="56"/>
      <c r="G88" s="58" t="str">
        <f t="shared" si="9"/>
        <v/>
      </c>
      <c r="H88" s="56"/>
      <c r="I88" s="58" t="str">
        <f t="shared" si="10"/>
        <v/>
      </c>
      <c r="J88" s="56" t="str">
        <f t="shared" si="11"/>
        <v/>
      </c>
      <c r="K88" s="65"/>
    </row>
    <row r="89" spans="1:11" ht="15" customHeight="1" x14ac:dyDescent="0.2">
      <c r="A89" s="60" t="str">
        <f t="shared" si="7"/>
        <v/>
      </c>
      <c r="B89" s="56"/>
      <c r="C89" s="58" t="str">
        <f>IF(B89="","",IFERROR(INDEX('21 2026 ÜRETİM'!$F$2:$F$501,MATCH(B89,'21 2026 ÜRETİM'!$A$2:$A$501,0)),""))</f>
        <v/>
      </c>
      <c r="D89" s="56"/>
      <c r="E89" s="58" t="str">
        <f t="shared" si="8"/>
        <v/>
      </c>
      <c r="F89" s="56"/>
      <c r="G89" s="58" t="str">
        <f t="shared" si="9"/>
        <v/>
      </c>
      <c r="H89" s="56"/>
      <c r="I89" s="58" t="str">
        <f t="shared" si="10"/>
        <v/>
      </c>
      <c r="J89" s="56" t="str">
        <f t="shared" si="11"/>
        <v/>
      </c>
      <c r="K89" s="65"/>
    </row>
    <row r="90" spans="1:11" ht="15" customHeight="1" x14ac:dyDescent="0.2">
      <c r="A90" s="60" t="str">
        <f t="shared" si="7"/>
        <v/>
      </c>
      <c r="B90" s="56"/>
      <c r="C90" s="58" t="str">
        <f>IF(B90="","",IFERROR(INDEX('21 2026 ÜRETİM'!$F$2:$F$501,MATCH(B90,'21 2026 ÜRETİM'!$A$2:$A$501,0)),""))</f>
        <v/>
      </c>
      <c r="D90" s="56"/>
      <c r="E90" s="58" t="str">
        <f t="shared" si="8"/>
        <v/>
      </c>
      <c r="F90" s="56"/>
      <c r="G90" s="58" t="str">
        <f t="shared" si="9"/>
        <v/>
      </c>
      <c r="H90" s="56"/>
      <c r="I90" s="58" t="str">
        <f t="shared" si="10"/>
        <v/>
      </c>
      <c r="J90" s="56" t="str">
        <f t="shared" si="11"/>
        <v/>
      </c>
      <c r="K90" s="65"/>
    </row>
    <row r="91" spans="1:11" ht="15" customHeight="1" x14ac:dyDescent="0.2">
      <c r="A91" s="60" t="str">
        <f t="shared" si="7"/>
        <v/>
      </c>
      <c r="B91" s="56"/>
      <c r="C91" s="58" t="str">
        <f>IF(B91="","",IFERROR(INDEX('21 2026 ÜRETİM'!$F$2:$F$501,MATCH(B91,'21 2026 ÜRETİM'!$A$2:$A$501,0)),""))</f>
        <v/>
      </c>
      <c r="D91" s="56"/>
      <c r="E91" s="58" t="str">
        <f t="shared" si="8"/>
        <v/>
      </c>
      <c r="F91" s="56"/>
      <c r="G91" s="58" t="str">
        <f t="shared" si="9"/>
        <v/>
      </c>
      <c r="H91" s="56"/>
      <c r="I91" s="58" t="str">
        <f t="shared" si="10"/>
        <v/>
      </c>
      <c r="J91" s="56" t="str">
        <f t="shared" si="11"/>
        <v/>
      </c>
      <c r="K91" s="65"/>
    </row>
    <row r="92" spans="1:11" ht="15" customHeight="1" x14ac:dyDescent="0.2">
      <c r="A92" s="60" t="str">
        <f t="shared" si="7"/>
        <v/>
      </c>
      <c r="B92" s="56"/>
      <c r="C92" s="58" t="str">
        <f>IF(B92="","",IFERROR(INDEX('21 2026 ÜRETİM'!$F$2:$F$501,MATCH(B92,'21 2026 ÜRETİM'!$A$2:$A$501,0)),""))</f>
        <v/>
      </c>
      <c r="D92" s="56"/>
      <c r="E92" s="58" t="str">
        <f t="shared" si="8"/>
        <v/>
      </c>
      <c r="F92" s="56"/>
      <c r="G92" s="58" t="str">
        <f t="shared" si="9"/>
        <v/>
      </c>
      <c r="H92" s="56"/>
      <c r="I92" s="58" t="str">
        <f t="shared" si="10"/>
        <v/>
      </c>
      <c r="J92" s="56" t="str">
        <f t="shared" si="11"/>
        <v/>
      </c>
      <c r="K92" s="65"/>
    </row>
    <row r="93" spans="1:11" ht="15" customHeight="1" x14ac:dyDescent="0.2">
      <c r="A93" s="60" t="str">
        <f t="shared" si="7"/>
        <v/>
      </c>
      <c r="B93" s="56"/>
      <c r="C93" s="58" t="str">
        <f>IF(B93="","",IFERROR(INDEX('21 2026 ÜRETİM'!$F$2:$F$501,MATCH(B93,'21 2026 ÜRETİM'!$A$2:$A$501,0)),""))</f>
        <v/>
      </c>
      <c r="D93" s="56"/>
      <c r="E93" s="58" t="str">
        <f t="shared" si="8"/>
        <v/>
      </c>
      <c r="F93" s="56"/>
      <c r="G93" s="58" t="str">
        <f t="shared" si="9"/>
        <v/>
      </c>
      <c r="H93" s="56"/>
      <c r="I93" s="58" t="str">
        <f t="shared" si="10"/>
        <v/>
      </c>
      <c r="J93" s="56" t="str">
        <f t="shared" si="11"/>
        <v/>
      </c>
      <c r="K93" s="65"/>
    </row>
    <row r="94" spans="1:11" ht="15" customHeight="1" x14ac:dyDescent="0.2">
      <c r="A94" s="60" t="str">
        <f t="shared" si="7"/>
        <v/>
      </c>
      <c r="B94" s="56"/>
      <c r="C94" s="58" t="str">
        <f>IF(B94="","",IFERROR(INDEX('21 2026 ÜRETİM'!$F$2:$F$501,MATCH(B94,'21 2026 ÜRETİM'!$A$2:$A$501,0)),""))</f>
        <v/>
      </c>
      <c r="D94" s="56"/>
      <c r="E94" s="58" t="str">
        <f t="shared" si="8"/>
        <v/>
      </c>
      <c r="F94" s="56"/>
      <c r="G94" s="58" t="str">
        <f t="shared" si="9"/>
        <v/>
      </c>
      <c r="H94" s="56"/>
      <c r="I94" s="58" t="str">
        <f t="shared" si="10"/>
        <v/>
      </c>
      <c r="J94" s="56" t="str">
        <f t="shared" si="11"/>
        <v/>
      </c>
      <c r="K94" s="65"/>
    </row>
    <row r="95" spans="1:11" ht="15" customHeight="1" x14ac:dyDescent="0.2">
      <c r="A95" s="60" t="str">
        <f t="shared" si="7"/>
        <v/>
      </c>
      <c r="B95" s="56"/>
      <c r="C95" s="58" t="str">
        <f>IF(B95="","",IFERROR(INDEX('21 2026 ÜRETİM'!$F$2:$F$501,MATCH(B95,'21 2026 ÜRETİM'!$A$2:$A$501,0)),""))</f>
        <v/>
      </c>
      <c r="D95" s="56"/>
      <c r="E95" s="58" t="str">
        <f t="shared" si="8"/>
        <v/>
      </c>
      <c r="F95" s="56"/>
      <c r="G95" s="58" t="str">
        <f t="shared" si="9"/>
        <v/>
      </c>
      <c r="H95" s="56"/>
      <c r="I95" s="58" t="str">
        <f t="shared" si="10"/>
        <v/>
      </c>
      <c r="J95" s="56" t="str">
        <f t="shared" si="11"/>
        <v/>
      </c>
      <c r="K95" s="65"/>
    </row>
    <row r="96" spans="1:11" ht="15" customHeight="1" x14ac:dyDescent="0.2">
      <c r="A96" s="60" t="str">
        <f t="shared" si="7"/>
        <v/>
      </c>
      <c r="B96" s="56"/>
      <c r="C96" s="58" t="str">
        <f>IF(B96="","",IFERROR(INDEX('21 2026 ÜRETİM'!$F$2:$F$501,MATCH(B96,'21 2026 ÜRETİM'!$A$2:$A$501,0)),""))</f>
        <v/>
      </c>
      <c r="D96" s="56"/>
      <c r="E96" s="58" t="str">
        <f t="shared" si="8"/>
        <v/>
      </c>
      <c r="F96" s="56"/>
      <c r="G96" s="58" t="str">
        <f t="shared" si="9"/>
        <v/>
      </c>
      <c r="H96" s="56"/>
      <c r="I96" s="58" t="str">
        <f t="shared" si="10"/>
        <v/>
      </c>
      <c r="J96" s="56" t="str">
        <f t="shared" si="11"/>
        <v/>
      </c>
      <c r="K96" s="65"/>
    </row>
    <row r="97" spans="1:11" ht="15" customHeight="1" x14ac:dyDescent="0.2">
      <c r="A97" s="60" t="str">
        <f t="shared" si="7"/>
        <v/>
      </c>
      <c r="B97" s="56"/>
      <c r="C97" s="58" t="str">
        <f>IF(B97="","",IFERROR(INDEX('21 2026 ÜRETİM'!$F$2:$F$501,MATCH(B97,'21 2026 ÜRETİM'!$A$2:$A$501,0)),""))</f>
        <v/>
      </c>
      <c r="D97" s="56"/>
      <c r="E97" s="58" t="str">
        <f t="shared" si="8"/>
        <v/>
      </c>
      <c r="F97" s="56"/>
      <c r="G97" s="58" t="str">
        <f t="shared" si="9"/>
        <v/>
      </c>
      <c r="H97" s="56"/>
      <c r="I97" s="58" t="str">
        <f t="shared" si="10"/>
        <v/>
      </c>
      <c r="J97" s="56" t="str">
        <f t="shared" si="11"/>
        <v/>
      </c>
      <c r="K97" s="65"/>
    </row>
    <row r="98" spans="1:11" ht="15" customHeight="1" x14ac:dyDescent="0.2">
      <c r="A98" s="60" t="str">
        <f t="shared" si="7"/>
        <v/>
      </c>
      <c r="B98" s="56"/>
      <c r="C98" s="58" t="str">
        <f>IF(B98="","",IFERROR(INDEX('21 2026 ÜRETİM'!$F$2:$F$501,MATCH(B98,'21 2026 ÜRETİM'!$A$2:$A$501,0)),""))</f>
        <v/>
      </c>
      <c r="D98" s="56"/>
      <c r="E98" s="58" t="str">
        <f t="shared" si="8"/>
        <v/>
      </c>
      <c r="F98" s="56"/>
      <c r="G98" s="58" t="str">
        <f t="shared" si="9"/>
        <v/>
      </c>
      <c r="H98" s="56"/>
      <c r="I98" s="58" t="str">
        <f t="shared" si="10"/>
        <v/>
      </c>
      <c r="J98" s="56" t="str">
        <f t="shared" si="11"/>
        <v/>
      </c>
      <c r="K98" s="65"/>
    </row>
    <row r="99" spans="1:11" ht="15" customHeight="1" x14ac:dyDescent="0.2">
      <c r="A99" s="60" t="str">
        <f t="shared" si="7"/>
        <v/>
      </c>
      <c r="B99" s="56"/>
      <c r="C99" s="58" t="str">
        <f>IF(B99="","",IFERROR(INDEX('21 2026 ÜRETİM'!$F$2:$F$501,MATCH(B99,'21 2026 ÜRETİM'!$A$2:$A$501,0)),""))</f>
        <v/>
      </c>
      <c r="D99" s="56"/>
      <c r="E99" s="58" t="str">
        <f t="shared" si="8"/>
        <v/>
      </c>
      <c r="F99" s="56"/>
      <c r="G99" s="58" t="str">
        <f t="shared" si="9"/>
        <v/>
      </c>
      <c r="H99" s="56"/>
      <c r="I99" s="58" t="str">
        <f t="shared" si="10"/>
        <v/>
      </c>
      <c r="J99" s="56" t="str">
        <f t="shared" si="11"/>
        <v/>
      </c>
      <c r="K99" s="65"/>
    </row>
    <row r="100" spans="1:11" ht="15" customHeight="1" x14ac:dyDescent="0.2">
      <c r="A100" s="60" t="str">
        <f t="shared" si="7"/>
        <v/>
      </c>
      <c r="B100" s="56"/>
      <c r="C100" s="58" t="str">
        <f>IF(B100="","",IFERROR(INDEX('21 2026 ÜRETİM'!$F$2:$F$501,MATCH(B100,'21 2026 ÜRETİM'!$A$2:$A$501,0)),""))</f>
        <v/>
      </c>
      <c r="D100" s="56"/>
      <c r="E100" s="58" t="str">
        <f t="shared" si="8"/>
        <v/>
      </c>
      <c r="F100" s="56"/>
      <c r="G100" s="58" t="str">
        <f t="shared" si="9"/>
        <v/>
      </c>
      <c r="H100" s="56"/>
      <c r="I100" s="58" t="str">
        <f t="shared" si="10"/>
        <v/>
      </c>
      <c r="J100" s="56" t="str">
        <f t="shared" si="11"/>
        <v/>
      </c>
      <c r="K100" s="65"/>
    </row>
    <row r="101" spans="1:11" ht="15" customHeight="1" x14ac:dyDescent="0.2">
      <c r="A101" s="60" t="str">
        <f t="shared" si="7"/>
        <v/>
      </c>
      <c r="B101" s="56"/>
      <c r="C101" s="58" t="str">
        <f>IF(B101="","",IFERROR(INDEX('21 2026 ÜRETİM'!$F$2:$F$501,MATCH(B101,'21 2026 ÜRETİM'!$A$2:$A$501,0)),""))</f>
        <v/>
      </c>
      <c r="D101" s="56"/>
      <c r="E101" s="58" t="str">
        <f t="shared" si="8"/>
        <v/>
      </c>
      <c r="F101" s="56"/>
      <c r="G101" s="58" t="str">
        <f t="shared" si="9"/>
        <v/>
      </c>
      <c r="H101" s="56"/>
      <c r="I101" s="58" t="str">
        <f t="shared" si="10"/>
        <v/>
      </c>
      <c r="J101" s="56" t="str">
        <f t="shared" si="11"/>
        <v/>
      </c>
      <c r="K101" s="65"/>
    </row>
    <row r="102" spans="1:11" ht="15" customHeight="1" x14ac:dyDescent="0.2">
      <c r="A102" s="60" t="str">
        <f t="shared" si="7"/>
        <v/>
      </c>
      <c r="B102" s="56"/>
      <c r="C102" s="58" t="str">
        <f>IF(B102="","",IFERROR(INDEX('21 2026 ÜRETİM'!$F$2:$F$501,MATCH(B102,'21 2026 ÜRETİM'!$A$2:$A$501,0)),""))</f>
        <v/>
      </c>
      <c r="D102" s="56"/>
      <c r="E102" s="58" t="str">
        <f t="shared" si="8"/>
        <v/>
      </c>
      <c r="F102" s="56"/>
      <c r="G102" s="58" t="str">
        <f t="shared" si="9"/>
        <v/>
      </c>
      <c r="H102" s="56"/>
      <c r="I102" s="58" t="str">
        <f t="shared" si="10"/>
        <v/>
      </c>
      <c r="J102" s="56" t="str">
        <f t="shared" si="11"/>
        <v/>
      </c>
      <c r="K102" s="65"/>
    </row>
    <row r="103" spans="1:11" ht="15" customHeight="1" x14ac:dyDescent="0.2">
      <c r="A103" s="60" t="str">
        <f t="shared" si="7"/>
        <v/>
      </c>
      <c r="B103" s="56"/>
      <c r="C103" s="58" t="str">
        <f>IF(B103="","",IFERROR(INDEX('21 2026 ÜRETİM'!$F$2:$F$501,MATCH(B103,'21 2026 ÜRETİM'!$A$2:$A$501,0)),""))</f>
        <v/>
      </c>
      <c r="D103" s="56"/>
      <c r="E103" s="58" t="str">
        <f t="shared" si="8"/>
        <v/>
      </c>
      <c r="F103" s="56"/>
      <c r="G103" s="58" t="str">
        <f t="shared" si="9"/>
        <v/>
      </c>
      <c r="H103" s="56"/>
      <c r="I103" s="58" t="str">
        <f t="shared" si="10"/>
        <v/>
      </c>
      <c r="J103" s="56" t="str">
        <f t="shared" si="11"/>
        <v/>
      </c>
      <c r="K103" s="65"/>
    </row>
    <row r="104" spans="1:11" ht="15" customHeight="1" x14ac:dyDescent="0.2">
      <c r="A104" s="60" t="str">
        <f t="shared" si="7"/>
        <v/>
      </c>
      <c r="B104" s="56"/>
      <c r="C104" s="58" t="str">
        <f>IF(B104="","",IFERROR(INDEX('21 2026 ÜRETİM'!$F$2:$F$501,MATCH(B104,'21 2026 ÜRETİM'!$A$2:$A$501,0)),""))</f>
        <v/>
      </c>
      <c r="D104" s="56"/>
      <c r="E104" s="58" t="str">
        <f t="shared" si="8"/>
        <v/>
      </c>
      <c r="F104" s="56"/>
      <c r="G104" s="58" t="str">
        <f t="shared" si="9"/>
        <v/>
      </c>
      <c r="H104" s="56"/>
      <c r="I104" s="58" t="str">
        <f t="shared" si="10"/>
        <v/>
      </c>
      <c r="J104" s="56" t="str">
        <f t="shared" si="11"/>
        <v/>
      </c>
      <c r="K104" s="65"/>
    </row>
    <row r="105" spans="1:11" ht="15" customHeight="1" x14ac:dyDescent="0.2">
      <c r="A105" s="60" t="str">
        <f t="shared" si="7"/>
        <v/>
      </c>
      <c r="B105" s="56"/>
      <c r="C105" s="58" t="str">
        <f>IF(B105="","",IFERROR(INDEX('21 2026 ÜRETİM'!$F$2:$F$501,MATCH(B105,'21 2026 ÜRETİM'!$A$2:$A$501,0)),""))</f>
        <v/>
      </c>
      <c r="D105" s="56"/>
      <c r="E105" s="58" t="str">
        <f t="shared" si="8"/>
        <v/>
      </c>
      <c r="F105" s="56"/>
      <c r="G105" s="58" t="str">
        <f t="shared" si="9"/>
        <v/>
      </c>
      <c r="H105" s="56"/>
      <c r="I105" s="58" t="str">
        <f t="shared" si="10"/>
        <v/>
      </c>
      <c r="J105" s="56" t="str">
        <f t="shared" si="11"/>
        <v/>
      </c>
      <c r="K105" s="65"/>
    </row>
    <row r="106" spans="1:11" ht="15" customHeight="1" x14ac:dyDescent="0.2">
      <c r="A106" s="60" t="str">
        <f t="shared" si="7"/>
        <v/>
      </c>
      <c r="B106" s="56"/>
      <c r="C106" s="58" t="str">
        <f>IF(B106="","",IFERROR(INDEX('21 2026 ÜRETİM'!$F$2:$F$501,MATCH(B106,'21 2026 ÜRETİM'!$A$2:$A$501,0)),""))</f>
        <v/>
      </c>
      <c r="D106" s="56"/>
      <c r="E106" s="58" t="str">
        <f t="shared" si="8"/>
        <v/>
      </c>
      <c r="F106" s="56"/>
      <c r="G106" s="58" t="str">
        <f t="shared" si="9"/>
        <v/>
      </c>
      <c r="H106" s="56"/>
      <c r="I106" s="58" t="str">
        <f t="shared" si="10"/>
        <v/>
      </c>
      <c r="J106" s="56" t="str">
        <f t="shared" si="11"/>
        <v/>
      </c>
      <c r="K106" s="65"/>
    </row>
    <row r="107" spans="1:11" ht="15" customHeight="1" x14ac:dyDescent="0.2">
      <c r="A107" s="60" t="str">
        <f t="shared" si="7"/>
        <v/>
      </c>
      <c r="B107" s="56"/>
      <c r="C107" s="58" t="str">
        <f>IF(B107="","",IFERROR(INDEX('21 2026 ÜRETİM'!$F$2:$F$501,MATCH(B107,'21 2026 ÜRETİM'!$A$2:$A$501,0)),""))</f>
        <v/>
      </c>
      <c r="D107" s="56"/>
      <c r="E107" s="58" t="str">
        <f t="shared" si="8"/>
        <v/>
      </c>
      <c r="F107" s="56"/>
      <c r="G107" s="58" t="str">
        <f t="shared" si="9"/>
        <v/>
      </c>
      <c r="H107" s="56"/>
      <c r="I107" s="58" t="str">
        <f t="shared" si="10"/>
        <v/>
      </c>
      <c r="J107" s="56" t="str">
        <f t="shared" si="11"/>
        <v/>
      </c>
      <c r="K107" s="65"/>
    </row>
    <row r="108" spans="1:11" ht="15" customHeight="1" x14ac:dyDescent="0.2">
      <c r="A108" s="60" t="str">
        <f t="shared" si="7"/>
        <v/>
      </c>
      <c r="B108" s="56"/>
      <c r="C108" s="58" t="str">
        <f>IF(B108="","",IFERROR(INDEX('21 2026 ÜRETİM'!$F$2:$F$501,MATCH(B108,'21 2026 ÜRETİM'!$A$2:$A$501,0)),""))</f>
        <v/>
      </c>
      <c r="D108" s="56"/>
      <c r="E108" s="58" t="str">
        <f t="shared" si="8"/>
        <v/>
      </c>
      <c r="F108" s="56"/>
      <c r="G108" s="58" t="str">
        <f t="shared" si="9"/>
        <v/>
      </c>
      <c r="H108" s="56"/>
      <c r="I108" s="58" t="str">
        <f t="shared" si="10"/>
        <v/>
      </c>
      <c r="J108" s="56" t="str">
        <f t="shared" si="11"/>
        <v/>
      </c>
      <c r="K108" s="65"/>
    </row>
    <row r="109" spans="1:11" ht="15" customHeight="1" x14ac:dyDescent="0.2">
      <c r="A109" s="60" t="str">
        <f t="shared" si="7"/>
        <v/>
      </c>
      <c r="B109" s="56"/>
      <c r="C109" s="58" t="str">
        <f>IF(B109="","",IFERROR(INDEX('21 2026 ÜRETİM'!$F$2:$F$501,MATCH(B109,'21 2026 ÜRETİM'!$A$2:$A$501,0)),""))</f>
        <v/>
      </c>
      <c r="D109" s="56"/>
      <c r="E109" s="58" t="str">
        <f t="shared" si="8"/>
        <v/>
      </c>
      <c r="F109" s="56"/>
      <c r="G109" s="58" t="str">
        <f t="shared" si="9"/>
        <v/>
      </c>
      <c r="H109" s="56"/>
      <c r="I109" s="58" t="str">
        <f t="shared" si="10"/>
        <v/>
      </c>
      <c r="J109" s="56" t="str">
        <f t="shared" si="11"/>
        <v/>
      </c>
      <c r="K109" s="65"/>
    </row>
    <row r="110" spans="1:11" ht="15" customHeight="1" x14ac:dyDescent="0.2">
      <c r="A110" s="60" t="str">
        <f t="shared" si="7"/>
        <v/>
      </c>
      <c r="B110" s="56"/>
      <c r="C110" s="58" t="str">
        <f>IF(B110="","",IFERROR(INDEX('21 2026 ÜRETİM'!$F$2:$F$501,MATCH(B110,'21 2026 ÜRETİM'!$A$2:$A$501,0)),""))</f>
        <v/>
      </c>
      <c r="D110" s="56"/>
      <c r="E110" s="58" t="str">
        <f t="shared" si="8"/>
        <v/>
      </c>
      <c r="F110" s="56"/>
      <c r="G110" s="58" t="str">
        <f t="shared" si="9"/>
        <v/>
      </c>
      <c r="H110" s="56"/>
      <c r="I110" s="58" t="str">
        <f t="shared" si="10"/>
        <v/>
      </c>
      <c r="J110" s="56" t="str">
        <f t="shared" si="11"/>
        <v/>
      </c>
      <c r="K110" s="65"/>
    </row>
    <row r="111" spans="1:11" ht="15" customHeight="1" x14ac:dyDescent="0.2">
      <c r="A111" s="60" t="str">
        <f t="shared" si="7"/>
        <v/>
      </c>
      <c r="B111" s="56"/>
      <c r="C111" s="58" t="str">
        <f>IF(B111="","",IFERROR(INDEX('21 2026 ÜRETİM'!$F$2:$F$501,MATCH(B111,'21 2026 ÜRETİM'!$A$2:$A$501,0)),""))</f>
        <v/>
      </c>
      <c r="D111" s="56"/>
      <c r="E111" s="58" t="str">
        <f t="shared" si="8"/>
        <v/>
      </c>
      <c r="F111" s="56"/>
      <c r="G111" s="58" t="str">
        <f t="shared" si="9"/>
        <v/>
      </c>
      <c r="H111" s="56"/>
      <c r="I111" s="58" t="str">
        <f t="shared" si="10"/>
        <v/>
      </c>
      <c r="J111" s="56" t="str">
        <f t="shared" si="11"/>
        <v/>
      </c>
      <c r="K111" s="65"/>
    </row>
    <row r="112" spans="1:11" ht="15" customHeight="1" x14ac:dyDescent="0.2">
      <c r="A112" s="60" t="str">
        <f t="shared" si="7"/>
        <v/>
      </c>
      <c r="B112" s="56"/>
      <c r="C112" s="58" t="str">
        <f>IF(B112="","",IFERROR(INDEX('21 2026 ÜRETİM'!$F$2:$F$501,MATCH(B112,'21 2026 ÜRETİM'!$A$2:$A$501,0)),""))</f>
        <v/>
      </c>
      <c r="D112" s="56"/>
      <c r="E112" s="58" t="str">
        <f t="shared" si="8"/>
        <v/>
      </c>
      <c r="F112" s="56"/>
      <c r="G112" s="58" t="str">
        <f t="shared" si="9"/>
        <v/>
      </c>
      <c r="H112" s="56"/>
      <c r="I112" s="58" t="str">
        <f t="shared" si="10"/>
        <v/>
      </c>
      <c r="J112" s="56" t="str">
        <f t="shared" si="11"/>
        <v/>
      </c>
      <c r="K112" s="65"/>
    </row>
    <row r="113" spans="1:11" ht="15" customHeight="1" x14ac:dyDescent="0.2">
      <c r="A113" s="60" t="str">
        <f t="shared" si="7"/>
        <v/>
      </c>
      <c r="B113" s="56"/>
      <c r="C113" s="58" t="str">
        <f>IF(B113="","",IFERROR(INDEX('21 2026 ÜRETİM'!$F$2:$F$501,MATCH(B113,'21 2026 ÜRETİM'!$A$2:$A$501,0)),""))</f>
        <v/>
      </c>
      <c r="D113" s="56"/>
      <c r="E113" s="58" t="str">
        <f t="shared" si="8"/>
        <v/>
      </c>
      <c r="F113" s="56"/>
      <c r="G113" s="58" t="str">
        <f t="shared" si="9"/>
        <v/>
      </c>
      <c r="H113" s="56"/>
      <c r="I113" s="58" t="str">
        <f t="shared" si="10"/>
        <v/>
      </c>
      <c r="J113" s="56" t="str">
        <f t="shared" si="11"/>
        <v/>
      </c>
      <c r="K113" s="65"/>
    </row>
    <row r="114" spans="1:11" ht="15" customHeight="1" x14ac:dyDescent="0.2">
      <c r="A114" s="60" t="str">
        <f t="shared" si="7"/>
        <v/>
      </c>
      <c r="B114" s="56"/>
      <c r="C114" s="58" t="str">
        <f>IF(B114="","",IFERROR(INDEX('21 2026 ÜRETİM'!$F$2:$F$501,MATCH(B114,'21 2026 ÜRETİM'!$A$2:$A$501,0)),""))</f>
        <v/>
      </c>
      <c r="D114" s="56"/>
      <c r="E114" s="58" t="str">
        <f t="shared" si="8"/>
        <v/>
      </c>
      <c r="F114" s="56"/>
      <c r="G114" s="58" t="str">
        <f t="shared" si="9"/>
        <v/>
      </c>
      <c r="H114" s="56"/>
      <c r="I114" s="58" t="str">
        <f t="shared" si="10"/>
        <v/>
      </c>
      <c r="J114" s="56" t="str">
        <f t="shared" si="11"/>
        <v/>
      </c>
      <c r="K114" s="65"/>
    </row>
    <row r="115" spans="1:11" ht="15" customHeight="1" x14ac:dyDescent="0.2">
      <c r="A115" s="60" t="str">
        <f t="shared" si="7"/>
        <v/>
      </c>
      <c r="B115" s="56"/>
      <c r="C115" s="58" t="str">
        <f>IF(B115="","",IFERROR(INDEX('21 2026 ÜRETİM'!$F$2:$F$501,MATCH(B115,'21 2026 ÜRETİM'!$A$2:$A$501,0)),""))</f>
        <v/>
      </c>
      <c r="D115" s="56"/>
      <c r="E115" s="58" t="str">
        <f t="shared" si="8"/>
        <v/>
      </c>
      <c r="F115" s="56"/>
      <c r="G115" s="58" t="str">
        <f t="shared" si="9"/>
        <v/>
      </c>
      <c r="H115" s="56"/>
      <c r="I115" s="58" t="str">
        <f t="shared" si="10"/>
        <v/>
      </c>
      <c r="J115" s="56" t="str">
        <f t="shared" si="11"/>
        <v/>
      </c>
      <c r="K115" s="65"/>
    </row>
    <row r="116" spans="1:11" ht="15" customHeight="1" x14ac:dyDescent="0.2">
      <c r="A116" s="60" t="str">
        <f t="shared" si="7"/>
        <v/>
      </c>
      <c r="B116" s="56"/>
      <c r="C116" s="58" t="str">
        <f>IF(B116="","",IFERROR(INDEX('21 2026 ÜRETİM'!$F$2:$F$501,MATCH(B116,'21 2026 ÜRETİM'!$A$2:$A$501,0)),""))</f>
        <v/>
      </c>
      <c r="D116" s="56"/>
      <c r="E116" s="58" t="str">
        <f t="shared" si="8"/>
        <v/>
      </c>
      <c r="F116" s="56"/>
      <c r="G116" s="58" t="str">
        <f t="shared" si="9"/>
        <v/>
      </c>
      <c r="H116" s="56"/>
      <c r="I116" s="58" t="str">
        <f t="shared" si="10"/>
        <v/>
      </c>
      <c r="J116" s="56" t="str">
        <f t="shared" si="11"/>
        <v/>
      </c>
      <c r="K116" s="65"/>
    </row>
    <row r="117" spans="1:11" ht="15" customHeight="1" x14ac:dyDescent="0.2">
      <c r="A117" s="60" t="str">
        <f t="shared" si="7"/>
        <v/>
      </c>
      <c r="B117" s="56"/>
      <c r="C117" s="58" t="str">
        <f>IF(B117="","",IFERROR(INDEX('21 2026 ÜRETİM'!$F$2:$F$501,MATCH(B117,'21 2026 ÜRETİM'!$A$2:$A$501,0)),""))</f>
        <v/>
      </c>
      <c r="D117" s="56"/>
      <c r="E117" s="58" t="str">
        <f t="shared" si="8"/>
        <v/>
      </c>
      <c r="F117" s="56"/>
      <c r="G117" s="58" t="str">
        <f t="shared" si="9"/>
        <v/>
      </c>
      <c r="H117" s="56"/>
      <c r="I117" s="58" t="str">
        <f t="shared" si="10"/>
        <v/>
      </c>
      <c r="J117" s="56" t="str">
        <f t="shared" si="11"/>
        <v/>
      </c>
      <c r="K117" s="65"/>
    </row>
    <row r="118" spans="1:11" ht="15" customHeight="1" x14ac:dyDescent="0.2">
      <c r="A118" s="60" t="str">
        <f t="shared" si="7"/>
        <v/>
      </c>
      <c r="B118" s="56"/>
      <c r="C118" s="58" t="str">
        <f>IF(B118="","",IFERROR(INDEX('21 2026 ÜRETİM'!$F$2:$F$501,MATCH(B118,'21 2026 ÜRETİM'!$A$2:$A$501,0)),""))</f>
        <v/>
      </c>
      <c r="D118" s="56"/>
      <c r="E118" s="58" t="str">
        <f t="shared" si="8"/>
        <v/>
      </c>
      <c r="F118" s="56"/>
      <c r="G118" s="58" t="str">
        <f t="shared" si="9"/>
        <v/>
      </c>
      <c r="H118" s="56"/>
      <c r="I118" s="58" t="str">
        <f t="shared" si="10"/>
        <v/>
      </c>
      <c r="J118" s="56" t="str">
        <f t="shared" si="11"/>
        <v/>
      </c>
      <c r="K118" s="65"/>
    </row>
    <row r="119" spans="1:11" ht="15" customHeight="1" x14ac:dyDescent="0.2">
      <c r="A119" s="60" t="str">
        <f t="shared" si="7"/>
        <v/>
      </c>
      <c r="B119" s="56"/>
      <c r="C119" s="58" t="str">
        <f>IF(B119="","",IFERROR(INDEX('21 2026 ÜRETİM'!$F$2:$F$501,MATCH(B119,'21 2026 ÜRETİM'!$A$2:$A$501,0)),""))</f>
        <v/>
      </c>
      <c r="D119" s="56"/>
      <c r="E119" s="58" t="str">
        <f t="shared" si="8"/>
        <v/>
      </c>
      <c r="F119" s="56"/>
      <c r="G119" s="58" t="str">
        <f t="shared" si="9"/>
        <v/>
      </c>
      <c r="H119" s="56"/>
      <c r="I119" s="58" t="str">
        <f t="shared" si="10"/>
        <v/>
      </c>
      <c r="J119" s="56" t="str">
        <f t="shared" si="11"/>
        <v/>
      </c>
      <c r="K119" s="65"/>
    </row>
    <row r="120" spans="1:11" ht="15" customHeight="1" x14ac:dyDescent="0.2">
      <c r="A120" s="60" t="str">
        <f t="shared" si="7"/>
        <v/>
      </c>
      <c r="B120" s="56"/>
      <c r="C120" s="58" t="str">
        <f>IF(B120="","",IFERROR(INDEX('21 2026 ÜRETİM'!$F$2:$F$501,MATCH(B120,'21 2026 ÜRETİM'!$A$2:$A$501,0)),""))</f>
        <v/>
      </c>
      <c r="D120" s="56"/>
      <c r="E120" s="58" t="str">
        <f t="shared" si="8"/>
        <v/>
      </c>
      <c r="F120" s="56"/>
      <c r="G120" s="58" t="str">
        <f t="shared" si="9"/>
        <v/>
      </c>
      <c r="H120" s="56"/>
      <c r="I120" s="58" t="str">
        <f t="shared" si="10"/>
        <v/>
      </c>
      <c r="J120" s="56" t="str">
        <f t="shared" si="11"/>
        <v/>
      </c>
      <c r="K120" s="65"/>
    </row>
    <row r="121" spans="1:11" ht="15" customHeight="1" x14ac:dyDescent="0.2">
      <c r="A121" s="60" t="str">
        <f t="shared" si="7"/>
        <v/>
      </c>
      <c r="B121" s="56"/>
      <c r="C121" s="58" t="str">
        <f>IF(B121="","",IFERROR(INDEX('21 2026 ÜRETİM'!$F$2:$F$501,MATCH(B121,'21 2026 ÜRETİM'!$A$2:$A$501,0)),""))</f>
        <v/>
      </c>
      <c r="D121" s="56"/>
      <c r="E121" s="58" t="str">
        <f t="shared" si="8"/>
        <v/>
      </c>
      <c r="F121" s="56"/>
      <c r="G121" s="58" t="str">
        <f t="shared" si="9"/>
        <v/>
      </c>
      <c r="H121" s="56"/>
      <c r="I121" s="58" t="str">
        <f t="shared" si="10"/>
        <v/>
      </c>
      <c r="J121" s="56" t="str">
        <f t="shared" si="11"/>
        <v/>
      </c>
      <c r="K121" s="65"/>
    </row>
    <row r="122" spans="1:11" ht="15" customHeight="1" x14ac:dyDescent="0.2">
      <c r="A122" s="60" t="str">
        <f t="shared" si="7"/>
        <v/>
      </c>
      <c r="B122" s="56"/>
      <c r="C122" s="58" t="str">
        <f>IF(B122="","",IFERROR(INDEX('21 2026 ÜRETİM'!$F$2:$F$501,MATCH(B122,'21 2026 ÜRETİM'!$A$2:$A$501,0)),""))</f>
        <v/>
      </c>
      <c r="D122" s="56"/>
      <c r="E122" s="58" t="str">
        <f t="shared" si="8"/>
        <v/>
      </c>
      <c r="F122" s="56"/>
      <c r="G122" s="58" t="str">
        <f t="shared" si="9"/>
        <v/>
      </c>
      <c r="H122" s="56"/>
      <c r="I122" s="58" t="str">
        <f t="shared" si="10"/>
        <v/>
      </c>
      <c r="J122" s="56" t="str">
        <f t="shared" si="11"/>
        <v/>
      </c>
      <c r="K122" s="65"/>
    </row>
    <row r="123" spans="1:11" ht="15" customHeight="1" x14ac:dyDescent="0.2">
      <c r="A123" s="60" t="str">
        <f t="shared" si="7"/>
        <v/>
      </c>
      <c r="B123" s="56"/>
      <c r="C123" s="58" t="str">
        <f>IF(B123="","",IFERROR(INDEX('21 2026 ÜRETİM'!$F$2:$F$501,MATCH(B123,'21 2026 ÜRETİM'!$A$2:$A$501,0)),""))</f>
        <v/>
      </c>
      <c r="D123" s="56"/>
      <c r="E123" s="58" t="str">
        <f t="shared" si="8"/>
        <v/>
      </c>
      <c r="F123" s="56"/>
      <c r="G123" s="58" t="str">
        <f t="shared" si="9"/>
        <v/>
      </c>
      <c r="H123" s="56"/>
      <c r="I123" s="58" t="str">
        <f t="shared" si="10"/>
        <v/>
      </c>
      <c r="J123" s="56" t="str">
        <f t="shared" si="11"/>
        <v/>
      </c>
      <c r="K123" s="65"/>
    </row>
    <row r="124" spans="1:11" ht="15" customHeight="1" x14ac:dyDescent="0.2">
      <c r="A124" s="60" t="str">
        <f t="shared" si="7"/>
        <v/>
      </c>
      <c r="B124" s="56"/>
      <c r="C124" s="58" t="str">
        <f>IF(B124="","",IFERROR(INDEX('21 2026 ÜRETİM'!$F$2:$F$501,MATCH(B124,'21 2026 ÜRETİM'!$A$2:$A$501,0)),""))</f>
        <v/>
      </c>
      <c r="D124" s="56"/>
      <c r="E124" s="58" t="str">
        <f t="shared" si="8"/>
        <v/>
      </c>
      <c r="F124" s="56"/>
      <c r="G124" s="58" t="str">
        <f t="shared" si="9"/>
        <v/>
      </c>
      <c r="H124" s="56"/>
      <c r="I124" s="58" t="str">
        <f t="shared" si="10"/>
        <v/>
      </c>
      <c r="J124" s="56" t="str">
        <f t="shared" si="11"/>
        <v/>
      </c>
      <c r="K124" s="65"/>
    </row>
    <row r="125" spans="1:11" ht="15" customHeight="1" x14ac:dyDescent="0.2">
      <c r="A125" s="60" t="str">
        <f t="shared" si="7"/>
        <v/>
      </c>
      <c r="B125" s="56"/>
      <c r="C125" s="58" t="str">
        <f>IF(B125="","",IFERROR(INDEX('21 2026 ÜRETİM'!$F$2:$F$501,MATCH(B125,'21 2026 ÜRETİM'!$A$2:$A$501,0)),""))</f>
        <v/>
      </c>
      <c r="D125" s="56"/>
      <c r="E125" s="58" t="str">
        <f t="shared" si="8"/>
        <v/>
      </c>
      <c r="F125" s="56"/>
      <c r="G125" s="58" t="str">
        <f t="shared" si="9"/>
        <v/>
      </c>
      <c r="H125" s="56"/>
      <c r="I125" s="58" t="str">
        <f t="shared" si="10"/>
        <v/>
      </c>
      <c r="J125" s="56" t="str">
        <f t="shared" si="11"/>
        <v/>
      </c>
      <c r="K125" s="65"/>
    </row>
    <row r="126" spans="1:11" ht="15" customHeight="1" x14ac:dyDescent="0.2">
      <c r="A126" s="60" t="str">
        <f t="shared" si="7"/>
        <v/>
      </c>
      <c r="B126" s="56"/>
      <c r="C126" s="58" t="str">
        <f>IF(B126="","",IFERROR(INDEX('21 2026 ÜRETİM'!$F$2:$F$501,MATCH(B126,'21 2026 ÜRETİM'!$A$2:$A$501,0)),""))</f>
        <v/>
      </c>
      <c r="D126" s="56"/>
      <c r="E126" s="58" t="str">
        <f t="shared" si="8"/>
        <v/>
      </c>
      <c r="F126" s="56"/>
      <c r="G126" s="58" t="str">
        <f t="shared" si="9"/>
        <v/>
      </c>
      <c r="H126" s="56"/>
      <c r="I126" s="58" t="str">
        <f t="shared" si="10"/>
        <v/>
      </c>
      <c r="J126" s="56" t="str">
        <f t="shared" si="11"/>
        <v/>
      </c>
      <c r="K126" s="65"/>
    </row>
    <row r="127" spans="1:11" ht="15" customHeight="1" x14ac:dyDescent="0.2">
      <c r="A127" s="60" t="str">
        <f t="shared" si="7"/>
        <v/>
      </c>
      <c r="B127" s="56"/>
      <c r="C127" s="58" t="str">
        <f>IF(B127="","",IFERROR(INDEX('21 2026 ÜRETİM'!$F$2:$F$501,MATCH(B127,'21 2026 ÜRETİM'!$A$2:$A$501,0)),""))</f>
        <v/>
      </c>
      <c r="D127" s="56"/>
      <c r="E127" s="58" t="str">
        <f t="shared" si="8"/>
        <v/>
      </c>
      <c r="F127" s="56"/>
      <c r="G127" s="58" t="str">
        <f t="shared" si="9"/>
        <v/>
      </c>
      <c r="H127" s="56"/>
      <c r="I127" s="58" t="str">
        <f t="shared" si="10"/>
        <v/>
      </c>
      <c r="J127" s="56" t="str">
        <f t="shared" si="11"/>
        <v/>
      </c>
      <c r="K127" s="65"/>
    </row>
    <row r="128" spans="1:11" ht="15" customHeight="1" x14ac:dyDescent="0.2">
      <c r="A128" s="60" t="str">
        <f t="shared" si="7"/>
        <v/>
      </c>
      <c r="B128" s="56"/>
      <c r="C128" s="58" t="str">
        <f>IF(B128="","",IFERROR(INDEX('21 2026 ÜRETİM'!$F$2:$F$501,MATCH(B128,'21 2026 ÜRETİM'!$A$2:$A$501,0)),""))</f>
        <v/>
      </c>
      <c r="D128" s="56"/>
      <c r="E128" s="58" t="str">
        <f t="shared" si="8"/>
        <v/>
      </c>
      <c r="F128" s="56"/>
      <c r="G128" s="58" t="str">
        <f t="shared" si="9"/>
        <v/>
      </c>
      <c r="H128" s="56"/>
      <c r="I128" s="58" t="str">
        <f t="shared" si="10"/>
        <v/>
      </c>
      <c r="J128" s="56" t="str">
        <f t="shared" si="11"/>
        <v/>
      </c>
      <c r="K128" s="65"/>
    </row>
    <row r="129" spans="1:11" ht="15" customHeight="1" x14ac:dyDescent="0.2">
      <c r="A129" s="60" t="str">
        <f t="shared" si="7"/>
        <v/>
      </c>
      <c r="B129" s="56"/>
      <c r="C129" s="58" t="str">
        <f>IF(B129="","",IFERROR(INDEX('21 2026 ÜRETİM'!$F$2:$F$501,MATCH(B129,'21 2026 ÜRETİM'!$A$2:$A$501,0)),""))</f>
        <v/>
      </c>
      <c r="D129" s="56"/>
      <c r="E129" s="58" t="str">
        <f t="shared" si="8"/>
        <v/>
      </c>
      <c r="F129" s="56"/>
      <c r="G129" s="58" t="str">
        <f t="shared" si="9"/>
        <v/>
      </c>
      <c r="H129" s="56"/>
      <c r="I129" s="58" t="str">
        <f t="shared" si="10"/>
        <v/>
      </c>
      <c r="J129" s="56" t="str">
        <f t="shared" si="11"/>
        <v/>
      </c>
      <c r="K129" s="65"/>
    </row>
    <row r="130" spans="1:11" ht="15" customHeight="1" x14ac:dyDescent="0.2">
      <c r="A130" s="60" t="str">
        <f t="shared" si="7"/>
        <v/>
      </c>
      <c r="B130" s="56"/>
      <c r="C130" s="58" t="str">
        <f>IF(B130="","",IFERROR(INDEX('21 2026 ÜRETİM'!$F$2:$F$501,MATCH(B130,'21 2026 ÜRETİM'!$A$2:$A$501,0)),""))</f>
        <v/>
      </c>
      <c r="D130" s="56"/>
      <c r="E130" s="58" t="str">
        <f t="shared" si="8"/>
        <v/>
      </c>
      <c r="F130" s="56"/>
      <c r="G130" s="58" t="str">
        <f t="shared" si="9"/>
        <v/>
      </c>
      <c r="H130" s="56"/>
      <c r="I130" s="58" t="str">
        <f t="shared" si="10"/>
        <v/>
      </c>
      <c r="J130" s="56" t="str">
        <f t="shared" si="11"/>
        <v/>
      </c>
      <c r="K130" s="65"/>
    </row>
    <row r="131" spans="1:11" ht="15" customHeight="1" x14ac:dyDescent="0.2">
      <c r="A131" s="60" t="str">
        <f t="shared" si="7"/>
        <v/>
      </c>
      <c r="B131" s="56"/>
      <c r="C131" s="58" t="str">
        <f>IF(B131="","",IFERROR(INDEX('21 2026 ÜRETİM'!$F$2:$F$501,MATCH(B131,'21 2026 ÜRETİM'!$A$2:$A$501,0)),""))</f>
        <v/>
      </c>
      <c r="D131" s="56"/>
      <c r="E131" s="58" t="str">
        <f t="shared" si="8"/>
        <v/>
      </c>
      <c r="F131" s="56"/>
      <c r="G131" s="58" t="str">
        <f t="shared" si="9"/>
        <v/>
      </c>
      <c r="H131" s="56"/>
      <c r="I131" s="58" t="str">
        <f t="shared" si="10"/>
        <v/>
      </c>
      <c r="J131" s="56" t="str">
        <f t="shared" si="11"/>
        <v/>
      </c>
      <c r="K131" s="65"/>
    </row>
    <row r="132" spans="1:11" ht="15" customHeight="1" x14ac:dyDescent="0.2">
      <c r="A132" s="60" t="str">
        <f t="shared" si="7"/>
        <v/>
      </c>
      <c r="B132" s="56"/>
      <c r="C132" s="58" t="str">
        <f>IF(B132="","",IFERROR(INDEX('21 2026 ÜRETİM'!$F$2:$F$501,MATCH(B132,'21 2026 ÜRETİM'!$A$2:$A$501,0)),""))</f>
        <v/>
      </c>
      <c r="D132" s="56"/>
      <c r="E132" s="58" t="str">
        <f t="shared" si="8"/>
        <v/>
      </c>
      <c r="F132" s="56"/>
      <c r="G132" s="58" t="str">
        <f t="shared" si="9"/>
        <v/>
      </c>
      <c r="H132" s="56"/>
      <c r="I132" s="58" t="str">
        <f t="shared" si="10"/>
        <v/>
      </c>
      <c r="J132" s="56" t="str">
        <f t="shared" si="11"/>
        <v/>
      </c>
      <c r="K132" s="65"/>
    </row>
    <row r="133" spans="1:11" ht="15" customHeight="1" x14ac:dyDescent="0.2">
      <c r="A133" s="60" t="str">
        <f t="shared" si="7"/>
        <v/>
      </c>
      <c r="B133" s="56"/>
      <c r="C133" s="58" t="str">
        <f>IF(B133="","",IFERROR(INDEX('21 2026 ÜRETİM'!$F$2:$F$501,MATCH(B133,'21 2026 ÜRETİM'!$A$2:$A$501,0)),""))</f>
        <v/>
      </c>
      <c r="D133" s="56"/>
      <c r="E133" s="58" t="str">
        <f t="shared" si="8"/>
        <v/>
      </c>
      <c r="F133" s="56"/>
      <c r="G133" s="58" t="str">
        <f t="shared" si="9"/>
        <v/>
      </c>
      <c r="H133" s="56"/>
      <c r="I133" s="58" t="str">
        <f t="shared" si="10"/>
        <v/>
      </c>
      <c r="J133" s="56" t="str">
        <f t="shared" si="11"/>
        <v/>
      </c>
      <c r="K133" s="65"/>
    </row>
    <row r="134" spans="1:11" ht="15" customHeight="1" x14ac:dyDescent="0.2">
      <c r="A134" s="60" t="str">
        <f t="shared" si="7"/>
        <v/>
      </c>
      <c r="B134" s="56"/>
      <c r="C134" s="58" t="str">
        <f>IF(B134="","",IFERROR(INDEX('21 2026 ÜRETİM'!$F$2:$F$501,MATCH(B134,'21 2026 ÜRETİM'!$A$2:$A$501,0)),""))</f>
        <v/>
      </c>
      <c r="D134" s="56"/>
      <c r="E134" s="58" t="str">
        <f t="shared" si="8"/>
        <v/>
      </c>
      <c r="F134" s="56"/>
      <c r="G134" s="58" t="str">
        <f t="shared" si="9"/>
        <v/>
      </c>
      <c r="H134" s="56"/>
      <c r="I134" s="58" t="str">
        <f t="shared" si="10"/>
        <v/>
      </c>
      <c r="J134" s="56" t="str">
        <f t="shared" si="11"/>
        <v/>
      </c>
      <c r="K134" s="65"/>
    </row>
    <row r="135" spans="1:11" ht="15" customHeight="1" x14ac:dyDescent="0.2">
      <c r="A135" s="60" t="str">
        <f t="shared" si="7"/>
        <v/>
      </c>
      <c r="B135" s="56"/>
      <c r="C135" s="58" t="str">
        <f>IF(B135="","",IFERROR(INDEX('21 2026 ÜRETİM'!$F$2:$F$501,MATCH(B135,'21 2026 ÜRETİM'!$A$2:$A$501,0)),""))</f>
        <v/>
      </c>
      <c r="D135" s="56"/>
      <c r="E135" s="58" t="str">
        <f t="shared" si="8"/>
        <v/>
      </c>
      <c r="F135" s="56"/>
      <c r="G135" s="58" t="str">
        <f t="shared" si="9"/>
        <v/>
      </c>
      <c r="H135" s="56"/>
      <c r="I135" s="58" t="str">
        <f t="shared" si="10"/>
        <v/>
      </c>
      <c r="J135" s="56" t="str">
        <f t="shared" si="11"/>
        <v/>
      </c>
      <c r="K135" s="65"/>
    </row>
    <row r="136" spans="1:11" ht="15" customHeight="1" x14ac:dyDescent="0.2">
      <c r="A136" s="60" t="str">
        <f t="shared" si="7"/>
        <v/>
      </c>
      <c r="B136" s="56"/>
      <c r="C136" s="58" t="str">
        <f>IF(B136="","",IFERROR(INDEX('21 2026 ÜRETİM'!$F$2:$F$501,MATCH(B136,'21 2026 ÜRETİM'!$A$2:$A$501,0)),""))</f>
        <v/>
      </c>
      <c r="D136" s="56"/>
      <c r="E136" s="58" t="str">
        <f t="shared" si="8"/>
        <v/>
      </c>
      <c r="F136" s="56"/>
      <c r="G136" s="58" t="str">
        <f t="shared" si="9"/>
        <v/>
      </c>
      <c r="H136" s="56"/>
      <c r="I136" s="58" t="str">
        <f t="shared" si="10"/>
        <v/>
      </c>
      <c r="J136" s="56" t="str">
        <f t="shared" si="11"/>
        <v/>
      </c>
      <c r="K136" s="65"/>
    </row>
    <row r="137" spans="1:11" ht="15" customHeight="1" x14ac:dyDescent="0.2">
      <c r="A137" s="60" t="str">
        <f t="shared" si="7"/>
        <v/>
      </c>
      <c r="B137" s="56"/>
      <c r="C137" s="58" t="str">
        <f>IF(B137="","",IFERROR(INDEX('21 2026 ÜRETİM'!$F$2:$F$501,MATCH(B137,'21 2026 ÜRETİM'!$A$2:$A$501,0)),""))</f>
        <v/>
      </c>
      <c r="D137" s="56"/>
      <c r="E137" s="58" t="str">
        <f t="shared" si="8"/>
        <v/>
      </c>
      <c r="F137" s="56"/>
      <c r="G137" s="58" t="str">
        <f t="shared" si="9"/>
        <v/>
      </c>
      <c r="H137" s="56"/>
      <c r="I137" s="58" t="str">
        <f t="shared" si="10"/>
        <v/>
      </c>
      <c r="J137" s="56" t="str">
        <f t="shared" si="11"/>
        <v/>
      </c>
      <c r="K137" s="65"/>
    </row>
    <row r="138" spans="1:11" ht="15" customHeight="1" x14ac:dyDescent="0.2">
      <c r="A138" s="60" t="str">
        <f t="shared" si="7"/>
        <v/>
      </c>
      <c r="B138" s="56"/>
      <c r="C138" s="58" t="str">
        <f>IF(B138="","",IFERROR(INDEX('21 2026 ÜRETİM'!$F$2:$F$501,MATCH(B138,'21 2026 ÜRETİM'!$A$2:$A$501,0)),""))</f>
        <v/>
      </c>
      <c r="D138" s="56"/>
      <c r="E138" s="58" t="str">
        <f t="shared" si="8"/>
        <v/>
      </c>
      <c r="F138" s="56"/>
      <c r="G138" s="58" t="str">
        <f t="shared" si="9"/>
        <v/>
      </c>
      <c r="H138" s="56"/>
      <c r="I138" s="58" t="str">
        <f t="shared" si="10"/>
        <v/>
      </c>
      <c r="J138" s="56" t="str">
        <f t="shared" si="11"/>
        <v/>
      </c>
      <c r="K138" s="65"/>
    </row>
    <row r="139" spans="1:11" ht="15" customHeight="1" x14ac:dyDescent="0.2">
      <c r="A139" s="60" t="str">
        <f t="shared" si="7"/>
        <v/>
      </c>
      <c r="B139" s="56"/>
      <c r="C139" s="58" t="str">
        <f>IF(B139="","",IFERROR(INDEX('21 2026 ÜRETİM'!$F$2:$F$501,MATCH(B139,'21 2026 ÜRETİM'!$A$2:$A$501,0)),""))</f>
        <v/>
      </c>
      <c r="D139" s="56"/>
      <c r="E139" s="58" t="str">
        <f t="shared" si="8"/>
        <v/>
      </c>
      <c r="F139" s="56"/>
      <c r="G139" s="58" t="str">
        <f t="shared" si="9"/>
        <v/>
      </c>
      <c r="H139" s="56"/>
      <c r="I139" s="58" t="str">
        <f t="shared" si="10"/>
        <v/>
      </c>
      <c r="J139" s="56" t="str">
        <f t="shared" si="11"/>
        <v/>
      </c>
      <c r="K139" s="65"/>
    </row>
    <row r="140" spans="1:11" ht="15" customHeight="1" x14ac:dyDescent="0.2">
      <c r="A140" s="60" t="str">
        <f t="shared" si="7"/>
        <v/>
      </c>
      <c r="B140" s="56"/>
      <c r="C140" s="58" t="str">
        <f>IF(B140="","",IFERROR(INDEX('21 2026 ÜRETİM'!$F$2:$F$501,MATCH(B140,'21 2026 ÜRETİM'!$A$2:$A$501,0)),""))</f>
        <v/>
      </c>
      <c r="D140" s="56"/>
      <c r="E140" s="58" t="str">
        <f t="shared" si="8"/>
        <v/>
      </c>
      <c r="F140" s="56"/>
      <c r="G140" s="58" t="str">
        <f t="shared" si="9"/>
        <v/>
      </c>
      <c r="H140" s="56"/>
      <c r="I140" s="58" t="str">
        <f t="shared" si="10"/>
        <v/>
      </c>
      <c r="J140" s="56" t="str">
        <f t="shared" si="11"/>
        <v/>
      </c>
      <c r="K140" s="65"/>
    </row>
    <row r="141" spans="1:11" ht="15" customHeight="1" x14ac:dyDescent="0.2">
      <c r="A141" s="60" t="str">
        <f t="shared" ref="A141:A204" si="12">IF(B141="","",IFERROR(DATE(RIGHT(B141,4),MID(B141,4,2),LEFT(B141,2))+1,""))</f>
        <v/>
      </c>
      <c r="B141" s="56"/>
      <c r="C141" s="58" t="str">
        <f>IF(B141="","",IFERROR(INDEX('21 2026 ÜRETİM'!$F$2:$F$501,MATCH(B141,'21 2026 ÜRETİM'!$A$2:$A$501,0)),""))</f>
        <v/>
      </c>
      <c r="D141" s="56"/>
      <c r="E141" s="58" t="str">
        <f t="shared" ref="E141:E204" si="13">IF(D141="","",D141*0.5)</f>
        <v/>
      </c>
      <c r="F141" s="56"/>
      <c r="G141" s="58" t="str">
        <f t="shared" ref="G141:G204" si="14">IF(F141="","",F141*2.5)</f>
        <v/>
      </c>
      <c r="H141" s="56"/>
      <c r="I141" s="58" t="str">
        <f t="shared" ref="I141:I204" si="15">IF(C141="","",C141-E141-G141-IF(H141="",0,H141))</f>
        <v/>
      </c>
      <c r="J141" s="56" t="str">
        <f t="shared" ref="J141:J204" si="16">IF(C141="","",IF(ABS(I141)&lt;0.001,"KAPALI","KONTROL"))</f>
        <v/>
      </c>
      <c r="K141" s="65"/>
    </row>
    <row r="142" spans="1:11" ht="15" customHeight="1" x14ac:dyDescent="0.2">
      <c r="A142" s="60" t="str">
        <f t="shared" si="12"/>
        <v/>
      </c>
      <c r="B142" s="56"/>
      <c r="C142" s="58" t="str">
        <f>IF(B142="","",IFERROR(INDEX('21 2026 ÜRETİM'!$F$2:$F$501,MATCH(B142,'21 2026 ÜRETİM'!$A$2:$A$501,0)),""))</f>
        <v/>
      </c>
      <c r="D142" s="56"/>
      <c r="E142" s="58" t="str">
        <f t="shared" si="13"/>
        <v/>
      </c>
      <c r="F142" s="56"/>
      <c r="G142" s="58" t="str">
        <f t="shared" si="14"/>
        <v/>
      </c>
      <c r="H142" s="56"/>
      <c r="I142" s="58" t="str">
        <f t="shared" si="15"/>
        <v/>
      </c>
      <c r="J142" s="56" t="str">
        <f t="shared" si="16"/>
        <v/>
      </c>
      <c r="K142" s="65"/>
    </row>
    <row r="143" spans="1:11" ht="15" customHeight="1" x14ac:dyDescent="0.2">
      <c r="A143" s="60" t="str">
        <f t="shared" si="12"/>
        <v/>
      </c>
      <c r="B143" s="56"/>
      <c r="C143" s="58" t="str">
        <f>IF(B143="","",IFERROR(INDEX('21 2026 ÜRETİM'!$F$2:$F$501,MATCH(B143,'21 2026 ÜRETİM'!$A$2:$A$501,0)),""))</f>
        <v/>
      </c>
      <c r="D143" s="56"/>
      <c r="E143" s="58" t="str">
        <f t="shared" si="13"/>
        <v/>
      </c>
      <c r="F143" s="56"/>
      <c r="G143" s="58" t="str">
        <f t="shared" si="14"/>
        <v/>
      </c>
      <c r="H143" s="56"/>
      <c r="I143" s="58" t="str">
        <f t="shared" si="15"/>
        <v/>
      </c>
      <c r="J143" s="56" t="str">
        <f t="shared" si="16"/>
        <v/>
      </c>
      <c r="K143" s="65"/>
    </row>
    <row r="144" spans="1:11" ht="15" customHeight="1" x14ac:dyDescent="0.2">
      <c r="A144" s="60" t="str">
        <f t="shared" si="12"/>
        <v/>
      </c>
      <c r="B144" s="56"/>
      <c r="C144" s="58" t="str">
        <f>IF(B144="","",IFERROR(INDEX('21 2026 ÜRETİM'!$F$2:$F$501,MATCH(B144,'21 2026 ÜRETİM'!$A$2:$A$501,0)),""))</f>
        <v/>
      </c>
      <c r="D144" s="56"/>
      <c r="E144" s="58" t="str">
        <f t="shared" si="13"/>
        <v/>
      </c>
      <c r="F144" s="56"/>
      <c r="G144" s="58" t="str">
        <f t="shared" si="14"/>
        <v/>
      </c>
      <c r="H144" s="56"/>
      <c r="I144" s="58" t="str">
        <f t="shared" si="15"/>
        <v/>
      </c>
      <c r="J144" s="56" t="str">
        <f t="shared" si="16"/>
        <v/>
      </c>
      <c r="K144" s="65"/>
    </row>
    <row r="145" spans="1:11" ht="15" customHeight="1" x14ac:dyDescent="0.2">
      <c r="A145" s="60" t="str">
        <f t="shared" si="12"/>
        <v/>
      </c>
      <c r="B145" s="56"/>
      <c r="C145" s="58" t="str">
        <f>IF(B145="","",IFERROR(INDEX('21 2026 ÜRETİM'!$F$2:$F$501,MATCH(B145,'21 2026 ÜRETİM'!$A$2:$A$501,0)),""))</f>
        <v/>
      </c>
      <c r="D145" s="56"/>
      <c r="E145" s="58" t="str">
        <f t="shared" si="13"/>
        <v/>
      </c>
      <c r="F145" s="56"/>
      <c r="G145" s="58" t="str">
        <f t="shared" si="14"/>
        <v/>
      </c>
      <c r="H145" s="56"/>
      <c r="I145" s="58" t="str">
        <f t="shared" si="15"/>
        <v/>
      </c>
      <c r="J145" s="56" t="str">
        <f t="shared" si="16"/>
        <v/>
      </c>
      <c r="K145" s="65"/>
    </row>
    <row r="146" spans="1:11" ht="15" customHeight="1" x14ac:dyDescent="0.2">
      <c r="A146" s="60" t="str">
        <f t="shared" si="12"/>
        <v/>
      </c>
      <c r="B146" s="56"/>
      <c r="C146" s="58" t="str">
        <f>IF(B146="","",IFERROR(INDEX('21 2026 ÜRETİM'!$F$2:$F$501,MATCH(B146,'21 2026 ÜRETİM'!$A$2:$A$501,0)),""))</f>
        <v/>
      </c>
      <c r="D146" s="56"/>
      <c r="E146" s="58" t="str">
        <f t="shared" si="13"/>
        <v/>
      </c>
      <c r="F146" s="56"/>
      <c r="G146" s="58" t="str">
        <f t="shared" si="14"/>
        <v/>
      </c>
      <c r="H146" s="56"/>
      <c r="I146" s="58" t="str">
        <f t="shared" si="15"/>
        <v/>
      </c>
      <c r="J146" s="56" t="str">
        <f t="shared" si="16"/>
        <v/>
      </c>
      <c r="K146" s="65"/>
    </row>
    <row r="147" spans="1:11" ht="15" customHeight="1" x14ac:dyDescent="0.2">
      <c r="A147" s="60" t="str">
        <f t="shared" si="12"/>
        <v/>
      </c>
      <c r="B147" s="56"/>
      <c r="C147" s="58" t="str">
        <f>IF(B147="","",IFERROR(INDEX('21 2026 ÜRETİM'!$F$2:$F$501,MATCH(B147,'21 2026 ÜRETİM'!$A$2:$A$501,0)),""))</f>
        <v/>
      </c>
      <c r="D147" s="56"/>
      <c r="E147" s="58" t="str">
        <f t="shared" si="13"/>
        <v/>
      </c>
      <c r="F147" s="56"/>
      <c r="G147" s="58" t="str">
        <f t="shared" si="14"/>
        <v/>
      </c>
      <c r="H147" s="56"/>
      <c r="I147" s="58" t="str">
        <f t="shared" si="15"/>
        <v/>
      </c>
      <c r="J147" s="56" t="str">
        <f t="shared" si="16"/>
        <v/>
      </c>
      <c r="K147" s="65"/>
    </row>
    <row r="148" spans="1:11" ht="15" customHeight="1" x14ac:dyDescent="0.2">
      <c r="A148" s="60" t="str">
        <f t="shared" si="12"/>
        <v/>
      </c>
      <c r="B148" s="56"/>
      <c r="C148" s="58" t="str">
        <f>IF(B148="","",IFERROR(INDEX('21 2026 ÜRETİM'!$F$2:$F$501,MATCH(B148,'21 2026 ÜRETİM'!$A$2:$A$501,0)),""))</f>
        <v/>
      </c>
      <c r="D148" s="56"/>
      <c r="E148" s="58" t="str">
        <f t="shared" si="13"/>
        <v/>
      </c>
      <c r="F148" s="56"/>
      <c r="G148" s="58" t="str">
        <f t="shared" si="14"/>
        <v/>
      </c>
      <c r="H148" s="56"/>
      <c r="I148" s="58" t="str">
        <f t="shared" si="15"/>
        <v/>
      </c>
      <c r="J148" s="56" t="str">
        <f t="shared" si="16"/>
        <v/>
      </c>
      <c r="K148" s="65"/>
    </row>
    <row r="149" spans="1:11" ht="15" customHeight="1" x14ac:dyDescent="0.2">
      <c r="A149" s="60" t="str">
        <f t="shared" si="12"/>
        <v/>
      </c>
      <c r="B149" s="56"/>
      <c r="C149" s="58" t="str">
        <f>IF(B149="","",IFERROR(INDEX('21 2026 ÜRETİM'!$F$2:$F$501,MATCH(B149,'21 2026 ÜRETİM'!$A$2:$A$501,0)),""))</f>
        <v/>
      </c>
      <c r="D149" s="56"/>
      <c r="E149" s="58" t="str">
        <f t="shared" si="13"/>
        <v/>
      </c>
      <c r="F149" s="56"/>
      <c r="G149" s="58" t="str">
        <f t="shared" si="14"/>
        <v/>
      </c>
      <c r="H149" s="56"/>
      <c r="I149" s="58" t="str">
        <f t="shared" si="15"/>
        <v/>
      </c>
      <c r="J149" s="56" t="str">
        <f t="shared" si="16"/>
        <v/>
      </c>
      <c r="K149" s="65"/>
    </row>
    <row r="150" spans="1:11" ht="15" customHeight="1" x14ac:dyDescent="0.2">
      <c r="A150" s="60" t="str">
        <f t="shared" si="12"/>
        <v/>
      </c>
      <c r="B150" s="56"/>
      <c r="C150" s="58" t="str">
        <f>IF(B150="","",IFERROR(INDEX('21 2026 ÜRETİM'!$F$2:$F$501,MATCH(B150,'21 2026 ÜRETİM'!$A$2:$A$501,0)),""))</f>
        <v/>
      </c>
      <c r="D150" s="56"/>
      <c r="E150" s="58" t="str">
        <f t="shared" si="13"/>
        <v/>
      </c>
      <c r="F150" s="56"/>
      <c r="G150" s="58" t="str">
        <f t="shared" si="14"/>
        <v/>
      </c>
      <c r="H150" s="56"/>
      <c r="I150" s="58" t="str">
        <f t="shared" si="15"/>
        <v/>
      </c>
      <c r="J150" s="56" t="str">
        <f t="shared" si="16"/>
        <v/>
      </c>
      <c r="K150" s="65"/>
    </row>
    <row r="151" spans="1:11" ht="15" customHeight="1" x14ac:dyDescent="0.2">
      <c r="A151" s="60" t="str">
        <f t="shared" si="12"/>
        <v/>
      </c>
      <c r="B151" s="56"/>
      <c r="C151" s="58" t="str">
        <f>IF(B151="","",IFERROR(INDEX('21 2026 ÜRETİM'!$F$2:$F$501,MATCH(B151,'21 2026 ÜRETİM'!$A$2:$A$501,0)),""))</f>
        <v/>
      </c>
      <c r="D151" s="56"/>
      <c r="E151" s="58" t="str">
        <f t="shared" si="13"/>
        <v/>
      </c>
      <c r="F151" s="56"/>
      <c r="G151" s="58" t="str">
        <f t="shared" si="14"/>
        <v/>
      </c>
      <c r="H151" s="56"/>
      <c r="I151" s="58" t="str">
        <f t="shared" si="15"/>
        <v/>
      </c>
      <c r="J151" s="56" t="str">
        <f t="shared" si="16"/>
        <v/>
      </c>
      <c r="K151" s="65"/>
    </row>
    <row r="152" spans="1:11" ht="15" customHeight="1" x14ac:dyDescent="0.2">
      <c r="A152" s="60" t="str">
        <f t="shared" si="12"/>
        <v/>
      </c>
      <c r="B152" s="56"/>
      <c r="C152" s="58" t="str">
        <f>IF(B152="","",IFERROR(INDEX('21 2026 ÜRETİM'!$F$2:$F$501,MATCH(B152,'21 2026 ÜRETİM'!$A$2:$A$501,0)),""))</f>
        <v/>
      </c>
      <c r="D152" s="56"/>
      <c r="E152" s="58" t="str">
        <f t="shared" si="13"/>
        <v/>
      </c>
      <c r="F152" s="56"/>
      <c r="G152" s="58" t="str">
        <f t="shared" si="14"/>
        <v/>
      </c>
      <c r="H152" s="56"/>
      <c r="I152" s="58" t="str">
        <f t="shared" si="15"/>
        <v/>
      </c>
      <c r="J152" s="56" t="str">
        <f t="shared" si="16"/>
        <v/>
      </c>
      <c r="K152" s="65"/>
    </row>
    <row r="153" spans="1:11" ht="15" customHeight="1" x14ac:dyDescent="0.2">
      <c r="A153" s="60" t="str">
        <f t="shared" si="12"/>
        <v/>
      </c>
      <c r="B153" s="56"/>
      <c r="C153" s="58" t="str">
        <f>IF(B153="","",IFERROR(INDEX('21 2026 ÜRETİM'!$F$2:$F$501,MATCH(B153,'21 2026 ÜRETİM'!$A$2:$A$501,0)),""))</f>
        <v/>
      </c>
      <c r="D153" s="56"/>
      <c r="E153" s="58" t="str">
        <f t="shared" si="13"/>
        <v/>
      </c>
      <c r="F153" s="56"/>
      <c r="G153" s="58" t="str">
        <f t="shared" si="14"/>
        <v/>
      </c>
      <c r="H153" s="56"/>
      <c r="I153" s="58" t="str">
        <f t="shared" si="15"/>
        <v/>
      </c>
      <c r="J153" s="56" t="str">
        <f t="shared" si="16"/>
        <v/>
      </c>
      <c r="K153" s="65"/>
    </row>
    <row r="154" spans="1:11" ht="15" customHeight="1" x14ac:dyDescent="0.2">
      <c r="A154" s="60" t="str">
        <f t="shared" si="12"/>
        <v/>
      </c>
      <c r="B154" s="56"/>
      <c r="C154" s="58" t="str">
        <f>IF(B154="","",IFERROR(INDEX('21 2026 ÜRETİM'!$F$2:$F$501,MATCH(B154,'21 2026 ÜRETİM'!$A$2:$A$501,0)),""))</f>
        <v/>
      </c>
      <c r="D154" s="56"/>
      <c r="E154" s="58" t="str">
        <f t="shared" si="13"/>
        <v/>
      </c>
      <c r="F154" s="56"/>
      <c r="G154" s="58" t="str">
        <f t="shared" si="14"/>
        <v/>
      </c>
      <c r="H154" s="56"/>
      <c r="I154" s="58" t="str">
        <f t="shared" si="15"/>
        <v/>
      </c>
      <c r="J154" s="56" t="str">
        <f t="shared" si="16"/>
        <v/>
      </c>
      <c r="K154" s="65"/>
    </row>
    <row r="155" spans="1:11" ht="15" customHeight="1" x14ac:dyDescent="0.2">
      <c r="A155" s="60" t="str">
        <f t="shared" si="12"/>
        <v/>
      </c>
      <c r="B155" s="56"/>
      <c r="C155" s="58" t="str">
        <f>IF(B155="","",IFERROR(INDEX('21 2026 ÜRETİM'!$F$2:$F$501,MATCH(B155,'21 2026 ÜRETİM'!$A$2:$A$501,0)),""))</f>
        <v/>
      </c>
      <c r="D155" s="56"/>
      <c r="E155" s="58" t="str">
        <f t="shared" si="13"/>
        <v/>
      </c>
      <c r="F155" s="56"/>
      <c r="G155" s="58" t="str">
        <f t="shared" si="14"/>
        <v/>
      </c>
      <c r="H155" s="56"/>
      <c r="I155" s="58" t="str">
        <f t="shared" si="15"/>
        <v/>
      </c>
      <c r="J155" s="56" t="str">
        <f t="shared" si="16"/>
        <v/>
      </c>
      <c r="K155" s="65"/>
    </row>
    <row r="156" spans="1:11" ht="15" customHeight="1" x14ac:dyDescent="0.2">
      <c r="A156" s="60" t="str">
        <f t="shared" si="12"/>
        <v/>
      </c>
      <c r="B156" s="56"/>
      <c r="C156" s="58" t="str">
        <f>IF(B156="","",IFERROR(INDEX('21 2026 ÜRETİM'!$F$2:$F$501,MATCH(B156,'21 2026 ÜRETİM'!$A$2:$A$501,0)),""))</f>
        <v/>
      </c>
      <c r="D156" s="56"/>
      <c r="E156" s="58" t="str">
        <f t="shared" si="13"/>
        <v/>
      </c>
      <c r="F156" s="56"/>
      <c r="G156" s="58" t="str">
        <f t="shared" si="14"/>
        <v/>
      </c>
      <c r="H156" s="56"/>
      <c r="I156" s="58" t="str">
        <f t="shared" si="15"/>
        <v/>
      </c>
      <c r="J156" s="56" t="str">
        <f t="shared" si="16"/>
        <v/>
      </c>
      <c r="K156" s="65"/>
    </row>
    <row r="157" spans="1:11" ht="15" customHeight="1" x14ac:dyDescent="0.2">
      <c r="A157" s="60" t="str">
        <f t="shared" si="12"/>
        <v/>
      </c>
      <c r="B157" s="56"/>
      <c r="C157" s="58" t="str">
        <f>IF(B157="","",IFERROR(INDEX('21 2026 ÜRETİM'!$F$2:$F$501,MATCH(B157,'21 2026 ÜRETİM'!$A$2:$A$501,0)),""))</f>
        <v/>
      </c>
      <c r="D157" s="56"/>
      <c r="E157" s="58" t="str">
        <f t="shared" si="13"/>
        <v/>
      </c>
      <c r="F157" s="56"/>
      <c r="G157" s="58" t="str">
        <f t="shared" si="14"/>
        <v/>
      </c>
      <c r="H157" s="56"/>
      <c r="I157" s="58" t="str">
        <f t="shared" si="15"/>
        <v/>
      </c>
      <c r="J157" s="56" t="str">
        <f t="shared" si="16"/>
        <v/>
      </c>
      <c r="K157" s="65"/>
    </row>
    <row r="158" spans="1:11" ht="15" customHeight="1" x14ac:dyDescent="0.2">
      <c r="A158" s="60" t="str">
        <f t="shared" si="12"/>
        <v/>
      </c>
      <c r="B158" s="56"/>
      <c r="C158" s="58" t="str">
        <f>IF(B158="","",IFERROR(INDEX('21 2026 ÜRETİM'!$F$2:$F$501,MATCH(B158,'21 2026 ÜRETİM'!$A$2:$A$501,0)),""))</f>
        <v/>
      </c>
      <c r="D158" s="56"/>
      <c r="E158" s="58" t="str">
        <f t="shared" si="13"/>
        <v/>
      </c>
      <c r="F158" s="56"/>
      <c r="G158" s="58" t="str">
        <f t="shared" si="14"/>
        <v/>
      </c>
      <c r="H158" s="56"/>
      <c r="I158" s="58" t="str">
        <f t="shared" si="15"/>
        <v/>
      </c>
      <c r="J158" s="56" t="str">
        <f t="shared" si="16"/>
        <v/>
      </c>
      <c r="K158" s="65"/>
    </row>
    <row r="159" spans="1:11" ht="15" customHeight="1" x14ac:dyDescent="0.2">
      <c r="A159" s="60" t="str">
        <f t="shared" si="12"/>
        <v/>
      </c>
      <c r="B159" s="56"/>
      <c r="C159" s="58" t="str">
        <f>IF(B159="","",IFERROR(INDEX('21 2026 ÜRETİM'!$F$2:$F$501,MATCH(B159,'21 2026 ÜRETİM'!$A$2:$A$501,0)),""))</f>
        <v/>
      </c>
      <c r="D159" s="56"/>
      <c r="E159" s="58" t="str">
        <f t="shared" si="13"/>
        <v/>
      </c>
      <c r="F159" s="56"/>
      <c r="G159" s="58" t="str">
        <f t="shared" si="14"/>
        <v/>
      </c>
      <c r="H159" s="56"/>
      <c r="I159" s="58" t="str">
        <f t="shared" si="15"/>
        <v/>
      </c>
      <c r="J159" s="56" t="str">
        <f t="shared" si="16"/>
        <v/>
      </c>
      <c r="K159" s="65"/>
    </row>
    <row r="160" spans="1:11" ht="15" customHeight="1" x14ac:dyDescent="0.2">
      <c r="A160" s="60" t="str">
        <f t="shared" si="12"/>
        <v/>
      </c>
      <c r="B160" s="56"/>
      <c r="C160" s="58" t="str">
        <f>IF(B160="","",IFERROR(INDEX('21 2026 ÜRETİM'!$F$2:$F$501,MATCH(B160,'21 2026 ÜRETİM'!$A$2:$A$501,0)),""))</f>
        <v/>
      </c>
      <c r="D160" s="56"/>
      <c r="E160" s="58" t="str">
        <f t="shared" si="13"/>
        <v/>
      </c>
      <c r="F160" s="56"/>
      <c r="G160" s="58" t="str">
        <f t="shared" si="14"/>
        <v/>
      </c>
      <c r="H160" s="56"/>
      <c r="I160" s="58" t="str">
        <f t="shared" si="15"/>
        <v/>
      </c>
      <c r="J160" s="56" t="str">
        <f t="shared" si="16"/>
        <v/>
      </c>
      <c r="K160" s="65"/>
    </row>
    <row r="161" spans="1:11" ht="15" customHeight="1" x14ac:dyDescent="0.2">
      <c r="A161" s="60" t="str">
        <f t="shared" si="12"/>
        <v/>
      </c>
      <c r="B161" s="56"/>
      <c r="C161" s="58" t="str">
        <f>IF(B161="","",IFERROR(INDEX('21 2026 ÜRETİM'!$F$2:$F$501,MATCH(B161,'21 2026 ÜRETİM'!$A$2:$A$501,0)),""))</f>
        <v/>
      </c>
      <c r="D161" s="56"/>
      <c r="E161" s="58" t="str">
        <f t="shared" si="13"/>
        <v/>
      </c>
      <c r="F161" s="56"/>
      <c r="G161" s="58" t="str">
        <f t="shared" si="14"/>
        <v/>
      </c>
      <c r="H161" s="56"/>
      <c r="I161" s="58" t="str">
        <f t="shared" si="15"/>
        <v/>
      </c>
      <c r="J161" s="56" t="str">
        <f t="shared" si="16"/>
        <v/>
      </c>
      <c r="K161" s="65"/>
    </row>
    <row r="162" spans="1:11" ht="15" customHeight="1" x14ac:dyDescent="0.2">
      <c r="A162" s="60" t="str">
        <f t="shared" si="12"/>
        <v/>
      </c>
      <c r="B162" s="56"/>
      <c r="C162" s="58" t="str">
        <f>IF(B162="","",IFERROR(INDEX('21 2026 ÜRETİM'!$F$2:$F$501,MATCH(B162,'21 2026 ÜRETİM'!$A$2:$A$501,0)),""))</f>
        <v/>
      </c>
      <c r="D162" s="56"/>
      <c r="E162" s="58" t="str">
        <f t="shared" si="13"/>
        <v/>
      </c>
      <c r="F162" s="56"/>
      <c r="G162" s="58" t="str">
        <f t="shared" si="14"/>
        <v/>
      </c>
      <c r="H162" s="56"/>
      <c r="I162" s="58" t="str">
        <f t="shared" si="15"/>
        <v/>
      </c>
      <c r="J162" s="56" t="str">
        <f t="shared" si="16"/>
        <v/>
      </c>
      <c r="K162" s="65"/>
    </row>
    <row r="163" spans="1:11" ht="15" customHeight="1" x14ac:dyDescent="0.2">
      <c r="A163" s="60" t="str">
        <f t="shared" si="12"/>
        <v/>
      </c>
      <c r="B163" s="56"/>
      <c r="C163" s="58" t="str">
        <f>IF(B163="","",IFERROR(INDEX('21 2026 ÜRETİM'!$F$2:$F$501,MATCH(B163,'21 2026 ÜRETİM'!$A$2:$A$501,0)),""))</f>
        <v/>
      </c>
      <c r="D163" s="56"/>
      <c r="E163" s="58" t="str">
        <f t="shared" si="13"/>
        <v/>
      </c>
      <c r="F163" s="56"/>
      <c r="G163" s="58" t="str">
        <f t="shared" si="14"/>
        <v/>
      </c>
      <c r="H163" s="56"/>
      <c r="I163" s="58" t="str">
        <f t="shared" si="15"/>
        <v/>
      </c>
      <c r="J163" s="56" t="str">
        <f t="shared" si="16"/>
        <v/>
      </c>
      <c r="K163" s="65"/>
    </row>
    <row r="164" spans="1:11" ht="15" customHeight="1" x14ac:dyDescent="0.2">
      <c r="A164" s="60" t="str">
        <f t="shared" si="12"/>
        <v/>
      </c>
      <c r="B164" s="56"/>
      <c r="C164" s="58" t="str">
        <f>IF(B164="","",IFERROR(INDEX('21 2026 ÜRETİM'!$F$2:$F$501,MATCH(B164,'21 2026 ÜRETİM'!$A$2:$A$501,0)),""))</f>
        <v/>
      </c>
      <c r="D164" s="56"/>
      <c r="E164" s="58" t="str">
        <f t="shared" si="13"/>
        <v/>
      </c>
      <c r="F164" s="56"/>
      <c r="G164" s="58" t="str">
        <f t="shared" si="14"/>
        <v/>
      </c>
      <c r="H164" s="56"/>
      <c r="I164" s="58" t="str">
        <f t="shared" si="15"/>
        <v/>
      </c>
      <c r="J164" s="56" t="str">
        <f t="shared" si="16"/>
        <v/>
      </c>
      <c r="K164" s="65"/>
    </row>
    <row r="165" spans="1:11" ht="15" customHeight="1" x14ac:dyDescent="0.2">
      <c r="A165" s="60" t="str">
        <f t="shared" si="12"/>
        <v/>
      </c>
      <c r="B165" s="56"/>
      <c r="C165" s="58" t="str">
        <f>IF(B165="","",IFERROR(INDEX('21 2026 ÜRETİM'!$F$2:$F$501,MATCH(B165,'21 2026 ÜRETİM'!$A$2:$A$501,0)),""))</f>
        <v/>
      </c>
      <c r="D165" s="56"/>
      <c r="E165" s="58" t="str">
        <f t="shared" si="13"/>
        <v/>
      </c>
      <c r="F165" s="56"/>
      <c r="G165" s="58" t="str">
        <f t="shared" si="14"/>
        <v/>
      </c>
      <c r="H165" s="56"/>
      <c r="I165" s="58" t="str">
        <f t="shared" si="15"/>
        <v/>
      </c>
      <c r="J165" s="56" t="str">
        <f t="shared" si="16"/>
        <v/>
      </c>
      <c r="K165" s="65"/>
    </row>
    <row r="166" spans="1:11" ht="15" customHeight="1" x14ac:dyDescent="0.2">
      <c r="A166" s="60" t="str">
        <f t="shared" si="12"/>
        <v/>
      </c>
      <c r="B166" s="56"/>
      <c r="C166" s="58" t="str">
        <f>IF(B166="","",IFERROR(INDEX('21 2026 ÜRETİM'!$F$2:$F$501,MATCH(B166,'21 2026 ÜRETİM'!$A$2:$A$501,0)),""))</f>
        <v/>
      </c>
      <c r="D166" s="56"/>
      <c r="E166" s="58" t="str">
        <f t="shared" si="13"/>
        <v/>
      </c>
      <c r="F166" s="56"/>
      <c r="G166" s="58" t="str">
        <f t="shared" si="14"/>
        <v/>
      </c>
      <c r="H166" s="56"/>
      <c r="I166" s="58" t="str">
        <f t="shared" si="15"/>
        <v/>
      </c>
      <c r="J166" s="56" t="str">
        <f t="shared" si="16"/>
        <v/>
      </c>
      <c r="K166" s="65"/>
    </row>
    <row r="167" spans="1:11" ht="15" customHeight="1" x14ac:dyDescent="0.2">
      <c r="A167" s="60" t="str">
        <f t="shared" si="12"/>
        <v/>
      </c>
      <c r="B167" s="56"/>
      <c r="C167" s="58" t="str">
        <f>IF(B167="","",IFERROR(INDEX('21 2026 ÜRETİM'!$F$2:$F$501,MATCH(B167,'21 2026 ÜRETİM'!$A$2:$A$501,0)),""))</f>
        <v/>
      </c>
      <c r="D167" s="56"/>
      <c r="E167" s="58" t="str">
        <f t="shared" si="13"/>
        <v/>
      </c>
      <c r="F167" s="56"/>
      <c r="G167" s="58" t="str">
        <f t="shared" si="14"/>
        <v/>
      </c>
      <c r="H167" s="56"/>
      <c r="I167" s="58" t="str">
        <f t="shared" si="15"/>
        <v/>
      </c>
      <c r="J167" s="56" t="str">
        <f t="shared" si="16"/>
        <v/>
      </c>
      <c r="K167" s="65"/>
    </row>
    <row r="168" spans="1:11" ht="15" customHeight="1" x14ac:dyDescent="0.2">
      <c r="A168" s="60" t="str">
        <f t="shared" si="12"/>
        <v/>
      </c>
      <c r="B168" s="56"/>
      <c r="C168" s="58" t="str">
        <f>IF(B168="","",IFERROR(INDEX('21 2026 ÜRETİM'!$F$2:$F$501,MATCH(B168,'21 2026 ÜRETİM'!$A$2:$A$501,0)),""))</f>
        <v/>
      </c>
      <c r="D168" s="56"/>
      <c r="E168" s="58" t="str">
        <f t="shared" si="13"/>
        <v/>
      </c>
      <c r="F168" s="56"/>
      <c r="G168" s="58" t="str">
        <f t="shared" si="14"/>
        <v/>
      </c>
      <c r="H168" s="56"/>
      <c r="I168" s="58" t="str">
        <f t="shared" si="15"/>
        <v/>
      </c>
      <c r="J168" s="56" t="str">
        <f t="shared" si="16"/>
        <v/>
      </c>
      <c r="K168" s="65"/>
    </row>
    <row r="169" spans="1:11" ht="15" customHeight="1" x14ac:dyDescent="0.2">
      <c r="A169" s="60" t="str">
        <f t="shared" si="12"/>
        <v/>
      </c>
      <c r="B169" s="56"/>
      <c r="C169" s="58" t="str">
        <f>IF(B169="","",IFERROR(INDEX('21 2026 ÜRETİM'!$F$2:$F$501,MATCH(B169,'21 2026 ÜRETİM'!$A$2:$A$501,0)),""))</f>
        <v/>
      </c>
      <c r="D169" s="56"/>
      <c r="E169" s="58" t="str">
        <f t="shared" si="13"/>
        <v/>
      </c>
      <c r="F169" s="56"/>
      <c r="G169" s="58" t="str">
        <f t="shared" si="14"/>
        <v/>
      </c>
      <c r="H169" s="56"/>
      <c r="I169" s="58" t="str">
        <f t="shared" si="15"/>
        <v/>
      </c>
      <c r="J169" s="56" t="str">
        <f t="shared" si="16"/>
        <v/>
      </c>
      <c r="K169" s="65"/>
    </row>
    <row r="170" spans="1:11" ht="15" customHeight="1" x14ac:dyDescent="0.2">
      <c r="A170" s="60" t="str">
        <f t="shared" si="12"/>
        <v/>
      </c>
      <c r="B170" s="56"/>
      <c r="C170" s="58" t="str">
        <f>IF(B170="","",IFERROR(INDEX('21 2026 ÜRETİM'!$F$2:$F$501,MATCH(B170,'21 2026 ÜRETİM'!$A$2:$A$501,0)),""))</f>
        <v/>
      </c>
      <c r="D170" s="56"/>
      <c r="E170" s="58" t="str">
        <f t="shared" si="13"/>
        <v/>
      </c>
      <c r="F170" s="56"/>
      <c r="G170" s="58" t="str">
        <f t="shared" si="14"/>
        <v/>
      </c>
      <c r="H170" s="56"/>
      <c r="I170" s="58" t="str">
        <f t="shared" si="15"/>
        <v/>
      </c>
      <c r="J170" s="56" t="str">
        <f t="shared" si="16"/>
        <v/>
      </c>
      <c r="K170" s="65"/>
    </row>
    <row r="171" spans="1:11" ht="15" customHeight="1" x14ac:dyDescent="0.2">
      <c r="A171" s="60" t="str">
        <f t="shared" si="12"/>
        <v/>
      </c>
      <c r="B171" s="56"/>
      <c r="C171" s="58" t="str">
        <f>IF(B171="","",IFERROR(INDEX('21 2026 ÜRETİM'!$F$2:$F$501,MATCH(B171,'21 2026 ÜRETİM'!$A$2:$A$501,0)),""))</f>
        <v/>
      </c>
      <c r="D171" s="56"/>
      <c r="E171" s="58" t="str">
        <f t="shared" si="13"/>
        <v/>
      </c>
      <c r="F171" s="56"/>
      <c r="G171" s="58" t="str">
        <f t="shared" si="14"/>
        <v/>
      </c>
      <c r="H171" s="56"/>
      <c r="I171" s="58" t="str">
        <f t="shared" si="15"/>
        <v/>
      </c>
      <c r="J171" s="56" t="str">
        <f t="shared" si="16"/>
        <v/>
      </c>
      <c r="K171" s="65"/>
    </row>
    <row r="172" spans="1:11" ht="15" customHeight="1" x14ac:dyDescent="0.2">
      <c r="A172" s="60" t="str">
        <f t="shared" si="12"/>
        <v/>
      </c>
      <c r="B172" s="56"/>
      <c r="C172" s="58" t="str">
        <f>IF(B172="","",IFERROR(INDEX('21 2026 ÜRETİM'!$F$2:$F$501,MATCH(B172,'21 2026 ÜRETİM'!$A$2:$A$501,0)),""))</f>
        <v/>
      </c>
      <c r="D172" s="56"/>
      <c r="E172" s="58" t="str">
        <f t="shared" si="13"/>
        <v/>
      </c>
      <c r="F172" s="56"/>
      <c r="G172" s="58" t="str">
        <f t="shared" si="14"/>
        <v/>
      </c>
      <c r="H172" s="56"/>
      <c r="I172" s="58" t="str">
        <f t="shared" si="15"/>
        <v/>
      </c>
      <c r="J172" s="56" t="str">
        <f t="shared" si="16"/>
        <v/>
      </c>
      <c r="K172" s="65"/>
    </row>
    <row r="173" spans="1:11" ht="15" customHeight="1" x14ac:dyDescent="0.2">
      <c r="A173" s="60" t="str">
        <f t="shared" si="12"/>
        <v/>
      </c>
      <c r="B173" s="56"/>
      <c r="C173" s="58" t="str">
        <f>IF(B173="","",IFERROR(INDEX('21 2026 ÜRETİM'!$F$2:$F$501,MATCH(B173,'21 2026 ÜRETİM'!$A$2:$A$501,0)),""))</f>
        <v/>
      </c>
      <c r="D173" s="56"/>
      <c r="E173" s="58" t="str">
        <f t="shared" si="13"/>
        <v/>
      </c>
      <c r="F173" s="56"/>
      <c r="G173" s="58" t="str">
        <f t="shared" si="14"/>
        <v/>
      </c>
      <c r="H173" s="56"/>
      <c r="I173" s="58" t="str">
        <f t="shared" si="15"/>
        <v/>
      </c>
      <c r="J173" s="56" t="str">
        <f t="shared" si="16"/>
        <v/>
      </c>
      <c r="K173" s="65"/>
    </row>
    <row r="174" spans="1:11" ht="15" customHeight="1" x14ac:dyDescent="0.2">
      <c r="A174" s="60" t="str">
        <f t="shared" si="12"/>
        <v/>
      </c>
      <c r="B174" s="56"/>
      <c r="C174" s="58" t="str">
        <f>IF(B174="","",IFERROR(INDEX('21 2026 ÜRETİM'!$F$2:$F$501,MATCH(B174,'21 2026 ÜRETİM'!$A$2:$A$501,0)),""))</f>
        <v/>
      </c>
      <c r="D174" s="56"/>
      <c r="E174" s="58" t="str">
        <f t="shared" si="13"/>
        <v/>
      </c>
      <c r="F174" s="56"/>
      <c r="G174" s="58" t="str">
        <f t="shared" si="14"/>
        <v/>
      </c>
      <c r="H174" s="56"/>
      <c r="I174" s="58" t="str">
        <f t="shared" si="15"/>
        <v/>
      </c>
      <c r="J174" s="56" t="str">
        <f t="shared" si="16"/>
        <v/>
      </c>
      <c r="K174" s="65"/>
    </row>
    <row r="175" spans="1:11" ht="15" customHeight="1" x14ac:dyDescent="0.2">
      <c r="A175" s="60" t="str">
        <f t="shared" si="12"/>
        <v/>
      </c>
      <c r="B175" s="56"/>
      <c r="C175" s="58" t="str">
        <f>IF(B175="","",IFERROR(INDEX('21 2026 ÜRETİM'!$F$2:$F$501,MATCH(B175,'21 2026 ÜRETİM'!$A$2:$A$501,0)),""))</f>
        <v/>
      </c>
      <c r="D175" s="56"/>
      <c r="E175" s="58" t="str">
        <f t="shared" si="13"/>
        <v/>
      </c>
      <c r="F175" s="56"/>
      <c r="G175" s="58" t="str">
        <f t="shared" si="14"/>
        <v/>
      </c>
      <c r="H175" s="56"/>
      <c r="I175" s="58" t="str">
        <f t="shared" si="15"/>
        <v/>
      </c>
      <c r="J175" s="56" t="str">
        <f t="shared" si="16"/>
        <v/>
      </c>
      <c r="K175" s="65"/>
    </row>
    <row r="176" spans="1:11" ht="15" customHeight="1" x14ac:dyDescent="0.2">
      <c r="A176" s="60" t="str">
        <f t="shared" si="12"/>
        <v/>
      </c>
      <c r="B176" s="56"/>
      <c r="C176" s="58" t="str">
        <f>IF(B176="","",IFERROR(INDEX('21 2026 ÜRETİM'!$F$2:$F$501,MATCH(B176,'21 2026 ÜRETİM'!$A$2:$A$501,0)),""))</f>
        <v/>
      </c>
      <c r="D176" s="56"/>
      <c r="E176" s="58" t="str">
        <f t="shared" si="13"/>
        <v/>
      </c>
      <c r="F176" s="56"/>
      <c r="G176" s="58" t="str">
        <f t="shared" si="14"/>
        <v/>
      </c>
      <c r="H176" s="56"/>
      <c r="I176" s="58" t="str">
        <f t="shared" si="15"/>
        <v/>
      </c>
      <c r="J176" s="56" t="str">
        <f t="shared" si="16"/>
        <v/>
      </c>
      <c r="K176" s="65"/>
    </row>
    <row r="177" spans="1:11" ht="15" customHeight="1" x14ac:dyDescent="0.2">
      <c r="A177" s="60" t="str">
        <f t="shared" si="12"/>
        <v/>
      </c>
      <c r="B177" s="56"/>
      <c r="C177" s="58" t="str">
        <f>IF(B177="","",IFERROR(INDEX('21 2026 ÜRETİM'!$F$2:$F$501,MATCH(B177,'21 2026 ÜRETİM'!$A$2:$A$501,0)),""))</f>
        <v/>
      </c>
      <c r="D177" s="56"/>
      <c r="E177" s="58" t="str">
        <f t="shared" si="13"/>
        <v/>
      </c>
      <c r="F177" s="56"/>
      <c r="G177" s="58" t="str">
        <f t="shared" si="14"/>
        <v/>
      </c>
      <c r="H177" s="56"/>
      <c r="I177" s="58" t="str">
        <f t="shared" si="15"/>
        <v/>
      </c>
      <c r="J177" s="56" t="str">
        <f t="shared" si="16"/>
        <v/>
      </c>
      <c r="K177" s="65"/>
    </row>
    <row r="178" spans="1:11" ht="15" customHeight="1" x14ac:dyDescent="0.2">
      <c r="A178" s="60" t="str">
        <f t="shared" si="12"/>
        <v/>
      </c>
      <c r="B178" s="56"/>
      <c r="C178" s="58" t="str">
        <f>IF(B178="","",IFERROR(INDEX('21 2026 ÜRETİM'!$F$2:$F$501,MATCH(B178,'21 2026 ÜRETİM'!$A$2:$A$501,0)),""))</f>
        <v/>
      </c>
      <c r="D178" s="56"/>
      <c r="E178" s="58" t="str">
        <f t="shared" si="13"/>
        <v/>
      </c>
      <c r="F178" s="56"/>
      <c r="G178" s="58" t="str">
        <f t="shared" si="14"/>
        <v/>
      </c>
      <c r="H178" s="56"/>
      <c r="I178" s="58" t="str">
        <f t="shared" si="15"/>
        <v/>
      </c>
      <c r="J178" s="56" t="str">
        <f t="shared" si="16"/>
        <v/>
      </c>
      <c r="K178" s="65"/>
    </row>
    <row r="179" spans="1:11" ht="15" customHeight="1" x14ac:dyDescent="0.2">
      <c r="A179" s="60" t="str">
        <f t="shared" si="12"/>
        <v/>
      </c>
      <c r="B179" s="56"/>
      <c r="C179" s="58" t="str">
        <f>IF(B179="","",IFERROR(INDEX('21 2026 ÜRETİM'!$F$2:$F$501,MATCH(B179,'21 2026 ÜRETİM'!$A$2:$A$501,0)),""))</f>
        <v/>
      </c>
      <c r="D179" s="56"/>
      <c r="E179" s="58" t="str">
        <f t="shared" si="13"/>
        <v/>
      </c>
      <c r="F179" s="56"/>
      <c r="G179" s="58" t="str">
        <f t="shared" si="14"/>
        <v/>
      </c>
      <c r="H179" s="56"/>
      <c r="I179" s="58" t="str">
        <f t="shared" si="15"/>
        <v/>
      </c>
      <c r="J179" s="56" t="str">
        <f t="shared" si="16"/>
        <v/>
      </c>
      <c r="K179" s="65"/>
    </row>
    <row r="180" spans="1:11" ht="15" customHeight="1" x14ac:dyDescent="0.2">
      <c r="A180" s="60" t="str">
        <f t="shared" si="12"/>
        <v/>
      </c>
      <c r="B180" s="56"/>
      <c r="C180" s="58" t="str">
        <f>IF(B180="","",IFERROR(INDEX('21 2026 ÜRETİM'!$F$2:$F$501,MATCH(B180,'21 2026 ÜRETİM'!$A$2:$A$501,0)),""))</f>
        <v/>
      </c>
      <c r="D180" s="56"/>
      <c r="E180" s="58" t="str">
        <f t="shared" si="13"/>
        <v/>
      </c>
      <c r="F180" s="56"/>
      <c r="G180" s="58" t="str">
        <f t="shared" si="14"/>
        <v/>
      </c>
      <c r="H180" s="56"/>
      <c r="I180" s="58" t="str">
        <f t="shared" si="15"/>
        <v/>
      </c>
      <c r="J180" s="56" t="str">
        <f t="shared" si="16"/>
        <v/>
      </c>
      <c r="K180" s="65"/>
    </row>
    <row r="181" spans="1:11" ht="15" customHeight="1" x14ac:dyDescent="0.2">
      <c r="A181" s="60" t="str">
        <f t="shared" si="12"/>
        <v/>
      </c>
      <c r="B181" s="56"/>
      <c r="C181" s="58" t="str">
        <f>IF(B181="","",IFERROR(INDEX('21 2026 ÜRETİM'!$F$2:$F$501,MATCH(B181,'21 2026 ÜRETİM'!$A$2:$A$501,0)),""))</f>
        <v/>
      </c>
      <c r="D181" s="56"/>
      <c r="E181" s="58" t="str">
        <f t="shared" si="13"/>
        <v/>
      </c>
      <c r="F181" s="56"/>
      <c r="G181" s="58" t="str">
        <f t="shared" si="14"/>
        <v/>
      </c>
      <c r="H181" s="56"/>
      <c r="I181" s="58" t="str">
        <f t="shared" si="15"/>
        <v/>
      </c>
      <c r="J181" s="56" t="str">
        <f t="shared" si="16"/>
        <v/>
      </c>
      <c r="K181" s="65"/>
    </row>
    <row r="182" spans="1:11" ht="15" customHeight="1" x14ac:dyDescent="0.2">
      <c r="A182" s="60" t="str">
        <f t="shared" si="12"/>
        <v/>
      </c>
      <c r="B182" s="56"/>
      <c r="C182" s="58" t="str">
        <f>IF(B182="","",IFERROR(INDEX('21 2026 ÜRETİM'!$F$2:$F$501,MATCH(B182,'21 2026 ÜRETİM'!$A$2:$A$501,0)),""))</f>
        <v/>
      </c>
      <c r="D182" s="56"/>
      <c r="E182" s="58" t="str">
        <f t="shared" si="13"/>
        <v/>
      </c>
      <c r="F182" s="56"/>
      <c r="G182" s="58" t="str">
        <f t="shared" si="14"/>
        <v/>
      </c>
      <c r="H182" s="56"/>
      <c r="I182" s="58" t="str">
        <f t="shared" si="15"/>
        <v/>
      </c>
      <c r="J182" s="56" t="str">
        <f t="shared" si="16"/>
        <v/>
      </c>
      <c r="K182" s="65"/>
    </row>
    <row r="183" spans="1:11" ht="15" customHeight="1" x14ac:dyDescent="0.2">
      <c r="A183" s="60" t="str">
        <f t="shared" si="12"/>
        <v/>
      </c>
      <c r="B183" s="56"/>
      <c r="C183" s="58" t="str">
        <f>IF(B183="","",IFERROR(INDEX('21 2026 ÜRETİM'!$F$2:$F$501,MATCH(B183,'21 2026 ÜRETİM'!$A$2:$A$501,0)),""))</f>
        <v/>
      </c>
      <c r="D183" s="56"/>
      <c r="E183" s="58" t="str">
        <f t="shared" si="13"/>
        <v/>
      </c>
      <c r="F183" s="56"/>
      <c r="G183" s="58" t="str">
        <f t="shared" si="14"/>
        <v/>
      </c>
      <c r="H183" s="56"/>
      <c r="I183" s="58" t="str">
        <f t="shared" si="15"/>
        <v/>
      </c>
      <c r="J183" s="56" t="str">
        <f t="shared" si="16"/>
        <v/>
      </c>
      <c r="K183" s="65"/>
    </row>
    <row r="184" spans="1:11" ht="15" customHeight="1" x14ac:dyDescent="0.2">
      <c r="A184" s="60" t="str">
        <f t="shared" si="12"/>
        <v/>
      </c>
      <c r="B184" s="56"/>
      <c r="C184" s="58" t="str">
        <f>IF(B184="","",IFERROR(INDEX('21 2026 ÜRETİM'!$F$2:$F$501,MATCH(B184,'21 2026 ÜRETİM'!$A$2:$A$501,0)),""))</f>
        <v/>
      </c>
      <c r="D184" s="56"/>
      <c r="E184" s="58" t="str">
        <f t="shared" si="13"/>
        <v/>
      </c>
      <c r="F184" s="56"/>
      <c r="G184" s="58" t="str">
        <f t="shared" si="14"/>
        <v/>
      </c>
      <c r="H184" s="56"/>
      <c r="I184" s="58" t="str">
        <f t="shared" si="15"/>
        <v/>
      </c>
      <c r="J184" s="56" t="str">
        <f t="shared" si="16"/>
        <v/>
      </c>
      <c r="K184" s="65"/>
    </row>
    <row r="185" spans="1:11" ht="15" customHeight="1" x14ac:dyDescent="0.2">
      <c r="A185" s="60" t="str">
        <f t="shared" si="12"/>
        <v/>
      </c>
      <c r="B185" s="56"/>
      <c r="C185" s="58" t="str">
        <f>IF(B185="","",IFERROR(INDEX('21 2026 ÜRETİM'!$F$2:$F$501,MATCH(B185,'21 2026 ÜRETİM'!$A$2:$A$501,0)),""))</f>
        <v/>
      </c>
      <c r="D185" s="56"/>
      <c r="E185" s="58" t="str">
        <f t="shared" si="13"/>
        <v/>
      </c>
      <c r="F185" s="56"/>
      <c r="G185" s="58" t="str">
        <f t="shared" si="14"/>
        <v/>
      </c>
      <c r="H185" s="56"/>
      <c r="I185" s="58" t="str">
        <f t="shared" si="15"/>
        <v/>
      </c>
      <c r="J185" s="56" t="str">
        <f t="shared" si="16"/>
        <v/>
      </c>
      <c r="K185" s="65"/>
    </row>
    <row r="186" spans="1:11" ht="15" customHeight="1" x14ac:dyDescent="0.2">
      <c r="A186" s="60" t="str">
        <f t="shared" si="12"/>
        <v/>
      </c>
      <c r="B186" s="56"/>
      <c r="C186" s="58" t="str">
        <f>IF(B186="","",IFERROR(INDEX('21 2026 ÜRETİM'!$F$2:$F$501,MATCH(B186,'21 2026 ÜRETİM'!$A$2:$A$501,0)),""))</f>
        <v/>
      </c>
      <c r="D186" s="56"/>
      <c r="E186" s="58" t="str">
        <f t="shared" si="13"/>
        <v/>
      </c>
      <c r="F186" s="56"/>
      <c r="G186" s="58" t="str">
        <f t="shared" si="14"/>
        <v/>
      </c>
      <c r="H186" s="56"/>
      <c r="I186" s="58" t="str">
        <f t="shared" si="15"/>
        <v/>
      </c>
      <c r="J186" s="56" t="str">
        <f t="shared" si="16"/>
        <v/>
      </c>
      <c r="K186" s="65"/>
    </row>
    <row r="187" spans="1:11" ht="15" customHeight="1" x14ac:dyDescent="0.2">
      <c r="A187" s="60" t="str">
        <f t="shared" si="12"/>
        <v/>
      </c>
      <c r="B187" s="56"/>
      <c r="C187" s="58" t="str">
        <f>IF(B187="","",IFERROR(INDEX('21 2026 ÜRETİM'!$F$2:$F$501,MATCH(B187,'21 2026 ÜRETİM'!$A$2:$A$501,0)),""))</f>
        <v/>
      </c>
      <c r="D187" s="56"/>
      <c r="E187" s="58" t="str">
        <f t="shared" si="13"/>
        <v/>
      </c>
      <c r="F187" s="56"/>
      <c r="G187" s="58" t="str">
        <f t="shared" si="14"/>
        <v/>
      </c>
      <c r="H187" s="56"/>
      <c r="I187" s="58" t="str">
        <f t="shared" si="15"/>
        <v/>
      </c>
      <c r="J187" s="56" t="str">
        <f t="shared" si="16"/>
        <v/>
      </c>
      <c r="K187" s="65"/>
    </row>
    <row r="188" spans="1:11" ht="15" customHeight="1" x14ac:dyDescent="0.2">
      <c r="A188" s="60" t="str">
        <f t="shared" si="12"/>
        <v/>
      </c>
      <c r="B188" s="56"/>
      <c r="C188" s="58" t="str">
        <f>IF(B188="","",IFERROR(INDEX('21 2026 ÜRETİM'!$F$2:$F$501,MATCH(B188,'21 2026 ÜRETİM'!$A$2:$A$501,0)),""))</f>
        <v/>
      </c>
      <c r="D188" s="56"/>
      <c r="E188" s="58" t="str">
        <f t="shared" si="13"/>
        <v/>
      </c>
      <c r="F188" s="56"/>
      <c r="G188" s="58" t="str">
        <f t="shared" si="14"/>
        <v/>
      </c>
      <c r="H188" s="56"/>
      <c r="I188" s="58" t="str">
        <f t="shared" si="15"/>
        <v/>
      </c>
      <c r="J188" s="56" t="str">
        <f t="shared" si="16"/>
        <v/>
      </c>
      <c r="K188" s="65"/>
    </row>
    <row r="189" spans="1:11" ht="15" customHeight="1" x14ac:dyDescent="0.2">
      <c r="A189" s="60" t="str">
        <f t="shared" si="12"/>
        <v/>
      </c>
      <c r="B189" s="56"/>
      <c r="C189" s="58" t="str">
        <f>IF(B189="","",IFERROR(INDEX('21 2026 ÜRETİM'!$F$2:$F$501,MATCH(B189,'21 2026 ÜRETİM'!$A$2:$A$501,0)),""))</f>
        <v/>
      </c>
      <c r="D189" s="56"/>
      <c r="E189" s="58" t="str">
        <f t="shared" si="13"/>
        <v/>
      </c>
      <c r="F189" s="56"/>
      <c r="G189" s="58" t="str">
        <f t="shared" si="14"/>
        <v/>
      </c>
      <c r="H189" s="56"/>
      <c r="I189" s="58" t="str">
        <f t="shared" si="15"/>
        <v/>
      </c>
      <c r="J189" s="56" t="str">
        <f t="shared" si="16"/>
        <v/>
      </c>
      <c r="K189" s="65"/>
    </row>
    <row r="190" spans="1:11" ht="15" customHeight="1" x14ac:dyDescent="0.2">
      <c r="A190" s="60" t="str">
        <f t="shared" si="12"/>
        <v/>
      </c>
      <c r="B190" s="56"/>
      <c r="C190" s="58" t="str">
        <f>IF(B190="","",IFERROR(INDEX('21 2026 ÜRETİM'!$F$2:$F$501,MATCH(B190,'21 2026 ÜRETİM'!$A$2:$A$501,0)),""))</f>
        <v/>
      </c>
      <c r="D190" s="56"/>
      <c r="E190" s="58" t="str">
        <f t="shared" si="13"/>
        <v/>
      </c>
      <c r="F190" s="56"/>
      <c r="G190" s="58" t="str">
        <f t="shared" si="14"/>
        <v/>
      </c>
      <c r="H190" s="56"/>
      <c r="I190" s="58" t="str">
        <f t="shared" si="15"/>
        <v/>
      </c>
      <c r="J190" s="56" t="str">
        <f t="shared" si="16"/>
        <v/>
      </c>
      <c r="K190" s="65"/>
    </row>
    <row r="191" spans="1:11" ht="15" customHeight="1" x14ac:dyDescent="0.2">
      <c r="A191" s="60" t="str">
        <f t="shared" si="12"/>
        <v/>
      </c>
      <c r="B191" s="56"/>
      <c r="C191" s="58" t="str">
        <f>IF(B191="","",IFERROR(INDEX('21 2026 ÜRETİM'!$F$2:$F$501,MATCH(B191,'21 2026 ÜRETİM'!$A$2:$A$501,0)),""))</f>
        <v/>
      </c>
      <c r="D191" s="56"/>
      <c r="E191" s="58" t="str">
        <f t="shared" si="13"/>
        <v/>
      </c>
      <c r="F191" s="56"/>
      <c r="G191" s="58" t="str">
        <f t="shared" si="14"/>
        <v/>
      </c>
      <c r="H191" s="56"/>
      <c r="I191" s="58" t="str">
        <f t="shared" si="15"/>
        <v/>
      </c>
      <c r="J191" s="56" t="str">
        <f t="shared" si="16"/>
        <v/>
      </c>
      <c r="K191" s="65"/>
    </row>
    <row r="192" spans="1:11" ht="15" customHeight="1" x14ac:dyDescent="0.2">
      <c r="A192" s="60" t="str">
        <f t="shared" si="12"/>
        <v/>
      </c>
      <c r="B192" s="56"/>
      <c r="C192" s="58" t="str">
        <f>IF(B192="","",IFERROR(INDEX('21 2026 ÜRETİM'!$F$2:$F$501,MATCH(B192,'21 2026 ÜRETİM'!$A$2:$A$501,0)),""))</f>
        <v/>
      </c>
      <c r="D192" s="56"/>
      <c r="E192" s="58" t="str">
        <f t="shared" si="13"/>
        <v/>
      </c>
      <c r="F192" s="56"/>
      <c r="G192" s="58" t="str">
        <f t="shared" si="14"/>
        <v/>
      </c>
      <c r="H192" s="56"/>
      <c r="I192" s="58" t="str">
        <f t="shared" si="15"/>
        <v/>
      </c>
      <c r="J192" s="56" t="str">
        <f t="shared" si="16"/>
        <v/>
      </c>
      <c r="K192" s="65"/>
    </row>
    <row r="193" spans="1:11" ht="15" customHeight="1" x14ac:dyDescent="0.2">
      <c r="A193" s="60" t="str">
        <f t="shared" si="12"/>
        <v/>
      </c>
      <c r="B193" s="56"/>
      <c r="C193" s="58" t="str">
        <f>IF(B193="","",IFERROR(INDEX('21 2026 ÜRETİM'!$F$2:$F$501,MATCH(B193,'21 2026 ÜRETİM'!$A$2:$A$501,0)),""))</f>
        <v/>
      </c>
      <c r="D193" s="56"/>
      <c r="E193" s="58" t="str">
        <f t="shared" si="13"/>
        <v/>
      </c>
      <c r="F193" s="56"/>
      <c r="G193" s="58" t="str">
        <f t="shared" si="14"/>
        <v/>
      </c>
      <c r="H193" s="56"/>
      <c r="I193" s="58" t="str">
        <f t="shared" si="15"/>
        <v/>
      </c>
      <c r="J193" s="56" t="str">
        <f t="shared" si="16"/>
        <v/>
      </c>
      <c r="K193" s="65"/>
    </row>
    <row r="194" spans="1:11" ht="15" customHeight="1" x14ac:dyDescent="0.2">
      <c r="A194" s="60" t="str">
        <f t="shared" si="12"/>
        <v/>
      </c>
      <c r="B194" s="56"/>
      <c r="C194" s="58" t="str">
        <f>IF(B194="","",IFERROR(INDEX('21 2026 ÜRETİM'!$F$2:$F$501,MATCH(B194,'21 2026 ÜRETİM'!$A$2:$A$501,0)),""))</f>
        <v/>
      </c>
      <c r="D194" s="56"/>
      <c r="E194" s="58" t="str">
        <f t="shared" si="13"/>
        <v/>
      </c>
      <c r="F194" s="56"/>
      <c r="G194" s="58" t="str">
        <f t="shared" si="14"/>
        <v/>
      </c>
      <c r="H194" s="56"/>
      <c r="I194" s="58" t="str">
        <f t="shared" si="15"/>
        <v/>
      </c>
      <c r="J194" s="56" t="str">
        <f t="shared" si="16"/>
        <v/>
      </c>
      <c r="K194" s="65"/>
    </row>
    <row r="195" spans="1:11" ht="15" customHeight="1" x14ac:dyDescent="0.2">
      <c r="A195" s="60" t="str">
        <f t="shared" si="12"/>
        <v/>
      </c>
      <c r="B195" s="56"/>
      <c r="C195" s="58" t="str">
        <f>IF(B195="","",IFERROR(INDEX('21 2026 ÜRETİM'!$F$2:$F$501,MATCH(B195,'21 2026 ÜRETİM'!$A$2:$A$501,0)),""))</f>
        <v/>
      </c>
      <c r="D195" s="56"/>
      <c r="E195" s="58" t="str">
        <f t="shared" si="13"/>
        <v/>
      </c>
      <c r="F195" s="56"/>
      <c r="G195" s="58" t="str">
        <f t="shared" si="14"/>
        <v/>
      </c>
      <c r="H195" s="56"/>
      <c r="I195" s="58" t="str">
        <f t="shared" si="15"/>
        <v/>
      </c>
      <c r="J195" s="56" t="str">
        <f t="shared" si="16"/>
        <v/>
      </c>
      <c r="K195" s="65"/>
    </row>
    <row r="196" spans="1:11" ht="15" customHeight="1" x14ac:dyDescent="0.2">
      <c r="A196" s="60" t="str">
        <f t="shared" si="12"/>
        <v/>
      </c>
      <c r="B196" s="56"/>
      <c r="C196" s="58" t="str">
        <f>IF(B196="","",IFERROR(INDEX('21 2026 ÜRETİM'!$F$2:$F$501,MATCH(B196,'21 2026 ÜRETİM'!$A$2:$A$501,0)),""))</f>
        <v/>
      </c>
      <c r="D196" s="56"/>
      <c r="E196" s="58" t="str">
        <f t="shared" si="13"/>
        <v/>
      </c>
      <c r="F196" s="56"/>
      <c r="G196" s="58" t="str">
        <f t="shared" si="14"/>
        <v/>
      </c>
      <c r="H196" s="56"/>
      <c r="I196" s="58" t="str">
        <f t="shared" si="15"/>
        <v/>
      </c>
      <c r="J196" s="56" t="str">
        <f t="shared" si="16"/>
        <v/>
      </c>
      <c r="K196" s="65"/>
    </row>
    <row r="197" spans="1:11" ht="15" customHeight="1" x14ac:dyDescent="0.2">
      <c r="A197" s="60" t="str">
        <f t="shared" si="12"/>
        <v/>
      </c>
      <c r="B197" s="56"/>
      <c r="C197" s="58" t="str">
        <f>IF(B197="","",IFERROR(INDEX('21 2026 ÜRETİM'!$F$2:$F$501,MATCH(B197,'21 2026 ÜRETİM'!$A$2:$A$501,0)),""))</f>
        <v/>
      </c>
      <c r="D197" s="56"/>
      <c r="E197" s="58" t="str">
        <f t="shared" si="13"/>
        <v/>
      </c>
      <c r="F197" s="56"/>
      <c r="G197" s="58" t="str">
        <f t="shared" si="14"/>
        <v/>
      </c>
      <c r="H197" s="56"/>
      <c r="I197" s="58" t="str">
        <f t="shared" si="15"/>
        <v/>
      </c>
      <c r="J197" s="56" t="str">
        <f t="shared" si="16"/>
        <v/>
      </c>
      <c r="K197" s="65"/>
    </row>
    <row r="198" spans="1:11" ht="15" customHeight="1" x14ac:dyDescent="0.2">
      <c r="A198" s="60" t="str">
        <f t="shared" si="12"/>
        <v/>
      </c>
      <c r="B198" s="56"/>
      <c r="C198" s="58" t="str">
        <f>IF(B198="","",IFERROR(INDEX('21 2026 ÜRETİM'!$F$2:$F$501,MATCH(B198,'21 2026 ÜRETİM'!$A$2:$A$501,0)),""))</f>
        <v/>
      </c>
      <c r="D198" s="56"/>
      <c r="E198" s="58" t="str">
        <f t="shared" si="13"/>
        <v/>
      </c>
      <c r="F198" s="56"/>
      <c r="G198" s="58" t="str">
        <f t="shared" si="14"/>
        <v/>
      </c>
      <c r="H198" s="56"/>
      <c r="I198" s="58" t="str">
        <f t="shared" si="15"/>
        <v/>
      </c>
      <c r="J198" s="56" t="str">
        <f t="shared" si="16"/>
        <v/>
      </c>
      <c r="K198" s="65"/>
    </row>
    <row r="199" spans="1:11" ht="15" customHeight="1" x14ac:dyDescent="0.2">
      <c r="A199" s="60" t="str">
        <f t="shared" si="12"/>
        <v/>
      </c>
      <c r="B199" s="56"/>
      <c r="C199" s="58" t="str">
        <f>IF(B199="","",IFERROR(INDEX('21 2026 ÜRETİM'!$F$2:$F$501,MATCH(B199,'21 2026 ÜRETİM'!$A$2:$A$501,0)),""))</f>
        <v/>
      </c>
      <c r="D199" s="56"/>
      <c r="E199" s="58" t="str">
        <f t="shared" si="13"/>
        <v/>
      </c>
      <c r="F199" s="56"/>
      <c r="G199" s="58" t="str">
        <f t="shared" si="14"/>
        <v/>
      </c>
      <c r="H199" s="56"/>
      <c r="I199" s="58" t="str">
        <f t="shared" si="15"/>
        <v/>
      </c>
      <c r="J199" s="56" t="str">
        <f t="shared" si="16"/>
        <v/>
      </c>
      <c r="K199" s="65"/>
    </row>
    <row r="200" spans="1:11" ht="15" customHeight="1" x14ac:dyDescent="0.2">
      <c r="A200" s="60" t="str">
        <f t="shared" si="12"/>
        <v/>
      </c>
      <c r="B200" s="56"/>
      <c r="C200" s="58" t="str">
        <f>IF(B200="","",IFERROR(INDEX('21 2026 ÜRETİM'!$F$2:$F$501,MATCH(B200,'21 2026 ÜRETİM'!$A$2:$A$501,0)),""))</f>
        <v/>
      </c>
      <c r="D200" s="56"/>
      <c r="E200" s="58" t="str">
        <f t="shared" si="13"/>
        <v/>
      </c>
      <c r="F200" s="56"/>
      <c r="G200" s="58" t="str">
        <f t="shared" si="14"/>
        <v/>
      </c>
      <c r="H200" s="56"/>
      <c r="I200" s="58" t="str">
        <f t="shared" si="15"/>
        <v/>
      </c>
      <c r="J200" s="56" t="str">
        <f t="shared" si="16"/>
        <v/>
      </c>
      <c r="K200" s="65"/>
    </row>
    <row r="201" spans="1:11" ht="15" customHeight="1" x14ac:dyDescent="0.2">
      <c r="A201" s="60" t="str">
        <f t="shared" si="12"/>
        <v/>
      </c>
      <c r="B201" s="56"/>
      <c r="C201" s="58" t="str">
        <f>IF(B201="","",IFERROR(INDEX('21 2026 ÜRETİM'!$F$2:$F$501,MATCH(B201,'21 2026 ÜRETİM'!$A$2:$A$501,0)),""))</f>
        <v/>
      </c>
      <c r="D201" s="56"/>
      <c r="E201" s="58" t="str">
        <f t="shared" si="13"/>
        <v/>
      </c>
      <c r="F201" s="56"/>
      <c r="G201" s="58" t="str">
        <f t="shared" si="14"/>
        <v/>
      </c>
      <c r="H201" s="56"/>
      <c r="I201" s="58" t="str">
        <f t="shared" si="15"/>
        <v/>
      </c>
      <c r="J201" s="56" t="str">
        <f t="shared" si="16"/>
        <v/>
      </c>
      <c r="K201" s="65"/>
    </row>
    <row r="202" spans="1:11" ht="15" customHeight="1" x14ac:dyDescent="0.2">
      <c r="A202" s="60" t="str">
        <f t="shared" si="12"/>
        <v/>
      </c>
      <c r="B202" s="56"/>
      <c r="C202" s="58" t="str">
        <f>IF(B202="","",IFERROR(INDEX('21 2026 ÜRETİM'!$F$2:$F$501,MATCH(B202,'21 2026 ÜRETİM'!$A$2:$A$501,0)),""))</f>
        <v/>
      </c>
      <c r="D202" s="56"/>
      <c r="E202" s="58" t="str">
        <f t="shared" si="13"/>
        <v/>
      </c>
      <c r="F202" s="56"/>
      <c r="G202" s="58" t="str">
        <f t="shared" si="14"/>
        <v/>
      </c>
      <c r="H202" s="56"/>
      <c r="I202" s="58" t="str">
        <f t="shared" si="15"/>
        <v/>
      </c>
      <c r="J202" s="56" t="str">
        <f t="shared" si="16"/>
        <v/>
      </c>
      <c r="K202" s="65"/>
    </row>
    <row r="203" spans="1:11" ht="15" customHeight="1" x14ac:dyDescent="0.2">
      <c r="A203" s="60" t="str">
        <f t="shared" si="12"/>
        <v/>
      </c>
      <c r="B203" s="56"/>
      <c r="C203" s="58" t="str">
        <f>IF(B203="","",IFERROR(INDEX('21 2026 ÜRETİM'!$F$2:$F$501,MATCH(B203,'21 2026 ÜRETİM'!$A$2:$A$501,0)),""))</f>
        <v/>
      </c>
      <c r="D203" s="56"/>
      <c r="E203" s="58" t="str">
        <f t="shared" si="13"/>
        <v/>
      </c>
      <c r="F203" s="56"/>
      <c r="G203" s="58" t="str">
        <f t="shared" si="14"/>
        <v/>
      </c>
      <c r="H203" s="56"/>
      <c r="I203" s="58" t="str">
        <f t="shared" si="15"/>
        <v/>
      </c>
      <c r="J203" s="56" t="str">
        <f t="shared" si="16"/>
        <v/>
      </c>
      <c r="K203" s="65"/>
    </row>
    <row r="204" spans="1:11" ht="15" customHeight="1" x14ac:dyDescent="0.2">
      <c r="A204" s="60" t="str">
        <f t="shared" si="12"/>
        <v/>
      </c>
      <c r="B204" s="56"/>
      <c r="C204" s="58" t="str">
        <f>IF(B204="","",IFERROR(INDEX('21 2026 ÜRETİM'!$F$2:$F$501,MATCH(B204,'21 2026 ÜRETİM'!$A$2:$A$501,0)),""))</f>
        <v/>
      </c>
      <c r="D204" s="56"/>
      <c r="E204" s="58" t="str">
        <f t="shared" si="13"/>
        <v/>
      </c>
      <c r="F204" s="56"/>
      <c r="G204" s="58" t="str">
        <f t="shared" si="14"/>
        <v/>
      </c>
      <c r="H204" s="56"/>
      <c r="I204" s="58" t="str">
        <f t="shared" si="15"/>
        <v/>
      </c>
      <c r="J204" s="56" t="str">
        <f t="shared" si="16"/>
        <v/>
      </c>
      <c r="K204" s="65"/>
    </row>
    <row r="205" spans="1:11" ht="15" customHeight="1" x14ac:dyDescent="0.2">
      <c r="A205" s="60" t="str">
        <f t="shared" ref="A205:A268" si="17">IF(B205="","",IFERROR(DATE(RIGHT(B205,4),MID(B205,4,2),LEFT(B205,2))+1,""))</f>
        <v/>
      </c>
      <c r="B205" s="56"/>
      <c r="C205" s="58" t="str">
        <f>IF(B205="","",IFERROR(INDEX('21 2026 ÜRETİM'!$F$2:$F$501,MATCH(B205,'21 2026 ÜRETİM'!$A$2:$A$501,0)),""))</f>
        <v/>
      </c>
      <c r="D205" s="56"/>
      <c r="E205" s="58" t="str">
        <f t="shared" ref="E205:E268" si="18">IF(D205="","",D205*0.5)</f>
        <v/>
      </c>
      <c r="F205" s="56"/>
      <c r="G205" s="58" t="str">
        <f t="shared" ref="G205:G268" si="19">IF(F205="","",F205*2.5)</f>
        <v/>
      </c>
      <c r="H205" s="56"/>
      <c r="I205" s="58" t="str">
        <f t="shared" ref="I205:I268" si="20">IF(C205="","",C205-E205-G205-IF(H205="",0,H205))</f>
        <v/>
      </c>
      <c r="J205" s="56" t="str">
        <f t="shared" ref="J205:J268" si="21">IF(C205="","",IF(ABS(I205)&lt;0.001,"KAPALI","KONTROL"))</f>
        <v/>
      </c>
      <c r="K205" s="65"/>
    </row>
    <row r="206" spans="1:11" ht="15" customHeight="1" x14ac:dyDescent="0.2">
      <c r="A206" s="60" t="str">
        <f t="shared" si="17"/>
        <v/>
      </c>
      <c r="B206" s="56"/>
      <c r="C206" s="58" t="str">
        <f>IF(B206="","",IFERROR(INDEX('21 2026 ÜRETİM'!$F$2:$F$501,MATCH(B206,'21 2026 ÜRETİM'!$A$2:$A$501,0)),""))</f>
        <v/>
      </c>
      <c r="D206" s="56"/>
      <c r="E206" s="58" t="str">
        <f t="shared" si="18"/>
        <v/>
      </c>
      <c r="F206" s="56"/>
      <c r="G206" s="58" t="str">
        <f t="shared" si="19"/>
        <v/>
      </c>
      <c r="H206" s="56"/>
      <c r="I206" s="58" t="str">
        <f t="shared" si="20"/>
        <v/>
      </c>
      <c r="J206" s="56" t="str">
        <f t="shared" si="21"/>
        <v/>
      </c>
      <c r="K206" s="65"/>
    </row>
    <row r="207" spans="1:11" ht="15" customHeight="1" x14ac:dyDescent="0.2">
      <c r="A207" s="60" t="str">
        <f t="shared" si="17"/>
        <v/>
      </c>
      <c r="B207" s="56"/>
      <c r="C207" s="58" t="str">
        <f>IF(B207="","",IFERROR(INDEX('21 2026 ÜRETİM'!$F$2:$F$501,MATCH(B207,'21 2026 ÜRETİM'!$A$2:$A$501,0)),""))</f>
        <v/>
      </c>
      <c r="D207" s="56"/>
      <c r="E207" s="58" t="str">
        <f t="shared" si="18"/>
        <v/>
      </c>
      <c r="F207" s="56"/>
      <c r="G207" s="58" t="str">
        <f t="shared" si="19"/>
        <v/>
      </c>
      <c r="H207" s="56"/>
      <c r="I207" s="58" t="str">
        <f t="shared" si="20"/>
        <v/>
      </c>
      <c r="J207" s="56" t="str">
        <f t="shared" si="21"/>
        <v/>
      </c>
      <c r="K207" s="65"/>
    </row>
    <row r="208" spans="1:11" ht="15" customHeight="1" x14ac:dyDescent="0.2">
      <c r="A208" s="60" t="str">
        <f t="shared" si="17"/>
        <v/>
      </c>
      <c r="B208" s="56"/>
      <c r="C208" s="58" t="str">
        <f>IF(B208="","",IFERROR(INDEX('21 2026 ÜRETİM'!$F$2:$F$501,MATCH(B208,'21 2026 ÜRETİM'!$A$2:$A$501,0)),""))</f>
        <v/>
      </c>
      <c r="D208" s="56"/>
      <c r="E208" s="58" t="str">
        <f t="shared" si="18"/>
        <v/>
      </c>
      <c r="F208" s="56"/>
      <c r="G208" s="58" t="str">
        <f t="shared" si="19"/>
        <v/>
      </c>
      <c r="H208" s="56"/>
      <c r="I208" s="58" t="str">
        <f t="shared" si="20"/>
        <v/>
      </c>
      <c r="J208" s="56" t="str">
        <f t="shared" si="21"/>
        <v/>
      </c>
      <c r="K208" s="65"/>
    </row>
    <row r="209" spans="1:11" ht="15" customHeight="1" x14ac:dyDescent="0.2">
      <c r="A209" s="60" t="str">
        <f t="shared" si="17"/>
        <v/>
      </c>
      <c r="B209" s="56"/>
      <c r="C209" s="58" t="str">
        <f>IF(B209="","",IFERROR(INDEX('21 2026 ÜRETİM'!$F$2:$F$501,MATCH(B209,'21 2026 ÜRETİM'!$A$2:$A$501,0)),""))</f>
        <v/>
      </c>
      <c r="D209" s="56"/>
      <c r="E209" s="58" t="str">
        <f t="shared" si="18"/>
        <v/>
      </c>
      <c r="F209" s="56"/>
      <c r="G209" s="58" t="str">
        <f t="shared" si="19"/>
        <v/>
      </c>
      <c r="H209" s="56"/>
      <c r="I209" s="58" t="str">
        <f t="shared" si="20"/>
        <v/>
      </c>
      <c r="J209" s="56" t="str">
        <f t="shared" si="21"/>
        <v/>
      </c>
      <c r="K209" s="65"/>
    </row>
    <row r="210" spans="1:11" ht="15" customHeight="1" x14ac:dyDescent="0.2">
      <c r="A210" s="60" t="str">
        <f t="shared" si="17"/>
        <v/>
      </c>
      <c r="B210" s="56"/>
      <c r="C210" s="58" t="str">
        <f>IF(B210="","",IFERROR(INDEX('21 2026 ÜRETİM'!$F$2:$F$501,MATCH(B210,'21 2026 ÜRETİM'!$A$2:$A$501,0)),""))</f>
        <v/>
      </c>
      <c r="D210" s="56"/>
      <c r="E210" s="58" t="str">
        <f t="shared" si="18"/>
        <v/>
      </c>
      <c r="F210" s="56"/>
      <c r="G210" s="58" t="str">
        <f t="shared" si="19"/>
        <v/>
      </c>
      <c r="H210" s="56"/>
      <c r="I210" s="58" t="str">
        <f t="shared" si="20"/>
        <v/>
      </c>
      <c r="J210" s="56" t="str">
        <f t="shared" si="21"/>
        <v/>
      </c>
      <c r="K210" s="65"/>
    </row>
    <row r="211" spans="1:11" ht="15" customHeight="1" x14ac:dyDescent="0.2">
      <c r="A211" s="60" t="str">
        <f t="shared" si="17"/>
        <v/>
      </c>
      <c r="B211" s="56"/>
      <c r="C211" s="58" t="str">
        <f>IF(B211="","",IFERROR(INDEX('21 2026 ÜRETİM'!$F$2:$F$501,MATCH(B211,'21 2026 ÜRETİM'!$A$2:$A$501,0)),""))</f>
        <v/>
      </c>
      <c r="D211" s="56"/>
      <c r="E211" s="58" t="str">
        <f t="shared" si="18"/>
        <v/>
      </c>
      <c r="F211" s="56"/>
      <c r="G211" s="58" t="str">
        <f t="shared" si="19"/>
        <v/>
      </c>
      <c r="H211" s="56"/>
      <c r="I211" s="58" t="str">
        <f t="shared" si="20"/>
        <v/>
      </c>
      <c r="J211" s="56" t="str">
        <f t="shared" si="21"/>
        <v/>
      </c>
      <c r="K211" s="65"/>
    </row>
    <row r="212" spans="1:11" ht="15" customHeight="1" x14ac:dyDescent="0.2">
      <c r="A212" s="60" t="str">
        <f t="shared" si="17"/>
        <v/>
      </c>
      <c r="B212" s="56"/>
      <c r="C212" s="58" t="str">
        <f>IF(B212="","",IFERROR(INDEX('21 2026 ÜRETİM'!$F$2:$F$501,MATCH(B212,'21 2026 ÜRETİM'!$A$2:$A$501,0)),""))</f>
        <v/>
      </c>
      <c r="D212" s="56"/>
      <c r="E212" s="58" t="str">
        <f t="shared" si="18"/>
        <v/>
      </c>
      <c r="F212" s="56"/>
      <c r="G212" s="58" t="str">
        <f t="shared" si="19"/>
        <v/>
      </c>
      <c r="H212" s="56"/>
      <c r="I212" s="58" t="str">
        <f t="shared" si="20"/>
        <v/>
      </c>
      <c r="J212" s="56" t="str">
        <f t="shared" si="21"/>
        <v/>
      </c>
      <c r="K212" s="65"/>
    </row>
    <row r="213" spans="1:11" ht="15" customHeight="1" x14ac:dyDescent="0.2">
      <c r="A213" s="60" t="str">
        <f t="shared" si="17"/>
        <v/>
      </c>
      <c r="B213" s="56"/>
      <c r="C213" s="58" t="str">
        <f>IF(B213="","",IFERROR(INDEX('21 2026 ÜRETİM'!$F$2:$F$501,MATCH(B213,'21 2026 ÜRETİM'!$A$2:$A$501,0)),""))</f>
        <v/>
      </c>
      <c r="D213" s="56"/>
      <c r="E213" s="58" t="str">
        <f t="shared" si="18"/>
        <v/>
      </c>
      <c r="F213" s="56"/>
      <c r="G213" s="58" t="str">
        <f t="shared" si="19"/>
        <v/>
      </c>
      <c r="H213" s="56"/>
      <c r="I213" s="58" t="str">
        <f t="shared" si="20"/>
        <v/>
      </c>
      <c r="J213" s="56" t="str">
        <f t="shared" si="21"/>
        <v/>
      </c>
      <c r="K213" s="65"/>
    </row>
    <row r="214" spans="1:11" ht="15" customHeight="1" x14ac:dyDescent="0.2">
      <c r="A214" s="60" t="str">
        <f t="shared" si="17"/>
        <v/>
      </c>
      <c r="B214" s="56"/>
      <c r="C214" s="58" t="str">
        <f>IF(B214="","",IFERROR(INDEX('21 2026 ÜRETİM'!$F$2:$F$501,MATCH(B214,'21 2026 ÜRETİM'!$A$2:$A$501,0)),""))</f>
        <v/>
      </c>
      <c r="D214" s="56"/>
      <c r="E214" s="58" t="str">
        <f t="shared" si="18"/>
        <v/>
      </c>
      <c r="F214" s="56"/>
      <c r="G214" s="58" t="str">
        <f t="shared" si="19"/>
        <v/>
      </c>
      <c r="H214" s="56"/>
      <c r="I214" s="58" t="str">
        <f t="shared" si="20"/>
        <v/>
      </c>
      <c r="J214" s="56" t="str">
        <f t="shared" si="21"/>
        <v/>
      </c>
      <c r="K214" s="65"/>
    </row>
    <row r="215" spans="1:11" ht="15" customHeight="1" x14ac:dyDescent="0.2">
      <c r="A215" s="60" t="str">
        <f t="shared" si="17"/>
        <v/>
      </c>
      <c r="B215" s="56"/>
      <c r="C215" s="58" t="str">
        <f>IF(B215="","",IFERROR(INDEX('21 2026 ÜRETİM'!$F$2:$F$501,MATCH(B215,'21 2026 ÜRETİM'!$A$2:$A$501,0)),""))</f>
        <v/>
      </c>
      <c r="D215" s="56"/>
      <c r="E215" s="58" t="str">
        <f t="shared" si="18"/>
        <v/>
      </c>
      <c r="F215" s="56"/>
      <c r="G215" s="58" t="str">
        <f t="shared" si="19"/>
        <v/>
      </c>
      <c r="H215" s="56"/>
      <c r="I215" s="58" t="str">
        <f t="shared" si="20"/>
        <v/>
      </c>
      <c r="J215" s="56" t="str">
        <f t="shared" si="21"/>
        <v/>
      </c>
      <c r="K215" s="65"/>
    </row>
    <row r="216" spans="1:11" ht="15" customHeight="1" x14ac:dyDescent="0.2">
      <c r="A216" s="60" t="str">
        <f t="shared" si="17"/>
        <v/>
      </c>
      <c r="B216" s="56"/>
      <c r="C216" s="58" t="str">
        <f>IF(B216="","",IFERROR(INDEX('21 2026 ÜRETİM'!$F$2:$F$501,MATCH(B216,'21 2026 ÜRETİM'!$A$2:$A$501,0)),""))</f>
        <v/>
      </c>
      <c r="D216" s="56"/>
      <c r="E216" s="58" t="str">
        <f t="shared" si="18"/>
        <v/>
      </c>
      <c r="F216" s="56"/>
      <c r="G216" s="58" t="str">
        <f t="shared" si="19"/>
        <v/>
      </c>
      <c r="H216" s="56"/>
      <c r="I216" s="58" t="str">
        <f t="shared" si="20"/>
        <v/>
      </c>
      <c r="J216" s="56" t="str">
        <f t="shared" si="21"/>
        <v/>
      </c>
      <c r="K216" s="65"/>
    </row>
    <row r="217" spans="1:11" ht="15" customHeight="1" x14ac:dyDescent="0.2">
      <c r="A217" s="60" t="str">
        <f t="shared" si="17"/>
        <v/>
      </c>
      <c r="B217" s="56"/>
      <c r="C217" s="58" t="str">
        <f>IF(B217="","",IFERROR(INDEX('21 2026 ÜRETİM'!$F$2:$F$501,MATCH(B217,'21 2026 ÜRETİM'!$A$2:$A$501,0)),""))</f>
        <v/>
      </c>
      <c r="D217" s="56"/>
      <c r="E217" s="58" t="str">
        <f t="shared" si="18"/>
        <v/>
      </c>
      <c r="F217" s="56"/>
      <c r="G217" s="58" t="str">
        <f t="shared" si="19"/>
        <v/>
      </c>
      <c r="H217" s="56"/>
      <c r="I217" s="58" t="str">
        <f t="shared" si="20"/>
        <v/>
      </c>
      <c r="J217" s="56" t="str">
        <f t="shared" si="21"/>
        <v/>
      </c>
      <c r="K217" s="65"/>
    </row>
    <row r="218" spans="1:11" ht="15" customHeight="1" x14ac:dyDescent="0.2">
      <c r="A218" s="60" t="str">
        <f t="shared" si="17"/>
        <v/>
      </c>
      <c r="B218" s="56"/>
      <c r="C218" s="58" t="str">
        <f>IF(B218="","",IFERROR(INDEX('21 2026 ÜRETİM'!$F$2:$F$501,MATCH(B218,'21 2026 ÜRETİM'!$A$2:$A$501,0)),""))</f>
        <v/>
      </c>
      <c r="D218" s="56"/>
      <c r="E218" s="58" t="str">
        <f t="shared" si="18"/>
        <v/>
      </c>
      <c r="F218" s="56"/>
      <c r="G218" s="58" t="str">
        <f t="shared" si="19"/>
        <v/>
      </c>
      <c r="H218" s="56"/>
      <c r="I218" s="58" t="str">
        <f t="shared" si="20"/>
        <v/>
      </c>
      <c r="J218" s="56" t="str">
        <f t="shared" si="21"/>
        <v/>
      </c>
      <c r="K218" s="65"/>
    </row>
    <row r="219" spans="1:11" ht="15" customHeight="1" x14ac:dyDescent="0.2">
      <c r="A219" s="60" t="str">
        <f t="shared" si="17"/>
        <v/>
      </c>
      <c r="B219" s="56"/>
      <c r="C219" s="58" t="str">
        <f>IF(B219="","",IFERROR(INDEX('21 2026 ÜRETİM'!$F$2:$F$501,MATCH(B219,'21 2026 ÜRETİM'!$A$2:$A$501,0)),""))</f>
        <v/>
      </c>
      <c r="D219" s="56"/>
      <c r="E219" s="58" t="str">
        <f t="shared" si="18"/>
        <v/>
      </c>
      <c r="F219" s="56"/>
      <c r="G219" s="58" t="str">
        <f t="shared" si="19"/>
        <v/>
      </c>
      <c r="H219" s="56"/>
      <c r="I219" s="58" t="str">
        <f t="shared" si="20"/>
        <v/>
      </c>
      <c r="J219" s="56" t="str">
        <f t="shared" si="21"/>
        <v/>
      </c>
      <c r="K219" s="65"/>
    </row>
    <row r="220" spans="1:11" ht="15" customHeight="1" x14ac:dyDescent="0.2">
      <c r="A220" s="60" t="str">
        <f t="shared" si="17"/>
        <v/>
      </c>
      <c r="B220" s="56"/>
      <c r="C220" s="58" t="str">
        <f>IF(B220="","",IFERROR(INDEX('21 2026 ÜRETİM'!$F$2:$F$501,MATCH(B220,'21 2026 ÜRETİM'!$A$2:$A$501,0)),""))</f>
        <v/>
      </c>
      <c r="D220" s="56"/>
      <c r="E220" s="58" t="str">
        <f t="shared" si="18"/>
        <v/>
      </c>
      <c r="F220" s="56"/>
      <c r="G220" s="58" t="str">
        <f t="shared" si="19"/>
        <v/>
      </c>
      <c r="H220" s="56"/>
      <c r="I220" s="58" t="str">
        <f t="shared" si="20"/>
        <v/>
      </c>
      <c r="J220" s="56" t="str">
        <f t="shared" si="21"/>
        <v/>
      </c>
      <c r="K220" s="65"/>
    </row>
    <row r="221" spans="1:11" ht="15" customHeight="1" x14ac:dyDescent="0.2">
      <c r="A221" s="60" t="str">
        <f t="shared" si="17"/>
        <v/>
      </c>
      <c r="B221" s="56"/>
      <c r="C221" s="58" t="str">
        <f>IF(B221="","",IFERROR(INDEX('21 2026 ÜRETİM'!$F$2:$F$501,MATCH(B221,'21 2026 ÜRETİM'!$A$2:$A$501,0)),""))</f>
        <v/>
      </c>
      <c r="D221" s="56"/>
      <c r="E221" s="58" t="str">
        <f t="shared" si="18"/>
        <v/>
      </c>
      <c r="F221" s="56"/>
      <c r="G221" s="58" t="str">
        <f t="shared" si="19"/>
        <v/>
      </c>
      <c r="H221" s="56"/>
      <c r="I221" s="58" t="str">
        <f t="shared" si="20"/>
        <v/>
      </c>
      <c r="J221" s="56" t="str">
        <f t="shared" si="21"/>
        <v/>
      </c>
      <c r="K221" s="65"/>
    </row>
    <row r="222" spans="1:11" ht="15" customHeight="1" x14ac:dyDescent="0.2">
      <c r="A222" s="60" t="str">
        <f t="shared" si="17"/>
        <v/>
      </c>
      <c r="B222" s="56"/>
      <c r="C222" s="58" t="str">
        <f>IF(B222="","",IFERROR(INDEX('21 2026 ÜRETİM'!$F$2:$F$501,MATCH(B222,'21 2026 ÜRETİM'!$A$2:$A$501,0)),""))</f>
        <v/>
      </c>
      <c r="D222" s="56"/>
      <c r="E222" s="58" t="str">
        <f t="shared" si="18"/>
        <v/>
      </c>
      <c r="F222" s="56"/>
      <c r="G222" s="58" t="str">
        <f t="shared" si="19"/>
        <v/>
      </c>
      <c r="H222" s="56"/>
      <c r="I222" s="58" t="str">
        <f t="shared" si="20"/>
        <v/>
      </c>
      <c r="J222" s="56" t="str">
        <f t="shared" si="21"/>
        <v/>
      </c>
      <c r="K222" s="65"/>
    </row>
    <row r="223" spans="1:11" ht="15" customHeight="1" x14ac:dyDescent="0.2">
      <c r="A223" s="60" t="str">
        <f t="shared" si="17"/>
        <v/>
      </c>
      <c r="B223" s="56"/>
      <c r="C223" s="58" t="str">
        <f>IF(B223="","",IFERROR(INDEX('21 2026 ÜRETİM'!$F$2:$F$501,MATCH(B223,'21 2026 ÜRETİM'!$A$2:$A$501,0)),""))</f>
        <v/>
      </c>
      <c r="D223" s="56"/>
      <c r="E223" s="58" t="str">
        <f t="shared" si="18"/>
        <v/>
      </c>
      <c r="F223" s="56"/>
      <c r="G223" s="58" t="str">
        <f t="shared" si="19"/>
        <v/>
      </c>
      <c r="H223" s="56"/>
      <c r="I223" s="58" t="str">
        <f t="shared" si="20"/>
        <v/>
      </c>
      <c r="J223" s="56" t="str">
        <f t="shared" si="21"/>
        <v/>
      </c>
      <c r="K223" s="65"/>
    </row>
    <row r="224" spans="1:11" ht="15" customHeight="1" x14ac:dyDescent="0.2">
      <c r="A224" s="60" t="str">
        <f t="shared" si="17"/>
        <v/>
      </c>
      <c r="B224" s="56"/>
      <c r="C224" s="58" t="str">
        <f>IF(B224="","",IFERROR(INDEX('21 2026 ÜRETİM'!$F$2:$F$501,MATCH(B224,'21 2026 ÜRETİM'!$A$2:$A$501,0)),""))</f>
        <v/>
      </c>
      <c r="D224" s="56"/>
      <c r="E224" s="58" t="str">
        <f t="shared" si="18"/>
        <v/>
      </c>
      <c r="F224" s="56"/>
      <c r="G224" s="58" t="str">
        <f t="shared" si="19"/>
        <v/>
      </c>
      <c r="H224" s="56"/>
      <c r="I224" s="58" t="str">
        <f t="shared" si="20"/>
        <v/>
      </c>
      <c r="J224" s="56" t="str">
        <f t="shared" si="21"/>
        <v/>
      </c>
      <c r="K224" s="65"/>
    </row>
    <row r="225" spans="1:11" ht="15" customHeight="1" x14ac:dyDescent="0.2">
      <c r="A225" s="60" t="str">
        <f t="shared" si="17"/>
        <v/>
      </c>
      <c r="B225" s="56"/>
      <c r="C225" s="58" t="str">
        <f>IF(B225="","",IFERROR(INDEX('21 2026 ÜRETİM'!$F$2:$F$501,MATCH(B225,'21 2026 ÜRETİM'!$A$2:$A$501,0)),""))</f>
        <v/>
      </c>
      <c r="D225" s="56"/>
      <c r="E225" s="58" t="str">
        <f t="shared" si="18"/>
        <v/>
      </c>
      <c r="F225" s="56"/>
      <c r="G225" s="58" t="str">
        <f t="shared" si="19"/>
        <v/>
      </c>
      <c r="H225" s="56"/>
      <c r="I225" s="58" t="str">
        <f t="shared" si="20"/>
        <v/>
      </c>
      <c r="J225" s="56" t="str">
        <f t="shared" si="21"/>
        <v/>
      </c>
      <c r="K225" s="65"/>
    </row>
    <row r="226" spans="1:11" ht="15" customHeight="1" x14ac:dyDescent="0.2">
      <c r="A226" s="60" t="str">
        <f t="shared" si="17"/>
        <v/>
      </c>
      <c r="B226" s="56"/>
      <c r="C226" s="58" t="str">
        <f>IF(B226="","",IFERROR(INDEX('21 2026 ÜRETİM'!$F$2:$F$501,MATCH(B226,'21 2026 ÜRETİM'!$A$2:$A$501,0)),""))</f>
        <v/>
      </c>
      <c r="D226" s="56"/>
      <c r="E226" s="58" t="str">
        <f t="shared" si="18"/>
        <v/>
      </c>
      <c r="F226" s="56"/>
      <c r="G226" s="58" t="str">
        <f t="shared" si="19"/>
        <v/>
      </c>
      <c r="H226" s="56"/>
      <c r="I226" s="58" t="str">
        <f t="shared" si="20"/>
        <v/>
      </c>
      <c r="J226" s="56" t="str">
        <f t="shared" si="21"/>
        <v/>
      </c>
      <c r="K226" s="65"/>
    </row>
    <row r="227" spans="1:11" ht="15" customHeight="1" x14ac:dyDescent="0.2">
      <c r="A227" s="60" t="str">
        <f t="shared" si="17"/>
        <v/>
      </c>
      <c r="B227" s="56"/>
      <c r="C227" s="58" t="str">
        <f>IF(B227="","",IFERROR(INDEX('21 2026 ÜRETİM'!$F$2:$F$501,MATCH(B227,'21 2026 ÜRETİM'!$A$2:$A$501,0)),""))</f>
        <v/>
      </c>
      <c r="D227" s="56"/>
      <c r="E227" s="58" t="str">
        <f t="shared" si="18"/>
        <v/>
      </c>
      <c r="F227" s="56"/>
      <c r="G227" s="58" t="str">
        <f t="shared" si="19"/>
        <v/>
      </c>
      <c r="H227" s="56"/>
      <c r="I227" s="58" t="str">
        <f t="shared" si="20"/>
        <v/>
      </c>
      <c r="J227" s="56" t="str">
        <f t="shared" si="21"/>
        <v/>
      </c>
      <c r="K227" s="65"/>
    </row>
    <row r="228" spans="1:11" ht="15" customHeight="1" x14ac:dyDescent="0.2">
      <c r="A228" s="60" t="str">
        <f t="shared" si="17"/>
        <v/>
      </c>
      <c r="B228" s="56"/>
      <c r="C228" s="58" t="str">
        <f>IF(B228="","",IFERROR(INDEX('21 2026 ÜRETİM'!$F$2:$F$501,MATCH(B228,'21 2026 ÜRETİM'!$A$2:$A$501,0)),""))</f>
        <v/>
      </c>
      <c r="D228" s="56"/>
      <c r="E228" s="58" t="str">
        <f t="shared" si="18"/>
        <v/>
      </c>
      <c r="F228" s="56"/>
      <c r="G228" s="58" t="str">
        <f t="shared" si="19"/>
        <v/>
      </c>
      <c r="H228" s="56"/>
      <c r="I228" s="58" t="str">
        <f t="shared" si="20"/>
        <v/>
      </c>
      <c r="J228" s="56" t="str">
        <f t="shared" si="21"/>
        <v/>
      </c>
      <c r="K228" s="65"/>
    </row>
    <row r="229" spans="1:11" ht="15" customHeight="1" x14ac:dyDescent="0.2">
      <c r="A229" s="60" t="str">
        <f t="shared" si="17"/>
        <v/>
      </c>
      <c r="B229" s="56"/>
      <c r="C229" s="58" t="str">
        <f>IF(B229="","",IFERROR(INDEX('21 2026 ÜRETİM'!$F$2:$F$501,MATCH(B229,'21 2026 ÜRETİM'!$A$2:$A$501,0)),""))</f>
        <v/>
      </c>
      <c r="D229" s="56"/>
      <c r="E229" s="58" t="str">
        <f t="shared" si="18"/>
        <v/>
      </c>
      <c r="F229" s="56"/>
      <c r="G229" s="58" t="str">
        <f t="shared" si="19"/>
        <v/>
      </c>
      <c r="H229" s="56"/>
      <c r="I229" s="58" t="str">
        <f t="shared" si="20"/>
        <v/>
      </c>
      <c r="J229" s="56" t="str">
        <f t="shared" si="21"/>
        <v/>
      </c>
      <c r="K229" s="65"/>
    </row>
    <row r="230" spans="1:11" ht="15" customHeight="1" x14ac:dyDescent="0.2">
      <c r="A230" s="60" t="str">
        <f t="shared" si="17"/>
        <v/>
      </c>
      <c r="B230" s="56"/>
      <c r="C230" s="58" t="str">
        <f>IF(B230="","",IFERROR(INDEX('21 2026 ÜRETİM'!$F$2:$F$501,MATCH(B230,'21 2026 ÜRETİM'!$A$2:$A$501,0)),""))</f>
        <v/>
      </c>
      <c r="D230" s="56"/>
      <c r="E230" s="58" t="str">
        <f t="shared" si="18"/>
        <v/>
      </c>
      <c r="F230" s="56"/>
      <c r="G230" s="58" t="str">
        <f t="shared" si="19"/>
        <v/>
      </c>
      <c r="H230" s="56"/>
      <c r="I230" s="58" t="str">
        <f t="shared" si="20"/>
        <v/>
      </c>
      <c r="J230" s="56" t="str">
        <f t="shared" si="21"/>
        <v/>
      </c>
      <c r="K230" s="65"/>
    </row>
    <row r="231" spans="1:11" ht="15" customHeight="1" x14ac:dyDescent="0.2">
      <c r="A231" s="60" t="str">
        <f t="shared" si="17"/>
        <v/>
      </c>
      <c r="B231" s="56"/>
      <c r="C231" s="58" t="str">
        <f>IF(B231="","",IFERROR(INDEX('21 2026 ÜRETİM'!$F$2:$F$501,MATCH(B231,'21 2026 ÜRETİM'!$A$2:$A$501,0)),""))</f>
        <v/>
      </c>
      <c r="D231" s="56"/>
      <c r="E231" s="58" t="str">
        <f t="shared" si="18"/>
        <v/>
      </c>
      <c r="F231" s="56"/>
      <c r="G231" s="58" t="str">
        <f t="shared" si="19"/>
        <v/>
      </c>
      <c r="H231" s="56"/>
      <c r="I231" s="58" t="str">
        <f t="shared" si="20"/>
        <v/>
      </c>
      <c r="J231" s="56" t="str">
        <f t="shared" si="21"/>
        <v/>
      </c>
      <c r="K231" s="65"/>
    </row>
    <row r="232" spans="1:11" ht="15" customHeight="1" x14ac:dyDescent="0.2">
      <c r="A232" s="60" t="str">
        <f t="shared" si="17"/>
        <v/>
      </c>
      <c r="B232" s="56"/>
      <c r="C232" s="58" t="str">
        <f>IF(B232="","",IFERROR(INDEX('21 2026 ÜRETİM'!$F$2:$F$501,MATCH(B232,'21 2026 ÜRETİM'!$A$2:$A$501,0)),""))</f>
        <v/>
      </c>
      <c r="D232" s="56"/>
      <c r="E232" s="58" t="str">
        <f t="shared" si="18"/>
        <v/>
      </c>
      <c r="F232" s="56"/>
      <c r="G232" s="58" t="str">
        <f t="shared" si="19"/>
        <v/>
      </c>
      <c r="H232" s="56"/>
      <c r="I232" s="58" t="str">
        <f t="shared" si="20"/>
        <v/>
      </c>
      <c r="J232" s="56" t="str">
        <f t="shared" si="21"/>
        <v/>
      </c>
      <c r="K232" s="65"/>
    </row>
    <row r="233" spans="1:11" ht="15" customHeight="1" x14ac:dyDescent="0.2">
      <c r="A233" s="60" t="str">
        <f t="shared" si="17"/>
        <v/>
      </c>
      <c r="B233" s="56"/>
      <c r="C233" s="58" t="str">
        <f>IF(B233="","",IFERROR(INDEX('21 2026 ÜRETİM'!$F$2:$F$501,MATCH(B233,'21 2026 ÜRETİM'!$A$2:$A$501,0)),""))</f>
        <v/>
      </c>
      <c r="D233" s="56"/>
      <c r="E233" s="58" t="str">
        <f t="shared" si="18"/>
        <v/>
      </c>
      <c r="F233" s="56"/>
      <c r="G233" s="58" t="str">
        <f t="shared" si="19"/>
        <v/>
      </c>
      <c r="H233" s="56"/>
      <c r="I233" s="58" t="str">
        <f t="shared" si="20"/>
        <v/>
      </c>
      <c r="J233" s="56" t="str">
        <f t="shared" si="21"/>
        <v/>
      </c>
      <c r="K233" s="65"/>
    </row>
    <row r="234" spans="1:11" ht="15" customHeight="1" x14ac:dyDescent="0.2">
      <c r="A234" s="60" t="str">
        <f t="shared" si="17"/>
        <v/>
      </c>
      <c r="B234" s="56"/>
      <c r="C234" s="58" t="str">
        <f>IF(B234="","",IFERROR(INDEX('21 2026 ÜRETİM'!$F$2:$F$501,MATCH(B234,'21 2026 ÜRETİM'!$A$2:$A$501,0)),""))</f>
        <v/>
      </c>
      <c r="D234" s="56"/>
      <c r="E234" s="58" t="str">
        <f t="shared" si="18"/>
        <v/>
      </c>
      <c r="F234" s="56"/>
      <c r="G234" s="58" t="str">
        <f t="shared" si="19"/>
        <v/>
      </c>
      <c r="H234" s="56"/>
      <c r="I234" s="58" t="str">
        <f t="shared" si="20"/>
        <v/>
      </c>
      <c r="J234" s="56" t="str">
        <f t="shared" si="21"/>
        <v/>
      </c>
      <c r="K234" s="65"/>
    </row>
    <row r="235" spans="1:11" ht="15" customHeight="1" x14ac:dyDescent="0.2">
      <c r="A235" s="60" t="str">
        <f t="shared" si="17"/>
        <v/>
      </c>
      <c r="B235" s="56"/>
      <c r="C235" s="58" t="str">
        <f>IF(B235="","",IFERROR(INDEX('21 2026 ÜRETİM'!$F$2:$F$501,MATCH(B235,'21 2026 ÜRETİM'!$A$2:$A$501,0)),""))</f>
        <v/>
      </c>
      <c r="D235" s="56"/>
      <c r="E235" s="58" t="str">
        <f t="shared" si="18"/>
        <v/>
      </c>
      <c r="F235" s="56"/>
      <c r="G235" s="58" t="str">
        <f t="shared" si="19"/>
        <v/>
      </c>
      <c r="H235" s="56"/>
      <c r="I235" s="58" t="str">
        <f t="shared" si="20"/>
        <v/>
      </c>
      <c r="J235" s="56" t="str">
        <f t="shared" si="21"/>
        <v/>
      </c>
      <c r="K235" s="65"/>
    </row>
    <row r="236" spans="1:11" ht="15" customHeight="1" x14ac:dyDescent="0.2">
      <c r="A236" s="60" t="str">
        <f t="shared" si="17"/>
        <v/>
      </c>
      <c r="B236" s="56"/>
      <c r="C236" s="58" t="str">
        <f>IF(B236="","",IFERROR(INDEX('21 2026 ÜRETİM'!$F$2:$F$501,MATCH(B236,'21 2026 ÜRETİM'!$A$2:$A$501,0)),""))</f>
        <v/>
      </c>
      <c r="D236" s="56"/>
      <c r="E236" s="58" t="str">
        <f t="shared" si="18"/>
        <v/>
      </c>
      <c r="F236" s="56"/>
      <c r="G236" s="58" t="str">
        <f t="shared" si="19"/>
        <v/>
      </c>
      <c r="H236" s="56"/>
      <c r="I236" s="58" t="str">
        <f t="shared" si="20"/>
        <v/>
      </c>
      <c r="J236" s="56" t="str">
        <f t="shared" si="21"/>
        <v/>
      </c>
      <c r="K236" s="65"/>
    </row>
    <row r="237" spans="1:11" ht="15" customHeight="1" x14ac:dyDescent="0.2">
      <c r="A237" s="60" t="str">
        <f t="shared" si="17"/>
        <v/>
      </c>
      <c r="B237" s="56"/>
      <c r="C237" s="58" t="str">
        <f>IF(B237="","",IFERROR(INDEX('21 2026 ÜRETİM'!$F$2:$F$501,MATCH(B237,'21 2026 ÜRETİM'!$A$2:$A$501,0)),""))</f>
        <v/>
      </c>
      <c r="D237" s="56"/>
      <c r="E237" s="58" t="str">
        <f t="shared" si="18"/>
        <v/>
      </c>
      <c r="F237" s="56"/>
      <c r="G237" s="58" t="str">
        <f t="shared" si="19"/>
        <v/>
      </c>
      <c r="H237" s="56"/>
      <c r="I237" s="58" t="str">
        <f t="shared" si="20"/>
        <v/>
      </c>
      <c r="J237" s="56" t="str">
        <f t="shared" si="21"/>
        <v/>
      </c>
      <c r="K237" s="65"/>
    </row>
    <row r="238" spans="1:11" ht="15" customHeight="1" x14ac:dyDescent="0.2">
      <c r="A238" s="60" t="str">
        <f t="shared" si="17"/>
        <v/>
      </c>
      <c r="B238" s="56"/>
      <c r="C238" s="58" t="str">
        <f>IF(B238="","",IFERROR(INDEX('21 2026 ÜRETİM'!$F$2:$F$501,MATCH(B238,'21 2026 ÜRETİM'!$A$2:$A$501,0)),""))</f>
        <v/>
      </c>
      <c r="D238" s="56"/>
      <c r="E238" s="58" t="str">
        <f t="shared" si="18"/>
        <v/>
      </c>
      <c r="F238" s="56"/>
      <c r="G238" s="58" t="str">
        <f t="shared" si="19"/>
        <v/>
      </c>
      <c r="H238" s="56"/>
      <c r="I238" s="58" t="str">
        <f t="shared" si="20"/>
        <v/>
      </c>
      <c r="J238" s="56" t="str">
        <f t="shared" si="21"/>
        <v/>
      </c>
      <c r="K238" s="65"/>
    </row>
    <row r="239" spans="1:11" ht="15" customHeight="1" x14ac:dyDescent="0.2">
      <c r="A239" s="60" t="str">
        <f t="shared" si="17"/>
        <v/>
      </c>
      <c r="B239" s="56"/>
      <c r="C239" s="58" t="str">
        <f>IF(B239="","",IFERROR(INDEX('21 2026 ÜRETİM'!$F$2:$F$501,MATCH(B239,'21 2026 ÜRETİM'!$A$2:$A$501,0)),""))</f>
        <v/>
      </c>
      <c r="D239" s="56"/>
      <c r="E239" s="58" t="str">
        <f t="shared" si="18"/>
        <v/>
      </c>
      <c r="F239" s="56"/>
      <c r="G239" s="58" t="str">
        <f t="shared" si="19"/>
        <v/>
      </c>
      <c r="H239" s="56"/>
      <c r="I239" s="58" t="str">
        <f t="shared" si="20"/>
        <v/>
      </c>
      <c r="J239" s="56" t="str">
        <f t="shared" si="21"/>
        <v/>
      </c>
      <c r="K239" s="65"/>
    </row>
    <row r="240" spans="1:11" ht="15" customHeight="1" x14ac:dyDescent="0.2">
      <c r="A240" s="60" t="str">
        <f t="shared" si="17"/>
        <v/>
      </c>
      <c r="B240" s="56"/>
      <c r="C240" s="58" t="str">
        <f>IF(B240="","",IFERROR(INDEX('21 2026 ÜRETİM'!$F$2:$F$501,MATCH(B240,'21 2026 ÜRETİM'!$A$2:$A$501,0)),""))</f>
        <v/>
      </c>
      <c r="D240" s="56"/>
      <c r="E240" s="58" t="str">
        <f t="shared" si="18"/>
        <v/>
      </c>
      <c r="F240" s="56"/>
      <c r="G240" s="58" t="str">
        <f t="shared" si="19"/>
        <v/>
      </c>
      <c r="H240" s="56"/>
      <c r="I240" s="58" t="str">
        <f t="shared" si="20"/>
        <v/>
      </c>
      <c r="J240" s="56" t="str">
        <f t="shared" si="21"/>
        <v/>
      </c>
      <c r="K240" s="65"/>
    </row>
    <row r="241" spans="1:11" ht="15" customHeight="1" x14ac:dyDescent="0.2">
      <c r="A241" s="60" t="str">
        <f t="shared" si="17"/>
        <v/>
      </c>
      <c r="B241" s="56"/>
      <c r="C241" s="58" t="str">
        <f>IF(B241="","",IFERROR(INDEX('21 2026 ÜRETİM'!$F$2:$F$501,MATCH(B241,'21 2026 ÜRETİM'!$A$2:$A$501,0)),""))</f>
        <v/>
      </c>
      <c r="D241" s="56"/>
      <c r="E241" s="58" t="str">
        <f t="shared" si="18"/>
        <v/>
      </c>
      <c r="F241" s="56"/>
      <c r="G241" s="58" t="str">
        <f t="shared" si="19"/>
        <v/>
      </c>
      <c r="H241" s="56"/>
      <c r="I241" s="58" t="str">
        <f t="shared" si="20"/>
        <v/>
      </c>
      <c r="J241" s="56" t="str">
        <f t="shared" si="21"/>
        <v/>
      </c>
      <c r="K241" s="65"/>
    </row>
    <row r="242" spans="1:11" ht="15" customHeight="1" x14ac:dyDescent="0.2">
      <c r="A242" s="60" t="str">
        <f t="shared" si="17"/>
        <v/>
      </c>
      <c r="B242" s="56"/>
      <c r="C242" s="58" t="str">
        <f>IF(B242="","",IFERROR(INDEX('21 2026 ÜRETİM'!$F$2:$F$501,MATCH(B242,'21 2026 ÜRETİM'!$A$2:$A$501,0)),""))</f>
        <v/>
      </c>
      <c r="D242" s="56"/>
      <c r="E242" s="58" t="str">
        <f t="shared" si="18"/>
        <v/>
      </c>
      <c r="F242" s="56"/>
      <c r="G242" s="58" t="str">
        <f t="shared" si="19"/>
        <v/>
      </c>
      <c r="H242" s="56"/>
      <c r="I242" s="58" t="str">
        <f t="shared" si="20"/>
        <v/>
      </c>
      <c r="J242" s="56" t="str">
        <f t="shared" si="21"/>
        <v/>
      </c>
      <c r="K242" s="65"/>
    </row>
    <row r="243" spans="1:11" ht="15" customHeight="1" x14ac:dyDescent="0.2">
      <c r="A243" s="60" t="str">
        <f t="shared" si="17"/>
        <v/>
      </c>
      <c r="B243" s="56"/>
      <c r="C243" s="58" t="str">
        <f>IF(B243="","",IFERROR(INDEX('21 2026 ÜRETİM'!$F$2:$F$501,MATCH(B243,'21 2026 ÜRETİM'!$A$2:$A$501,0)),""))</f>
        <v/>
      </c>
      <c r="D243" s="56"/>
      <c r="E243" s="58" t="str">
        <f t="shared" si="18"/>
        <v/>
      </c>
      <c r="F243" s="56"/>
      <c r="G243" s="58" t="str">
        <f t="shared" si="19"/>
        <v/>
      </c>
      <c r="H243" s="56"/>
      <c r="I243" s="58" t="str">
        <f t="shared" si="20"/>
        <v/>
      </c>
      <c r="J243" s="56" t="str">
        <f t="shared" si="21"/>
        <v/>
      </c>
      <c r="K243" s="65"/>
    </row>
    <row r="244" spans="1:11" ht="15" customHeight="1" x14ac:dyDescent="0.2">
      <c r="A244" s="60" t="str">
        <f t="shared" si="17"/>
        <v/>
      </c>
      <c r="B244" s="56"/>
      <c r="C244" s="58" t="str">
        <f>IF(B244="","",IFERROR(INDEX('21 2026 ÜRETİM'!$F$2:$F$501,MATCH(B244,'21 2026 ÜRETİM'!$A$2:$A$501,0)),""))</f>
        <v/>
      </c>
      <c r="D244" s="56"/>
      <c r="E244" s="58" t="str">
        <f t="shared" si="18"/>
        <v/>
      </c>
      <c r="F244" s="56"/>
      <c r="G244" s="58" t="str">
        <f t="shared" si="19"/>
        <v/>
      </c>
      <c r="H244" s="56"/>
      <c r="I244" s="58" t="str">
        <f t="shared" si="20"/>
        <v/>
      </c>
      <c r="J244" s="56" t="str">
        <f t="shared" si="21"/>
        <v/>
      </c>
      <c r="K244" s="65"/>
    </row>
    <row r="245" spans="1:11" ht="15" customHeight="1" x14ac:dyDescent="0.2">
      <c r="A245" s="60" t="str">
        <f t="shared" si="17"/>
        <v/>
      </c>
      <c r="B245" s="56"/>
      <c r="C245" s="58" t="str">
        <f>IF(B245="","",IFERROR(INDEX('21 2026 ÜRETİM'!$F$2:$F$501,MATCH(B245,'21 2026 ÜRETİM'!$A$2:$A$501,0)),""))</f>
        <v/>
      </c>
      <c r="D245" s="56"/>
      <c r="E245" s="58" t="str">
        <f t="shared" si="18"/>
        <v/>
      </c>
      <c r="F245" s="56"/>
      <c r="G245" s="58" t="str">
        <f t="shared" si="19"/>
        <v/>
      </c>
      <c r="H245" s="56"/>
      <c r="I245" s="58" t="str">
        <f t="shared" si="20"/>
        <v/>
      </c>
      <c r="J245" s="56" t="str">
        <f t="shared" si="21"/>
        <v/>
      </c>
      <c r="K245" s="65"/>
    </row>
    <row r="246" spans="1:11" ht="15" customHeight="1" x14ac:dyDescent="0.2">
      <c r="A246" s="60" t="str">
        <f t="shared" si="17"/>
        <v/>
      </c>
      <c r="B246" s="56"/>
      <c r="C246" s="58" t="str">
        <f>IF(B246="","",IFERROR(INDEX('21 2026 ÜRETİM'!$F$2:$F$501,MATCH(B246,'21 2026 ÜRETİM'!$A$2:$A$501,0)),""))</f>
        <v/>
      </c>
      <c r="D246" s="56"/>
      <c r="E246" s="58" t="str">
        <f t="shared" si="18"/>
        <v/>
      </c>
      <c r="F246" s="56"/>
      <c r="G246" s="58" t="str">
        <f t="shared" si="19"/>
        <v/>
      </c>
      <c r="H246" s="56"/>
      <c r="I246" s="58" t="str">
        <f t="shared" si="20"/>
        <v/>
      </c>
      <c r="J246" s="56" t="str">
        <f t="shared" si="21"/>
        <v/>
      </c>
      <c r="K246" s="65"/>
    </row>
    <row r="247" spans="1:11" ht="15" customHeight="1" x14ac:dyDescent="0.2">
      <c r="A247" s="60" t="str">
        <f t="shared" si="17"/>
        <v/>
      </c>
      <c r="B247" s="56"/>
      <c r="C247" s="58" t="str">
        <f>IF(B247="","",IFERROR(INDEX('21 2026 ÜRETİM'!$F$2:$F$501,MATCH(B247,'21 2026 ÜRETİM'!$A$2:$A$501,0)),""))</f>
        <v/>
      </c>
      <c r="D247" s="56"/>
      <c r="E247" s="58" t="str">
        <f t="shared" si="18"/>
        <v/>
      </c>
      <c r="F247" s="56"/>
      <c r="G247" s="58" t="str">
        <f t="shared" si="19"/>
        <v/>
      </c>
      <c r="H247" s="56"/>
      <c r="I247" s="58" t="str">
        <f t="shared" si="20"/>
        <v/>
      </c>
      <c r="J247" s="56" t="str">
        <f t="shared" si="21"/>
        <v/>
      </c>
      <c r="K247" s="65"/>
    </row>
    <row r="248" spans="1:11" ht="15" customHeight="1" x14ac:dyDescent="0.2">
      <c r="A248" s="60" t="str">
        <f t="shared" si="17"/>
        <v/>
      </c>
      <c r="B248" s="56"/>
      <c r="C248" s="58" t="str">
        <f>IF(B248="","",IFERROR(INDEX('21 2026 ÜRETİM'!$F$2:$F$501,MATCH(B248,'21 2026 ÜRETİM'!$A$2:$A$501,0)),""))</f>
        <v/>
      </c>
      <c r="D248" s="56"/>
      <c r="E248" s="58" t="str">
        <f t="shared" si="18"/>
        <v/>
      </c>
      <c r="F248" s="56"/>
      <c r="G248" s="58" t="str">
        <f t="shared" si="19"/>
        <v/>
      </c>
      <c r="H248" s="56"/>
      <c r="I248" s="58" t="str">
        <f t="shared" si="20"/>
        <v/>
      </c>
      <c r="J248" s="56" t="str">
        <f t="shared" si="21"/>
        <v/>
      </c>
      <c r="K248" s="65"/>
    </row>
    <row r="249" spans="1:11" ht="15" customHeight="1" x14ac:dyDescent="0.2">
      <c r="A249" s="60" t="str">
        <f t="shared" si="17"/>
        <v/>
      </c>
      <c r="B249" s="56"/>
      <c r="C249" s="58" t="str">
        <f>IF(B249="","",IFERROR(INDEX('21 2026 ÜRETİM'!$F$2:$F$501,MATCH(B249,'21 2026 ÜRETİM'!$A$2:$A$501,0)),""))</f>
        <v/>
      </c>
      <c r="D249" s="56"/>
      <c r="E249" s="58" t="str">
        <f t="shared" si="18"/>
        <v/>
      </c>
      <c r="F249" s="56"/>
      <c r="G249" s="58" t="str">
        <f t="shared" si="19"/>
        <v/>
      </c>
      <c r="H249" s="56"/>
      <c r="I249" s="58" t="str">
        <f t="shared" si="20"/>
        <v/>
      </c>
      <c r="J249" s="56" t="str">
        <f t="shared" si="21"/>
        <v/>
      </c>
      <c r="K249" s="65"/>
    </row>
    <row r="250" spans="1:11" ht="15" customHeight="1" x14ac:dyDescent="0.2">
      <c r="A250" s="60" t="str">
        <f t="shared" si="17"/>
        <v/>
      </c>
      <c r="B250" s="56"/>
      <c r="C250" s="58" t="str">
        <f>IF(B250="","",IFERROR(INDEX('21 2026 ÜRETİM'!$F$2:$F$501,MATCH(B250,'21 2026 ÜRETİM'!$A$2:$A$501,0)),""))</f>
        <v/>
      </c>
      <c r="D250" s="56"/>
      <c r="E250" s="58" t="str">
        <f t="shared" si="18"/>
        <v/>
      </c>
      <c r="F250" s="56"/>
      <c r="G250" s="58" t="str">
        <f t="shared" si="19"/>
        <v/>
      </c>
      <c r="H250" s="56"/>
      <c r="I250" s="58" t="str">
        <f t="shared" si="20"/>
        <v/>
      </c>
      <c r="J250" s="56" t="str">
        <f t="shared" si="21"/>
        <v/>
      </c>
      <c r="K250" s="65"/>
    </row>
    <row r="251" spans="1:11" ht="15" customHeight="1" x14ac:dyDescent="0.2">
      <c r="A251" s="60" t="str">
        <f t="shared" si="17"/>
        <v/>
      </c>
      <c r="B251" s="56"/>
      <c r="C251" s="58" t="str">
        <f>IF(B251="","",IFERROR(INDEX('21 2026 ÜRETİM'!$F$2:$F$501,MATCH(B251,'21 2026 ÜRETİM'!$A$2:$A$501,0)),""))</f>
        <v/>
      </c>
      <c r="D251" s="56"/>
      <c r="E251" s="58" t="str">
        <f t="shared" si="18"/>
        <v/>
      </c>
      <c r="F251" s="56"/>
      <c r="G251" s="58" t="str">
        <f t="shared" si="19"/>
        <v/>
      </c>
      <c r="H251" s="56"/>
      <c r="I251" s="58" t="str">
        <f t="shared" si="20"/>
        <v/>
      </c>
      <c r="J251" s="56" t="str">
        <f t="shared" si="21"/>
        <v/>
      </c>
      <c r="K251" s="65"/>
    </row>
    <row r="252" spans="1:11" ht="15" customHeight="1" x14ac:dyDescent="0.2">
      <c r="A252" s="60" t="str">
        <f t="shared" si="17"/>
        <v/>
      </c>
      <c r="B252" s="56"/>
      <c r="C252" s="58" t="str">
        <f>IF(B252="","",IFERROR(INDEX('21 2026 ÜRETİM'!$F$2:$F$501,MATCH(B252,'21 2026 ÜRETİM'!$A$2:$A$501,0)),""))</f>
        <v/>
      </c>
      <c r="D252" s="56"/>
      <c r="E252" s="58" t="str">
        <f t="shared" si="18"/>
        <v/>
      </c>
      <c r="F252" s="56"/>
      <c r="G252" s="58" t="str">
        <f t="shared" si="19"/>
        <v/>
      </c>
      <c r="H252" s="56"/>
      <c r="I252" s="58" t="str">
        <f t="shared" si="20"/>
        <v/>
      </c>
      <c r="J252" s="56" t="str">
        <f t="shared" si="21"/>
        <v/>
      </c>
      <c r="K252" s="65"/>
    </row>
    <row r="253" spans="1:11" ht="15" customHeight="1" x14ac:dyDescent="0.2">
      <c r="A253" s="60" t="str">
        <f t="shared" si="17"/>
        <v/>
      </c>
      <c r="B253" s="56"/>
      <c r="C253" s="58" t="str">
        <f>IF(B253="","",IFERROR(INDEX('21 2026 ÜRETİM'!$F$2:$F$501,MATCH(B253,'21 2026 ÜRETİM'!$A$2:$A$501,0)),""))</f>
        <v/>
      </c>
      <c r="D253" s="56"/>
      <c r="E253" s="58" t="str">
        <f t="shared" si="18"/>
        <v/>
      </c>
      <c r="F253" s="56"/>
      <c r="G253" s="58" t="str">
        <f t="shared" si="19"/>
        <v/>
      </c>
      <c r="H253" s="56"/>
      <c r="I253" s="58" t="str">
        <f t="shared" si="20"/>
        <v/>
      </c>
      <c r="J253" s="56" t="str">
        <f t="shared" si="21"/>
        <v/>
      </c>
      <c r="K253" s="65"/>
    </row>
    <row r="254" spans="1:11" ht="15" customHeight="1" x14ac:dyDescent="0.2">
      <c r="A254" s="60" t="str">
        <f t="shared" si="17"/>
        <v/>
      </c>
      <c r="B254" s="56"/>
      <c r="C254" s="58" t="str">
        <f>IF(B254="","",IFERROR(INDEX('21 2026 ÜRETİM'!$F$2:$F$501,MATCH(B254,'21 2026 ÜRETİM'!$A$2:$A$501,0)),""))</f>
        <v/>
      </c>
      <c r="D254" s="56"/>
      <c r="E254" s="58" t="str">
        <f t="shared" si="18"/>
        <v/>
      </c>
      <c r="F254" s="56"/>
      <c r="G254" s="58" t="str">
        <f t="shared" si="19"/>
        <v/>
      </c>
      <c r="H254" s="56"/>
      <c r="I254" s="58" t="str">
        <f t="shared" si="20"/>
        <v/>
      </c>
      <c r="J254" s="56" t="str">
        <f t="shared" si="21"/>
        <v/>
      </c>
      <c r="K254" s="65"/>
    </row>
    <row r="255" spans="1:11" ht="15" customHeight="1" x14ac:dyDescent="0.2">
      <c r="A255" s="60" t="str">
        <f t="shared" si="17"/>
        <v/>
      </c>
      <c r="B255" s="56"/>
      <c r="C255" s="58" t="str">
        <f>IF(B255="","",IFERROR(INDEX('21 2026 ÜRETİM'!$F$2:$F$501,MATCH(B255,'21 2026 ÜRETİM'!$A$2:$A$501,0)),""))</f>
        <v/>
      </c>
      <c r="D255" s="56"/>
      <c r="E255" s="58" t="str">
        <f t="shared" si="18"/>
        <v/>
      </c>
      <c r="F255" s="56"/>
      <c r="G255" s="58" t="str">
        <f t="shared" si="19"/>
        <v/>
      </c>
      <c r="H255" s="56"/>
      <c r="I255" s="58" t="str">
        <f t="shared" si="20"/>
        <v/>
      </c>
      <c r="J255" s="56" t="str">
        <f t="shared" si="21"/>
        <v/>
      </c>
      <c r="K255" s="65"/>
    </row>
    <row r="256" spans="1:11" ht="15" customHeight="1" x14ac:dyDescent="0.2">
      <c r="A256" s="60" t="str">
        <f t="shared" si="17"/>
        <v/>
      </c>
      <c r="B256" s="56"/>
      <c r="C256" s="58" t="str">
        <f>IF(B256="","",IFERROR(INDEX('21 2026 ÜRETİM'!$F$2:$F$501,MATCH(B256,'21 2026 ÜRETİM'!$A$2:$A$501,0)),""))</f>
        <v/>
      </c>
      <c r="D256" s="56"/>
      <c r="E256" s="58" t="str">
        <f t="shared" si="18"/>
        <v/>
      </c>
      <c r="F256" s="56"/>
      <c r="G256" s="58" t="str">
        <f t="shared" si="19"/>
        <v/>
      </c>
      <c r="H256" s="56"/>
      <c r="I256" s="58" t="str">
        <f t="shared" si="20"/>
        <v/>
      </c>
      <c r="J256" s="56" t="str">
        <f t="shared" si="21"/>
        <v/>
      </c>
      <c r="K256" s="65"/>
    </row>
    <row r="257" spans="1:11" ht="15" customHeight="1" x14ac:dyDescent="0.2">
      <c r="A257" s="60" t="str">
        <f t="shared" si="17"/>
        <v/>
      </c>
      <c r="B257" s="56"/>
      <c r="C257" s="58" t="str">
        <f>IF(B257="","",IFERROR(INDEX('21 2026 ÜRETİM'!$F$2:$F$501,MATCH(B257,'21 2026 ÜRETİM'!$A$2:$A$501,0)),""))</f>
        <v/>
      </c>
      <c r="D257" s="56"/>
      <c r="E257" s="58" t="str">
        <f t="shared" si="18"/>
        <v/>
      </c>
      <c r="F257" s="56"/>
      <c r="G257" s="58" t="str">
        <f t="shared" si="19"/>
        <v/>
      </c>
      <c r="H257" s="56"/>
      <c r="I257" s="58" t="str">
        <f t="shared" si="20"/>
        <v/>
      </c>
      <c r="J257" s="56" t="str">
        <f t="shared" si="21"/>
        <v/>
      </c>
      <c r="K257" s="65"/>
    </row>
    <row r="258" spans="1:11" ht="15" customHeight="1" x14ac:dyDescent="0.2">
      <c r="A258" s="60" t="str">
        <f t="shared" si="17"/>
        <v/>
      </c>
      <c r="B258" s="56"/>
      <c r="C258" s="58" t="str">
        <f>IF(B258="","",IFERROR(INDEX('21 2026 ÜRETİM'!$F$2:$F$501,MATCH(B258,'21 2026 ÜRETİM'!$A$2:$A$501,0)),""))</f>
        <v/>
      </c>
      <c r="D258" s="56"/>
      <c r="E258" s="58" t="str">
        <f t="shared" si="18"/>
        <v/>
      </c>
      <c r="F258" s="56"/>
      <c r="G258" s="58" t="str">
        <f t="shared" si="19"/>
        <v/>
      </c>
      <c r="H258" s="56"/>
      <c r="I258" s="58" t="str">
        <f t="shared" si="20"/>
        <v/>
      </c>
      <c r="J258" s="56" t="str">
        <f t="shared" si="21"/>
        <v/>
      </c>
      <c r="K258" s="65"/>
    </row>
    <row r="259" spans="1:11" ht="15" customHeight="1" x14ac:dyDescent="0.2">
      <c r="A259" s="60" t="str">
        <f t="shared" si="17"/>
        <v/>
      </c>
      <c r="B259" s="56"/>
      <c r="C259" s="58" t="str">
        <f>IF(B259="","",IFERROR(INDEX('21 2026 ÜRETİM'!$F$2:$F$501,MATCH(B259,'21 2026 ÜRETİM'!$A$2:$A$501,0)),""))</f>
        <v/>
      </c>
      <c r="D259" s="56"/>
      <c r="E259" s="58" t="str">
        <f t="shared" si="18"/>
        <v/>
      </c>
      <c r="F259" s="56"/>
      <c r="G259" s="58" t="str">
        <f t="shared" si="19"/>
        <v/>
      </c>
      <c r="H259" s="56"/>
      <c r="I259" s="58" t="str">
        <f t="shared" si="20"/>
        <v/>
      </c>
      <c r="J259" s="56" t="str">
        <f t="shared" si="21"/>
        <v/>
      </c>
      <c r="K259" s="65"/>
    </row>
    <row r="260" spans="1:11" ht="15" customHeight="1" x14ac:dyDescent="0.2">
      <c r="A260" s="60" t="str">
        <f t="shared" si="17"/>
        <v/>
      </c>
      <c r="B260" s="56"/>
      <c r="C260" s="58" t="str">
        <f>IF(B260="","",IFERROR(INDEX('21 2026 ÜRETİM'!$F$2:$F$501,MATCH(B260,'21 2026 ÜRETİM'!$A$2:$A$501,0)),""))</f>
        <v/>
      </c>
      <c r="D260" s="56"/>
      <c r="E260" s="58" t="str">
        <f t="shared" si="18"/>
        <v/>
      </c>
      <c r="F260" s="56"/>
      <c r="G260" s="58" t="str">
        <f t="shared" si="19"/>
        <v/>
      </c>
      <c r="H260" s="56"/>
      <c r="I260" s="58" t="str">
        <f t="shared" si="20"/>
        <v/>
      </c>
      <c r="J260" s="56" t="str">
        <f t="shared" si="21"/>
        <v/>
      </c>
      <c r="K260" s="65"/>
    </row>
    <row r="261" spans="1:11" ht="15" customHeight="1" x14ac:dyDescent="0.2">
      <c r="A261" s="60" t="str">
        <f t="shared" si="17"/>
        <v/>
      </c>
      <c r="B261" s="56"/>
      <c r="C261" s="58" t="str">
        <f>IF(B261="","",IFERROR(INDEX('21 2026 ÜRETİM'!$F$2:$F$501,MATCH(B261,'21 2026 ÜRETİM'!$A$2:$A$501,0)),""))</f>
        <v/>
      </c>
      <c r="D261" s="56"/>
      <c r="E261" s="58" t="str">
        <f t="shared" si="18"/>
        <v/>
      </c>
      <c r="F261" s="56"/>
      <c r="G261" s="58" t="str">
        <f t="shared" si="19"/>
        <v/>
      </c>
      <c r="H261" s="56"/>
      <c r="I261" s="58" t="str">
        <f t="shared" si="20"/>
        <v/>
      </c>
      <c r="J261" s="56" t="str">
        <f t="shared" si="21"/>
        <v/>
      </c>
      <c r="K261" s="65"/>
    </row>
    <row r="262" spans="1:11" ht="15" customHeight="1" x14ac:dyDescent="0.2">
      <c r="A262" s="60" t="str">
        <f t="shared" si="17"/>
        <v/>
      </c>
      <c r="B262" s="56"/>
      <c r="C262" s="58" t="str">
        <f>IF(B262="","",IFERROR(INDEX('21 2026 ÜRETİM'!$F$2:$F$501,MATCH(B262,'21 2026 ÜRETİM'!$A$2:$A$501,0)),""))</f>
        <v/>
      </c>
      <c r="D262" s="56"/>
      <c r="E262" s="58" t="str">
        <f t="shared" si="18"/>
        <v/>
      </c>
      <c r="F262" s="56"/>
      <c r="G262" s="58" t="str">
        <f t="shared" si="19"/>
        <v/>
      </c>
      <c r="H262" s="56"/>
      <c r="I262" s="58" t="str">
        <f t="shared" si="20"/>
        <v/>
      </c>
      <c r="J262" s="56" t="str">
        <f t="shared" si="21"/>
        <v/>
      </c>
      <c r="K262" s="65"/>
    </row>
    <row r="263" spans="1:11" ht="15" customHeight="1" x14ac:dyDescent="0.2">
      <c r="A263" s="60" t="str">
        <f t="shared" si="17"/>
        <v/>
      </c>
      <c r="B263" s="56"/>
      <c r="C263" s="58" t="str">
        <f>IF(B263="","",IFERROR(INDEX('21 2026 ÜRETİM'!$F$2:$F$501,MATCH(B263,'21 2026 ÜRETİM'!$A$2:$A$501,0)),""))</f>
        <v/>
      </c>
      <c r="D263" s="56"/>
      <c r="E263" s="58" t="str">
        <f t="shared" si="18"/>
        <v/>
      </c>
      <c r="F263" s="56"/>
      <c r="G263" s="58" t="str">
        <f t="shared" si="19"/>
        <v/>
      </c>
      <c r="H263" s="56"/>
      <c r="I263" s="58" t="str">
        <f t="shared" si="20"/>
        <v/>
      </c>
      <c r="J263" s="56" t="str">
        <f t="shared" si="21"/>
        <v/>
      </c>
      <c r="K263" s="65"/>
    </row>
    <row r="264" spans="1:11" ht="15" customHeight="1" x14ac:dyDescent="0.2">
      <c r="A264" s="60" t="str">
        <f t="shared" si="17"/>
        <v/>
      </c>
      <c r="B264" s="56"/>
      <c r="C264" s="58" t="str">
        <f>IF(B264="","",IFERROR(INDEX('21 2026 ÜRETİM'!$F$2:$F$501,MATCH(B264,'21 2026 ÜRETİM'!$A$2:$A$501,0)),""))</f>
        <v/>
      </c>
      <c r="D264" s="56"/>
      <c r="E264" s="58" t="str">
        <f t="shared" si="18"/>
        <v/>
      </c>
      <c r="F264" s="56"/>
      <c r="G264" s="58" t="str">
        <f t="shared" si="19"/>
        <v/>
      </c>
      <c r="H264" s="56"/>
      <c r="I264" s="58" t="str">
        <f t="shared" si="20"/>
        <v/>
      </c>
      <c r="J264" s="56" t="str">
        <f t="shared" si="21"/>
        <v/>
      </c>
      <c r="K264" s="65"/>
    </row>
    <row r="265" spans="1:11" ht="15" customHeight="1" x14ac:dyDescent="0.2">
      <c r="A265" s="60" t="str">
        <f t="shared" si="17"/>
        <v/>
      </c>
      <c r="B265" s="56"/>
      <c r="C265" s="58" t="str">
        <f>IF(B265="","",IFERROR(INDEX('21 2026 ÜRETİM'!$F$2:$F$501,MATCH(B265,'21 2026 ÜRETİM'!$A$2:$A$501,0)),""))</f>
        <v/>
      </c>
      <c r="D265" s="56"/>
      <c r="E265" s="58" t="str">
        <f t="shared" si="18"/>
        <v/>
      </c>
      <c r="F265" s="56"/>
      <c r="G265" s="58" t="str">
        <f t="shared" si="19"/>
        <v/>
      </c>
      <c r="H265" s="56"/>
      <c r="I265" s="58" t="str">
        <f t="shared" si="20"/>
        <v/>
      </c>
      <c r="J265" s="56" t="str">
        <f t="shared" si="21"/>
        <v/>
      </c>
      <c r="K265" s="65"/>
    </row>
    <row r="266" spans="1:11" ht="15" customHeight="1" x14ac:dyDescent="0.2">
      <c r="A266" s="60" t="str">
        <f t="shared" si="17"/>
        <v/>
      </c>
      <c r="B266" s="56"/>
      <c r="C266" s="58" t="str">
        <f>IF(B266="","",IFERROR(INDEX('21 2026 ÜRETİM'!$F$2:$F$501,MATCH(B266,'21 2026 ÜRETİM'!$A$2:$A$501,0)),""))</f>
        <v/>
      </c>
      <c r="D266" s="56"/>
      <c r="E266" s="58" t="str">
        <f t="shared" si="18"/>
        <v/>
      </c>
      <c r="F266" s="56"/>
      <c r="G266" s="58" t="str">
        <f t="shared" si="19"/>
        <v/>
      </c>
      <c r="H266" s="56"/>
      <c r="I266" s="58" t="str">
        <f t="shared" si="20"/>
        <v/>
      </c>
      <c r="J266" s="56" t="str">
        <f t="shared" si="21"/>
        <v/>
      </c>
      <c r="K266" s="65"/>
    </row>
    <row r="267" spans="1:11" ht="15" customHeight="1" x14ac:dyDescent="0.2">
      <c r="A267" s="60" t="str">
        <f t="shared" si="17"/>
        <v/>
      </c>
      <c r="B267" s="56"/>
      <c r="C267" s="58" t="str">
        <f>IF(B267="","",IFERROR(INDEX('21 2026 ÜRETİM'!$F$2:$F$501,MATCH(B267,'21 2026 ÜRETİM'!$A$2:$A$501,0)),""))</f>
        <v/>
      </c>
      <c r="D267" s="56"/>
      <c r="E267" s="58" t="str">
        <f t="shared" si="18"/>
        <v/>
      </c>
      <c r="F267" s="56"/>
      <c r="G267" s="58" t="str">
        <f t="shared" si="19"/>
        <v/>
      </c>
      <c r="H267" s="56"/>
      <c r="I267" s="58" t="str">
        <f t="shared" si="20"/>
        <v/>
      </c>
      <c r="J267" s="56" t="str">
        <f t="shared" si="21"/>
        <v/>
      </c>
      <c r="K267" s="65"/>
    </row>
    <row r="268" spans="1:11" ht="15" customHeight="1" x14ac:dyDescent="0.2">
      <c r="A268" s="60" t="str">
        <f t="shared" si="17"/>
        <v/>
      </c>
      <c r="B268" s="56"/>
      <c r="C268" s="58" t="str">
        <f>IF(B268="","",IFERROR(INDEX('21 2026 ÜRETİM'!$F$2:$F$501,MATCH(B268,'21 2026 ÜRETİM'!$A$2:$A$501,0)),""))</f>
        <v/>
      </c>
      <c r="D268" s="56"/>
      <c r="E268" s="58" t="str">
        <f t="shared" si="18"/>
        <v/>
      </c>
      <c r="F268" s="56"/>
      <c r="G268" s="58" t="str">
        <f t="shared" si="19"/>
        <v/>
      </c>
      <c r="H268" s="56"/>
      <c r="I268" s="58" t="str">
        <f t="shared" si="20"/>
        <v/>
      </c>
      <c r="J268" s="56" t="str">
        <f t="shared" si="21"/>
        <v/>
      </c>
      <c r="K268" s="65"/>
    </row>
    <row r="269" spans="1:11" ht="15" customHeight="1" x14ac:dyDescent="0.2">
      <c r="A269" s="60" t="str">
        <f t="shared" ref="A269:A332" si="22">IF(B269="","",IFERROR(DATE(RIGHT(B269,4),MID(B269,4,2),LEFT(B269,2))+1,""))</f>
        <v/>
      </c>
      <c r="B269" s="56"/>
      <c r="C269" s="58" t="str">
        <f>IF(B269="","",IFERROR(INDEX('21 2026 ÜRETİM'!$F$2:$F$501,MATCH(B269,'21 2026 ÜRETİM'!$A$2:$A$501,0)),""))</f>
        <v/>
      </c>
      <c r="D269" s="56"/>
      <c r="E269" s="58" t="str">
        <f t="shared" ref="E269:E332" si="23">IF(D269="","",D269*0.5)</f>
        <v/>
      </c>
      <c r="F269" s="56"/>
      <c r="G269" s="58" t="str">
        <f t="shared" ref="G269:G332" si="24">IF(F269="","",F269*2.5)</f>
        <v/>
      </c>
      <c r="H269" s="56"/>
      <c r="I269" s="58" t="str">
        <f t="shared" ref="I269:I332" si="25">IF(C269="","",C269-E269-G269-IF(H269="",0,H269))</f>
        <v/>
      </c>
      <c r="J269" s="56" t="str">
        <f t="shared" ref="J269:J332" si="26">IF(C269="","",IF(ABS(I269)&lt;0.001,"KAPALI","KONTROL"))</f>
        <v/>
      </c>
      <c r="K269" s="65"/>
    </row>
    <row r="270" spans="1:11" ht="15" customHeight="1" x14ac:dyDescent="0.2">
      <c r="A270" s="60" t="str">
        <f t="shared" si="22"/>
        <v/>
      </c>
      <c r="B270" s="56"/>
      <c r="C270" s="58" t="str">
        <f>IF(B270="","",IFERROR(INDEX('21 2026 ÜRETİM'!$F$2:$F$501,MATCH(B270,'21 2026 ÜRETİM'!$A$2:$A$501,0)),""))</f>
        <v/>
      </c>
      <c r="D270" s="56"/>
      <c r="E270" s="58" t="str">
        <f t="shared" si="23"/>
        <v/>
      </c>
      <c r="F270" s="56"/>
      <c r="G270" s="58" t="str">
        <f t="shared" si="24"/>
        <v/>
      </c>
      <c r="H270" s="56"/>
      <c r="I270" s="58" t="str">
        <f t="shared" si="25"/>
        <v/>
      </c>
      <c r="J270" s="56" t="str">
        <f t="shared" si="26"/>
        <v/>
      </c>
      <c r="K270" s="65"/>
    </row>
    <row r="271" spans="1:11" ht="15" customHeight="1" x14ac:dyDescent="0.2">
      <c r="A271" s="60" t="str">
        <f t="shared" si="22"/>
        <v/>
      </c>
      <c r="B271" s="56"/>
      <c r="C271" s="58" t="str">
        <f>IF(B271="","",IFERROR(INDEX('21 2026 ÜRETİM'!$F$2:$F$501,MATCH(B271,'21 2026 ÜRETİM'!$A$2:$A$501,0)),""))</f>
        <v/>
      </c>
      <c r="D271" s="56"/>
      <c r="E271" s="58" t="str">
        <f t="shared" si="23"/>
        <v/>
      </c>
      <c r="F271" s="56"/>
      <c r="G271" s="58" t="str">
        <f t="shared" si="24"/>
        <v/>
      </c>
      <c r="H271" s="56"/>
      <c r="I271" s="58" t="str">
        <f t="shared" si="25"/>
        <v/>
      </c>
      <c r="J271" s="56" t="str">
        <f t="shared" si="26"/>
        <v/>
      </c>
      <c r="K271" s="65"/>
    </row>
    <row r="272" spans="1:11" ht="15" customHeight="1" x14ac:dyDescent="0.2">
      <c r="A272" s="60" t="str">
        <f t="shared" si="22"/>
        <v/>
      </c>
      <c r="B272" s="56"/>
      <c r="C272" s="58" t="str">
        <f>IF(B272="","",IFERROR(INDEX('21 2026 ÜRETİM'!$F$2:$F$501,MATCH(B272,'21 2026 ÜRETİM'!$A$2:$A$501,0)),""))</f>
        <v/>
      </c>
      <c r="D272" s="56"/>
      <c r="E272" s="58" t="str">
        <f t="shared" si="23"/>
        <v/>
      </c>
      <c r="F272" s="56"/>
      <c r="G272" s="58" t="str">
        <f t="shared" si="24"/>
        <v/>
      </c>
      <c r="H272" s="56"/>
      <c r="I272" s="58" t="str">
        <f t="shared" si="25"/>
        <v/>
      </c>
      <c r="J272" s="56" t="str">
        <f t="shared" si="26"/>
        <v/>
      </c>
      <c r="K272" s="65"/>
    </row>
    <row r="273" spans="1:11" ht="15" customHeight="1" x14ac:dyDescent="0.2">
      <c r="A273" s="60" t="str">
        <f t="shared" si="22"/>
        <v/>
      </c>
      <c r="B273" s="56"/>
      <c r="C273" s="58" t="str">
        <f>IF(B273="","",IFERROR(INDEX('21 2026 ÜRETİM'!$F$2:$F$501,MATCH(B273,'21 2026 ÜRETİM'!$A$2:$A$501,0)),""))</f>
        <v/>
      </c>
      <c r="D273" s="56"/>
      <c r="E273" s="58" t="str">
        <f t="shared" si="23"/>
        <v/>
      </c>
      <c r="F273" s="56"/>
      <c r="G273" s="58" t="str">
        <f t="shared" si="24"/>
        <v/>
      </c>
      <c r="H273" s="56"/>
      <c r="I273" s="58" t="str">
        <f t="shared" si="25"/>
        <v/>
      </c>
      <c r="J273" s="56" t="str">
        <f t="shared" si="26"/>
        <v/>
      </c>
      <c r="K273" s="65"/>
    </row>
    <row r="274" spans="1:11" ht="15" customHeight="1" x14ac:dyDescent="0.2">
      <c r="A274" s="60" t="str">
        <f t="shared" si="22"/>
        <v/>
      </c>
      <c r="B274" s="56"/>
      <c r="C274" s="58" t="str">
        <f>IF(B274="","",IFERROR(INDEX('21 2026 ÜRETİM'!$F$2:$F$501,MATCH(B274,'21 2026 ÜRETİM'!$A$2:$A$501,0)),""))</f>
        <v/>
      </c>
      <c r="D274" s="56"/>
      <c r="E274" s="58" t="str">
        <f t="shared" si="23"/>
        <v/>
      </c>
      <c r="F274" s="56"/>
      <c r="G274" s="58" t="str">
        <f t="shared" si="24"/>
        <v/>
      </c>
      <c r="H274" s="56"/>
      <c r="I274" s="58" t="str">
        <f t="shared" si="25"/>
        <v/>
      </c>
      <c r="J274" s="56" t="str">
        <f t="shared" si="26"/>
        <v/>
      </c>
      <c r="K274" s="65"/>
    </row>
    <row r="275" spans="1:11" ht="15" customHeight="1" x14ac:dyDescent="0.2">
      <c r="A275" s="60" t="str">
        <f t="shared" si="22"/>
        <v/>
      </c>
      <c r="B275" s="56"/>
      <c r="C275" s="58" t="str">
        <f>IF(B275="","",IFERROR(INDEX('21 2026 ÜRETİM'!$F$2:$F$501,MATCH(B275,'21 2026 ÜRETİM'!$A$2:$A$501,0)),""))</f>
        <v/>
      </c>
      <c r="D275" s="56"/>
      <c r="E275" s="58" t="str">
        <f t="shared" si="23"/>
        <v/>
      </c>
      <c r="F275" s="56"/>
      <c r="G275" s="58" t="str">
        <f t="shared" si="24"/>
        <v/>
      </c>
      <c r="H275" s="56"/>
      <c r="I275" s="58" t="str">
        <f t="shared" si="25"/>
        <v/>
      </c>
      <c r="J275" s="56" t="str">
        <f t="shared" si="26"/>
        <v/>
      </c>
      <c r="K275" s="65"/>
    </row>
    <row r="276" spans="1:11" ht="15" customHeight="1" x14ac:dyDescent="0.2">
      <c r="A276" s="60" t="str">
        <f t="shared" si="22"/>
        <v/>
      </c>
      <c r="B276" s="56"/>
      <c r="C276" s="58" t="str">
        <f>IF(B276="","",IFERROR(INDEX('21 2026 ÜRETİM'!$F$2:$F$501,MATCH(B276,'21 2026 ÜRETİM'!$A$2:$A$501,0)),""))</f>
        <v/>
      </c>
      <c r="D276" s="56"/>
      <c r="E276" s="58" t="str">
        <f t="shared" si="23"/>
        <v/>
      </c>
      <c r="F276" s="56"/>
      <c r="G276" s="58" t="str">
        <f t="shared" si="24"/>
        <v/>
      </c>
      <c r="H276" s="56"/>
      <c r="I276" s="58" t="str">
        <f t="shared" si="25"/>
        <v/>
      </c>
      <c r="J276" s="56" t="str">
        <f t="shared" si="26"/>
        <v/>
      </c>
      <c r="K276" s="65"/>
    </row>
    <row r="277" spans="1:11" ht="15" customHeight="1" x14ac:dyDescent="0.2">
      <c r="A277" s="60" t="str">
        <f t="shared" si="22"/>
        <v/>
      </c>
      <c r="B277" s="56"/>
      <c r="C277" s="58" t="str">
        <f>IF(B277="","",IFERROR(INDEX('21 2026 ÜRETİM'!$F$2:$F$501,MATCH(B277,'21 2026 ÜRETİM'!$A$2:$A$501,0)),""))</f>
        <v/>
      </c>
      <c r="D277" s="56"/>
      <c r="E277" s="58" t="str">
        <f t="shared" si="23"/>
        <v/>
      </c>
      <c r="F277" s="56"/>
      <c r="G277" s="58" t="str">
        <f t="shared" si="24"/>
        <v/>
      </c>
      <c r="H277" s="56"/>
      <c r="I277" s="58" t="str">
        <f t="shared" si="25"/>
        <v/>
      </c>
      <c r="J277" s="56" t="str">
        <f t="shared" si="26"/>
        <v/>
      </c>
      <c r="K277" s="65"/>
    </row>
    <row r="278" spans="1:11" ht="15" customHeight="1" x14ac:dyDescent="0.2">
      <c r="A278" s="60" t="str">
        <f t="shared" si="22"/>
        <v/>
      </c>
      <c r="B278" s="56"/>
      <c r="C278" s="58" t="str">
        <f>IF(B278="","",IFERROR(INDEX('21 2026 ÜRETİM'!$F$2:$F$501,MATCH(B278,'21 2026 ÜRETİM'!$A$2:$A$501,0)),""))</f>
        <v/>
      </c>
      <c r="D278" s="56"/>
      <c r="E278" s="58" t="str">
        <f t="shared" si="23"/>
        <v/>
      </c>
      <c r="F278" s="56"/>
      <c r="G278" s="58" t="str">
        <f t="shared" si="24"/>
        <v/>
      </c>
      <c r="H278" s="56"/>
      <c r="I278" s="58" t="str">
        <f t="shared" si="25"/>
        <v/>
      </c>
      <c r="J278" s="56" t="str">
        <f t="shared" si="26"/>
        <v/>
      </c>
      <c r="K278" s="65"/>
    </row>
    <row r="279" spans="1:11" ht="15" customHeight="1" x14ac:dyDescent="0.2">
      <c r="A279" s="60" t="str">
        <f t="shared" si="22"/>
        <v/>
      </c>
      <c r="B279" s="56"/>
      <c r="C279" s="58" t="str">
        <f>IF(B279="","",IFERROR(INDEX('21 2026 ÜRETİM'!$F$2:$F$501,MATCH(B279,'21 2026 ÜRETİM'!$A$2:$A$501,0)),""))</f>
        <v/>
      </c>
      <c r="D279" s="56"/>
      <c r="E279" s="58" t="str">
        <f t="shared" si="23"/>
        <v/>
      </c>
      <c r="F279" s="56"/>
      <c r="G279" s="58" t="str">
        <f t="shared" si="24"/>
        <v/>
      </c>
      <c r="H279" s="56"/>
      <c r="I279" s="58" t="str">
        <f t="shared" si="25"/>
        <v/>
      </c>
      <c r="J279" s="56" t="str">
        <f t="shared" si="26"/>
        <v/>
      </c>
      <c r="K279" s="65"/>
    </row>
    <row r="280" spans="1:11" ht="15" customHeight="1" x14ac:dyDescent="0.2">
      <c r="A280" s="60" t="str">
        <f t="shared" si="22"/>
        <v/>
      </c>
      <c r="B280" s="56"/>
      <c r="C280" s="58" t="str">
        <f>IF(B280="","",IFERROR(INDEX('21 2026 ÜRETİM'!$F$2:$F$501,MATCH(B280,'21 2026 ÜRETİM'!$A$2:$A$501,0)),""))</f>
        <v/>
      </c>
      <c r="D280" s="56"/>
      <c r="E280" s="58" t="str">
        <f t="shared" si="23"/>
        <v/>
      </c>
      <c r="F280" s="56"/>
      <c r="G280" s="58" t="str">
        <f t="shared" si="24"/>
        <v/>
      </c>
      <c r="H280" s="56"/>
      <c r="I280" s="58" t="str">
        <f t="shared" si="25"/>
        <v/>
      </c>
      <c r="J280" s="56" t="str">
        <f t="shared" si="26"/>
        <v/>
      </c>
      <c r="K280" s="65"/>
    </row>
    <row r="281" spans="1:11" ht="15" customHeight="1" x14ac:dyDescent="0.2">
      <c r="A281" s="60" t="str">
        <f t="shared" si="22"/>
        <v/>
      </c>
      <c r="B281" s="56"/>
      <c r="C281" s="58" t="str">
        <f>IF(B281="","",IFERROR(INDEX('21 2026 ÜRETİM'!$F$2:$F$501,MATCH(B281,'21 2026 ÜRETİM'!$A$2:$A$501,0)),""))</f>
        <v/>
      </c>
      <c r="D281" s="56"/>
      <c r="E281" s="58" t="str">
        <f t="shared" si="23"/>
        <v/>
      </c>
      <c r="F281" s="56"/>
      <c r="G281" s="58" t="str">
        <f t="shared" si="24"/>
        <v/>
      </c>
      <c r="H281" s="56"/>
      <c r="I281" s="58" t="str">
        <f t="shared" si="25"/>
        <v/>
      </c>
      <c r="J281" s="56" t="str">
        <f t="shared" si="26"/>
        <v/>
      </c>
      <c r="K281" s="65"/>
    </row>
    <row r="282" spans="1:11" ht="15" customHeight="1" x14ac:dyDescent="0.2">
      <c r="A282" s="60" t="str">
        <f t="shared" si="22"/>
        <v/>
      </c>
      <c r="B282" s="56"/>
      <c r="C282" s="58" t="str">
        <f>IF(B282="","",IFERROR(INDEX('21 2026 ÜRETİM'!$F$2:$F$501,MATCH(B282,'21 2026 ÜRETİM'!$A$2:$A$501,0)),""))</f>
        <v/>
      </c>
      <c r="D282" s="56"/>
      <c r="E282" s="58" t="str">
        <f t="shared" si="23"/>
        <v/>
      </c>
      <c r="F282" s="56"/>
      <c r="G282" s="58" t="str">
        <f t="shared" si="24"/>
        <v/>
      </c>
      <c r="H282" s="56"/>
      <c r="I282" s="58" t="str">
        <f t="shared" si="25"/>
        <v/>
      </c>
      <c r="J282" s="56" t="str">
        <f t="shared" si="26"/>
        <v/>
      </c>
      <c r="K282" s="65"/>
    </row>
    <row r="283" spans="1:11" ht="15" customHeight="1" x14ac:dyDescent="0.2">
      <c r="A283" s="60" t="str">
        <f t="shared" si="22"/>
        <v/>
      </c>
      <c r="B283" s="56"/>
      <c r="C283" s="58" t="str">
        <f>IF(B283="","",IFERROR(INDEX('21 2026 ÜRETİM'!$F$2:$F$501,MATCH(B283,'21 2026 ÜRETİM'!$A$2:$A$501,0)),""))</f>
        <v/>
      </c>
      <c r="D283" s="56"/>
      <c r="E283" s="58" t="str">
        <f t="shared" si="23"/>
        <v/>
      </c>
      <c r="F283" s="56"/>
      <c r="G283" s="58" t="str">
        <f t="shared" si="24"/>
        <v/>
      </c>
      <c r="H283" s="56"/>
      <c r="I283" s="58" t="str">
        <f t="shared" si="25"/>
        <v/>
      </c>
      <c r="J283" s="56" t="str">
        <f t="shared" si="26"/>
        <v/>
      </c>
      <c r="K283" s="65"/>
    </row>
    <row r="284" spans="1:11" ht="15" customHeight="1" x14ac:dyDescent="0.2">
      <c r="A284" s="60" t="str">
        <f t="shared" si="22"/>
        <v/>
      </c>
      <c r="B284" s="56"/>
      <c r="C284" s="58" t="str">
        <f>IF(B284="","",IFERROR(INDEX('21 2026 ÜRETİM'!$F$2:$F$501,MATCH(B284,'21 2026 ÜRETİM'!$A$2:$A$501,0)),""))</f>
        <v/>
      </c>
      <c r="D284" s="56"/>
      <c r="E284" s="58" t="str">
        <f t="shared" si="23"/>
        <v/>
      </c>
      <c r="F284" s="56"/>
      <c r="G284" s="58" t="str">
        <f t="shared" si="24"/>
        <v/>
      </c>
      <c r="H284" s="56"/>
      <c r="I284" s="58" t="str">
        <f t="shared" si="25"/>
        <v/>
      </c>
      <c r="J284" s="56" t="str">
        <f t="shared" si="26"/>
        <v/>
      </c>
      <c r="K284" s="65"/>
    </row>
    <row r="285" spans="1:11" ht="15" customHeight="1" x14ac:dyDescent="0.2">
      <c r="A285" s="60" t="str">
        <f t="shared" si="22"/>
        <v/>
      </c>
      <c r="B285" s="56"/>
      <c r="C285" s="58" t="str">
        <f>IF(B285="","",IFERROR(INDEX('21 2026 ÜRETİM'!$F$2:$F$501,MATCH(B285,'21 2026 ÜRETİM'!$A$2:$A$501,0)),""))</f>
        <v/>
      </c>
      <c r="D285" s="56"/>
      <c r="E285" s="58" t="str">
        <f t="shared" si="23"/>
        <v/>
      </c>
      <c r="F285" s="56"/>
      <c r="G285" s="58" t="str">
        <f t="shared" si="24"/>
        <v/>
      </c>
      <c r="H285" s="56"/>
      <c r="I285" s="58" t="str">
        <f t="shared" si="25"/>
        <v/>
      </c>
      <c r="J285" s="56" t="str">
        <f t="shared" si="26"/>
        <v/>
      </c>
      <c r="K285" s="65"/>
    </row>
    <row r="286" spans="1:11" ht="15" customHeight="1" x14ac:dyDescent="0.2">
      <c r="A286" s="60" t="str">
        <f t="shared" si="22"/>
        <v/>
      </c>
      <c r="B286" s="56"/>
      <c r="C286" s="58" t="str">
        <f>IF(B286="","",IFERROR(INDEX('21 2026 ÜRETİM'!$F$2:$F$501,MATCH(B286,'21 2026 ÜRETİM'!$A$2:$A$501,0)),""))</f>
        <v/>
      </c>
      <c r="D286" s="56"/>
      <c r="E286" s="58" t="str">
        <f t="shared" si="23"/>
        <v/>
      </c>
      <c r="F286" s="56"/>
      <c r="G286" s="58" t="str">
        <f t="shared" si="24"/>
        <v/>
      </c>
      <c r="H286" s="56"/>
      <c r="I286" s="58" t="str">
        <f t="shared" si="25"/>
        <v/>
      </c>
      <c r="J286" s="56" t="str">
        <f t="shared" si="26"/>
        <v/>
      </c>
      <c r="K286" s="65"/>
    </row>
    <row r="287" spans="1:11" ht="15" customHeight="1" x14ac:dyDescent="0.2">
      <c r="A287" s="60" t="str">
        <f t="shared" si="22"/>
        <v/>
      </c>
      <c r="B287" s="56"/>
      <c r="C287" s="58" t="str">
        <f>IF(B287="","",IFERROR(INDEX('21 2026 ÜRETİM'!$F$2:$F$501,MATCH(B287,'21 2026 ÜRETİM'!$A$2:$A$501,0)),""))</f>
        <v/>
      </c>
      <c r="D287" s="56"/>
      <c r="E287" s="58" t="str">
        <f t="shared" si="23"/>
        <v/>
      </c>
      <c r="F287" s="56"/>
      <c r="G287" s="58" t="str">
        <f t="shared" si="24"/>
        <v/>
      </c>
      <c r="H287" s="56"/>
      <c r="I287" s="58" t="str">
        <f t="shared" si="25"/>
        <v/>
      </c>
      <c r="J287" s="56" t="str">
        <f t="shared" si="26"/>
        <v/>
      </c>
      <c r="K287" s="65"/>
    </row>
    <row r="288" spans="1:11" ht="15" customHeight="1" x14ac:dyDescent="0.2">
      <c r="A288" s="60" t="str">
        <f t="shared" si="22"/>
        <v/>
      </c>
      <c r="B288" s="56"/>
      <c r="C288" s="58" t="str">
        <f>IF(B288="","",IFERROR(INDEX('21 2026 ÜRETİM'!$F$2:$F$501,MATCH(B288,'21 2026 ÜRETİM'!$A$2:$A$501,0)),""))</f>
        <v/>
      </c>
      <c r="D288" s="56"/>
      <c r="E288" s="58" t="str">
        <f t="shared" si="23"/>
        <v/>
      </c>
      <c r="F288" s="56"/>
      <c r="G288" s="58" t="str">
        <f t="shared" si="24"/>
        <v/>
      </c>
      <c r="H288" s="56"/>
      <c r="I288" s="58" t="str">
        <f t="shared" si="25"/>
        <v/>
      </c>
      <c r="J288" s="56" t="str">
        <f t="shared" si="26"/>
        <v/>
      </c>
      <c r="K288" s="65"/>
    </row>
    <row r="289" spans="1:11" ht="15" customHeight="1" x14ac:dyDescent="0.2">
      <c r="A289" s="60" t="str">
        <f t="shared" si="22"/>
        <v/>
      </c>
      <c r="B289" s="56"/>
      <c r="C289" s="58" t="str">
        <f>IF(B289="","",IFERROR(INDEX('21 2026 ÜRETİM'!$F$2:$F$501,MATCH(B289,'21 2026 ÜRETİM'!$A$2:$A$501,0)),""))</f>
        <v/>
      </c>
      <c r="D289" s="56"/>
      <c r="E289" s="58" t="str">
        <f t="shared" si="23"/>
        <v/>
      </c>
      <c r="F289" s="56"/>
      <c r="G289" s="58" t="str">
        <f t="shared" si="24"/>
        <v/>
      </c>
      <c r="H289" s="56"/>
      <c r="I289" s="58" t="str">
        <f t="shared" si="25"/>
        <v/>
      </c>
      <c r="J289" s="56" t="str">
        <f t="shared" si="26"/>
        <v/>
      </c>
      <c r="K289" s="65"/>
    </row>
    <row r="290" spans="1:11" ht="15" customHeight="1" x14ac:dyDescent="0.2">
      <c r="A290" s="60" t="str">
        <f t="shared" si="22"/>
        <v/>
      </c>
      <c r="B290" s="56"/>
      <c r="C290" s="58" t="str">
        <f>IF(B290="","",IFERROR(INDEX('21 2026 ÜRETİM'!$F$2:$F$501,MATCH(B290,'21 2026 ÜRETİM'!$A$2:$A$501,0)),""))</f>
        <v/>
      </c>
      <c r="D290" s="56"/>
      <c r="E290" s="58" t="str">
        <f t="shared" si="23"/>
        <v/>
      </c>
      <c r="F290" s="56"/>
      <c r="G290" s="58" t="str">
        <f t="shared" si="24"/>
        <v/>
      </c>
      <c r="H290" s="56"/>
      <c r="I290" s="58" t="str">
        <f t="shared" si="25"/>
        <v/>
      </c>
      <c r="J290" s="56" t="str">
        <f t="shared" si="26"/>
        <v/>
      </c>
      <c r="K290" s="65"/>
    </row>
    <row r="291" spans="1:11" ht="15" customHeight="1" x14ac:dyDescent="0.2">
      <c r="A291" s="60" t="str">
        <f t="shared" si="22"/>
        <v/>
      </c>
      <c r="B291" s="56"/>
      <c r="C291" s="58" t="str">
        <f>IF(B291="","",IFERROR(INDEX('21 2026 ÜRETİM'!$F$2:$F$501,MATCH(B291,'21 2026 ÜRETİM'!$A$2:$A$501,0)),""))</f>
        <v/>
      </c>
      <c r="D291" s="56"/>
      <c r="E291" s="58" t="str">
        <f t="shared" si="23"/>
        <v/>
      </c>
      <c r="F291" s="56"/>
      <c r="G291" s="58" t="str">
        <f t="shared" si="24"/>
        <v/>
      </c>
      <c r="H291" s="56"/>
      <c r="I291" s="58" t="str">
        <f t="shared" si="25"/>
        <v/>
      </c>
      <c r="J291" s="56" t="str">
        <f t="shared" si="26"/>
        <v/>
      </c>
      <c r="K291" s="65"/>
    </row>
    <row r="292" spans="1:11" ht="15" customHeight="1" x14ac:dyDescent="0.2">
      <c r="A292" s="60" t="str">
        <f t="shared" si="22"/>
        <v/>
      </c>
      <c r="B292" s="56"/>
      <c r="C292" s="58" t="str">
        <f>IF(B292="","",IFERROR(INDEX('21 2026 ÜRETİM'!$F$2:$F$501,MATCH(B292,'21 2026 ÜRETİM'!$A$2:$A$501,0)),""))</f>
        <v/>
      </c>
      <c r="D292" s="56"/>
      <c r="E292" s="58" t="str">
        <f t="shared" si="23"/>
        <v/>
      </c>
      <c r="F292" s="56"/>
      <c r="G292" s="58" t="str">
        <f t="shared" si="24"/>
        <v/>
      </c>
      <c r="H292" s="56"/>
      <c r="I292" s="58" t="str">
        <f t="shared" si="25"/>
        <v/>
      </c>
      <c r="J292" s="56" t="str">
        <f t="shared" si="26"/>
        <v/>
      </c>
      <c r="K292" s="65"/>
    </row>
    <row r="293" spans="1:11" ht="15" customHeight="1" x14ac:dyDescent="0.2">
      <c r="A293" s="60" t="str">
        <f t="shared" si="22"/>
        <v/>
      </c>
      <c r="B293" s="56"/>
      <c r="C293" s="58" t="str">
        <f>IF(B293="","",IFERROR(INDEX('21 2026 ÜRETİM'!$F$2:$F$501,MATCH(B293,'21 2026 ÜRETİM'!$A$2:$A$501,0)),""))</f>
        <v/>
      </c>
      <c r="D293" s="56"/>
      <c r="E293" s="58" t="str">
        <f t="shared" si="23"/>
        <v/>
      </c>
      <c r="F293" s="56"/>
      <c r="G293" s="58" t="str">
        <f t="shared" si="24"/>
        <v/>
      </c>
      <c r="H293" s="56"/>
      <c r="I293" s="58" t="str">
        <f t="shared" si="25"/>
        <v/>
      </c>
      <c r="J293" s="56" t="str">
        <f t="shared" si="26"/>
        <v/>
      </c>
      <c r="K293" s="65"/>
    </row>
    <row r="294" spans="1:11" ht="15" customHeight="1" x14ac:dyDescent="0.2">
      <c r="A294" s="60" t="str">
        <f t="shared" si="22"/>
        <v/>
      </c>
      <c r="B294" s="56"/>
      <c r="C294" s="58" t="str">
        <f>IF(B294="","",IFERROR(INDEX('21 2026 ÜRETİM'!$F$2:$F$501,MATCH(B294,'21 2026 ÜRETİM'!$A$2:$A$501,0)),""))</f>
        <v/>
      </c>
      <c r="D294" s="56"/>
      <c r="E294" s="58" t="str">
        <f t="shared" si="23"/>
        <v/>
      </c>
      <c r="F294" s="56"/>
      <c r="G294" s="58" t="str">
        <f t="shared" si="24"/>
        <v/>
      </c>
      <c r="H294" s="56"/>
      <c r="I294" s="58" t="str">
        <f t="shared" si="25"/>
        <v/>
      </c>
      <c r="J294" s="56" t="str">
        <f t="shared" si="26"/>
        <v/>
      </c>
      <c r="K294" s="65"/>
    </row>
    <row r="295" spans="1:11" ht="15" customHeight="1" x14ac:dyDescent="0.2">
      <c r="A295" s="60" t="str">
        <f t="shared" si="22"/>
        <v/>
      </c>
      <c r="B295" s="56"/>
      <c r="C295" s="58" t="str">
        <f>IF(B295="","",IFERROR(INDEX('21 2026 ÜRETİM'!$F$2:$F$501,MATCH(B295,'21 2026 ÜRETİM'!$A$2:$A$501,0)),""))</f>
        <v/>
      </c>
      <c r="D295" s="56"/>
      <c r="E295" s="58" t="str">
        <f t="shared" si="23"/>
        <v/>
      </c>
      <c r="F295" s="56"/>
      <c r="G295" s="58" t="str">
        <f t="shared" si="24"/>
        <v/>
      </c>
      <c r="H295" s="56"/>
      <c r="I295" s="58" t="str">
        <f t="shared" si="25"/>
        <v/>
      </c>
      <c r="J295" s="56" t="str">
        <f t="shared" si="26"/>
        <v/>
      </c>
      <c r="K295" s="65"/>
    </row>
    <row r="296" spans="1:11" ht="15" customHeight="1" x14ac:dyDescent="0.2">
      <c r="A296" s="60" t="str">
        <f t="shared" si="22"/>
        <v/>
      </c>
      <c r="B296" s="56"/>
      <c r="C296" s="58" t="str">
        <f>IF(B296="","",IFERROR(INDEX('21 2026 ÜRETİM'!$F$2:$F$501,MATCH(B296,'21 2026 ÜRETİM'!$A$2:$A$501,0)),""))</f>
        <v/>
      </c>
      <c r="D296" s="56"/>
      <c r="E296" s="58" t="str">
        <f t="shared" si="23"/>
        <v/>
      </c>
      <c r="F296" s="56"/>
      <c r="G296" s="58" t="str">
        <f t="shared" si="24"/>
        <v/>
      </c>
      <c r="H296" s="56"/>
      <c r="I296" s="58" t="str">
        <f t="shared" si="25"/>
        <v/>
      </c>
      <c r="J296" s="56" t="str">
        <f t="shared" si="26"/>
        <v/>
      </c>
      <c r="K296" s="65"/>
    </row>
    <row r="297" spans="1:11" ht="15" customHeight="1" x14ac:dyDescent="0.2">
      <c r="A297" s="60" t="str">
        <f t="shared" si="22"/>
        <v/>
      </c>
      <c r="B297" s="56"/>
      <c r="C297" s="58" t="str">
        <f>IF(B297="","",IFERROR(INDEX('21 2026 ÜRETİM'!$F$2:$F$501,MATCH(B297,'21 2026 ÜRETİM'!$A$2:$A$501,0)),""))</f>
        <v/>
      </c>
      <c r="D297" s="56"/>
      <c r="E297" s="58" t="str">
        <f t="shared" si="23"/>
        <v/>
      </c>
      <c r="F297" s="56"/>
      <c r="G297" s="58" t="str">
        <f t="shared" si="24"/>
        <v/>
      </c>
      <c r="H297" s="56"/>
      <c r="I297" s="58" t="str">
        <f t="shared" si="25"/>
        <v/>
      </c>
      <c r="J297" s="56" t="str">
        <f t="shared" si="26"/>
        <v/>
      </c>
      <c r="K297" s="65"/>
    </row>
    <row r="298" spans="1:11" ht="15" customHeight="1" x14ac:dyDescent="0.2">
      <c r="A298" s="60" t="str">
        <f t="shared" si="22"/>
        <v/>
      </c>
      <c r="B298" s="56"/>
      <c r="C298" s="58" t="str">
        <f>IF(B298="","",IFERROR(INDEX('21 2026 ÜRETİM'!$F$2:$F$501,MATCH(B298,'21 2026 ÜRETİM'!$A$2:$A$501,0)),""))</f>
        <v/>
      </c>
      <c r="D298" s="56"/>
      <c r="E298" s="58" t="str">
        <f t="shared" si="23"/>
        <v/>
      </c>
      <c r="F298" s="56"/>
      <c r="G298" s="58" t="str">
        <f t="shared" si="24"/>
        <v/>
      </c>
      <c r="H298" s="56"/>
      <c r="I298" s="58" t="str">
        <f t="shared" si="25"/>
        <v/>
      </c>
      <c r="J298" s="56" t="str">
        <f t="shared" si="26"/>
        <v/>
      </c>
      <c r="K298" s="65"/>
    </row>
    <row r="299" spans="1:11" ht="15" customHeight="1" x14ac:dyDescent="0.2">
      <c r="A299" s="60" t="str">
        <f t="shared" si="22"/>
        <v/>
      </c>
      <c r="B299" s="56"/>
      <c r="C299" s="58" t="str">
        <f>IF(B299="","",IFERROR(INDEX('21 2026 ÜRETİM'!$F$2:$F$501,MATCH(B299,'21 2026 ÜRETİM'!$A$2:$A$501,0)),""))</f>
        <v/>
      </c>
      <c r="D299" s="56"/>
      <c r="E299" s="58" t="str">
        <f t="shared" si="23"/>
        <v/>
      </c>
      <c r="F299" s="56"/>
      <c r="G299" s="58" t="str">
        <f t="shared" si="24"/>
        <v/>
      </c>
      <c r="H299" s="56"/>
      <c r="I299" s="58" t="str">
        <f t="shared" si="25"/>
        <v/>
      </c>
      <c r="J299" s="56" t="str">
        <f t="shared" si="26"/>
        <v/>
      </c>
      <c r="K299" s="65"/>
    </row>
    <row r="300" spans="1:11" ht="15" customHeight="1" x14ac:dyDescent="0.2">
      <c r="A300" s="60" t="str">
        <f t="shared" si="22"/>
        <v/>
      </c>
      <c r="B300" s="56"/>
      <c r="C300" s="58" t="str">
        <f>IF(B300="","",IFERROR(INDEX('21 2026 ÜRETİM'!$F$2:$F$501,MATCH(B300,'21 2026 ÜRETİM'!$A$2:$A$501,0)),""))</f>
        <v/>
      </c>
      <c r="D300" s="56"/>
      <c r="E300" s="58" t="str">
        <f t="shared" si="23"/>
        <v/>
      </c>
      <c r="F300" s="56"/>
      <c r="G300" s="58" t="str">
        <f t="shared" si="24"/>
        <v/>
      </c>
      <c r="H300" s="56"/>
      <c r="I300" s="58" t="str">
        <f t="shared" si="25"/>
        <v/>
      </c>
      <c r="J300" s="56" t="str">
        <f t="shared" si="26"/>
        <v/>
      </c>
      <c r="K300" s="65"/>
    </row>
    <row r="301" spans="1:11" ht="15" customHeight="1" x14ac:dyDescent="0.2">
      <c r="A301" s="60" t="str">
        <f t="shared" si="22"/>
        <v/>
      </c>
      <c r="B301" s="56"/>
      <c r="C301" s="58" t="str">
        <f>IF(B301="","",IFERROR(INDEX('21 2026 ÜRETİM'!$F$2:$F$501,MATCH(B301,'21 2026 ÜRETİM'!$A$2:$A$501,0)),""))</f>
        <v/>
      </c>
      <c r="D301" s="56"/>
      <c r="E301" s="58" t="str">
        <f t="shared" si="23"/>
        <v/>
      </c>
      <c r="F301" s="56"/>
      <c r="G301" s="58" t="str">
        <f t="shared" si="24"/>
        <v/>
      </c>
      <c r="H301" s="56"/>
      <c r="I301" s="58" t="str">
        <f t="shared" si="25"/>
        <v/>
      </c>
      <c r="J301" s="56" t="str">
        <f t="shared" si="26"/>
        <v/>
      </c>
      <c r="K301" s="65"/>
    </row>
    <row r="302" spans="1:11" ht="15" customHeight="1" x14ac:dyDescent="0.2">
      <c r="A302" s="60" t="str">
        <f t="shared" si="22"/>
        <v/>
      </c>
      <c r="B302" s="56"/>
      <c r="C302" s="58" t="str">
        <f>IF(B302="","",IFERROR(INDEX('21 2026 ÜRETİM'!$F$2:$F$501,MATCH(B302,'21 2026 ÜRETİM'!$A$2:$A$501,0)),""))</f>
        <v/>
      </c>
      <c r="D302" s="56"/>
      <c r="E302" s="58" t="str">
        <f t="shared" si="23"/>
        <v/>
      </c>
      <c r="F302" s="56"/>
      <c r="G302" s="58" t="str">
        <f t="shared" si="24"/>
        <v/>
      </c>
      <c r="H302" s="56"/>
      <c r="I302" s="58" t="str">
        <f t="shared" si="25"/>
        <v/>
      </c>
      <c r="J302" s="56" t="str">
        <f t="shared" si="26"/>
        <v/>
      </c>
      <c r="K302" s="65"/>
    </row>
    <row r="303" spans="1:11" ht="15" customHeight="1" x14ac:dyDescent="0.2">
      <c r="A303" s="60" t="str">
        <f t="shared" si="22"/>
        <v/>
      </c>
      <c r="B303" s="56"/>
      <c r="C303" s="58" t="str">
        <f>IF(B303="","",IFERROR(INDEX('21 2026 ÜRETİM'!$F$2:$F$501,MATCH(B303,'21 2026 ÜRETİM'!$A$2:$A$501,0)),""))</f>
        <v/>
      </c>
      <c r="D303" s="56"/>
      <c r="E303" s="58" t="str">
        <f t="shared" si="23"/>
        <v/>
      </c>
      <c r="F303" s="56"/>
      <c r="G303" s="58" t="str">
        <f t="shared" si="24"/>
        <v/>
      </c>
      <c r="H303" s="56"/>
      <c r="I303" s="58" t="str">
        <f t="shared" si="25"/>
        <v/>
      </c>
      <c r="J303" s="56" t="str">
        <f t="shared" si="26"/>
        <v/>
      </c>
      <c r="K303" s="65"/>
    </row>
    <row r="304" spans="1:11" ht="15" customHeight="1" x14ac:dyDescent="0.2">
      <c r="A304" s="60" t="str">
        <f t="shared" si="22"/>
        <v/>
      </c>
      <c r="B304" s="56"/>
      <c r="C304" s="58" t="str">
        <f>IF(B304="","",IFERROR(INDEX('21 2026 ÜRETİM'!$F$2:$F$501,MATCH(B304,'21 2026 ÜRETİM'!$A$2:$A$501,0)),""))</f>
        <v/>
      </c>
      <c r="D304" s="56"/>
      <c r="E304" s="58" t="str">
        <f t="shared" si="23"/>
        <v/>
      </c>
      <c r="F304" s="56"/>
      <c r="G304" s="58" t="str">
        <f t="shared" si="24"/>
        <v/>
      </c>
      <c r="H304" s="56"/>
      <c r="I304" s="58" t="str">
        <f t="shared" si="25"/>
        <v/>
      </c>
      <c r="J304" s="56" t="str">
        <f t="shared" si="26"/>
        <v/>
      </c>
      <c r="K304" s="65"/>
    </row>
    <row r="305" spans="1:11" ht="15" customHeight="1" x14ac:dyDescent="0.2">
      <c r="A305" s="60" t="str">
        <f t="shared" si="22"/>
        <v/>
      </c>
      <c r="B305" s="56"/>
      <c r="C305" s="58" t="str">
        <f>IF(B305="","",IFERROR(INDEX('21 2026 ÜRETİM'!$F$2:$F$501,MATCH(B305,'21 2026 ÜRETİM'!$A$2:$A$501,0)),""))</f>
        <v/>
      </c>
      <c r="D305" s="56"/>
      <c r="E305" s="58" t="str">
        <f t="shared" si="23"/>
        <v/>
      </c>
      <c r="F305" s="56"/>
      <c r="G305" s="58" t="str">
        <f t="shared" si="24"/>
        <v/>
      </c>
      <c r="H305" s="56"/>
      <c r="I305" s="58" t="str">
        <f t="shared" si="25"/>
        <v/>
      </c>
      <c r="J305" s="56" t="str">
        <f t="shared" si="26"/>
        <v/>
      </c>
      <c r="K305" s="65"/>
    </row>
    <row r="306" spans="1:11" ht="15" customHeight="1" x14ac:dyDescent="0.2">
      <c r="A306" s="60" t="str">
        <f t="shared" si="22"/>
        <v/>
      </c>
      <c r="B306" s="56"/>
      <c r="C306" s="58" t="str">
        <f>IF(B306="","",IFERROR(INDEX('21 2026 ÜRETİM'!$F$2:$F$501,MATCH(B306,'21 2026 ÜRETİM'!$A$2:$A$501,0)),""))</f>
        <v/>
      </c>
      <c r="D306" s="56"/>
      <c r="E306" s="58" t="str">
        <f t="shared" si="23"/>
        <v/>
      </c>
      <c r="F306" s="56"/>
      <c r="G306" s="58" t="str">
        <f t="shared" si="24"/>
        <v/>
      </c>
      <c r="H306" s="56"/>
      <c r="I306" s="58" t="str">
        <f t="shared" si="25"/>
        <v/>
      </c>
      <c r="J306" s="56" t="str">
        <f t="shared" si="26"/>
        <v/>
      </c>
      <c r="K306" s="65"/>
    </row>
    <row r="307" spans="1:11" ht="15" customHeight="1" x14ac:dyDescent="0.2">
      <c r="A307" s="60" t="str">
        <f t="shared" si="22"/>
        <v/>
      </c>
      <c r="B307" s="56"/>
      <c r="C307" s="58" t="str">
        <f>IF(B307="","",IFERROR(INDEX('21 2026 ÜRETİM'!$F$2:$F$501,MATCH(B307,'21 2026 ÜRETİM'!$A$2:$A$501,0)),""))</f>
        <v/>
      </c>
      <c r="D307" s="56"/>
      <c r="E307" s="58" t="str">
        <f t="shared" si="23"/>
        <v/>
      </c>
      <c r="F307" s="56"/>
      <c r="G307" s="58" t="str">
        <f t="shared" si="24"/>
        <v/>
      </c>
      <c r="H307" s="56"/>
      <c r="I307" s="58" t="str">
        <f t="shared" si="25"/>
        <v/>
      </c>
      <c r="J307" s="56" t="str">
        <f t="shared" si="26"/>
        <v/>
      </c>
      <c r="K307" s="65"/>
    </row>
    <row r="308" spans="1:11" ht="15" customHeight="1" x14ac:dyDescent="0.2">
      <c r="A308" s="60" t="str">
        <f t="shared" si="22"/>
        <v/>
      </c>
      <c r="B308" s="56"/>
      <c r="C308" s="58" t="str">
        <f>IF(B308="","",IFERROR(INDEX('21 2026 ÜRETİM'!$F$2:$F$501,MATCH(B308,'21 2026 ÜRETİM'!$A$2:$A$501,0)),""))</f>
        <v/>
      </c>
      <c r="D308" s="56"/>
      <c r="E308" s="58" t="str">
        <f t="shared" si="23"/>
        <v/>
      </c>
      <c r="F308" s="56"/>
      <c r="G308" s="58" t="str">
        <f t="shared" si="24"/>
        <v/>
      </c>
      <c r="H308" s="56"/>
      <c r="I308" s="58" t="str">
        <f t="shared" si="25"/>
        <v/>
      </c>
      <c r="J308" s="56" t="str">
        <f t="shared" si="26"/>
        <v/>
      </c>
      <c r="K308" s="65"/>
    </row>
    <row r="309" spans="1:11" ht="15" customHeight="1" x14ac:dyDescent="0.2">
      <c r="A309" s="60" t="str">
        <f t="shared" si="22"/>
        <v/>
      </c>
      <c r="B309" s="56"/>
      <c r="C309" s="58" t="str">
        <f>IF(B309="","",IFERROR(INDEX('21 2026 ÜRETİM'!$F$2:$F$501,MATCH(B309,'21 2026 ÜRETİM'!$A$2:$A$501,0)),""))</f>
        <v/>
      </c>
      <c r="D309" s="56"/>
      <c r="E309" s="58" t="str">
        <f t="shared" si="23"/>
        <v/>
      </c>
      <c r="F309" s="56"/>
      <c r="G309" s="58" t="str">
        <f t="shared" si="24"/>
        <v/>
      </c>
      <c r="H309" s="56"/>
      <c r="I309" s="58" t="str">
        <f t="shared" si="25"/>
        <v/>
      </c>
      <c r="J309" s="56" t="str">
        <f t="shared" si="26"/>
        <v/>
      </c>
      <c r="K309" s="65"/>
    </row>
    <row r="310" spans="1:11" ht="15" customHeight="1" x14ac:dyDescent="0.2">
      <c r="A310" s="60" t="str">
        <f t="shared" si="22"/>
        <v/>
      </c>
      <c r="B310" s="56"/>
      <c r="C310" s="58" t="str">
        <f>IF(B310="","",IFERROR(INDEX('21 2026 ÜRETİM'!$F$2:$F$501,MATCH(B310,'21 2026 ÜRETİM'!$A$2:$A$501,0)),""))</f>
        <v/>
      </c>
      <c r="D310" s="56"/>
      <c r="E310" s="58" t="str">
        <f t="shared" si="23"/>
        <v/>
      </c>
      <c r="F310" s="56"/>
      <c r="G310" s="58" t="str">
        <f t="shared" si="24"/>
        <v/>
      </c>
      <c r="H310" s="56"/>
      <c r="I310" s="58" t="str">
        <f t="shared" si="25"/>
        <v/>
      </c>
      <c r="J310" s="56" t="str">
        <f t="shared" si="26"/>
        <v/>
      </c>
      <c r="K310" s="65"/>
    </row>
    <row r="311" spans="1:11" ht="15" customHeight="1" x14ac:dyDescent="0.2">
      <c r="A311" s="60" t="str">
        <f t="shared" si="22"/>
        <v/>
      </c>
      <c r="B311" s="56"/>
      <c r="C311" s="58" t="str">
        <f>IF(B311="","",IFERROR(INDEX('21 2026 ÜRETİM'!$F$2:$F$501,MATCH(B311,'21 2026 ÜRETİM'!$A$2:$A$501,0)),""))</f>
        <v/>
      </c>
      <c r="D311" s="56"/>
      <c r="E311" s="58" t="str">
        <f t="shared" si="23"/>
        <v/>
      </c>
      <c r="F311" s="56"/>
      <c r="G311" s="58" t="str">
        <f t="shared" si="24"/>
        <v/>
      </c>
      <c r="H311" s="56"/>
      <c r="I311" s="58" t="str">
        <f t="shared" si="25"/>
        <v/>
      </c>
      <c r="J311" s="56" t="str">
        <f t="shared" si="26"/>
        <v/>
      </c>
      <c r="K311" s="65"/>
    </row>
    <row r="312" spans="1:11" ht="15" customHeight="1" x14ac:dyDescent="0.2">
      <c r="A312" s="60" t="str">
        <f t="shared" si="22"/>
        <v/>
      </c>
      <c r="B312" s="56"/>
      <c r="C312" s="58" t="str">
        <f>IF(B312="","",IFERROR(INDEX('21 2026 ÜRETİM'!$F$2:$F$501,MATCH(B312,'21 2026 ÜRETİM'!$A$2:$A$501,0)),""))</f>
        <v/>
      </c>
      <c r="D312" s="56"/>
      <c r="E312" s="58" t="str">
        <f t="shared" si="23"/>
        <v/>
      </c>
      <c r="F312" s="56"/>
      <c r="G312" s="58" t="str">
        <f t="shared" si="24"/>
        <v/>
      </c>
      <c r="H312" s="56"/>
      <c r="I312" s="58" t="str">
        <f t="shared" si="25"/>
        <v/>
      </c>
      <c r="J312" s="56" t="str">
        <f t="shared" si="26"/>
        <v/>
      </c>
      <c r="K312" s="65"/>
    </row>
    <row r="313" spans="1:11" ht="15" customHeight="1" x14ac:dyDescent="0.2">
      <c r="A313" s="60" t="str">
        <f t="shared" si="22"/>
        <v/>
      </c>
      <c r="B313" s="56"/>
      <c r="C313" s="58" t="str">
        <f>IF(B313="","",IFERROR(INDEX('21 2026 ÜRETİM'!$F$2:$F$501,MATCH(B313,'21 2026 ÜRETİM'!$A$2:$A$501,0)),""))</f>
        <v/>
      </c>
      <c r="D313" s="56"/>
      <c r="E313" s="58" t="str">
        <f t="shared" si="23"/>
        <v/>
      </c>
      <c r="F313" s="56"/>
      <c r="G313" s="58" t="str">
        <f t="shared" si="24"/>
        <v/>
      </c>
      <c r="H313" s="56"/>
      <c r="I313" s="58" t="str">
        <f t="shared" si="25"/>
        <v/>
      </c>
      <c r="J313" s="56" t="str">
        <f t="shared" si="26"/>
        <v/>
      </c>
      <c r="K313" s="65"/>
    </row>
    <row r="314" spans="1:11" ht="15" customHeight="1" x14ac:dyDescent="0.2">
      <c r="A314" s="60" t="str">
        <f t="shared" si="22"/>
        <v/>
      </c>
      <c r="B314" s="56"/>
      <c r="C314" s="58" t="str">
        <f>IF(B314="","",IFERROR(INDEX('21 2026 ÜRETİM'!$F$2:$F$501,MATCH(B314,'21 2026 ÜRETİM'!$A$2:$A$501,0)),""))</f>
        <v/>
      </c>
      <c r="D314" s="56"/>
      <c r="E314" s="58" t="str">
        <f t="shared" si="23"/>
        <v/>
      </c>
      <c r="F314" s="56"/>
      <c r="G314" s="58" t="str">
        <f t="shared" si="24"/>
        <v/>
      </c>
      <c r="H314" s="56"/>
      <c r="I314" s="58" t="str">
        <f t="shared" si="25"/>
        <v/>
      </c>
      <c r="J314" s="56" t="str">
        <f t="shared" si="26"/>
        <v/>
      </c>
      <c r="K314" s="65"/>
    </row>
    <row r="315" spans="1:11" ht="15" customHeight="1" x14ac:dyDescent="0.2">
      <c r="A315" s="60" t="str">
        <f t="shared" si="22"/>
        <v/>
      </c>
      <c r="B315" s="56"/>
      <c r="C315" s="58" t="str">
        <f>IF(B315="","",IFERROR(INDEX('21 2026 ÜRETİM'!$F$2:$F$501,MATCH(B315,'21 2026 ÜRETİM'!$A$2:$A$501,0)),""))</f>
        <v/>
      </c>
      <c r="D315" s="56"/>
      <c r="E315" s="58" t="str">
        <f t="shared" si="23"/>
        <v/>
      </c>
      <c r="F315" s="56"/>
      <c r="G315" s="58" t="str">
        <f t="shared" si="24"/>
        <v/>
      </c>
      <c r="H315" s="56"/>
      <c r="I315" s="58" t="str">
        <f t="shared" si="25"/>
        <v/>
      </c>
      <c r="J315" s="56" t="str">
        <f t="shared" si="26"/>
        <v/>
      </c>
      <c r="K315" s="65"/>
    </row>
    <row r="316" spans="1:11" ht="15" customHeight="1" x14ac:dyDescent="0.2">
      <c r="A316" s="60" t="str">
        <f t="shared" si="22"/>
        <v/>
      </c>
      <c r="B316" s="56"/>
      <c r="C316" s="58" t="str">
        <f>IF(B316="","",IFERROR(INDEX('21 2026 ÜRETİM'!$F$2:$F$501,MATCH(B316,'21 2026 ÜRETİM'!$A$2:$A$501,0)),""))</f>
        <v/>
      </c>
      <c r="D316" s="56"/>
      <c r="E316" s="58" t="str">
        <f t="shared" si="23"/>
        <v/>
      </c>
      <c r="F316" s="56"/>
      <c r="G316" s="58" t="str">
        <f t="shared" si="24"/>
        <v/>
      </c>
      <c r="H316" s="56"/>
      <c r="I316" s="58" t="str">
        <f t="shared" si="25"/>
        <v/>
      </c>
      <c r="J316" s="56" t="str">
        <f t="shared" si="26"/>
        <v/>
      </c>
      <c r="K316" s="65"/>
    </row>
    <row r="317" spans="1:11" ht="15" customHeight="1" x14ac:dyDescent="0.2">
      <c r="A317" s="60" t="str">
        <f t="shared" si="22"/>
        <v/>
      </c>
      <c r="B317" s="56"/>
      <c r="C317" s="58" t="str">
        <f>IF(B317="","",IFERROR(INDEX('21 2026 ÜRETİM'!$F$2:$F$501,MATCH(B317,'21 2026 ÜRETİM'!$A$2:$A$501,0)),""))</f>
        <v/>
      </c>
      <c r="D317" s="56"/>
      <c r="E317" s="58" t="str">
        <f t="shared" si="23"/>
        <v/>
      </c>
      <c r="F317" s="56"/>
      <c r="G317" s="58" t="str">
        <f t="shared" si="24"/>
        <v/>
      </c>
      <c r="H317" s="56"/>
      <c r="I317" s="58" t="str">
        <f t="shared" si="25"/>
        <v/>
      </c>
      <c r="J317" s="56" t="str">
        <f t="shared" si="26"/>
        <v/>
      </c>
      <c r="K317" s="65"/>
    </row>
    <row r="318" spans="1:11" ht="15" customHeight="1" x14ac:dyDescent="0.2">
      <c r="A318" s="60" t="str">
        <f t="shared" si="22"/>
        <v/>
      </c>
      <c r="B318" s="56"/>
      <c r="C318" s="58" t="str">
        <f>IF(B318="","",IFERROR(INDEX('21 2026 ÜRETİM'!$F$2:$F$501,MATCH(B318,'21 2026 ÜRETİM'!$A$2:$A$501,0)),""))</f>
        <v/>
      </c>
      <c r="D318" s="56"/>
      <c r="E318" s="58" t="str">
        <f t="shared" si="23"/>
        <v/>
      </c>
      <c r="F318" s="56"/>
      <c r="G318" s="58" t="str">
        <f t="shared" si="24"/>
        <v/>
      </c>
      <c r="H318" s="56"/>
      <c r="I318" s="58" t="str">
        <f t="shared" si="25"/>
        <v/>
      </c>
      <c r="J318" s="56" t="str">
        <f t="shared" si="26"/>
        <v/>
      </c>
      <c r="K318" s="65"/>
    </row>
    <row r="319" spans="1:11" ht="15" customHeight="1" x14ac:dyDescent="0.2">
      <c r="A319" s="60" t="str">
        <f t="shared" si="22"/>
        <v/>
      </c>
      <c r="B319" s="56"/>
      <c r="C319" s="58" t="str">
        <f>IF(B319="","",IFERROR(INDEX('21 2026 ÜRETİM'!$F$2:$F$501,MATCH(B319,'21 2026 ÜRETİM'!$A$2:$A$501,0)),""))</f>
        <v/>
      </c>
      <c r="D319" s="56"/>
      <c r="E319" s="58" t="str">
        <f t="shared" si="23"/>
        <v/>
      </c>
      <c r="F319" s="56"/>
      <c r="G319" s="58" t="str">
        <f t="shared" si="24"/>
        <v/>
      </c>
      <c r="H319" s="56"/>
      <c r="I319" s="58" t="str">
        <f t="shared" si="25"/>
        <v/>
      </c>
      <c r="J319" s="56" t="str">
        <f t="shared" si="26"/>
        <v/>
      </c>
      <c r="K319" s="65"/>
    </row>
    <row r="320" spans="1:11" ht="15" customHeight="1" x14ac:dyDescent="0.2">
      <c r="A320" s="60" t="str">
        <f t="shared" si="22"/>
        <v/>
      </c>
      <c r="B320" s="56"/>
      <c r="C320" s="58" t="str">
        <f>IF(B320="","",IFERROR(INDEX('21 2026 ÜRETİM'!$F$2:$F$501,MATCH(B320,'21 2026 ÜRETİM'!$A$2:$A$501,0)),""))</f>
        <v/>
      </c>
      <c r="D320" s="56"/>
      <c r="E320" s="58" t="str">
        <f t="shared" si="23"/>
        <v/>
      </c>
      <c r="F320" s="56"/>
      <c r="G320" s="58" t="str">
        <f t="shared" si="24"/>
        <v/>
      </c>
      <c r="H320" s="56"/>
      <c r="I320" s="58" t="str">
        <f t="shared" si="25"/>
        <v/>
      </c>
      <c r="J320" s="56" t="str">
        <f t="shared" si="26"/>
        <v/>
      </c>
      <c r="K320" s="65"/>
    </row>
    <row r="321" spans="1:11" ht="15" customHeight="1" x14ac:dyDescent="0.2">
      <c r="A321" s="60" t="str">
        <f t="shared" si="22"/>
        <v/>
      </c>
      <c r="B321" s="56"/>
      <c r="C321" s="58" t="str">
        <f>IF(B321="","",IFERROR(INDEX('21 2026 ÜRETİM'!$F$2:$F$501,MATCH(B321,'21 2026 ÜRETİM'!$A$2:$A$501,0)),""))</f>
        <v/>
      </c>
      <c r="D321" s="56"/>
      <c r="E321" s="58" t="str">
        <f t="shared" si="23"/>
        <v/>
      </c>
      <c r="F321" s="56"/>
      <c r="G321" s="58" t="str">
        <f t="shared" si="24"/>
        <v/>
      </c>
      <c r="H321" s="56"/>
      <c r="I321" s="58" t="str">
        <f t="shared" si="25"/>
        <v/>
      </c>
      <c r="J321" s="56" t="str">
        <f t="shared" si="26"/>
        <v/>
      </c>
      <c r="K321" s="65"/>
    </row>
    <row r="322" spans="1:11" ht="15" customHeight="1" x14ac:dyDescent="0.2">
      <c r="A322" s="60" t="str">
        <f t="shared" si="22"/>
        <v/>
      </c>
      <c r="B322" s="56"/>
      <c r="C322" s="58" t="str">
        <f>IF(B322="","",IFERROR(INDEX('21 2026 ÜRETİM'!$F$2:$F$501,MATCH(B322,'21 2026 ÜRETİM'!$A$2:$A$501,0)),""))</f>
        <v/>
      </c>
      <c r="D322" s="56"/>
      <c r="E322" s="58" t="str">
        <f t="shared" si="23"/>
        <v/>
      </c>
      <c r="F322" s="56"/>
      <c r="G322" s="58" t="str">
        <f t="shared" si="24"/>
        <v/>
      </c>
      <c r="H322" s="56"/>
      <c r="I322" s="58" t="str">
        <f t="shared" si="25"/>
        <v/>
      </c>
      <c r="J322" s="56" t="str">
        <f t="shared" si="26"/>
        <v/>
      </c>
      <c r="K322" s="65"/>
    </row>
    <row r="323" spans="1:11" ht="15" customHeight="1" x14ac:dyDescent="0.2">
      <c r="A323" s="60" t="str">
        <f t="shared" si="22"/>
        <v/>
      </c>
      <c r="B323" s="56"/>
      <c r="C323" s="58" t="str">
        <f>IF(B323="","",IFERROR(INDEX('21 2026 ÜRETİM'!$F$2:$F$501,MATCH(B323,'21 2026 ÜRETİM'!$A$2:$A$501,0)),""))</f>
        <v/>
      </c>
      <c r="D323" s="56"/>
      <c r="E323" s="58" t="str">
        <f t="shared" si="23"/>
        <v/>
      </c>
      <c r="F323" s="56"/>
      <c r="G323" s="58" t="str">
        <f t="shared" si="24"/>
        <v/>
      </c>
      <c r="H323" s="56"/>
      <c r="I323" s="58" t="str">
        <f t="shared" si="25"/>
        <v/>
      </c>
      <c r="J323" s="56" t="str">
        <f t="shared" si="26"/>
        <v/>
      </c>
      <c r="K323" s="65"/>
    </row>
    <row r="324" spans="1:11" ht="15" customHeight="1" x14ac:dyDescent="0.2">
      <c r="A324" s="60" t="str">
        <f t="shared" si="22"/>
        <v/>
      </c>
      <c r="B324" s="56"/>
      <c r="C324" s="58" t="str">
        <f>IF(B324="","",IFERROR(INDEX('21 2026 ÜRETİM'!$F$2:$F$501,MATCH(B324,'21 2026 ÜRETİM'!$A$2:$A$501,0)),""))</f>
        <v/>
      </c>
      <c r="D324" s="56"/>
      <c r="E324" s="58" t="str">
        <f t="shared" si="23"/>
        <v/>
      </c>
      <c r="F324" s="56"/>
      <c r="G324" s="58" t="str">
        <f t="shared" si="24"/>
        <v/>
      </c>
      <c r="H324" s="56"/>
      <c r="I324" s="58" t="str">
        <f t="shared" si="25"/>
        <v/>
      </c>
      <c r="J324" s="56" t="str">
        <f t="shared" si="26"/>
        <v/>
      </c>
      <c r="K324" s="65"/>
    </row>
    <row r="325" spans="1:11" ht="15" customHeight="1" x14ac:dyDescent="0.2">
      <c r="A325" s="60" t="str">
        <f t="shared" si="22"/>
        <v/>
      </c>
      <c r="B325" s="56"/>
      <c r="C325" s="58" t="str">
        <f>IF(B325="","",IFERROR(INDEX('21 2026 ÜRETİM'!$F$2:$F$501,MATCH(B325,'21 2026 ÜRETİM'!$A$2:$A$501,0)),""))</f>
        <v/>
      </c>
      <c r="D325" s="56"/>
      <c r="E325" s="58" t="str">
        <f t="shared" si="23"/>
        <v/>
      </c>
      <c r="F325" s="56"/>
      <c r="G325" s="58" t="str">
        <f t="shared" si="24"/>
        <v/>
      </c>
      <c r="H325" s="56"/>
      <c r="I325" s="58" t="str">
        <f t="shared" si="25"/>
        <v/>
      </c>
      <c r="J325" s="56" t="str">
        <f t="shared" si="26"/>
        <v/>
      </c>
      <c r="K325" s="65"/>
    </row>
    <row r="326" spans="1:11" ht="15" customHeight="1" x14ac:dyDescent="0.2">
      <c r="A326" s="60" t="str">
        <f t="shared" si="22"/>
        <v/>
      </c>
      <c r="B326" s="56"/>
      <c r="C326" s="58" t="str">
        <f>IF(B326="","",IFERROR(INDEX('21 2026 ÜRETİM'!$F$2:$F$501,MATCH(B326,'21 2026 ÜRETİM'!$A$2:$A$501,0)),""))</f>
        <v/>
      </c>
      <c r="D326" s="56"/>
      <c r="E326" s="58" t="str">
        <f t="shared" si="23"/>
        <v/>
      </c>
      <c r="F326" s="56"/>
      <c r="G326" s="58" t="str">
        <f t="shared" si="24"/>
        <v/>
      </c>
      <c r="H326" s="56"/>
      <c r="I326" s="58" t="str">
        <f t="shared" si="25"/>
        <v/>
      </c>
      <c r="J326" s="56" t="str">
        <f t="shared" si="26"/>
        <v/>
      </c>
      <c r="K326" s="65"/>
    </row>
    <row r="327" spans="1:11" ht="15" customHeight="1" x14ac:dyDescent="0.2">
      <c r="A327" s="60" t="str">
        <f t="shared" si="22"/>
        <v/>
      </c>
      <c r="B327" s="56"/>
      <c r="C327" s="58" t="str">
        <f>IF(B327="","",IFERROR(INDEX('21 2026 ÜRETİM'!$F$2:$F$501,MATCH(B327,'21 2026 ÜRETİM'!$A$2:$A$501,0)),""))</f>
        <v/>
      </c>
      <c r="D327" s="56"/>
      <c r="E327" s="58" t="str">
        <f t="shared" si="23"/>
        <v/>
      </c>
      <c r="F327" s="56"/>
      <c r="G327" s="58" t="str">
        <f t="shared" si="24"/>
        <v/>
      </c>
      <c r="H327" s="56"/>
      <c r="I327" s="58" t="str">
        <f t="shared" si="25"/>
        <v/>
      </c>
      <c r="J327" s="56" t="str">
        <f t="shared" si="26"/>
        <v/>
      </c>
      <c r="K327" s="65"/>
    </row>
    <row r="328" spans="1:11" ht="15" customHeight="1" x14ac:dyDescent="0.2">
      <c r="A328" s="60" t="str">
        <f t="shared" si="22"/>
        <v/>
      </c>
      <c r="B328" s="56"/>
      <c r="C328" s="58" t="str">
        <f>IF(B328="","",IFERROR(INDEX('21 2026 ÜRETİM'!$F$2:$F$501,MATCH(B328,'21 2026 ÜRETİM'!$A$2:$A$501,0)),""))</f>
        <v/>
      </c>
      <c r="D328" s="56"/>
      <c r="E328" s="58" t="str">
        <f t="shared" si="23"/>
        <v/>
      </c>
      <c r="F328" s="56"/>
      <c r="G328" s="58" t="str">
        <f t="shared" si="24"/>
        <v/>
      </c>
      <c r="H328" s="56"/>
      <c r="I328" s="58" t="str">
        <f t="shared" si="25"/>
        <v/>
      </c>
      <c r="J328" s="56" t="str">
        <f t="shared" si="26"/>
        <v/>
      </c>
      <c r="K328" s="65"/>
    </row>
    <row r="329" spans="1:11" ht="15" customHeight="1" x14ac:dyDescent="0.2">
      <c r="A329" s="60" t="str">
        <f t="shared" si="22"/>
        <v/>
      </c>
      <c r="B329" s="56"/>
      <c r="C329" s="58" t="str">
        <f>IF(B329="","",IFERROR(INDEX('21 2026 ÜRETİM'!$F$2:$F$501,MATCH(B329,'21 2026 ÜRETİM'!$A$2:$A$501,0)),""))</f>
        <v/>
      </c>
      <c r="D329" s="56"/>
      <c r="E329" s="58" t="str">
        <f t="shared" si="23"/>
        <v/>
      </c>
      <c r="F329" s="56"/>
      <c r="G329" s="58" t="str">
        <f t="shared" si="24"/>
        <v/>
      </c>
      <c r="H329" s="56"/>
      <c r="I329" s="58" t="str">
        <f t="shared" si="25"/>
        <v/>
      </c>
      <c r="J329" s="56" t="str">
        <f t="shared" si="26"/>
        <v/>
      </c>
      <c r="K329" s="65"/>
    </row>
    <row r="330" spans="1:11" ht="15" customHeight="1" x14ac:dyDescent="0.2">
      <c r="A330" s="60" t="str">
        <f t="shared" si="22"/>
        <v/>
      </c>
      <c r="B330" s="56"/>
      <c r="C330" s="58" t="str">
        <f>IF(B330="","",IFERROR(INDEX('21 2026 ÜRETİM'!$F$2:$F$501,MATCH(B330,'21 2026 ÜRETİM'!$A$2:$A$501,0)),""))</f>
        <v/>
      </c>
      <c r="D330" s="56"/>
      <c r="E330" s="58" t="str">
        <f t="shared" si="23"/>
        <v/>
      </c>
      <c r="F330" s="56"/>
      <c r="G330" s="58" t="str">
        <f t="shared" si="24"/>
        <v/>
      </c>
      <c r="H330" s="56"/>
      <c r="I330" s="58" t="str">
        <f t="shared" si="25"/>
        <v/>
      </c>
      <c r="J330" s="56" t="str">
        <f t="shared" si="26"/>
        <v/>
      </c>
      <c r="K330" s="65"/>
    </row>
    <row r="331" spans="1:11" ht="15" customHeight="1" x14ac:dyDescent="0.2">
      <c r="A331" s="60" t="str">
        <f t="shared" si="22"/>
        <v/>
      </c>
      <c r="B331" s="56"/>
      <c r="C331" s="58" t="str">
        <f>IF(B331="","",IFERROR(INDEX('21 2026 ÜRETİM'!$F$2:$F$501,MATCH(B331,'21 2026 ÜRETİM'!$A$2:$A$501,0)),""))</f>
        <v/>
      </c>
      <c r="D331" s="56"/>
      <c r="E331" s="58" t="str">
        <f t="shared" si="23"/>
        <v/>
      </c>
      <c r="F331" s="56"/>
      <c r="G331" s="58" t="str">
        <f t="shared" si="24"/>
        <v/>
      </c>
      <c r="H331" s="56"/>
      <c r="I331" s="58" t="str">
        <f t="shared" si="25"/>
        <v/>
      </c>
      <c r="J331" s="56" t="str">
        <f t="shared" si="26"/>
        <v/>
      </c>
      <c r="K331" s="65"/>
    </row>
    <row r="332" spans="1:11" ht="15" customHeight="1" x14ac:dyDescent="0.2">
      <c r="A332" s="60" t="str">
        <f t="shared" si="22"/>
        <v/>
      </c>
      <c r="B332" s="56"/>
      <c r="C332" s="58" t="str">
        <f>IF(B332="","",IFERROR(INDEX('21 2026 ÜRETİM'!$F$2:$F$501,MATCH(B332,'21 2026 ÜRETİM'!$A$2:$A$501,0)),""))</f>
        <v/>
      </c>
      <c r="D332" s="56"/>
      <c r="E332" s="58" t="str">
        <f t="shared" si="23"/>
        <v/>
      </c>
      <c r="F332" s="56"/>
      <c r="G332" s="58" t="str">
        <f t="shared" si="24"/>
        <v/>
      </c>
      <c r="H332" s="56"/>
      <c r="I332" s="58" t="str">
        <f t="shared" si="25"/>
        <v/>
      </c>
      <c r="J332" s="56" t="str">
        <f t="shared" si="26"/>
        <v/>
      </c>
      <c r="K332" s="65"/>
    </row>
    <row r="333" spans="1:11" ht="15" customHeight="1" x14ac:dyDescent="0.2">
      <c r="A333" s="60" t="str">
        <f t="shared" ref="A333:A396" si="27">IF(B333="","",IFERROR(DATE(RIGHT(B333,4),MID(B333,4,2),LEFT(B333,2))+1,""))</f>
        <v/>
      </c>
      <c r="B333" s="56"/>
      <c r="C333" s="58" t="str">
        <f>IF(B333="","",IFERROR(INDEX('21 2026 ÜRETİM'!$F$2:$F$501,MATCH(B333,'21 2026 ÜRETİM'!$A$2:$A$501,0)),""))</f>
        <v/>
      </c>
      <c r="D333" s="56"/>
      <c r="E333" s="58" t="str">
        <f t="shared" ref="E333:E396" si="28">IF(D333="","",D333*0.5)</f>
        <v/>
      </c>
      <c r="F333" s="56"/>
      <c r="G333" s="58" t="str">
        <f t="shared" ref="G333:G396" si="29">IF(F333="","",F333*2.5)</f>
        <v/>
      </c>
      <c r="H333" s="56"/>
      <c r="I333" s="58" t="str">
        <f t="shared" ref="I333:I396" si="30">IF(C333="","",C333-E333-G333-IF(H333="",0,H333))</f>
        <v/>
      </c>
      <c r="J333" s="56" t="str">
        <f t="shared" ref="J333:J396" si="31">IF(C333="","",IF(ABS(I333)&lt;0.001,"KAPALI","KONTROL"))</f>
        <v/>
      </c>
      <c r="K333" s="65"/>
    </row>
    <row r="334" spans="1:11" ht="15" customHeight="1" x14ac:dyDescent="0.2">
      <c r="A334" s="60" t="str">
        <f t="shared" si="27"/>
        <v/>
      </c>
      <c r="B334" s="56"/>
      <c r="C334" s="58" t="str">
        <f>IF(B334="","",IFERROR(INDEX('21 2026 ÜRETİM'!$F$2:$F$501,MATCH(B334,'21 2026 ÜRETİM'!$A$2:$A$501,0)),""))</f>
        <v/>
      </c>
      <c r="D334" s="56"/>
      <c r="E334" s="58" t="str">
        <f t="shared" si="28"/>
        <v/>
      </c>
      <c r="F334" s="56"/>
      <c r="G334" s="58" t="str">
        <f t="shared" si="29"/>
        <v/>
      </c>
      <c r="H334" s="56"/>
      <c r="I334" s="58" t="str">
        <f t="shared" si="30"/>
        <v/>
      </c>
      <c r="J334" s="56" t="str">
        <f t="shared" si="31"/>
        <v/>
      </c>
      <c r="K334" s="65"/>
    </row>
    <row r="335" spans="1:11" ht="15" customHeight="1" x14ac:dyDescent="0.2">
      <c r="A335" s="60" t="str">
        <f t="shared" si="27"/>
        <v/>
      </c>
      <c r="B335" s="56"/>
      <c r="C335" s="58" t="str">
        <f>IF(B335="","",IFERROR(INDEX('21 2026 ÜRETİM'!$F$2:$F$501,MATCH(B335,'21 2026 ÜRETİM'!$A$2:$A$501,0)),""))</f>
        <v/>
      </c>
      <c r="D335" s="56"/>
      <c r="E335" s="58" t="str">
        <f t="shared" si="28"/>
        <v/>
      </c>
      <c r="F335" s="56"/>
      <c r="G335" s="58" t="str">
        <f t="shared" si="29"/>
        <v/>
      </c>
      <c r="H335" s="56"/>
      <c r="I335" s="58" t="str">
        <f t="shared" si="30"/>
        <v/>
      </c>
      <c r="J335" s="56" t="str">
        <f t="shared" si="31"/>
        <v/>
      </c>
      <c r="K335" s="65"/>
    </row>
    <row r="336" spans="1:11" ht="15" customHeight="1" x14ac:dyDescent="0.2">
      <c r="A336" s="60" t="str">
        <f t="shared" si="27"/>
        <v/>
      </c>
      <c r="B336" s="56"/>
      <c r="C336" s="58" t="str">
        <f>IF(B336="","",IFERROR(INDEX('21 2026 ÜRETİM'!$F$2:$F$501,MATCH(B336,'21 2026 ÜRETİM'!$A$2:$A$501,0)),""))</f>
        <v/>
      </c>
      <c r="D336" s="56"/>
      <c r="E336" s="58" t="str">
        <f t="shared" si="28"/>
        <v/>
      </c>
      <c r="F336" s="56"/>
      <c r="G336" s="58" t="str">
        <f t="shared" si="29"/>
        <v/>
      </c>
      <c r="H336" s="56"/>
      <c r="I336" s="58" t="str">
        <f t="shared" si="30"/>
        <v/>
      </c>
      <c r="J336" s="56" t="str">
        <f t="shared" si="31"/>
        <v/>
      </c>
      <c r="K336" s="65"/>
    </row>
    <row r="337" spans="1:11" ht="15" customHeight="1" x14ac:dyDescent="0.2">
      <c r="A337" s="60" t="str">
        <f t="shared" si="27"/>
        <v/>
      </c>
      <c r="B337" s="56"/>
      <c r="C337" s="58" t="str">
        <f>IF(B337="","",IFERROR(INDEX('21 2026 ÜRETİM'!$F$2:$F$501,MATCH(B337,'21 2026 ÜRETİM'!$A$2:$A$501,0)),""))</f>
        <v/>
      </c>
      <c r="D337" s="56"/>
      <c r="E337" s="58" t="str">
        <f t="shared" si="28"/>
        <v/>
      </c>
      <c r="F337" s="56"/>
      <c r="G337" s="58" t="str">
        <f t="shared" si="29"/>
        <v/>
      </c>
      <c r="H337" s="56"/>
      <c r="I337" s="58" t="str">
        <f t="shared" si="30"/>
        <v/>
      </c>
      <c r="J337" s="56" t="str">
        <f t="shared" si="31"/>
        <v/>
      </c>
      <c r="K337" s="65"/>
    </row>
    <row r="338" spans="1:11" ht="15" customHeight="1" x14ac:dyDescent="0.2">
      <c r="A338" s="60" t="str">
        <f t="shared" si="27"/>
        <v/>
      </c>
      <c r="B338" s="56"/>
      <c r="C338" s="58" t="str">
        <f>IF(B338="","",IFERROR(INDEX('21 2026 ÜRETİM'!$F$2:$F$501,MATCH(B338,'21 2026 ÜRETİM'!$A$2:$A$501,0)),""))</f>
        <v/>
      </c>
      <c r="D338" s="56"/>
      <c r="E338" s="58" t="str">
        <f t="shared" si="28"/>
        <v/>
      </c>
      <c r="F338" s="56"/>
      <c r="G338" s="58" t="str">
        <f t="shared" si="29"/>
        <v/>
      </c>
      <c r="H338" s="56"/>
      <c r="I338" s="58" t="str">
        <f t="shared" si="30"/>
        <v/>
      </c>
      <c r="J338" s="56" t="str">
        <f t="shared" si="31"/>
        <v/>
      </c>
      <c r="K338" s="65"/>
    </row>
    <row r="339" spans="1:11" ht="15" customHeight="1" x14ac:dyDescent="0.2">
      <c r="A339" s="60" t="str">
        <f t="shared" si="27"/>
        <v/>
      </c>
      <c r="B339" s="56"/>
      <c r="C339" s="58" t="str">
        <f>IF(B339="","",IFERROR(INDEX('21 2026 ÜRETİM'!$F$2:$F$501,MATCH(B339,'21 2026 ÜRETİM'!$A$2:$A$501,0)),""))</f>
        <v/>
      </c>
      <c r="D339" s="56"/>
      <c r="E339" s="58" t="str">
        <f t="shared" si="28"/>
        <v/>
      </c>
      <c r="F339" s="56"/>
      <c r="G339" s="58" t="str">
        <f t="shared" si="29"/>
        <v/>
      </c>
      <c r="H339" s="56"/>
      <c r="I339" s="58" t="str">
        <f t="shared" si="30"/>
        <v/>
      </c>
      <c r="J339" s="56" t="str">
        <f t="shared" si="31"/>
        <v/>
      </c>
      <c r="K339" s="65"/>
    </row>
    <row r="340" spans="1:11" ht="15" customHeight="1" x14ac:dyDescent="0.2">
      <c r="A340" s="60" t="str">
        <f t="shared" si="27"/>
        <v/>
      </c>
      <c r="B340" s="56"/>
      <c r="C340" s="58" t="str">
        <f>IF(B340="","",IFERROR(INDEX('21 2026 ÜRETİM'!$F$2:$F$501,MATCH(B340,'21 2026 ÜRETİM'!$A$2:$A$501,0)),""))</f>
        <v/>
      </c>
      <c r="D340" s="56"/>
      <c r="E340" s="58" t="str">
        <f t="shared" si="28"/>
        <v/>
      </c>
      <c r="F340" s="56"/>
      <c r="G340" s="58" t="str">
        <f t="shared" si="29"/>
        <v/>
      </c>
      <c r="H340" s="56"/>
      <c r="I340" s="58" t="str">
        <f t="shared" si="30"/>
        <v/>
      </c>
      <c r="J340" s="56" t="str">
        <f t="shared" si="31"/>
        <v/>
      </c>
      <c r="K340" s="65"/>
    </row>
    <row r="341" spans="1:11" ht="15" customHeight="1" x14ac:dyDescent="0.2">
      <c r="A341" s="60" t="str">
        <f t="shared" si="27"/>
        <v/>
      </c>
      <c r="B341" s="56"/>
      <c r="C341" s="58" t="str">
        <f>IF(B341="","",IFERROR(INDEX('21 2026 ÜRETİM'!$F$2:$F$501,MATCH(B341,'21 2026 ÜRETİM'!$A$2:$A$501,0)),""))</f>
        <v/>
      </c>
      <c r="D341" s="56"/>
      <c r="E341" s="58" t="str">
        <f t="shared" si="28"/>
        <v/>
      </c>
      <c r="F341" s="56"/>
      <c r="G341" s="58" t="str">
        <f t="shared" si="29"/>
        <v/>
      </c>
      <c r="H341" s="56"/>
      <c r="I341" s="58" t="str">
        <f t="shared" si="30"/>
        <v/>
      </c>
      <c r="J341" s="56" t="str">
        <f t="shared" si="31"/>
        <v/>
      </c>
      <c r="K341" s="65"/>
    </row>
    <row r="342" spans="1:11" ht="15" customHeight="1" x14ac:dyDescent="0.2">
      <c r="A342" s="60" t="str">
        <f t="shared" si="27"/>
        <v/>
      </c>
      <c r="B342" s="56"/>
      <c r="C342" s="58" t="str">
        <f>IF(B342="","",IFERROR(INDEX('21 2026 ÜRETİM'!$F$2:$F$501,MATCH(B342,'21 2026 ÜRETİM'!$A$2:$A$501,0)),""))</f>
        <v/>
      </c>
      <c r="D342" s="56"/>
      <c r="E342" s="58" t="str">
        <f t="shared" si="28"/>
        <v/>
      </c>
      <c r="F342" s="56"/>
      <c r="G342" s="58" t="str">
        <f t="shared" si="29"/>
        <v/>
      </c>
      <c r="H342" s="56"/>
      <c r="I342" s="58" t="str">
        <f t="shared" si="30"/>
        <v/>
      </c>
      <c r="J342" s="56" t="str">
        <f t="shared" si="31"/>
        <v/>
      </c>
      <c r="K342" s="65"/>
    </row>
    <row r="343" spans="1:11" ht="15" customHeight="1" x14ac:dyDescent="0.2">
      <c r="A343" s="60" t="str">
        <f t="shared" si="27"/>
        <v/>
      </c>
      <c r="B343" s="56"/>
      <c r="C343" s="58" t="str">
        <f>IF(B343="","",IFERROR(INDEX('21 2026 ÜRETİM'!$F$2:$F$501,MATCH(B343,'21 2026 ÜRETİM'!$A$2:$A$501,0)),""))</f>
        <v/>
      </c>
      <c r="D343" s="56"/>
      <c r="E343" s="58" t="str">
        <f t="shared" si="28"/>
        <v/>
      </c>
      <c r="F343" s="56"/>
      <c r="G343" s="58" t="str">
        <f t="shared" si="29"/>
        <v/>
      </c>
      <c r="H343" s="56"/>
      <c r="I343" s="58" t="str">
        <f t="shared" si="30"/>
        <v/>
      </c>
      <c r="J343" s="56" t="str">
        <f t="shared" si="31"/>
        <v/>
      </c>
      <c r="K343" s="65"/>
    </row>
    <row r="344" spans="1:11" ht="15" customHeight="1" x14ac:dyDescent="0.2">
      <c r="A344" s="60" t="str">
        <f t="shared" si="27"/>
        <v/>
      </c>
      <c r="B344" s="56"/>
      <c r="C344" s="58" t="str">
        <f>IF(B344="","",IFERROR(INDEX('21 2026 ÜRETİM'!$F$2:$F$501,MATCH(B344,'21 2026 ÜRETİM'!$A$2:$A$501,0)),""))</f>
        <v/>
      </c>
      <c r="D344" s="56"/>
      <c r="E344" s="58" t="str">
        <f t="shared" si="28"/>
        <v/>
      </c>
      <c r="F344" s="56"/>
      <c r="G344" s="58" t="str">
        <f t="shared" si="29"/>
        <v/>
      </c>
      <c r="H344" s="56"/>
      <c r="I344" s="58" t="str">
        <f t="shared" si="30"/>
        <v/>
      </c>
      <c r="J344" s="56" t="str">
        <f t="shared" si="31"/>
        <v/>
      </c>
      <c r="K344" s="65"/>
    </row>
    <row r="345" spans="1:11" ht="15" customHeight="1" x14ac:dyDescent="0.2">
      <c r="A345" s="60" t="str">
        <f t="shared" si="27"/>
        <v/>
      </c>
      <c r="B345" s="56"/>
      <c r="C345" s="58" t="str">
        <f>IF(B345="","",IFERROR(INDEX('21 2026 ÜRETİM'!$F$2:$F$501,MATCH(B345,'21 2026 ÜRETİM'!$A$2:$A$501,0)),""))</f>
        <v/>
      </c>
      <c r="D345" s="56"/>
      <c r="E345" s="58" t="str">
        <f t="shared" si="28"/>
        <v/>
      </c>
      <c r="F345" s="56"/>
      <c r="G345" s="58" t="str">
        <f t="shared" si="29"/>
        <v/>
      </c>
      <c r="H345" s="56"/>
      <c r="I345" s="58" t="str">
        <f t="shared" si="30"/>
        <v/>
      </c>
      <c r="J345" s="56" t="str">
        <f t="shared" si="31"/>
        <v/>
      </c>
      <c r="K345" s="65"/>
    </row>
    <row r="346" spans="1:11" ht="15" customHeight="1" x14ac:dyDescent="0.2">
      <c r="A346" s="60" t="str">
        <f t="shared" si="27"/>
        <v/>
      </c>
      <c r="B346" s="56"/>
      <c r="C346" s="58" t="str">
        <f>IF(B346="","",IFERROR(INDEX('21 2026 ÜRETİM'!$F$2:$F$501,MATCH(B346,'21 2026 ÜRETİM'!$A$2:$A$501,0)),""))</f>
        <v/>
      </c>
      <c r="D346" s="56"/>
      <c r="E346" s="58" t="str">
        <f t="shared" si="28"/>
        <v/>
      </c>
      <c r="F346" s="56"/>
      <c r="G346" s="58" t="str">
        <f t="shared" si="29"/>
        <v/>
      </c>
      <c r="H346" s="56"/>
      <c r="I346" s="58" t="str">
        <f t="shared" si="30"/>
        <v/>
      </c>
      <c r="J346" s="56" t="str">
        <f t="shared" si="31"/>
        <v/>
      </c>
      <c r="K346" s="65"/>
    </row>
    <row r="347" spans="1:11" ht="15" customHeight="1" x14ac:dyDescent="0.2">
      <c r="A347" s="60" t="str">
        <f t="shared" si="27"/>
        <v/>
      </c>
      <c r="B347" s="56"/>
      <c r="C347" s="58" t="str">
        <f>IF(B347="","",IFERROR(INDEX('21 2026 ÜRETİM'!$F$2:$F$501,MATCH(B347,'21 2026 ÜRETİM'!$A$2:$A$501,0)),""))</f>
        <v/>
      </c>
      <c r="D347" s="56"/>
      <c r="E347" s="58" t="str">
        <f t="shared" si="28"/>
        <v/>
      </c>
      <c r="F347" s="56"/>
      <c r="G347" s="58" t="str">
        <f t="shared" si="29"/>
        <v/>
      </c>
      <c r="H347" s="56"/>
      <c r="I347" s="58" t="str">
        <f t="shared" si="30"/>
        <v/>
      </c>
      <c r="J347" s="56" t="str">
        <f t="shared" si="31"/>
        <v/>
      </c>
      <c r="K347" s="65"/>
    </row>
    <row r="348" spans="1:11" ht="15" customHeight="1" x14ac:dyDescent="0.2">
      <c r="A348" s="60" t="str">
        <f t="shared" si="27"/>
        <v/>
      </c>
      <c r="B348" s="56"/>
      <c r="C348" s="58" t="str">
        <f>IF(B348="","",IFERROR(INDEX('21 2026 ÜRETİM'!$F$2:$F$501,MATCH(B348,'21 2026 ÜRETİM'!$A$2:$A$501,0)),""))</f>
        <v/>
      </c>
      <c r="D348" s="56"/>
      <c r="E348" s="58" t="str">
        <f t="shared" si="28"/>
        <v/>
      </c>
      <c r="F348" s="56"/>
      <c r="G348" s="58" t="str">
        <f t="shared" si="29"/>
        <v/>
      </c>
      <c r="H348" s="56"/>
      <c r="I348" s="58" t="str">
        <f t="shared" si="30"/>
        <v/>
      </c>
      <c r="J348" s="56" t="str">
        <f t="shared" si="31"/>
        <v/>
      </c>
      <c r="K348" s="65"/>
    </row>
    <row r="349" spans="1:11" ht="15" customHeight="1" x14ac:dyDescent="0.2">
      <c r="A349" s="60" t="str">
        <f t="shared" si="27"/>
        <v/>
      </c>
      <c r="B349" s="56"/>
      <c r="C349" s="58" t="str">
        <f>IF(B349="","",IFERROR(INDEX('21 2026 ÜRETİM'!$F$2:$F$501,MATCH(B349,'21 2026 ÜRETİM'!$A$2:$A$501,0)),""))</f>
        <v/>
      </c>
      <c r="D349" s="56"/>
      <c r="E349" s="58" t="str">
        <f t="shared" si="28"/>
        <v/>
      </c>
      <c r="F349" s="56"/>
      <c r="G349" s="58" t="str">
        <f t="shared" si="29"/>
        <v/>
      </c>
      <c r="H349" s="56"/>
      <c r="I349" s="58" t="str">
        <f t="shared" si="30"/>
        <v/>
      </c>
      <c r="J349" s="56" t="str">
        <f t="shared" si="31"/>
        <v/>
      </c>
      <c r="K349" s="65"/>
    </row>
    <row r="350" spans="1:11" ht="15" customHeight="1" x14ac:dyDescent="0.2">
      <c r="A350" s="60" t="str">
        <f t="shared" si="27"/>
        <v/>
      </c>
      <c r="B350" s="56"/>
      <c r="C350" s="58" t="str">
        <f>IF(B350="","",IFERROR(INDEX('21 2026 ÜRETİM'!$F$2:$F$501,MATCH(B350,'21 2026 ÜRETİM'!$A$2:$A$501,0)),""))</f>
        <v/>
      </c>
      <c r="D350" s="56"/>
      <c r="E350" s="58" t="str">
        <f t="shared" si="28"/>
        <v/>
      </c>
      <c r="F350" s="56"/>
      <c r="G350" s="58" t="str">
        <f t="shared" si="29"/>
        <v/>
      </c>
      <c r="H350" s="56"/>
      <c r="I350" s="58" t="str">
        <f t="shared" si="30"/>
        <v/>
      </c>
      <c r="J350" s="56" t="str">
        <f t="shared" si="31"/>
        <v/>
      </c>
      <c r="K350" s="65"/>
    </row>
    <row r="351" spans="1:11" ht="15" customHeight="1" x14ac:dyDescent="0.2">
      <c r="A351" s="60" t="str">
        <f t="shared" si="27"/>
        <v/>
      </c>
      <c r="B351" s="56"/>
      <c r="C351" s="58" t="str">
        <f>IF(B351="","",IFERROR(INDEX('21 2026 ÜRETİM'!$F$2:$F$501,MATCH(B351,'21 2026 ÜRETİM'!$A$2:$A$501,0)),""))</f>
        <v/>
      </c>
      <c r="D351" s="56"/>
      <c r="E351" s="58" t="str">
        <f t="shared" si="28"/>
        <v/>
      </c>
      <c r="F351" s="56"/>
      <c r="G351" s="58" t="str">
        <f t="shared" si="29"/>
        <v/>
      </c>
      <c r="H351" s="56"/>
      <c r="I351" s="58" t="str">
        <f t="shared" si="30"/>
        <v/>
      </c>
      <c r="J351" s="56" t="str">
        <f t="shared" si="31"/>
        <v/>
      </c>
      <c r="K351" s="65"/>
    </row>
    <row r="352" spans="1:11" ht="15" customHeight="1" x14ac:dyDescent="0.2">
      <c r="A352" s="60" t="str">
        <f t="shared" si="27"/>
        <v/>
      </c>
      <c r="B352" s="56"/>
      <c r="C352" s="58" t="str">
        <f>IF(B352="","",IFERROR(INDEX('21 2026 ÜRETİM'!$F$2:$F$501,MATCH(B352,'21 2026 ÜRETİM'!$A$2:$A$501,0)),""))</f>
        <v/>
      </c>
      <c r="D352" s="56"/>
      <c r="E352" s="58" t="str">
        <f t="shared" si="28"/>
        <v/>
      </c>
      <c r="F352" s="56"/>
      <c r="G352" s="58" t="str">
        <f t="shared" si="29"/>
        <v/>
      </c>
      <c r="H352" s="56"/>
      <c r="I352" s="58" t="str">
        <f t="shared" si="30"/>
        <v/>
      </c>
      <c r="J352" s="56" t="str">
        <f t="shared" si="31"/>
        <v/>
      </c>
      <c r="K352" s="65"/>
    </row>
    <row r="353" spans="1:11" ht="15" customHeight="1" x14ac:dyDescent="0.2">
      <c r="A353" s="60" t="str">
        <f t="shared" si="27"/>
        <v/>
      </c>
      <c r="B353" s="56"/>
      <c r="C353" s="58" t="str">
        <f>IF(B353="","",IFERROR(INDEX('21 2026 ÜRETİM'!$F$2:$F$501,MATCH(B353,'21 2026 ÜRETİM'!$A$2:$A$501,0)),""))</f>
        <v/>
      </c>
      <c r="D353" s="56"/>
      <c r="E353" s="58" t="str">
        <f t="shared" si="28"/>
        <v/>
      </c>
      <c r="F353" s="56"/>
      <c r="G353" s="58" t="str">
        <f t="shared" si="29"/>
        <v/>
      </c>
      <c r="H353" s="56"/>
      <c r="I353" s="58" t="str">
        <f t="shared" si="30"/>
        <v/>
      </c>
      <c r="J353" s="56" t="str">
        <f t="shared" si="31"/>
        <v/>
      </c>
      <c r="K353" s="65"/>
    </row>
    <row r="354" spans="1:11" ht="15" customHeight="1" x14ac:dyDescent="0.2">
      <c r="A354" s="60" t="str">
        <f t="shared" si="27"/>
        <v/>
      </c>
      <c r="B354" s="56"/>
      <c r="C354" s="58" t="str">
        <f>IF(B354="","",IFERROR(INDEX('21 2026 ÜRETİM'!$F$2:$F$501,MATCH(B354,'21 2026 ÜRETİM'!$A$2:$A$501,0)),""))</f>
        <v/>
      </c>
      <c r="D354" s="56"/>
      <c r="E354" s="58" t="str">
        <f t="shared" si="28"/>
        <v/>
      </c>
      <c r="F354" s="56"/>
      <c r="G354" s="58" t="str">
        <f t="shared" si="29"/>
        <v/>
      </c>
      <c r="H354" s="56"/>
      <c r="I354" s="58" t="str">
        <f t="shared" si="30"/>
        <v/>
      </c>
      <c r="J354" s="56" t="str">
        <f t="shared" si="31"/>
        <v/>
      </c>
      <c r="K354" s="65"/>
    </row>
    <row r="355" spans="1:11" ht="15" customHeight="1" x14ac:dyDescent="0.2">
      <c r="A355" s="60" t="str">
        <f t="shared" si="27"/>
        <v/>
      </c>
      <c r="B355" s="56"/>
      <c r="C355" s="58" t="str">
        <f>IF(B355="","",IFERROR(INDEX('21 2026 ÜRETİM'!$F$2:$F$501,MATCH(B355,'21 2026 ÜRETİM'!$A$2:$A$501,0)),""))</f>
        <v/>
      </c>
      <c r="D355" s="56"/>
      <c r="E355" s="58" t="str">
        <f t="shared" si="28"/>
        <v/>
      </c>
      <c r="F355" s="56"/>
      <c r="G355" s="58" t="str">
        <f t="shared" si="29"/>
        <v/>
      </c>
      <c r="H355" s="56"/>
      <c r="I355" s="58" t="str">
        <f t="shared" si="30"/>
        <v/>
      </c>
      <c r="J355" s="56" t="str">
        <f t="shared" si="31"/>
        <v/>
      </c>
      <c r="K355" s="65"/>
    </row>
    <row r="356" spans="1:11" ht="15" customHeight="1" x14ac:dyDescent="0.2">
      <c r="A356" s="60" t="str">
        <f t="shared" si="27"/>
        <v/>
      </c>
      <c r="B356" s="56"/>
      <c r="C356" s="58" t="str">
        <f>IF(B356="","",IFERROR(INDEX('21 2026 ÜRETİM'!$F$2:$F$501,MATCH(B356,'21 2026 ÜRETİM'!$A$2:$A$501,0)),""))</f>
        <v/>
      </c>
      <c r="D356" s="56"/>
      <c r="E356" s="58" t="str">
        <f t="shared" si="28"/>
        <v/>
      </c>
      <c r="F356" s="56"/>
      <c r="G356" s="58" t="str">
        <f t="shared" si="29"/>
        <v/>
      </c>
      <c r="H356" s="56"/>
      <c r="I356" s="58" t="str">
        <f t="shared" si="30"/>
        <v/>
      </c>
      <c r="J356" s="56" t="str">
        <f t="shared" si="31"/>
        <v/>
      </c>
      <c r="K356" s="65"/>
    </row>
    <row r="357" spans="1:11" ht="15" customHeight="1" x14ac:dyDescent="0.2">
      <c r="A357" s="60" t="str">
        <f t="shared" si="27"/>
        <v/>
      </c>
      <c r="B357" s="56"/>
      <c r="C357" s="58" t="str">
        <f>IF(B357="","",IFERROR(INDEX('21 2026 ÜRETİM'!$F$2:$F$501,MATCH(B357,'21 2026 ÜRETİM'!$A$2:$A$501,0)),""))</f>
        <v/>
      </c>
      <c r="D357" s="56"/>
      <c r="E357" s="58" t="str">
        <f t="shared" si="28"/>
        <v/>
      </c>
      <c r="F357" s="56"/>
      <c r="G357" s="58" t="str">
        <f t="shared" si="29"/>
        <v/>
      </c>
      <c r="H357" s="56"/>
      <c r="I357" s="58" t="str">
        <f t="shared" si="30"/>
        <v/>
      </c>
      <c r="J357" s="56" t="str">
        <f t="shared" si="31"/>
        <v/>
      </c>
      <c r="K357" s="65"/>
    </row>
    <row r="358" spans="1:11" ht="15" customHeight="1" x14ac:dyDescent="0.2">
      <c r="A358" s="60" t="str">
        <f t="shared" si="27"/>
        <v/>
      </c>
      <c r="B358" s="56"/>
      <c r="C358" s="58" t="str">
        <f>IF(B358="","",IFERROR(INDEX('21 2026 ÜRETİM'!$F$2:$F$501,MATCH(B358,'21 2026 ÜRETİM'!$A$2:$A$501,0)),""))</f>
        <v/>
      </c>
      <c r="D358" s="56"/>
      <c r="E358" s="58" t="str">
        <f t="shared" si="28"/>
        <v/>
      </c>
      <c r="F358" s="56"/>
      <c r="G358" s="58" t="str">
        <f t="shared" si="29"/>
        <v/>
      </c>
      <c r="H358" s="56"/>
      <c r="I358" s="58" t="str">
        <f t="shared" si="30"/>
        <v/>
      </c>
      <c r="J358" s="56" t="str">
        <f t="shared" si="31"/>
        <v/>
      </c>
      <c r="K358" s="65"/>
    </row>
    <row r="359" spans="1:11" ht="15" customHeight="1" x14ac:dyDescent="0.2">
      <c r="A359" s="60" t="str">
        <f t="shared" si="27"/>
        <v/>
      </c>
      <c r="B359" s="56"/>
      <c r="C359" s="58" t="str">
        <f>IF(B359="","",IFERROR(INDEX('21 2026 ÜRETİM'!$F$2:$F$501,MATCH(B359,'21 2026 ÜRETİM'!$A$2:$A$501,0)),""))</f>
        <v/>
      </c>
      <c r="D359" s="56"/>
      <c r="E359" s="58" t="str">
        <f t="shared" si="28"/>
        <v/>
      </c>
      <c r="F359" s="56"/>
      <c r="G359" s="58" t="str">
        <f t="shared" si="29"/>
        <v/>
      </c>
      <c r="H359" s="56"/>
      <c r="I359" s="58" t="str">
        <f t="shared" si="30"/>
        <v/>
      </c>
      <c r="J359" s="56" t="str">
        <f t="shared" si="31"/>
        <v/>
      </c>
      <c r="K359" s="65"/>
    </row>
    <row r="360" spans="1:11" ht="15" customHeight="1" x14ac:dyDescent="0.2">
      <c r="A360" s="60" t="str">
        <f t="shared" si="27"/>
        <v/>
      </c>
      <c r="B360" s="56"/>
      <c r="C360" s="58" t="str">
        <f>IF(B360="","",IFERROR(INDEX('21 2026 ÜRETİM'!$F$2:$F$501,MATCH(B360,'21 2026 ÜRETİM'!$A$2:$A$501,0)),""))</f>
        <v/>
      </c>
      <c r="D360" s="56"/>
      <c r="E360" s="58" t="str">
        <f t="shared" si="28"/>
        <v/>
      </c>
      <c r="F360" s="56"/>
      <c r="G360" s="58" t="str">
        <f t="shared" si="29"/>
        <v/>
      </c>
      <c r="H360" s="56"/>
      <c r="I360" s="58" t="str">
        <f t="shared" si="30"/>
        <v/>
      </c>
      <c r="J360" s="56" t="str">
        <f t="shared" si="31"/>
        <v/>
      </c>
      <c r="K360" s="65"/>
    </row>
    <row r="361" spans="1:11" ht="15" customHeight="1" x14ac:dyDescent="0.2">
      <c r="A361" s="60" t="str">
        <f t="shared" si="27"/>
        <v/>
      </c>
      <c r="B361" s="56"/>
      <c r="C361" s="58" t="str">
        <f>IF(B361="","",IFERROR(INDEX('21 2026 ÜRETİM'!$F$2:$F$501,MATCH(B361,'21 2026 ÜRETİM'!$A$2:$A$501,0)),""))</f>
        <v/>
      </c>
      <c r="D361" s="56"/>
      <c r="E361" s="58" t="str">
        <f t="shared" si="28"/>
        <v/>
      </c>
      <c r="F361" s="56"/>
      <c r="G361" s="58" t="str">
        <f t="shared" si="29"/>
        <v/>
      </c>
      <c r="H361" s="56"/>
      <c r="I361" s="58" t="str">
        <f t="shared" si="30"/>
        <v/>
      </c>
      <c r="J361" s="56" t="str">
        <f t="shared" si="31"/>
        <v/>
      </c>
      <c r="K361" s="65"/>
    </row>
    <row r="362" spans="1:11" ht="15" customHeight="1" x14ac:dyDescent="0.2">
      <c r="A362" s="60" t="str">
        <f t="shared" si="27"/>
        <v/>
      </c>
      <c r="B362" s="56"/>
      <c r="C362" s="58" t="str">
        <f>IF(B362="","",IFERROR(INDEX('21 2026 ÜRETİM'!$F$2:$F$501,MATCH(B362,'21 2026 ÜRETİM'!$A$2:$A$501,0)),""))</f>
        <v/>
      </c>
      <c r="D362" s="56"/>
      <c r="E362" s="58" t="str">
        <f t="shared" si="28"/>
        <v/>
      </c>
      <c r="F362" s="56"/>
      <c r="G362" s="58" t="str">
        <f t="shared" si="29"/>
        <v/>
      </c>
      <c r="H362" s="56"/>
      <c r="I362" s="58" t="str">
        <f t="shared" si="30"/>
        <v/>
      </c>
      <c r="J362" s="56" t="str">
        <f t="shared" si="31"/>
        <v/>
      </c>
      <c r="K362" s="65"/>
    </row>
    <row r="363" spans="1:11" ht="15" customHeight="1" x14ac:dyDescent="0.2">
      <c r="A363" s="60" t="str">
        <f t="shared" si="27"/>
        <v/>
      </c>
      <c r="B363" s="56"/>
      <c r="C363" s="58" t="str">
        <f>IF(B363="","",IFERROR(INDEX('21 2026 ÜRETİM'!$F$2:$F$501,MATCH(B363,'21 2026 ÜRETİM'!$A$2:$A$501,0)),""))</f>
        <v/>
      </c>
      <c r="D363" s="56"/>
      <c r="E363" s="58" t="str">
        <f t="shared" si="28"/>
        <v/>
      </c>
      <c r="F363" s="56"/>
      <c r="G363" s="58" t="str">
        <f t="shared" si="29"/>
        <v/>
      </c>
      <c r="H363" s="56"/>
      <c r="I363" s="58" t="str">
        <f t="shared" si="30"/>
        <v/>
      </c>
      <c r="J363" s="56" t="str">
        <f t="shared" si="31"/>
        <v/>
      </c>
      <c r="K363" s="65"/>
    </row>
    <row r="364" spans="1:11" ht="15" customHeight="1" x14ac:dyDescent="0.2">
      <c r="A364" s="60" t="str">
        <f t="shared" si="27"/>
        <v/>
      </c>
      <c r="B364" s="56"/>
      <c r="C364" s="58" t="str">
        <f>IF(B364="","",IFERROR(INDEX('21 2026 ÜRETİM'!$F$2:$F$501,MATCH(B364,'21 2026 ÜRETİM'!$A$2:$A$501,0)),""))</f>
        <v/>
      </c>
      <c r="D364" s="56"/>
      <c r="E364" s="58" t="str">
        <f t="shared" si="28"/>
        <v/>
      </c>
      <c r="F364" s="56"/>
      <c r="G364" s="58" t="str">
        <f t="shared" si="29"/>
        <v/>
      </c>
      <c r="H364" s="56"/>
      <c r="I364" s="58" t="str">
        <f t="shared" si="30"/>
        <v/>
      </c>
      <c r="J364" s="56" t="str">
        <f t="shared" si="31"/>
        <v/>
      </c>
      <c r="K364" s="65"/>
    </row>
    <row r="365" spans="1:11" ht="15" customHeight="1" x14ac:dyDescent="0.2">
      <c r="A365" s="60" t="str">
        <f t="shared" si="27"/>
        <v/>
      </c>
      <c r="B365" s="56"/>
      <c r="C365" s="58" t="str">
        <f>IF(B365="","",IFERROR(INDEX('21 2026 ÜRETİM'!$F$2:$F$501,MATCH(B365,'21 2026 ÜRETİM'!$A$2:$A$501,0)),""))</f>
        <v/>
      </c>
      <c r="D365" s="56"/>
      <c r="E365" s="58" t="str">
        <f t="shared" si="28"/>
        <v/>
      </c>
      <c r="F365" s="56"/>
      <c r="G365" s="58" t="str">
        <f t="shared" si="29"/>
        <v/>
      </c>
      <c r="H365" s="56"/>
      <c r="I365" s="58" t="str">
        <f t="shared" si="30"/>
        <v/>
      </c>
      <c r="J365" s="56" t="str">
        <f t="shared" si="31"/>
        <v/>
      </c>
      <c r="K365" s="65"/>
    </row>
    <row r="366" spans="1:11" ht="15" customHeight="1" x14ac:dyDescent="0.2">
      <c r="A366" s="60" t="str">
        <f t="shared" si="27"/>
        <v/>
      </c>
      <c r="B366" s="56"/>
      <c r="C366" s="58" t="str">
        <f>IF(B366="","",IFERROR(INDEX('21 2026 ÜRETİM'!$F$2:$F$501,MATCH(B366,'21 2026 ÜRETİM'!$A$2:$A$501,0)),""))</f>
        <v/>
      </c>
      <c r="D366" s="56"/>
      <c r="E366" s="58" t="str">
        <f t="shared" si="28"/>
        <v/>
      </c>
      <c r="F366" s="56"/>
      <c r="G366" s="58" t="str">
        <f t="shared" si="29"/>
        <v/>
      </c>
      <c r="H366" s="56"/>
      <c r="I366" s="58" t="str">
        <f t="shared" si="30"/>
        <v/>
      </c>
      <c r="J366" s="56" t="str">
        <f t="shared" si="31"/>
        <v/>
      </c>
      <c r="K366" s="65"/>
    </row>
    <row r="367" spans="1:11" ht="15" customHeight="1" x14ac:dyDescent="0.2">
      <c r="A367" s="60" t="str">
        <f t="shared" si="27"/>
        <v/>
      </c>
      <c r="B367" s="56"/>
      <c r="C367" s="58" t="str">
        <f>IF(B367="","",IFERROR(INDEX('21 2026 ÜRETİM'!$F$2:$F$501,MATCH(B367,'21 2026 ÜRETİM'!$A$2:$A$501,0)),""))</f>
        <v/>
      </c>
      <c r="D367" s="56"/>
      <c r="E367" s="58" t="str">
        <f t="shared" si="28"/>
        <v/>
      </c>
      <c r="F367" s="56"/>
      <c r="G367" s="58" t="str">
        <f t="shared" si="29"/>
        <v/>
      </c>
      <c r="H367" s="56"/>
      <c r="I367" s="58" t="str">
        <f t="shared" si="30"/>
        <v/>
      </c>
      <c r="J367" s="56" t="str">
        <f t="shared" si="31"/>
        <v/>
      </c>
      <c r="K367" s="65"/>
    </row>
    <row r="368" spans="1:11" ht="15" customHeight="1" x14ac:dyDescent="0.2">
      <c r="A368" s="60" t="str">
        <f t="shared" si="27"/>
        <v/>
      </c>
      <c r="B368" s="56"/>
      <c r="C368" s="58" t="str">
        <f>IF(B368="","",IFERROR(INDEX('21 2026 ÜRETİM'!$F$2:$F$501,MATCH(B368,'21 2026 ÜRETİM'!$A$2:$A$501,0)),""))</f>
        <v/>
      </c>
      <c r="D368" s="56"/>
      <c r="E368" s="58" t="str">
        <f t="shared" si="28"/>
        <v/>
      </c>
      <c r="F368" s="56"/>
      <c r="G368" s="58" t="str">
        <f t="shared" si="29"/>
        <v/>
      </c>
      <c r="H368" s="56"/>
      <c r="I368" s="58" t="str">
        <f t="shared" si="30"/>
        <v/>
      </c>
      <c r="J368" s="56" t="str">
        <f t="shared" si="31"/>
        <v/>
      </c>
      <c r="K368" s="65"/>
    </row>
    <row r="369" spans="1:11" ht="15" customHeight="1" x14ac:dyDescent="0.2">
      <c r="A369" s="60" t="str">
        <f t="shared" si="27"/>
        <v/>
      </c>
      <c r="B369" s="56"/>
      <c r="C369" s="58" t="str">
        <f>IF(B369="","",IFERROR(INDEX('21 2026 ÜRETİM'!$F$2:$F$501,MATCH(B369,'21 2026 ÜRETİM'!$A$2:$A$501,0)),""))</f>
        <v/>
      </c>
      <c r="D369" s="56"/>
      <c r="E369" s="58" t="str">
        <f t="shared" si="28"/>
        <v/>
      </c>
      <c r="F369" s="56"/>
      <c r="G369" s="58" t="str">
        <f t="shared" si="29"/>
        <v/>
      </c>
      <c r="H369" s="56"/>
      <c r="I369" s="58" t="str">
        <f t="shared" si="30"/>
        <v/>
      </c>
      <c r="J369" s="56" t="str">
        <f t="shared" si="31"/>
        <v/>
      </c>
      <c r="K369" s="65"/>
    </row>
    <row r="370" spans="1:11" ht="15" customHeight="1" x14ac:dyDescent="0.2">
      <c r="A370" s="60" t="str">
        <f t="shared" si="27"/>
        <v/>
      </c>
      <c r="B370" s="56"/>
      <c r="C370" s="58" t="str">
        <f>IF(B370="","",IFERROR(INDEX('21 2026 ÜRETİM'!$F$2:$F$501,MATCH(B370,'21 2026 ÜRETİM'!$A$2:$A$501,0)),""))</f>
        <v/>
      </c>
      <c r="D370" s="56"/>
      <c r="E370" s="58" t="str">
        <f t="shared" si="28"/>
        <v/>
      </c>
      <c r="F370" s="56"/>
      <c r="G370" s="58" t="str">
        <f t="shared" si="29"/>
        <v/>
      </c>
      <c r="H370" s="56"/>
      <c r="I370" s="58" t="str">
        <f t="shared" si="30"/>
        <v/>
      </c>
      <c r="J370" s="56" t="str">
        <f t="shared" si="31"/>
        <v/>
      </c>
      <c r="K370" s="65"/>
    </row>
    <row r="371" spans="1:11" ht="15" customHeight="1" x14ac:dyDescent="0.2">
      <c r="A371" s="60" t="str">
        <f t="shared" si="27"/>
        <v/>
      </c>
      <c r="B371" s="56"/>
      <c r="C371" s="58" t="str">
        <f>IF(B371="","",IFERROR(INDEX('21 2026 ÜRETİM'!$F$2:$F$501,MATCH(B371,'21 2026 ÜRETİM'!$A$2:$A$501,0)),""))</f>
        <v/>
      </c>
      <c r="D371" s="56"/>
      <c r="E371" s="58" t="str">
        <f t="shared" si="28"/>
        <v/>
      </c>
      <c r="F371" s="56"/>
      <c r="G371" s="58" t="str">
        <f t="shared" si="29"/>
        <v/>
      </c>
      <c r="H371" s="56"/>
      <c r="I371" s="58" t="str">
        <f t="shared" si="30"/>
        <v/>
      </c>
      <c r="J371" s="56" t="str">
        <f t="shared" si="31"/>
        <v/>
      </c>
      <c r="K371" s="65"/>
    </row>
    <row r="372" spans="1:11" ht="15" customHeight="1" x14ac:dyDescent="0.2">
      <c r="A372" s="60" t="str">
        <f t="shared" si="27"/>
        <v/>
      </c>
      <c r="B372" s="56"/>
      <c r="C372" s="58" t="str">
        <f>IF(B372="","",IFERROR(INDEX('21 2026 ÜRETİM'!$F$2:$F$501,MATCH(B372,'21 2026 ÜRETİM'!$A$2:$A$501,0)),""))</f>
        <v/>
      </c>
      <c r="D372" s="56"/>
      <c r="E372" s="58" t="str">
        <f t="shared" si="28"/>
        <v/>
      </c>
      <c r="F372" s="56"/>
      <c r="G372" s="58" t="str">
        <f t="shared" si="29"/>
        <v/>
      </c>
      <c r="H372" s="56"/>
      <c r="I372" s="58" t="str">
        <f t="shared" si="30"/>
        <v/>
      </c>
      <c r="J372" s="56" t="str">
        <f t="shared" si="31"/>
        <v/>
      </c>
      <c r="K372" s="65"/>
    </row>
    <row r="373" spans="1:11" ht="15" customHeight="1" x14ac:dyDescent="0.2">
      <c r="A373" s="60" t="str">
        <f t="shared" si="27"/>
        <v/>
      </c>
      <c r="B373" s="56"/>
      <c r="C373" s="58" t="str">
        <f>IF(B373="","",IFERROR(INDEX('21 2026 ÜRETİM'!$F$2:$F$501,MATCH(B373,'21 2026 ÜRETİM'!$A$2:$A$501,0)),""))</f>
        <v/>
      </c>
      <c r="D373" s="56"/>
      <c r="E373" s="58" t="str">
        <f t="shared" si="28"/>
        <v/>
      </c>
      <c r="F373" s="56"/>
      <c r="G373" s="58" t="str">
        <f t="shared" si="29"/>
        <v/>
      </c>
      <c r="H373" s="56"/>
      <c r="I373" s="58" t="str">
        <f t="shared" si="30"/>
        <v/>
      </c>
      <c r="J373" s="56" t="str">
        <f t="shared" si="31"/>
        <v/>
      </c>
      <c r="K373" s="65"/>
    </row>
    <row r="374" spans="1:11" ht="15" customHeight="1" x14ac:dyDescent="0.2">
      <c r="A374" s="60" t="str">
        <f t="shared" si="27"/>
        <v/>
      </c>
      <c r="B374" s="56"/>
      <c r="C374" s="58" t="str">
        <f>IF(B374="","",IFERROR(INDEX('21 2026 ÜRETİM'!$F$2:$F$501,MATCH(B374,'21 2026 ÜRETİM'!$A$2:$A$501,0)),""))</f>
        <v/>
      </c>
      <c r="D374" s="56"/>
      <c r="E374" s="58" t="str">
        <f t="shared" si="28"/>
        <v/>
      </c>
      <c r="F374" s="56"/>
      <c r="G374" s="58" t="str">
        <f t="shared" si="29"/>
        <v/>
      </c>
      <c r="H374" s="56"/>
      <c r="I374" s="58" t="str">
        <f t="shared" si="30"/>
        <v/>
      </c>
      <c r="J374" s="56" t="str">
        <f t="shared" si="31"/>
        <v/>
      </c>
      <c r="K374" s="65"/>
    </row>
    <row r="375" spans="1:11" ht="15" customHeight="1" x14ac:dyDescent="0.2">
      <c r="A375" s="60" t="str">
        <f t="shared" si="27"/>
        <v/>
      </c>
      <c r="B375" s="56"/>
      <c r="C375" s="58" t="str">
        <f>IF(B375="","",IFERROR(INDEX('21 2026 ÜRETİM'!$F$2:$F$501,MATCH(B375,'21 2026 ÜRETİM'!$A$2:$A$501,0)),""))</f>
        <v/>
      </c>
      <c r="D375" s="56"/>
      <c r="E375" s="58" t="str">
        <f t="shared" si="28"/>
        <v/>
      </c>
      <c r="F375" s="56"/>
      <c r="G375" s="58" t="str">
        <f t="shared" si="29"/>
        <v/>
      </c>
      <c r="H375" s="56"/>
      <c r="I375" s="58" t="str">
        <f t="shared" si="30"/>
        <v/>
      </c>
      <c r="J375" s="56" t="str">
        <f t="shared" si="31"/>
        <v/>
      </c>
      <c r="K375" s="65"/>
    </row>
    <row r="376" spans="1:11" ht="15" customHeight="1" x14ac:dyDescent="0.2">
      <c r="A376" s="60" t="str">
        <f t="shared" si="27"/>
        <v/>
      </c>
      <c r="B376" s="56"/>
      <c r="C376" s="58" t="str">
        <f>IF(B376="","",IFERROR(INDEX('21 2026 ÜRETİM'!$F$2:$F$501,MATCH(B376,'21 2026 ÜRETİM'!$A$2:$A$501,0)),""))</f>
        <v/>
      </c>
      <c r="D376" s="56"/>
      <c r="E376" s="58" t="str">
        <f t="shared" si="28"/>
        <v/>
      </c>
      <c r="F376" s="56"/>
      <c r="G376" s="58" t="str">
        <f t="shared" si="29"/>
        <v/>
      </c>
      <c r="H376" s="56"/>
      <c r="I376" s="58" t="str">
        <f t="shared" si="30"/>
        <v/>
      </c>
      <c r="J376" s="56" t="str">
        <f t="shared" si="31"/>
        <v/>
      </c>
      <c r="K376" s="65"/>
    </row>
    <row r="377" spans="1:11" ht="15" customHeight="1" x14ac:dyDescent="0.2">
      <c r="A377" s="60" t="str">
        <f t="shared" si="27"/>
        <v/>
      </c>
      <c r="B377" s="56"/>
      <c r="C377" s="58" t="str">
        <f>IF(B377="","",IFERROR(INDEX('21 2026 ÜRETİM'!$F$2:$F$501,MATCH(B377,'21 2026 ÜRETİM'!$A$2:$A$501,0)),""))</f>
        <v/>
      </c>
      <c r="D377" s="56"/>
      <c r="E377" s="58" t="str">
        <f t="shared" si="28"/>
        <v/>
      </c>
      <c r="F377" s="56"/>
      <c r="G377" s="58" t="str">
        <f t="shared" si="29"/>
        <v/>
      </c>
      <c r="H377" s="56"/>
      <c r="I377" s="58" t="str">
        <f t="shared" si="30"/>
        <v/>
      </c>
      <c r="J377" s="56" t="str">
        <f t="shared" si="31"/>
        <v/>
      </c>
      <c r="K377" s="65"/>
    </row>
    <row r="378" spans="1:11" ht="15" customHeight="1" x14ac:dyDescent="0.2">
      <c r="A378" s="60" t="str">
        <f t="shared" si="27"/>
        <v/>
      </c>
      <c r="B378" s="56"/>
      <c r="C378" s="58" t="str">
        <f>IF(B378="","",IFERROR(INDEX('21 2026 ÜRETİM'!$F$2:$F$501,MATCH(B378,'21 2026 ÜRETİM'!$A$2:$A$501,0)),""))</f>
        <v/>
      </c>
      <c r="D378" s="56"/>
      <c r="E378" s="58" t="str">
        <f t="shared" si="28"/>
        <v/>
      </c>
      <c r="F378" s="56"/>
      <c r="G378" s="58" t="str">
        <f t="shared" si="29"/>
        <v/>
      </c>
      <c r="H378" s="56"/>
      <c r="I378" s="58" t="str">
        <f t="shared" si="30"/>
        <v/>
      </c>
      <c r="J378" s="56" t="str">
        <f t="shared" si="31"/>
        <v/>
      </c>
      <c r="K378" s="65"/>
    </row>
    <row r="379" spans="1:11" ht="15" customHeight="1" x14ac:dyDescent="0.2">
      <c r="A379" s="60" t="str">
        <f t="shared" si="27"/>
        <v/>
      </c>
      <c r="B379" s="56"/>
      <c r="C379" s="58" t="str">
        <f>IF(B379="","",IFERROR(INDEX('21 2026 ÜRETİM'!$F$2:$F$501,MATCH(B379,'21 2026 ÜRETİM'!$A$2:$A$501,0)),""))</f>
        <v/>
      </c>
      <c r="D379" s="56"/>
      <c r="E379" s="58" t="str">
        <f t="shared" si="28"/>
        <v/>
      </c>
      <c r="F379" s="56"/>
      <c r="G379" s="58" t="str">
        <f t="shared" si="29"/>
        <v/>
      </c>
      <c r="H379" s="56"/>
      <c r="I379" s="58" t="str">
        <f t="shared" si="30"/>
        <v/>
      </c>
      <c r="J379" s="56" t="str">
        <f t="shared" si="31"/>
        <v/>
      </c>
      <c r="K379" s="65"/>
    </row>
    <row r="380" spans="1:11" ht="15" customHeight="1" x14ac:dyDescent="0.2">
      <c r="A380" s="60" t="str">
        <f t="shared" si="27"/>
        <v/>
      </c>
      <c r="B380" s="56"/>
      <c r="C380" s="58" t="str">
        <f>IF(B380="","",IFERROR(INDEX('21 2026 ÜRETİM'!$F$2:$F$501,MATCH(B380,'21 2026 ÜRETİM'!$A$2:$A$501,0)),""))</f>
        <v/>
      </c>
      <c r="D380" s="56"/>
      <c r="E380" s="58" t="str">
        <f t="shared" si="28"/>
        <v/>
      </c>
      <c r="F380" s="56"/>
      <c r="G380" s="58" t="str">
        <f t="shared" si="29"/>
        <v/>
      </c>
      <c r="H380" s="56"/>
      <c r="I380" s="58" t="str">
        <f t="shared" si="30"/>
        <v/>
      </c>
      <c r="J380" s="56" t="str">
        <f t="shared" si="31"/>
        <v/>
      </c>
      <c r="K380" s="65"/>
    </row>
    <row r="381" spans="1:11" ht="15" customHeight="1" x14ac:dyDescent="0.2">
      <c r="A381" s="60" t="str">
        <f t="shared" si="27"/>
        <v/>
      </c>
      <c r="B381" s="56"/>
      <c r="C381" s="58" t="str">
        <f>IF(B381="","",IFERROR(INDEX('21 2026 ÜRETİM'!$F$2:$F$501,MATCH(B381,'21 2026 ÜRETİM'!$A$2:$A$501,0)),""))</f>
        <v/>
      </c>
      <c r="D381" s="56"/>
      <c r="E381" s="58" t="str">
        <f t="shared" si="28"/>
        <v/>
      </c>
      <c r="F381" s="56"/>
      <c r="G381" s="58" t="str">
        <f t="shared" si="29"/>
        <v/>
      </c>
      <c r="H381" s="56"/>
      <c r="I381" s="58" t="str">
        <f t="shared" si="30"/>
        <v/>
      </c>
      <c r="J381" s="56" t="str">
        <f t="shared" si="31"/>
        <v/>
      </c>
      <c r="K381" s="65"/>
    </row>
    <row r="382" spans="1:11" ht="15" customHeight="1" x14ac:dyDescent="0.2">
      <c r="A382" s="60" t="str">
        <f t="shared" si="27"/>
        <v/>
      </c>
      <c r="B382" s="56"/>
      <c r="C382" s="58" t="str">
        <f>IF(B382="","",IFERROR(INDEX('21 2026 ÜRETİM'!$F$2:$F$501,MATCH(B382,'21 2026 ÜRETİM'!$A$2:$A$501,0)),""))</f>
        <v/>
      </c>
      <c r="D382" s="56"/>
      <c r="E382" s="58" t="str">
        <f t="shared" si="28"/>
        <v/>
      </c>
      <c r="F382" s="56"/>
      <c r="G382" s="58" t="str">
        <f t="shared" si="29"/>
        <v/>
      </c>
      <c r="H382" s="56"/>
      <c r="I382" s="58" t="str">
        <f t="shared" si="30"/>
        <v/>
      </c>
      <c r="J382" s="56" t="str">
        <f t="shared" si="31"/>
        <v/>
      </c>
      <c r="K382" s="65"/>
    </row>
    <row r="383" spans="1:11" ht="15" customHeight="1" x14ac:dyDescent="0.2">
      <c r="A383" s="60" t="str">
        <f t="shared" si="27"/>
        <v/>
      </c>
      <c r="B383" s="56"/>
      <c r="C383" s="58" t="str">
        <f>IF(B383="","",IFERROR(INDEX('21 2026 ÜRETİM'!$F$2:$F$501,MATCH(B383,'21 2026 ÜRETİM'!$A$2:$A$501,0)),""))</f>
        <v/>
      </c>
      <c r="D383" s="56"/>
      <c r="E383" s="58" t="str">
        <f t="shared" si="28"/>
        <v/>
      </c>
      <c r="F383" s="56"/>
      <c r="G383" s="58" t="str">
        <f t="shared" si="29"/>
        <v/>
      </c>
      <c r="H383" s="56"/>
      <c r="I383" s="58" t="str">
        <f t="shared" si="30"/>
        <v/>
      </c>
      <c r="J383" s="56" t="str">
        <f t="shared" si="31"/>
        <v/>
      </c>
      <c r="K383" s="65"/>
    </row>
    <row r="384" spans="1:11" ht="15" customHeight="1" x14ac:dyDescent="0.2">
      <c r="A384" s="60" t="str">
        <f t="shared" si="27"/>
        <v/>
      </c>
      <c r="B384" s="56"/>
      <c r="C384" s="58" t="str">
        <f>IF(B384="","",IFERROR(INDEX('21 2026 ÜRETİM'!$F$2:$F$501,MATCH(B384,'21 2026 ÜRETİM'!$A$2:$A$501,0)),""))</f>
        <v/>
      </c>
      <c r="D384" s="56"/>
      <c r="E384" s="58" t="str">
        <f t="shared" si="28"/>
        <v/>
      </c>
      <c r="F384" s="56"/>
      <c r="G384" s="58" t="str">
        <f t="shared" si="29"/>
        <v/>
      </c>
      <c r="H384" s="56"/>
      <c r="I384" s="58" t="str">
        <f t="shared" si="30"/>
        <v/>
      </c>
      <c r="J384" s="56" t="str">
        <f t="shared" si="31"/>
        <v/>
      </c>
      <c r="K384" s="65"/>
    </row>
    <row r="385" spans="1:11" ht="15" customHeight="1" x14ac:dyDescent="0.2">
      <c r="A385" s="60" t="str">
        <f t="shared" si="27"/>
        <v/>
      </c>
      <c r="B385" s="56"/>
      <c r="C385" s="58" t="str">
        <f>IF(B385="","",IFERROR(INDEX('21 2026 ÜRETİM'!$F$2:$F$501,MATCH(B385,'21 2026 ÜRETİM'!$A$2:$A$501,0)),""))</f>
        <v/>
      </c>
      <c r="D385" s="56"/>
      <c r="E385" s="58" t="str">
        <f t="shared" si="28"/>
        <v/>
      </c>
      <c r="F385" s="56"/>
      <c r="G385" s="58" t="str">
        <f t="shared" si="29"/>
        <v/>
      </c>
      <c r="H385" s="56"/>
      <c r="I385" s="58" t="str">
        <f t="shared" si="30"/>
        <v/>
      </c>
      <c r="J385" s="56" t="str">
        <f t="shared" si="31"/>
        <v/>
      </c>
      <c r="K385" s="65"/>
    </row>
    <row r="386" spans="1:11" ht="15" customHeight="1" x14ac:dyDescent="0.2">
      <c r="A386" s="60" t="str">
        <f t="shared" si="27"/>
        <v/>
      </c>
      <c r="B386" s="56"/>
      <c r="C386" s="58" t="str">
        <f>IF(B386="","",IFERROR(INDEX('21 2026 ÜRETİM'!$F$2:$F$501,MATCH(B386,'21 2026 ÜRETİM'!$A$2:$A$501,0)),""))</f>
        <v/>
      </c>
      <c r="D386" s="56"/>
      <c r="E386" s="58" t="str">
        <f t="shared" si="28"/>
        <v/>
      </c>
      <c r="F386" s="56"/>
      <c r="G386" s="58" t="str">
        <f t="shared" si="29"/>
        <v/>
      </c>
      <c r="H386" s="56"/>
      <c r="I386" s="58" t="str">
        <f t="shared" si="30"/>
        <v/>
      </c>
      <c r="J386" s="56" t="str">
        <f t="shared" si="31"/>
        <v/>
      </c>
      <c r="K386" s="65"/>
    </row>
    <row r="387" spans="1:11" ht="15" customHeight="1" x14ac:dyDescent="0.2">
      <c r="A387" s="60" t="str">
        <f t="shared" si="27"/>
        <v/>
      </c>
      <c r="B387" s="56"/>
      <c r="C387" s="58" t="str">
        <f>IF(B387="","",IFERROR(INDEX('21 2026 ÜRETİM'!$F$2:$F$501,MATCH(B387,'21 2026 ÜRETİM'!$A$2:$A$501,0)),""))</f>
        <v/>
      </c>
      <c r="D387" s="56"/>
      <c r="E387" s="58" t="str">
        <f t="shared" si="28"/>
        <v/>
      </c>
      <c r="F387" s="56"/>
      <c r="G387" s="58" t="str">
        <f t="shared" si="29"/>
        <v/>
      </c>
      <c r="H387" s="56"/>
      <c r="I387" s="58" t="str">
        <f t="shared" si="30"/>
        <v/>
      </c>
      <c r="J387" s="56" t="str">
        <f t="shared" si="31"/>
        <v/>
      </c>
      <c r="K387" s="65"/>
    </row>
    <row r="388" spans="1:11" ht="15" customHeight="1" x14ac:dyDescent="0.2">
      <c r="A388" s="60" t="str">
        <f t="shared" si="27"/>
        <v/>
      </c>
      <c r="B388" s="56"/>
      <c r="C388" s="58" t="str">
        <f>IF(B388="","",IFERROR(INDEX('21 2026 ÜRETİM'!$F$2:$F$501,MATCH(B388,'21 2026 ÜRETİM'!$A$2:$A$501,0)),""))</f>
        <v/>
      </c>
      <c r="D388" s="56"/>
      <c r="E388" s="58" t="str">
        <f t="shared" si="28"/>
        <v/>
      </c>
      <c r="F388" s="56"/>
      <c r="G388" s="58" t="str">
        <f t="shared" si="29"/>
        <v/>
      </c>
      <c r="H388" s="56"/>
      <c r="I388" s="58" t="str">
        <f t="shared" si="30"/>
        <v/>
      </c>
      <c r="J388" s="56" t="str">
        <f t="shared" si="31"/>
        <v/>
      </c>
      <c r="K388" s="65"/>
    </row>
    <row r="389" spans="1:11" ht="15" customHeight="1" x14ac:dyDescent="0.2">
      <c r="A389" s="60" t="str">
        <f t="shared" si="27"/>
        <v/>
      </c>
      <c r="B389" s="56"/>
      <c r="C389" s="58" t="str">
        <f>IF(B389="","",IFERROR(INDEX('21 2026 ÜRETİM'!$F$2:$F$501,MATCH(B389,'21 2026 ÜRETİM'!$A$2:$A$501,0)),""))</f>
        <v/>
      </c>
      <c r="D389" s="56"/>
      <c r="E389" s="58" t="str">
        <f t="shared" si="28"/>
        <v/>
      </c>
      <c r="F389" s="56"/>
      <c r="G389" s="58" t="str">
        <f t="shared" si="29"/>
        <v/>
      </c>
      <c r="H389" s="56"/>
      <c r="I389" s="58" t="str">
        <f t="shared" si="30"/>
        <v/>
      </c>
      <c r="J389" s="56" t="str">
        <f t="shared" si="31"/>
        <v/>
      </c>
      <c r="K389" s="65"/>
    </row>
    <row r="390" spans="1:11" ht="15" customHeight="1" x14ac:dyDescent="0.2">
      <c r="A390" s="60" t="str">
        <f t="shared" si="27"/>
        <v/>
      </c>
      <c r="B390" s="56"/>
      <c r="C390" s="58" t="str">
        <f>IF(B390="","",IFERROR(INDEX('21 2026 ÜRETİM'!$F$2:$F$501,MATCH(B390,'21 2026 ÜRETİM'!$A$2:$A$501,0)),""))</f>
        <v/>
      </c>
      <c r="D390" s="56"/>
      <c r="E390" s="58" t="str">
        <f t="shared" si="28"/>
        <v/>
      </c>
      <c r="F390" s="56"/>
      <c r="G390" s="58" t="str">
        <f t="shared" si="29"/>
        <v/>
      </c>
      <c r="H390" s="56"/>
      <c r="I390" s="58" t="str">
        <f t="shared" si="30"/>
        <v/>
      </c>
      <c r="J390" s="56" t="str">
        <f t="shared" si="31"/>
        <v/>
      </c>
      <c r="K390" s="65"/>
    </row>
    <row r="391" spans="1:11" ht="15" customHeight="1" x14ac:dyDescent="0.2">
      <c r="A391" s="60" t="str">
        <f t="shared" si="27"/>
        <v/>
      </c>
      <c r="B391" s="56"/>
      <c r="C391" s="58" t="str">
        <f>IF(B391="","",IFERROR(INDEX('21 2026 ÜRETİM'!$F$2:$F$501,MATCH(B391,'21 2026 ÜRETİM'!$A$2:$A$501,0)),""))</f>
        <v/>
      </c>
      <c r="D391" s="56"/>
      <c r="E391" s="58" t="str">
        <f t="shared" si="28"/>
        <v/>
      </c>
      <c r="F391" s="56"/>
      <c r="G391" s="58" t="str">
        <f t="shared" si="29"/>
        <v/>
      </c>
      <c r="H391" s="56"/>
      <c r="I391" s="58" t="str">
        <f t="shared" si="30"/>
        <v/>
      </c>
      <c r="J391" s="56" t="str">
        <f t="shared" si="31"/>
        <v/>
      </c>
      <c r="K391" s="65"/>
    </row>
    <row r="392" spans="1:11" ht="15" customHeight="1" x14ac:dyDescent="0.2">
      <c r="A392" s="60" t="str">
        <f t="shared" si="27"/>
        <v/>
      </c>
      <c r="B392" s="56"/>
      <c r="C392" s="58" t="str">
        <f>IF(B392="","",IFERROR(INDEX('21 2026 ÜRETİM'!$F$2:$F$501,MATCH(B392,'21 2026 ÜRETİM'!$A$2:$A$501,0)),""))</f>
        <v/>
      </c>
      <c r="D392" s="56"/>
      <c r="E392" s="58" t="str">
        <f t="shared" si="28"/>
        <v/>
      </c>
      <c r="F392" s="56"/>
      <c r="G392" s="58" t="str">
        <f t="shared" si="29"/>
        <v/>
      </c>
      <c r="H392" s="56"/>
      <c r="I392" s="58" t="str">
        <f t="shared" si="30"/>
        <v/>
      </c>
      <c r="J392" s="56" t="str">
        <f t="shared" si="31"/>
        <v/>
      </c>
      <c r="K392" s="65"/>
    </row>
    <row r="393" spans="1:11" ht="15" customHeight="1" x14ac:dyDescent="0.2">
      <c r="A393" s="60" t="str">
        <f t="shared" si="27"/>
        <v/>
      </c>
      <c r="B393" s="56"/>
      <c r="C393" s="58" t="str">
        <f>IF(B393="","",IFERROR(INDEX('21 2026 ÜRETİM'!$F$2:$F$501,MATCH(B393,'21 2026 ÜRETİM'!$A$2:$A$501,0)),""))</f>
        <v/>
      </c>
      <c r="D393" s="56"/>
      <c r="E393" s="58" t="str">
        <f t="shared" si="28"/>
        <v/>
      </c>
      <c r="F393" s="56"/>
      <c r="G393" s="58" t="str">
        <f t="shared" si="29"/>
        <v/>
      </c>
      <c r="H393" s="56"/>
      <c r="I393" s="58" t="str">
        <f t="shared" si="30"/>
        <v/>
      </c>
      <c r="J393" s="56" t="str">
        <f t="shared" si="31"/>
        <v/>
      </c>
      <c r="K393" s="65"/>
    </row>
    <row r="394" spans="1:11" ht="15" customHeight="1" x14ac:dyDescent="0.2">
      <c r="A394" s="60" t="str">
        <f t="shared" si="27"/>
        <v/>
      </c>
      <c r="B394" s="56"/>
      <c r="C394" s="58" t="str">
        <f>IF(B394="","",IFERROR(INDEX('21 2026 ÜRETİM'!$F$2:$F$501,MATCH(B394,'21 2026 ÜRETİM'!$A$2:$A$501,0)),""))</f>
        <v/>
      </c>
      <c r="D394" s="56"/>
      <c r="E394" s="58" t="str">
        <f t="shared" si="28"/>
        <v/>
      </c>
      <c r="F394" s="56"/>
      <c r="G394" s="58" t="str">
        <f t="shared" si="29"/>
        <v/>
      </c>
      <c r="H394" s="56"/>
      <c r="I394" s="58" t="str">
        <f t="shared" si="30"/>
        <v/>
      </c>
      <c r="J394" s="56" t="str">
        <f t="shared" si="31"/>
        <v/>
      </c>
      <c r="K394" s="65"/>
    </row>
    <row r="395" spans="1:11" ht="15" customHeight="1" x14ac:dyDescent="0.2">
      <c r="A395" s="60" t="str">
        <f t="shared" si="27"/>
        <v/>
      </c>
      <c r="B395" s="56"/>
      <c r="C395" s="58" t="str">
        <f>IF(B395="","",IFERROR(INDEX('21 2026 ÜRETİM'!$F$2:$F$501,MATCH(B395,'21 2026 ÜRETİM'!$A$2:$A$501,0)),""))</f>
        <v/>
      </c>
      <c r="D395" s="56"/>
      <c r="E395" s="58" t="str">
        <f t="shared" si="28"/>
        <v/>
      </c>
      <c r="F395" s="56"/>
      <c r="G395" s="58" t="str">
        <f t="shared" si="29"/>
        <v/>
      </c>
      <c r="H395" s="56"/>
      <c r="I395" s="58" t="str">
        <f t="shared" si="30"/>
        <v/>
      </c>
      <c r="J395" s="56" t="str">
        <f t="shared" si="31"/>
        <v/>
      </c>
      <c r="K395" s="65"/>
    </row>
    <row r="396" spans="1:11" ht="15" customHeight="1" x14ac:dyDescent="0.2">
      <c r="A396" s="60" t="str">
        <f t="shared" si="27"/>
        <v/>
      </c>
      <c r="B396" s="56"/>
      <c r="C396" s="58" t="str">
        <f>IF(B396="","",IFERROR(INDEX('21 2026 ÜRETİM'!$F$2:$F$501,MATCH(B396,'21 2026 ÜRETİM'!$A$2:$A$501,0)),""))</f>
        <v/>
      </c>
      <c r="D396" s="56"/>
      <c r="E396" s="58" t="str">
        <f t="shared" si="28"/>
        <v/>
      </c>
      <c r="F396" s="56"/>
      <c r="G396" s="58" t="str">
        <f t="shared" si="29"/>
        <v/>
      </c>
      <c r="H396" s="56"/>
      <c r="I396" s="58" t="str">
        <f t="shared" si="30"/>
        <v/>
      </c>
      <c r="J396" s="56" t="str">
        <f t="shared" si="31"/>
        <v/>
      </c>
      <c r="K396" s="65"/>
    </row>
    <row r="397" spans="1:11" ht="15" customHeight="1" x14ac:dyDescent="0.2">
      <c r="A397" s="60" t="str">
        <f t="shared" ref="A397:A460" si="32">IF(B397="","",IFERROR(DATE(RIGHT(B397,4),MID(B397,4,2),LEFT(B397,2))+1,""))</f>
        <v/>
      </c>
      <c r="B397" s="56"/>
      <c r="C397" s="58" t="str">
        <f>IF(B397="","",IFERROR(INDEX('21 2026 ÜRETİM'!$F$2:$F$501,MATCH(B397,'21 2026 ÜRETİM'!$A$2:$A$501,0)),""))</f>
        <v/>
      </c>
      <c r="D397" s="56"/>
      <c r="E397" s="58" t="str">
        <f t="shared" ref="E397:E460" si="33">IF(D397="","",D397*0.5)</f>
        <v/>
      </c>
      <c r="F397" s="56"/>
      <c r="G397" s="58" t="str">
        <f t="shared" ref="G397:G460" si="34">IF(F397="","",F397*2.5)</f>
        <v/>
      </c>
      <c r="H397" s="56"/>
      <c r="I397" s="58" t="str">
        <f t="shared" ref="I397:I460" si="35">IF(C397="","",C397-E397-G397-IF(H397="",0,H397))</f>
        <v/>
      </c>
      <c r="J397" s="56" t="str">
        <f t="shared" ref="J397:J460" si="36">IF(C397="","",IF(ABS(I397)&lt;0.001,"KAPALI","KONTROL"))</f>
        <v/>
      </c>
      <c r="K397" s="65"/>
    </row>
    <row r="398" spans="1:11" ht="15" customHeight="1" x14ac:dyDescent="0.2">
      <c r="A398" s="60" t="str">
        <f t="shared" si="32"/>
        <v/>
      </c>
      <c r="B398" s="56"/>
      <c r="C398" s="58" t="str">
        <f>IF(B398="","",IFERROR(INDEX('21 2026 ÜRETİM'!$F$2:$F$501,MATCH(B398,'21 2026 ÜRETİM'!$A$2:$A$501,0)),""))</f>
        <v/>
      </c>
      <c r="D398" s="56"/>
      <c r="E398" s="58" t="str">
        <f t="shared" si="33"/>
        <v/>
      </c>
      <c r="F398" s="56"/>
      <c r="G398" s="58" t="str">
        <f t="shared" si="34"/>
        <v/>
      </c>
      <c r="H398" s="56"/>
      <c r="I398" s="58" t="str">
        <f t="shared" si="35"/>
        <v/>
      </c>
      <c r="J398" s="56" t="str">
        <f t="shared" si="36"/>
        <v/>
      </c>
      <c r="K398" s="65"/>
    </row>
    <row r="399" spans="1:11" ht="15" customHeight="1" x14ac:dyDescent="0.2">
      <c r="A399" s="60" t="str">
        <f t="shared" si="32"/>
        <v/>
      </c>
      <c r="B399" s="56"/>
      <c r="C399" s="58" t="str">
        <f>IF(B399="","",IFERROR(INDEX('21 2026 ÜRETİM'!$F$2:$F$501,MATCH(B399,'21 2026 ÜRETİM'!$A$2:$A$501,0)),""))</f>
        <v/>
      </c>
      <c r="D399" s="56"/>
      <c r="E399" s="58" t="str">
        <f t="shared" si="33"/>
        <v/>
      </c>
      <c r="F399" s="56"/>
      <c r="G399" s="58" t="str">
        <f t="shared" si="34"/>
        <v/>
      </c>
      <c r="H399" s="56"/>
      <c r="I399" s="58" t="str">
        <f t="shared" si="35"/>
        <v/>
      </c>
      <c r="J399" s="56" t="str">
        <f t="shared" si="36"/>
        <v/>
      </c>
      <c r="K399" s="65"/>
    </row>
    <row r="400" spans="1:11" ht="15" customHeight="1" x14ac:dyDescent="0.2">
      <c r="A400" s="60" t="str">
        <f t="shared" si="32"/>
        <v/>
      </c>
      <c r="B400" s="56"/>
      <c r="C400" s="58" t="str">
        <f>IF(B400="","",IFERROR(INDEX('21 2026 ÜRETİM'!$F$2:$F$501,MATCH(B400,'21 2026 ÜRETİM'!$A$2:$A$501,0)),""))</f>
        <v/>
      </c>
      <c r="D400" s="56"/>
      <c r="E400" s="58" t="str">
        <f t="shared" si="33"/>
        <v/>
      </c>
      <c r="F400" s="56"/>
      <c r="G400" s="58" t="str">
        <f t="shared" si="34"/>
        <v/>
      </c>
      <c r="H400" s="56"/>
      <c r="I400" s="58" t="str">
        <f t="shared" si="35"/>
        <v/>
      </c>
      <c r="J400" s="56" t="str">
        <f t="shared" si="36"/>
        <v/>
      </c>
      <c r="K400" s="65"/>
    </row>
    <row r="401" spans="1:11" ht="15" customHeight="1" x14ac:dyDescent="0.2">
      <c r="A401" s="60" t="str">
        <f t="shared" si="32"/>
        <v/>
      </c>
      <c r="B401" s="56"/>
      <c r="C401" s="58" t="str">
        <f>IF(B401="","",IFERROR(INDEX('21 2026 ÜRETİM'!$F$2:$F$501,MATCH(B401,'21 2026 ÜRETİM'!$A$2:$A$501,0)),""))</f>
        <v/>
      </c>
      <c r="D401" s="56"/>
      <c r="E401" s="58" t="str">
        <f t="shared" si="33"/>
        <v/>
      </c>
      <c r="F401" s="56"/>
      <c r="G401" s="58" t="str">
        <f t="shared" si="34"/>
        <v/>
      </c>
      <c r="H401" s="56"/>
      <c r="I401" s="58" t="str">
        <f t="shared" si="35"/>
        <v/>
      </c>
      <c r="J401" s="56" t="str">
        <f t="shared" si="36"/>
        <v/>
      </c>
      <c r="K401" s="65"/>
    </row>
    <row r="402" spans="1:11" ht="15" customHeight="1" x14ac:dyDescent="0.2">
      <c r="A402" s="60" t="str">
        <f t="shared" si="32"/>
        <v/>
      </c>
      <c r="B402" s="56"/>
      <c r="C402" s="58" t="str">
        <f>IF(B402="","",IFERROR(INDEX('21 2026 ÜRETİM'!$F$2:$F$501,MATCH(B402,'21 2026 ÜRETİM'!$A$2:$A$501,0)),""))</f>
        <v/>
      </c>
      <c r="D402" s="56"/>
      <c r="E402" s="58" t="str">
        <f t="shared" si="33"/>
        <v/>
      </c>
      <c r="F402" s="56"/>
      <c r="G402" s="58" t="str">
        <f t="shared" si="34"/>
        <v/>
      </c>
      <c r="H402" s="56"/>
      <c r="I402" s="58" t="str">
        <f t="shared" si="35"/>
        <v/>
      </c>
      <c r="J402" s="56" t="str">
        <f t="shared" si="36"/>
        <v/>
      </c>
      <c r="K402" s="65"/>
    </row>
    <row r="403" spans="1:11" ht="15" customHeight="1" x14ac:dyDescent="0.2">
      <c r="A403" s="60" t="str">
        <f t="shared" si="32"/>
        <v/>
      </c>
      <c r="B403" s="56"/>
      <c r="C403" s="58" t="str">
        <f>IF(B403="","",IFERROR(INDEX('21 2026 ÜRETİM'!$F$2:$F$501,MATCH(B403,'21 2026 ÜRETİM'!$A$2:$A$501,0)),""))</f>
        <v/>
      </c>
      <c r="D403" s="56"/>
      <c r="E403" s="58" t="str">
        <f t="shared" si="33"/>
        <v/>
      </c>
      <c r="F403" s="56"/>
      <c r="G403" s="58" t="str">
        <f t="shared" si="34"/>
        <v/>
      </c>
      <c r="H403" s="56"/>
      <c r="I403" s="58" t="str">
        <f t="shared" si="35"/>
        <v/>
      </c>
      <c r="J403" s="56" t="str">
        <f t="shared" si="36"/>
        <v/>
      </c>
      <c r="K403" s="65"/>
    </row>
    <row r="404" spans="1:11" ht="15" customHeight="1" x14ac:dyDescent="0.2">
      <c r="A404" s="60" t="str">
        <f t="shared" si="32"/>
        <v/>
      </c>
      <c r="B404" s="56"/>
      <c r="C404" s="58" t="str">
        <f>IF(B404="","",IFERROR(INDEX('21 2026 ÜRETİM'!$F$2:$F$501,MATCH(B404,'21 2026 ÜRETİM'!$A$2:$A$501,0)),""))</f>
        <v/>
      </c>
      <c r="D404" s="56"/>
      <c r="E404" s="58" t="str">
        <f t="shared" si="33"/>
        <v/>
      </c>
      <c r="F404" s="56"/>
      <c r="G404" s="58" t="str">
        <f t="shared" si="34"/>
        <v/>
      </c>
      <c r="H404" s="56"/>
      <c r="I404" s="58" t="str">
        <f t="shared" si="35"/>
        <v/>
      </c>
      <c r="J404" s="56" t="str">
        <f t="shared" si="36"/>
        <v/>
      </c>
      <c r="K404" s="65"/>
    </row>
    <row r="405" spans="1:11" ht="15" customHeight="1" x14ac:dyDescent="0.2">
      <c r="A405" s="60" t="str">
        <f t="shared" si="32"/>
        <v/>
      </c>
      <c r="B405" s="56"/>
      <c r="C405" s="58" t="str">
        <f>IF(B405="","",IFERROR(INDEX('21 2026 ÜRETİM'!$F$2:$F$501,MATCH(B405,'21 2026 ÜRETİM'!$A$2:$A$501,0)),""))</f>
        <v/>
      </c>
      <c r="D405" s="56"/>
      <c r="E405" s="58" t="str">
        <f t="shared" si="33"/>
        <v/>
      </c>
      <c r="F405" s="56"/>
      <c r="G405" s="58" t="str">
        <f t="shared" si="34"/>
        <v/>
      </c>
      <c r="H405" s="56"/>
      <c r="I405" s="58" t="str">
        <f t="shared" si="35"/>
        <v/>
      </c>
      <c r="J405" s="56" t="str">
        <f t="shared" si="36"/>
        <v/>
      </c>
      <c r="K405" s="65"/>
    </row>
    <row r="406" spans="1:11" ht="15" customHeight="1" x14ac:dyDescent="0.2">
      <c r="A406" s="60" t="str">
        <f t="shared" si="32"/>
        <v/>
      </c>
      <c r="B406" s="56"/>
      <c r="C406" s="58" t="str">
        <f>IF(B406="","",IFERROR(INDEX('21 2026 ÜRETİM'!$F$2:$F$501,MATCH(B406,'21 2026 ÜRETİM'!$A$2:$A$501,0)),""))</f>
        <v/>
      </c>
      <c r="D406" s="56"/>
      <c r="E406" s="58" t="str">
        <f t="shared" si="33"/>
        <v/>
      </c>
      <c r="F406" s="56"/>
      <c r="G406" s="58" t="str">
        <f t="shared" si="34"/>
        <v/>
      </c>
      <c r="H406" s="56"/>
      <c r="I406" s="58" t="str">
        <f t="shared" si="35"/>
        <v/>
      </c>
      <c r="J406" s="56" t="str">
        <f t="shared" si="36"/>
        <v/>
      </c>
      <c r="K406" s="65"/>
    </row>
    <row r="407" spans="1:11" ht="15" customHeight="1" x14ac:dyDescent="0.2">
      <c r="A407" s="60" t="str">
        <f t="shared" si="32"/>
        <v/>
      </c>
      <c r="B407" s="56"/>
      <c r="C407" s="58" t="str">
        <f>IF(B407="","",IFERROR(INDEX('21 2026 ÜRETİM'!$F$2:$F$501,MATCH(B407,'21 2026 ÜRETİM'!$A$2:$A$501,0)),""))</f>
        <v/>
      </c>
      <c r="D407" s="56"/>
      <c r="E407" s="58" t="str">
        <f t="shared" si="33"/>
        <v/>
      </c>
      <c r="F407" s="56"/>
      <c r="G407" s="58" t="str">
        <f t="shared" si="34"/>
        <v/>
      </c>
      <c r="H407" s="56"/>
      <c r="I407" s="58" t="str">
        <f t="shared" si="35"/>
        <v/>
      </c>
      <c r="J407" s="56" t="str">
        <f t="shared" si="36"/>
        <v/>
      </c>
      <c r="K407" s="65"/>
    </row>
    <row r="408" spans="1:11" ht="15" customHeight="1" x14ac:dyDescent="0.2">
      <c r="A408" s="60" t="str">
        <f t="shared" si="32"/>
        <v/>
      </c>
      <c r="B408" s="56"/>
      <c r="C408" s="58" t="str">
        <f>IF(B408="","",IFERROR(INDEX('21 2026 ÜRETİM'!$F$2:$F$501,MATCH(B408,'21 2026 ÜRETİM'!$A$2:$A$501,0)),""))</f>
        <v/>
      </c>
      <c r="D408" s="56"/>
      <c r="E408" s="58" t="str">
        <f t="shared" si="33"/>
        <v/>
      </c>
      <c r="F408" s="56"/>
      <c r="G408" s="58" t="str">
        <f t="shared" si="34"/>
        <v/>
      </c>
      <c r="H408" s="56"/>
      <c r="I408" s="58" t="str">
        <f t="shared" si="35"/>
        <v/>
      </c>
      <c r="J408" s="56" t="str">
        <f t="shared" si="36"/>
        <v/>
      </c>
      <c r="K408" s="65"/>
    </row>
    <row r="409" spans="1:11" ht="15" customHeight="1" x14ac:dyDescent="0.2">
      <c r="A409" s="60" t="str">
        <f t="shared" si="32"/>
        <v/>
      </c>
      <c r="B409" s="56"/>
      <c r="C409" s="58" t="str">
        <f>IF(B409="","",IFERROR(INDEX('21 2026 ÜRETİM'!$F$2:$F$501,MATCH(B409,'21 2026 ÜRETİM'!$A$2:$A$501,0)),""))</f>
        <v/>
      </c>
      <c r="D409" s="56"/>
      <c r="E409" s="58" t="str">
        <f t="shared" si="33"/>
        <v/>
      </c>
      <c r="F409" s="56"/>
      <c r="G409" s="58" t="str">
        <f t="shared" si="34"/>
        <v/>
      </c>
      <c r="H409" s="56"/>
      <c r="I409" s="58" t="str">
        <f t="shared" si="35"/>
        <v/>
      </c>
      <c r="J409" s="56" t="str">
        <f t="shared" si="36"/>
        <v/>
      </c>
      <c r="K409" s="65"/>
    </row>
    <row r="410" spans="1:11" ht="15" customHeight="1" x14ac:dyDescent="0.2">
      <c r="A410" s="60" t="str">
        <f t="shared" si="32"/>
        <v/>
      </c>
      <c r="B410" s="56"/>
      <c r="C410" s="58" t="str">
        <f>IF(B410="","",IFERROR(INDEX('21 2026 ÜRETİM'!$F$2:$F$501,MATCH(B410,'21 2026 ÜRETİM'!$A$2:$A$501,0)),""))</f>
        <v/>
      </c>
      <c r="D410" s="56"/>
      <c r="E410" s="58" t="str">
        <f t="shared" si="33"/>
        <v/>
      </c>
      <c r="F410" s="56"/>
      <c r="G410" s="58" t="str">
        <f t="shared" si="34"/>
        <v/>
      </c>
      <c r="H410" s="56"/>
      <c r="I410" s="58" t="str">
        <f t="shared" si="35"/>
        <v/>
      </c>
      <c r="J410" s="56" t="str">
        <f t="shared" si="36"/>
        <v/>
      </c>
      <c r="K410" s="65"/>
    </row>
    <row r="411" spans="1:11" ht="15" customHeight="1" x14ac:dyDescent="0.2">
      <c r="A411" s="60" t="str">
        <f t="shared" si="32"/>
        <v/>
      </c>
      <c r="B411" s="56"/>
      <c r="C411" s="58" t="str">
        <f>IF(B411="","",IFERROR(INDEX('21 2026 ÜRETİM'!$F$2:$F$501,MATCH(B411,'21 2026 ÜRETİM'!$A$2:$A$501,0)),""))</f>
        <v/>
      </c>
      <c r="D411" s="56"/>
      <c r="E411" s="58" t="str">
        <f t="shared" si="33"/>
        <v/>
      </c>
      <c r="F411" s="56"/>
      <c r="G411" s="58" t="str">
        <f t="shared" si="34"/>
        <v/>
      </c>
      <c r="H411" s="56"/>
      <c r="I411" s="58" t="str">
        <f t="shared" si="35"/>
        <v/>
      </c>
      <c r="J411" s="56" t="str">
        <f t="shared" si="36"/>
        <v/>
      </c>
      <c r="K411" s="65"/>
    </row>
    <row r="412" spans="1:11" ht="15" customHeight="1" x14ac:dyDescent="0.2">
      <c r="A412" s="60" t="str">
        <f t="shared" si="32"/>
        <v/>
      </c>
      <c r="B412" s="56"/>
      <c r="C412" s="58" t="str">
        <f>IF(B412="","",IFERROR(INDEX('21 2026 ÜRETİM'!$F$2:$F$501,MATCH(B412,'21 2026 ÜRETİM'!$A$2:$A$501,0)),""))</f>
        <v/>
      </c>
      <c r="D412" s="56"/>
      <c r="E412" s="58" t="str">
        <f t="shared" si="33"/>
        <v/>
      </c>
      <c r="F412" s="56"/>
      <c r="G412" s="58" t="str">
        <f t="shared" si="34"/>
        <v/>
      </c>
      <c r="H412" s="56"/>
      <c r="I412" s="58" t="str">
        <f t="shared" si="35"/>
        <v/>
      </c>
      <c r="J412" s="56" t="str">
        <f t="shared" si="36"/>
        <v/>
      </c>
      <c r="K412" s="65"/>
    </row>
    <row r="413" spans="1:11" ht="15" customHeight="1" x14ac:dyDescent="0.2">
      <c r="A413" s="60" t="str">
        <f t="shared" si="32"/>
        <v/>
      </c>
      <c r="B413" s="56"/>
      <c r="C413" s="58" t="str">
        <f>IF(B413="","",IFERROR(INDEX('21 2026 ÜRETİM'!$F$2:$F$501,MATCH(B413,'21 2026 ÜRETİM'!$A$2:$A$501,0)),""))</f>
        <v/>
      </c>
      <c r="D413" s="56"/>
      <c r="E413" s="58" t="str">
        <f t="shared" si="33"/>
        <v/>
      </c>
      <c r="F413" s="56"/>
      <c r="G413" s="58" t="str">
        <f t="shared" si="34"/>
        <v/>
      </c>
      <c r="H413" s="56"/>
      <c r="I413" s="58" t="str">
        <f t="shared" si="35"/>
        <v/>
      </c>
      <c r="J413" s="56" t="str">
        <f t="shared" si="36"/>
        <v/>
      </c>
      <c r="K413" s="65"/>
    </row>
    <row r="414" spans="1:11" ht="15" customHeight="1" x14ac:dyDescent="0.2">
      <c r="A414" s="60" t="str">
        <f t="shared" si="32"/>
        <v/>
      </c>
      <c r="B414" s="56"/>
      <c r="C414" s="58" t="str">
        <f>IF(B414="","",IFERROR(INDEX('21 2026 ÜRETİM'!$F$2:$F$501,MATCH(B414,'21 2026 ÜRETİM'!$A$2:$A$501,0)),""))</f>
        <v/>
      </c>
      <c r="D414" s="56"/>
      <c r="E414" s="58" t="str">
        <f t="shared" si="33"/>
        <v/>
      </c>
      <c r="F414" s="56"/>
      <c r="G414" s="58" t="str">
        <f t="shared" si="34"/>
        <v/>
      </c>
      <c r="H414" s="56"/>
      <c r="I414" s="58" t="str">
        <f t="shared" si="35"/>
        <v/>
      </c>
      <c r="J414" s="56" t="str">
        <f t="shared" si="36"/>
        <v/>
      </c>
      <c r="K414" s="65"/>
    </row>
    <row r="415" spans="1:11" ht="15" customHeight="1" x14ac:dyDescent="0.2">
      <c r="A415" s="60" t="str">
        <f t="shared" si="32"/>
        <v/>
      </c>
      <c r="B415" s="56"/>
      <c r="C415" s="58" t="str">
        <f>IF(B415="","",IFERROR(INDEX('21 2026 ÜRETİM'!$F$2:$F$501,MATCH(B415,'21 2026 ÜRETİM'!$A$2:$A$501,0)),""))</f>
        <v/>
      </c>
      <c r="D415" s="56"/>
      <c r="E415" s="58" t="str">
        <f t="shared" si="33"/>
        <v/>
      </c>
      <c r="F415" s="56"/>
      <c r="G415" s="58" t="str">
        <f t="shared" si="34"/>
        <v/>
      </c>
      <c r="H415" s="56"/>
      <c r="I415" s="58" t="str">
        <f t="shared" si="35"/>
        <v/>
      </c>
      <c r="J415" s="56" t="str">
        <f t="shared" si="36"/>
        <v/>
      </c>
      <c r="K415" s="65"/>
    </row>
    <row r="416" spans="1:11" ht="15" customHeight="1" x14ac:dyDescent="0.2">
      <c r="A416" s="60" t="str">
        <f t="shared" si="32"/>
        <v/>
      </c>
      <c r="B416" s="56"/>
      <c r="C416" s="58" t="str">
        <f>IF(B416="","",IFERROR(INDEX('21 2026 ÜRETİM'!$F$2:$F$501,MATCH(B416,'21 2026 ÜRETİM'!$A$2:$A$501,0)),""))</f>
        <v/>
      </c>
      <c r="D416" s="56"/>
      <c r="E416" s="58" t="str">
        <f t="shared" si="33"/>
        <v/>
      </c>
      <c r="F416" s="56"/>
      <c r="G416" s="58" t="str">
        <f t="shared" si="34"/>
        <v/>
      </c>
      <c r="H416" s="56"/>
      <c r="I416" s="58" t="str">
        <f t="shared" si="35"/>
        <v/>
      </c>
      <c r="J416" s="56" t="str">
        <f t="shared" si="36"/>
        <v/>
      </c>
      <c r="K416" s="65"/>
    </row>
    <row r="417" spans="1:11" ht="15" customHeight="1" x14ac:dyDescent="0.2">
      <c r="A417" s="60" t="str">
        <f t="shared" si="32"/>
        <v/>
      </c>
      <c r="B417" s="56"/>
      <c r="C417" s="58" t="str">
        <f>IF(B417="","",IFERROR(INDEX('21 2026 ÜRETİM'!$F$2:$F$501,MATCH(B417,'21 2026 ÜRETİM'!$A$2:$A$501,0)),""))</f>
        <v/>
      </c>
      <c r="D417" s="56"/>
      <c r="E417" s="58" t="str">
        <f t="shared" si="33"/>
        <v/>
      </c>
      <c r="F417" s="56"/>
      <c r="G417" s="58" t="str">
        <f t="shared" si="34"/>
        <v/>
      </c>
      <c r="H417" s="56"/>
      <c r="I417" s="58" t="str">
        <f t="shared" si="35"/>
        <v/>
      </c>
      <c r="J417" s="56" t="str">
        <f t="shared" si="36"/>
        <v/>
      </c>
      <c r="K417" s="65"/>
    </row>
    <row r="418" spans="1:11" ht="15" customHeight="1" x14ac:dyDescent="0.2">
      <c r="A418" s="60" t="str">
        <f t="shared" si="32"/>
        <v/>
      </c>
      <c r="B418" s="56"/>
      <c r="C418" s="58" t="str">
        <f>IF(B418="","",IFERROR(INDEX('21 2026 ÜRETİM'!$F$2:$F$501,MATCH(B418,'21 2026 ÜRETİM'!$A$2:$A$501,0)),""))</f>
        <v/>
      </c>
      <c r="D418" s="56"/>
      <c r="E418" s="58" t="str">
        <f t="shared" si="33"/>
        <v/>
      </c>
      <c r="F418" s="56"/>
      <c r="G418" s="58" t="str">
        <f t="shared" si="34"/>
        <v/>
      </c>
      <c r="H418" s="56"/>
      <c r="I418" s="58" t="str">
        <f t="shared" si="35"/>
        <v/>
      </c>
      <c r="J418" s="56" t="str">
        <f t="shared" si="36"/>
        <v/>
      </c>
      <c r="K418" s="65"/>
    </row>
    <row r="419" spans="1:11" ht="15" customHeight="1" x14ac:dyDescent="0.2">
      <c r="A419" s="60" t="str">
        <f t="shared" si="32"/>
        <v/>
      </c>
      <c r="B419" s="56"/>
      <c r="C419" s="58" t="str">
        <f>IF(B419="","",IFERROR(INDEX('21 2026 ÜRETİM'!$F$2:$F$501,MATCH(B419,'21 2026 ÜRETİM'!$A$2:$A$501,0)),""))</f>
        <v/>
      </c>
      <c r="D419" s="56"/>
      <c r="E419" s="58" t="str">
        <f t="shared" si="33"/>
        <v/>
      </c>
      <c r="F419" s="56"/>
      <c r="G419" s="58" t="str">
        <f t="shared" si="34"/>
        <v/>
      </c>
      <c r="H419" s="56"/>
      <c r="I419" s="58" t="str">
        <f t="shared" si="35"/>
        <v/>
      </c>
      <c r="J419" s="56" t="str">
        <f t="shared" si="36"/>
        <v/>
      </c>
      <c r="K419" s="65"/>
    </row>
    <row r="420" spans="1:11" ht="15" customHeight="1" x14ac:dyDescent="0.2">
      <c r="A420" s="60" t="str">
        <f t="shared" si="32"/>
        <v/>
      </c>
      <c r="B420" s="56"/>
      <c r="C420" s="58" t="str">
        <f>IF(B420="","",IFERROR(INDEX('21 2026 ÜRETİM'!$F$2:$F$501,MATCH(B420,'21 2026 ÜRETİM'!$A$2:$A$501,0)),""))</f>
        <v/>
      </c>
      <c r="D420" s="56"/>
      <c r="E420" s="58" t="str">
        <f t="shared" si="33"/>
        <v/>
      </c>
      <c r="F420" s="56"/>
      <c r="G420" s="58" t="str">
        <f t="shared" si="34"/>
        <v/>
      </c>
      <c r="H420" s="56"/>
      <c r="I420" s="58" t="str">
        <f t="shared" si="35"/>
        <v/>
      </c>
      <c r="J420" s="56" t="str">
        <f t="shared" si="36"/>
        <v/>
      </c>
      <c r="K420" s="65"/>
    </row>
    <row r="421" spans="1:11" ht="15" customHeight="1" x14ac:dyDescent="0.2">
      <c r="A421" s="60" t="str">
        <f t="shared" si="32"/>
        <v/>
      </c>
      <c r="B421" s="56"/>
      <c r="C421" s="58" t="str">
        <f>IF(B421="","",IFERROR(INDEX('21 2026 ÜRETİM'!$F$2:$F$501,MATCH(B421,'21 2026 ÜRETİM'!$A$2:$A$501,0)),""))</f>
        <v/>
      </c>
      <c r="D421" s="56"/>
      <c r="E421" s="58" t="str">
        <f t="shared" si="33"/>
        <v/>
      </c>
      <c r="F421" s="56"/>
      <c r="G421" s="58" t="str">
        <f t="shared" si="34"/>
        <v/>
      </c>
      <c r="H421" s="56"/>
      <c r="I421" s="58" t="str">
        <f t="shared" si="35"/>
        <v/>
      </c>
      <c r="J421" s="56" t="str">
        <f t="shared" si="36"/>
        <v/>
      </c>
      <c r="K421" s="65"/>
    </row>
    <row r="422" spans="1:11" ht="15" customHeight="1" x14ac:dyDescent="0.2">
      <c r="A422" s="60" t="str">
        <f t="shared" si="32"/>
        <v/>
      </c>
      <c r="B422" s="56"/>
      <c r="C422" s="58" t="str">
        <f>IF(B422="","",IFERROR(INDEX('21 2026 ÜRETİM'!$F$2:$F$501,MATCH(B422,'21 2026 ÜRETİM'!$A$2:$A$501,0)),""))</f>
        <v/>
      </c>
      <c r="D422" s="56"/>
      <c r="E422" s="58" t="str">
        <f t="shared" si="33"/>
        <v/>
      </c>
      <c r="F422" s="56"/>
      <c r="G422" s="58" t="str">
        <f t="shared" si="34"/>
        <v/>
      </c>
      <c r="H422" s="56"/>
      <c r="I422" s="58" t="str">
        <f t="shared" si="35"/>
        <v/>
      </c>
      <c r="J422" s="56" t="str">
        <f t="shared" si="36"/>
        <v/>
      </c>
      <c r="K422" s="65"/>
    </row>
    <row r="423" spans="1:11" ht="15" customHeight="1" x14ac:dyDescent="0.2">
      <c r="A423" s="60" t="str">
        <f t="shared" si="32"/>
        <v/>
      </c>
      <c r="B423" s="56"/>
      <c r="C423" s="58" t="str">
        <f>IF(B423="","",IFERROR(INDEX('21 2026 ÜRETİM'!$F$2:$F$501,MATCH(B423,'21 2026 ÜRETİM'!$A$2:$A$501,0)),""))</f>
        <v/>
      </c>
      <c r="D423" s="56"/>
      <c r="E423" s="58" t="str">
        <f t="shared" si="33"/>
        <v/>
      </c>
      <c r="F423" s="56"/>
      <c r="G423" s="58" t="str">
        <f t="shared" si="34"/>
        <v/>
      </c>
      <c r="H423" s="56"/>
      <c r="I423" s="58" t="str">
        <f t="shared" si="35"/>
        <v/>
      </c>
      <c r="J423" s="56" t="str">
        <f t="shared" si="36"/>
        <v/>
      </c>
      <c r="K423" s="65"/>
    </row>
    <row r="424" spans="1:11" ht="15" customHeight="1" x14ac:dyDescent="0.2">
      <c r="A424" s="60" t="str">
        <f t="shared" si="32"/>
        <v/>
      </c>
      <c r="B424" s="56"/>
      <c r="C424" s="58" t="str">
        <f>IF(B424="","",IFERROR(INDEX('21 2026 ÜRETİM'!$F$2:$F$501,MATCH(B424,'21 2026 ÜRETİM'!$A$2:$A$501,0)),""))</f>
        <v/>
      </c>
      <c r="D424" s="56"/>
      <c r="E424" s="58" t="str">
        <f t="shared" si="33"/>
        <v/>
      </c>
      <c r="F424" s="56"/>
      <c r="G424" s="58" t="str">
        <f t="shared" si="34"/>
        <v/>
      </c>
      <c r="H424" s="56"/>
      <c r="I424" s="58" t="str">
        <f t="shared" si="35"/>
        <v/>
      </c>
      <c r="J424" s="56" t="str">
        <f t="shared" si="36"/>
        <v/>
      </c>
      <c r="K424" s="65"/>
    </row>
    <row r="425" spans="1:11" ht="15" customHeight="1" x14ac:dyDescent="0.2">
      <c r="A425" s="60" t="str">
        <f t="shared" si="32"/>
        <v/>
      </c>
      <c r="B425" s="56"/>
      <c r="C425" s="58" t="str">
        <f>IF(B425="","",IFERROR(INDEX('21 2026 ÜRETİM'!$F$2:$F$501,MATCH(B425,'21 2026 ÜRETİM'!$A$2:$A$501,0)),""))</f>
        <v/>
      </c>
      <c r="D425" s="56"/>
      <c r="E425" s="58" t="str">
        <f t="shared" si="33"/>
        <v/>
      </c>
      <c r="F425" s="56"/>
      <c r="G425" s="58" t="str">
        <f t="shared" si="34"/>
        <v/>
      </c>
      <c r="H425" s="56"/>
      <c r="I425" s="58" t="str">
        <f t="shared" si="35"/>
        <v/>
      </c>
      <c r="J425" s="56" t="str">
        <f t="shared" si="36"/>
        <v/>
      </c>
      <c r="K425" s="65"/>
    </row>
    <row r="426" spans="1:11" ht="15" customHeight="1" x14ac:dyDescent="0.2">
      <c r="A426" s="60" t="str">
        <f t="shared" si="32"/>
        <v/>
      </c>
      <c r="B426" s="56"/>
      <c r="C426" s="58" t="str">
        <f>IF(B426="","",IFERROR(INDEX('21 2026 ÜRETİM'!$F$2:$F$501,MATCH(B426,'21 2026 ÜRETİM'!$A$2:$A$501,0)),""))</f>
        <v/>
      </c>
      <c r="D426" s="56"/>
      <c r="E426" s="58" t="str">
        <f t="shared" si="33"/>
        <v/>
      </c>
      <c r="F426" s="56"/>
      <c r="G426" s="58" t="str">
        <f t="shared" si="34"/>
        <v/>
      </c>
      <c r="H426" s="56"/>
      <c r="I426" s="58" t="str">
        <f t="shared" si="35"/>
        <v/>
      </c>
      <c r="J426" s="56" t="str">
        <f t="shared" si="36"/>
        <v/>
      </c>
      <c r="K426" s="65"/>
    </row>
    <row r="427" spans="1:11" ht="15" customHeight="1" x14ac:dyDescent="0.2">
      <c r="A427" s="60" t="str">
        <f t="shared" si="32"/>
        <v/>
      </c>
      <c r="B427" s="56"/>
      <c r="C427" s="58" t="str">
        <f>IF(B427="","",IFERROR(INDEX('21 2026 ÜRETİM'!$F$2:$F$501,MATCH(B427,'21 2026 ÜRETİM'!$A$2:$A$501,0)),""))</f>
        <v/>
      </c>
      <c r="D427" s="56"/>
      <c r="E427" s="58" t="str">
        <f t="shared" si="33"/>
        <v/>
      </c>
      <c r="F427" s="56"/>
      <c r="G427" s="58" t="str">
        <f t="shared" si="34"/>
        <v/>
      </c>
      <c r="H427" s="56"/>
      <c r="I427" s="58" t="str">
        <f t="shared" si="35"/>
        <v/>
      </c>
      <c r="J427" s="56" t="str">
        <f t="shared" si="36"/>
        <v/>
      </c>
      <c r="K427" s="65"/>
    </row>
    <row r="428" spans="1:11" ht="15" customHeight="1" x14ac:dyDescent="0.2">
      <c r="A428" s="60" t="str">
        <f t="shared" si="32"/>
        <v/>
      </c>
      <c r="B428" s="56"/>
      <c r="C428" s="58" t="str">
        <f>IF(B428="","",IFERROR(INDEX('21 2026 ÜRETİM'!$F$2:$F$501,MATCH(B428,'21 2026 ÜRETİM'!$A$2:$A$501,0)),""))</f>
        <v/>
      </c>
      <c r="D428" s="56"/>
      <c r="E428" s="58" t="str">
        <f t="shared" si="33"/>
        <v/>
      </c>
      <c r="F428" s="56"/>
      <c r="G428" s="58" t="str">
        <f t="shared" si="34"/>
        <v/>
      </c>
      <c r="H428" s="56"/>
      <c r="I428" s="58" t="str">
        <f t="shared" si="35"/>
        <v/>
      </c>
      <c r="J428" s="56" t="str">
        <f t="shared" si="36"/>
        <v/>
      </c>
      <c r="K428" s="65"/>
    </row>
    <row r="429" spans="1:11" ht="15" customHeight="1" x14ac:dyDescent="0.2">
      <c r="A429" s="60" t="str">
        <f t="shared" si="32"/>
        <v/>
      </c>
      <c r="B429" s="56"/>
      <c r="C429" s="58" t="str">
        <f>IF(B429="","",IFERROR(INDEX('21 2026 ÜRETİM'!$F$2:$F$501,MATCH(B429,'21 2026 ÜRETİM'!$A$2:$A$501,0)),""))</f>
        <v/>
      </c>
      <c r="D429" s="56"/>
      <c r="E429" s="58" t="str">
        <f t="shared" si="33"/>
        <v/>
      </c>
      <c r="F429" s="56"/>
      <c r="G429" s="58" t="str">
        <f t="shared" si="34"/>
        <v/>
      </c>
      <c r="H429" s="56"/>
      <c r="I429" s="58" t="str">
        <f t="shared" si="35"/>
        <v/>
      </c>
      <c r="J429" s="56" t="str">
        <f t="shared" si="36"/>
        <v/>
      </c>
      <c r="K429" s="65"/>
    </row>
    <row r="430" spans="1:11" ht="15" customHeight="1" x14ac:dyDescent="0.2">
      <c r="A430" s="60" t="str">
        <f t="shared" si="32"/>
        <v/>
      </c>
      <c r="B430" s="56"/>
      <c r="C430" s="58" t="str">
        <f>IF(B430="","",IFERROR(INDEX('21 2026 ÜRETİM'!$F$2:$F$501,MATCH(B430,'21 2026 ÜRETİM'!$A$2:$A$501,0)),""))</f>
        <v/>
      </c>
      <c r="D430" s="56"/>
      <c r="E430" s="58" t="str">
        <f t="shared" si="33"/>
        <v/>
      </c>
      <c r="F430" s="56"/>
      <c r="G430" s="58" t="str">
        <f t="shared" si="34"/>
        <v/>
      </c>
      <c r="H430" s="56"/>
      <c r="I430" s="58" t="str">
        <f t="shared" si="35"/>
        <v/>
      </c>
      <c r="J430" s="56" t="str">
        <f t="shared" si="36"/>
        <v/>
      </c>
      <c r="K430" s="65"/>
    </row>
    <row r="431" spans="1:11" ht="15" customHeight="1" x14ac:dyDescent="0.2">
      <c r="A431" s="60" t="str">
        <f t="shared" si="32"/>
        <v/>
      </c>
      <c r="B431" s="56"/>
      <c r="C431" s="58" t="str">
        <f>IF(B431="","",IFERROR(INDEX('21 2026 ÜRETİM'!$F$2:$F$501,MATCH(B431,'21 2026 ÜRETİM'!$A$2:$A$501,0)),""))</f>
        <v/>
      </c>
      <c r="D431" s="56"/>
      <c r="E431" s="58" t="str">
        <f t="shared" si="33"/>
        <v/>
      </c>
      <c r="F431" s="56"/>
      <c r="G431" s="58" t="str">
        <f t="shared" si="34"/>
        <v/>
      </c>
      <c r="H431" s="56"/>
      <c r="I431" s="58" t="str">
        <f t="shared" si="35"/>
        <v/>
      </c>
      <c r="J431" s="56" t="str">
        <f t="shared" si="36"/>
        <v/>
      </c>
      <c r="K431" s="65"/>
    </row>
    <row r="432" spans="1:11" ht="15" customHeight="1" x14ac:dyDescent="0.2">
      <c r="A432" s="60" t="str">
        <f t="shared" si="32"/>
        <v/>
      </c>
      <c r="B432" s="56"/>
      <c r="C432" s="58" t="str">
        <f>IF(B432="","",IFERROR(INDEX('21 2026 ÜRETİM'!$F$2:$F$501,MATCH(B432,'21 2026 ÜRETİM'!$A$2:$A$501,0)),""))</f>
        <v/>
      </c>
      <c r="D432" s="56"/>
      <c r="E432" s="58" t="str">
        <f t="shared" si="33"/>
        <v/>
      </c>
      <c r="F432" s="56"/>
      <c r="G432" s="58" t="str">
        <f t="shared" si="34"/>
        <v/>
      </c>
      <c r="H432" s="56"/>
      <c r="I432" s="58" t="str">
        <f t="shared" si="35"/>
        <v/>
      </c>
      <c r="J432" s="56" t="str">
        <f t="shared" si="36"/>
        <v/>
      </c>
      <c r="K432" s="65"/>
    </row>
    <row r="433" spans="1:11" ht="15" customHeight="1" x14ac:dyDescent="0.2">
      <c r="A433" s="60" t="str">
        <f t="shared" si="32"/>
        <v/>
      </c>
      <c r="B433" s="56"/>
      <c r="C433" s="58" t="str">
        <f>IF(B433="","",IFERROR(INDEX('21 2026 ÜRETİM'!$F$2:$F$501,MATCH(B433,'21 2026 ÜRETİM'!$A$2:$A$501,0)),""))</f>
        <v/>
      </c>
      <c r="D433" s="56"/>
      <c r="E433" s="58" t="str">
        <f t="shared" si="33"/>
        <v/>
      </c>
      <c r="F433" s="56"/>
      <c r="G433" s="58" t="str">
        <f t="shared" si="34"/>
        <v/>
      </c>
      <c r="H433" s="56"/>
      <c r="I433" s="58" t="str">
        <f t="shared" si="35"/>
        <v/>
      </c>
      <c r="J433" s="56" t="str">
        <f t="shared" si="36"/>
        <v/>
      </c>
      <c r="K433" s="65"/>
    </row>
    <row r="434" spans="1:11" ht="15" customHeight="1" x14ac:dyDescent="0.2">
      <c r="A434" s="60" t="str">
        <f t="shared" si="32"/>
        <v/>
      </c>
      <c r="B434" s="56"/>
      <c r="C434" s="58" t="str">
        <f>IF(B434="","",IFERROR(INDEX('21 2026 ÜRETİM'!$F$2:$F$501,MATCH(B434,'21 2026 ÜRETİM'!$A$2:$A$501,0)),""))</f>
        <v/>
      </c>
      <c r="D434" s="56"/>
      <c r="E434" s="58" t="str">
        <f t="shared" si="33"/>
        <v/>
      </c>
      <c r="F434" s="56"/>
      <c r="G434" s="58" t="str">
        <f t="shared" si="34"/>
        <v/>
      </c>
      <c r="H434" s="56"/>
      <c r="I434" s="58" t="str">
        <f t="shared" si="35"/>
        <v/>
      </c>
      <c r="J434" s="56" t="str">
        <f t="shared" si="36"/>
        <v/>
      </c>
      <c r="K434" s="65"/>
    </row>
    <row r="435" spans="1:11" ht="15" customHeight="1" x14ac:dyDescent="0.2">
      <c r="A435" s="60" t="str">
        <f t="shared" si="32"/>
        <v/>
      </c>
      <c r="B435" s="56"/>
      <c r="C435" s="58" t="str">
        <f>IF(B435="","",IFERROR(INDEX('21 2026 ÜRETİM'!$F$2:$F$501,MATCH(B435,'21 2026 ÜRETİM'!$A$2:$A$501,0)),""))</f>
        <v/>
      </c>
      <c r="D435" s="56"/>
      <c r="E435" s="58" t="str">
        <f t="shared" si="33"/>
        <v/>
      </c>
      <c r="F435" s="56"/>
      <c r="G435" s="58" t="str">
        <f t="shared" si="34"/>
        <v/>
      </c>
      <c r="H435" s="56"/>
      <c r="I435" s="58" t="str">
        <f t="shared" si="35"/>
        <v/>
      </c>
      <c r="J435" s="56" t="str">
        <f t="shared" si="36"/>
        <v/>
      </c>
      <c r="K435" s="65"/>
    </row>
    <row r="436" spans="1:11" ht="15" customHeight="1" x14ac:dyDescent="0.2">
      <c r="A436" s="60" t="str">
        <f t="shared" si="32"/>
        <v/>
      </c>
      <c r="B436" s="56"/>
      <c r="C436" s="58" t="str">
        <f>IF(B436="","",IFERROR(INDEX('21 2026 ÜRETİM'!$F$2:$F$501,MATCH(B436,'21 2026 ÜRETİM'!$A$2:$A$501,0)),""))</f>
        <v/>
      </c>
      <c r="D436" s="56"/>
      <c r="E436" s="58" t="str">
        <f t="shared" si="33"/>
        <v/>
      </c>
      <c r="F436" s="56"/>
      <c r="G436" s="58" t="str">
        <f t="shared" si="34"/>
        <v/>
      </c>
      <c r="H436" s="56"/>
      <c r="I436" s="58" t="str">
        <f t="shared" si="35"/>
        <v/>
      </c>
      <c r="J436" s="56" t="str">
        <f t="shared" si="36"/>
        <v/>
      </c>
      <c r="K436" s="65"/>
    </row>
    <row r="437" spans="1:11" ht="15" customHeight="1" x14ac:dyDescent="0.2">
      <c r="A437" s="60" t="str">
        <f t="shared" si="32"/>
        <v/>
      </c>
      <c r="B437" s="56"/>
      <c r="C437" s="58" t="str">
        <f>IF(B437="","",IFERROR(INDEX('21 2026 ÜRETİM'!$F$2:$F$501,MATCH(B437,'21 2026 ÜRETİM'!$A$2:$A$501,0)),""))</f>
        <v/>
      </c>
      <c r="D437" s="56"/>
      <c r="E437" s="58" t="str">
        <f t="shared" si="33"/>
        <v/>
      </c>
      <c r="F437" s="56"/>
      <c r="G437" s="58" t="str">
        <f t="shared" si="34"/>
        <v/>
      </c>
      <c r="H437" s="56"/>
      <c r="I437" s="58" t="str">
        <f t="shared" si="35"/>
        <v/>
      </c>
      <c r="J437" s="56" t="str">
        <f t="shared" si="36"/>
        <v/>
      </c>
      <c r="K437" s="65"/>
    </row>
    <row r="438" spans="1:11" ht="15" customHeight="1" x14ac:dyDescent="0.2">
      <c r="A438" s="60" t="str">
        <f t="shared" si="32"/>
        <v/>
      </c>
      <c r="B438" s="56"/>
      <c r="C438" s="58" t="str">
        <f>IF(B438="","",IFERROR(INDEX('21 2026 ÜRETİM'!$F$2:$F$501,MATCH(B438,'21 2026 ÜRETİM'!$A$2:$A$501,0)),""))</f>
        <v/>
      </c>
      <c r="D438" s="56"/>
      <c r="E438" s="58" t="str">
        <f t="shared" si="33"/>
        <v/>
      </c>
      <c r="F438" s="56"/>
      <c r="G438" s="58" t="str">
        <f t="shared" si="34"/>
        <v/>
      </c>
      <c r="H438" s="56"/>
      <c r="I438" s="58" t="str">
        <f t="shared" si="35"/>
        <v/>
      </c>
      <c r="J438" s="56" t="str">
        <f t="shared" si="36"/>
        <v/>
      </c>
      <c r="K438" s="65"/>
    </row>
    <row r="439" spans="1:11" ht="15" customHeight="1" x14ac:dyDescent="0.2">
      <c r="A439" s="60" t="str">
        <f t="shared" si="32"/>
        <v/>
      </c>
      <c r="B439" s="56"/>
      <c r="C439" s="58" t="str">
        <f>IF(B439="","",IFERROR(INDEX('21 2026 ÜRETİM'!$F$2:$F$501,MATCH(B439,'21 2026 ÜRETİM'!$A$2:$A$501,0)),""))</f>
        <v/>
      </c>
      <c r="D439" s="56"/>
      <c r="E439" s="58" t="str">
        <f t="shared" si="33"/>
        <v/>
      </c>
      <c r="F439" s="56"/>
      <c r="G439" s="58" t="str">
        <f t="shared" si="34"/>
        <v/>
      </c>
      <c r="H439" s="56"/>
      <c r="I439" s="58" t="str">
        <f t="shared" si="35"/>
        <v/>
      </c>
      <c r="J439" s="56" t="str">
        <f t="shared" si="36"/>
        <v/>
      </c>
      <c r="K439" s="65"/>
    </row>
    <row r="440" spans="1:11" ht="15" customHeight="1" x14ac:dyDescent="0.2">
      <c r="A440" s="60" t="str">
        <f t="shared" si="32"/>
        <v/>
      </c>
      <c r="B440" s="56"/>
      <c r="C440" s="58" t="str">
        <f>IF(B440="","",IFERROR(INDEX('21 2026 ÜRETİM'!$F$2:$F$501,MATCH(B440,'21 2026 ÜRETİM'!$A$2:$A$501,0)),""))</f>
        <v/>
      </c>
      <c r="D440" s="56"/>
      <c r="E440" s="58" t="str">
        <f t="shared" si="33"/>
        <v/>
      </c>
      <c r="F440" s="56"/>
      <c r="G440" s="58" t="str">
        <f t="shared" si="34"/>
        <v/>
      </c>
      <c r="H440" s="56"/>
      <c r="I440" s="58" t="str">
        <f t="shared" si="35"/>
        <v/>
      </c>
      <c r="J440" s="56" t="str">
        <f t="shared" si="36"/>
        <v/>
      </c>
      <c r="K440" s="65"/>
    </row>
    <row r="441" spans="1:11" ht="15" customHeight="1" x14ac:dyDescent="0.2">
      <c r="A441" s="60" t="str">
        <f t="shared" si="32"/>
        <v/>
      </c>
      <c r="B441" s="56"/>
      <c r="C441" s="58" t="str">
        <f>IF(B441="","",IFERROR(INDEX('21 2026 ÜRETİM'!$F$2:$F$501,MATCH(B441,'21 2026 ÜRETİM'!$A$2:$A$501,0)),""))</f>
        <v/>
      </c>
      <c r="D441" s="56"/>
      <c r="E441" s="58" t="str">
        <f t="shared" si="33"/>
        <v/>
      </c>
      <c r="F441" s="56"/>
      <c r="G441" s="58" t="str">
        <f t="shared" si="34"/>
        <v/>
      </c>
      <c r="H441" s="56"/>
      <c r="I441" s="58" t="str">
        <f t="shared" si="35"/>
        <v/>
      </c>
      <c r="J441" s="56" t="str">
        <f t="shared" si="36"/>
        <v/>
      </c>
      <c r="K441" s="65"/>
    </row>
    <row r="442" spans="1:11" ht="15" customHeight="1" x14ac:dyDescent="0.2">
      <c r="A442" s="60" t="str">
        <f t="shared" si="32"/>
        <v/>
      </c>
      <c r="B442" s="56"/>
      <c r="C442" s="58" t="str">
        <f>IF(B442="","",IFERROR(INDEX('21 2026 ÜRETİM'!$F$2:$F$501,MATCH(B442,'21 2026 ÜRETİM'!$A$2:$A$501,0)),""))</f>
        <v/>
      </c>
      <c r="D442" s="56"/>
      <c r="E442" s="58" t="str">
        <f t="shared" si="33"/>
        <v/>
      </c>
      <c r="F442" s="56"/>
      <c r="G442" s="58" t="str">
        <f t="shared" si="34"/>
        <v/>
      </c>
      <c r="H442" s="56"/>
      <c r="I442" s="58" t="str">
        <f t="shared" si="35"/>
        <v/>
      </c>
      <c r="J442" s="56" t="str">
        <f t="shared" si="36"/>
        <v/>
      </c>
      <c r="K442" s="65"/>
    </row>
    <row r="443" spans="1:11" ht="15" customHeight="1" x14ac:dyDescent="0.2">
      <c r="A443" s="60" t="str">
        <f t="shared" si="32"/>
        <v/>
      </c>
      <c r="B443" s="56"/>
      <c r="C443" s="58" t="str">
        <f>IF(B443="","",IFERROR(INDEX('21 2026 ÜRETİM'!$F$2:$F$501,MATCH(B443,'21 2026 ÜRETİM'!$A$2:$A$501,0)),""))</f>
        <v/>
      </c>
      <c r="D443" s="56"/>
      <c r="E443" s="58" t="str">
        <f t="shared" si="33"/>
        <v/>
      </c>
      <c r="F443" s="56"/>
      <c r="G443" s="58" t="str">
        <f t="shared" si="34"/>
        <v/>
      </c>
      <c r="H443" s="56"/>
      <c r="I443" s="58" t="str">
        <f t="shared" si="35"/>
        <v/>
      </c>
      <c r="J443" s="56" t="str">
        <f t="shared" si="36"/>
        <v/>
      </c>
      <c r="K443" s="65"/>
    </row>
    <row r="444" spans="1:11" ht="15" customHeight="1" x14ac:dyDescent="0.2">
      <c r="A444" s="60" t="str">
        <f t="shared" si="32"/>
        <v/>
      </c>
      <c r="B444" s="56"/>
      <c r="C444" s="58" t="str">
        <f>IF(B444="","",IFERROR(INDEX('21 2026 ÜRETİM'!$F$2:$F$501,MATCH(B444,'21 2026 ÜRETİM'!$A$2:$A$501,0)),""))</f>
        <v/>
      </c>
      <c r="D444" s="56"/>
      <c r="E444" s="58" t="str">
        <f t="shared" si="33"/>
        <v/>
      </c>
      <c r="F444" s="56"/>
      <c r="G444" s="58" t="str">
        <f t="shared" si="34"/>
        <v/>
      </c>
      <c r="H444" s="56"/>
      <c r="I444" s="58" t="str">
        <f t="shared" si="35"/>
        <v/>
      </c>
      <c r="J444" s="56" t="str">
        <f t="shared" si="36"/>
        <v/>
      </c>
      <c r="K444" s="65"/>
    </row>
    <row r="445" spans="1:11" ht="15" customHeight="1" x14ac:dyDescent="0.2">
      <c r="A445" s="60" t="str">
        <f t="shared" si="32"/>
        <v/>
      </c>
      <c r="B445" s="56"/>
      <c r="C445" s="58" t="str">
        <f>IF(B445="","",IFERROR(INDEX('21 2026 ÜRETİM'!$F$2:$F$501,MATCH(B445,'21 2026 ÜRETİM'!$A$2:$A$501,0)),""))</f>
        <v/>
      </c>
      <c r="D445" s="56"/>
      <c r="E445" s="58" t="str">
        <f t="shared" si="33"/>
        <v/>
      </c>
      <c r="F445" s="56"/>
      <c r="G445" s="58" t="str">
        <f t="shared" si="34"/>
        <v/>
      </c>
      <c r="H445" s="56"/>
      <c r="I445" s="58" t="str">
        <f t="shared" si="35"/>
        <v/>
      </c>
      <c r="J445" s="56" t="str">
        <f t="shared" si="36"/>
        <v/>
      </c>
      <c r="K445" s="65"/>
    </row>
    <row r="446" spans="1:11" ht="15" customHeight="1" x14ac:dyDescent="0.2">
      <c r="A446" s="60" t="str">
        <f t="shared" si="32"/>
        <v/>
      </c>
      <c r="B446" s="56"/>
      <c r="C446" s="58" t="str">
        <f>IF(B446="","",IFERROR(INDEX('21 2026 ÜRETİM'!$F$2:$F$501,MATCH(B446,'21 2026 ÜRETİM'!$A$2:$A$501,0)),""))</f>
        <v/>
      </c>
      <c r="D446" s="56"/>
      <c r="E446" s="58" t="str">
        <f t="shared" si="33"/>
        <v/>
      </c>
      <c r="F446" s="56"/>
      <c r="G446" s="58" t="str">
        <f t="shared" si="34"/>
        <v/>
      </c>
      <c r="H446" s="56"/>
      <c r="I446" s="58" t="str">
        <f t="shared" si="35"/>
        <v/>
      </c>
      <c r="J446" s="56" t="str">
        <f t="shared" si="36"/>
        <v/>
      </c>
      <c r="K446" s="65"/>
    </row>
    <row r="447" spans="1:11" ht="15" customHeight="1" x14ac:dyDescent="0.2">
      <c r="A447" s="60" t="str">
        <f t="shared" si="32"/>
        <v/>
      </c>
      <c r="B447" s="56"/>
      <c r="C447" s="58" t="str">
        <f>IF(B447="","",IFERROR(INDEX('21 2026 ÜRETİM'!$F$2:$F$501,MATCH(B447,'21 2026 ÜRETİM'!$A$2:$A$501,0)),""))</f>
        <v/>
      </c>
      <c r="D447" s="56"/>
      <c r="E447" s="58" t="str">
        <f t="shared" si="33"/>
        <v/>
      </c>
      <c r="F447" s="56"/>
      <c r="G447" s="58" t="str">
        <f t="shared" si="34"/>
        <v/>
      </c>
      <c r="H447" s="56"/>
      <c r="I447" s="58" t="str">
        <f t="shared" si="35"/>
        <v/>
      </c>
      <c r="J447" s="56" t="str">
        <f t="shared" si="36"/>
        <v/>
      </c>
      <c r="K447" s="65"/>
    </row>
    <row r="448" spans="1:11" ht="15" customHeight="1" x14ac:dyDescent="0.2">
      <c r="A448" s="60" t="str">
        <f t="shared" si="32"/>
        <v/>
      </c>
      <c r="B448" s="56"/>
      <c r="C448" s="58" t="str">
        <f>IF(B448="","",IFERROR(INDEX('21 2026 ÜRETİM'!$F$2:$F$501,MATCH(B448,'21 2026 ÜRETİM'!$A$2:$A$501,0)),""))</f>
        <v/>
      </c>
      <c r="D448" s="56"/>
      <c r="E448" s="58" t="str">
        <f t="shared" si="33"/>
        <v/>
      </c>
      <c r="F448" s="56"/>
      <c r="G448" s="58" t="str">
        <f t="shared" si="34"/>
        <v/>
      </c>
      <c r="H448" s="56"/>
      <c r="I448" s="58" t="str">
        <f t="shared" si="35"/>
        <v/>
      </c>
      <c r="J448" s="56" t="str">
        <f t="shared" si="36"/>
        <v/>
      </c>
      <c r="K448" s="65"/>
    </row>
    <row r="449" spans="1:11" ht="15" customHeight="1" x14ac:dyDescent="0.2">
      <c r="A449" s="60" t="str">
        <f t="shared" si="32"/>
        <v/>
      </c>
      <c r="B449" s="56"/>
      <c r="C449" s="58" t="str">
        <f>IF(B449="","",IFERROR(INDEX('21 2026 ÜRETİM'!$F$2:$F$501,MATCH(B449,'21 2026 ÜRETİM'!$A$2:$A$501,0)),""))</f>
        <v/>
      </c>
      <c r="D449" s="56"/>
      <c r="E449" s="58" t="str">
        <f t="shared" si="33"/>
        <v/>
      </c>
      <c r="F449" s="56"/>
      <c r="G449" s="58" t="str">
        <f t="shared" si="34"/>
        <v/>
      </c>
      <c r="H449" s="56"/>
      <c r="I449" s="58" t="str">
        <f t="shared" si="35"/>
        <v/>
      </c>
      <c r="J449" s="56" t="str">
        <f t="shared" si="36"/>
        <v/>
      </c>
      <c r="K449" s="65"/>
    </row>
    <row r="450" spans="1:11" ht="15" customHeight="1" x14ac:dyDescent="0.2">
      <c r="A450" s="60" t="str">
        <f t="shared" si="32"/>
        <v/>
      </c>
      <c r="B450" s="56"/>
      <c r="C450" s="58" t="str">
        <f>IF(B450="","",IFERROR(INDEX('21 2026 ÜRETİM'!$F$2:$F$501,MATCH(B450,'21 2026 ÜRETİM'!$A$2:$A$501,0)),""))</f>
        <v/>
      </c>
      <c r="D450" s="56"/>
      <c r="E450" s="58" t="str">
        <f t="shared" si="33"/>
        <v/>
      </c>
      <c r="F450" s="56"/>
      <c r="G450" s="58" t="str">
        <f t="shared" si="34"/>
        <v/>
      </c>
      <c r="H450" s="56"/>
      <c r="I450" s="58" t="str">
        <f t="shared" si="35"/>
        <v/>
      </c>
      <c r="J450" s="56" t="str">
        <f t="shared" si="36"/>
        <v/>
      </c>
      <c r="K450" s="65"/>
    </row>
    <row r="451" spans="1:11" ht="15" customHeight="1" x14ac:dyDescent="0.2">
      <c r="A451" s="60" t="str">
        <f t="shared" si="32"/>
        <v/>
      </c>
      <c r="B451" s="56"/>
      <c r="C451" s="58" t="str">
        <f>IF(B451="","",IFERROR(INDEX('21 2026 ÜRETİM'!$F$2:$F$501,MATCH(B451,'21 2026 ÜRETİM'!$A$2:$A$501,0)),""))</f>
        <v/>
      </c>
      <c r="D451" s="56"/>
      <c r="E451" s="58" t="str">
        <f t="shared" si="33"/>
        <v/>
      </c>
      <c r="F451" s="56"/>
      <c r="G451" s="58" t="str">
        <f t="shared" si="34"/>
        <v/>
      </c>
      <c r="H451" s="56"/>
      <c r="I451" s="58" t="str">
        <f t="shared" si="35"/>
        <v/>
      </c>
      <c r="J451" s="56" t="str">
        <f t="shared" si="36"/>
        <v/>
      </c>
      <c r="K451" s="65"/>
    </row>
    <row r="452" spans="1:11" ht="15" customHeight="1" x14ac:dyDescent="0.2">
      <c r="A452" s="60" t="str">
        <f t="shared" si="32"/>
        <v/>
      </c>
      <c r="B452" s="56"/>
      <c r="C452" s="58" t="str">
        <f>IF(B452="","",IFERROR(INDEX('21 2026 ÜRETİM'!$F$2:$F$501,MATCH(B452,'21 2026 ÜRETİM'!$A$2:$A$501,0)),""))</f>
        <v/>
      </c>
      <c r="D452" s="56"/>
      <c r="E452" s="58" t="str">
        <f t="shared" si="33"/>
        <v/>
      </c>
      <c r="F452" s="56"/>
      <c r="G452" s="58" t="str">
        <f t="shared" si="34"/>
        <v/>
      </c>
      <c r="H452" s="56"/>
      <c r="I452" s="58" t="str">
        <f t="shared" si="35"/>
        <v/>
      </c>
      <c r="J452" s="56" t="str">
        <f t="shared" si="36"/>
        <v/>
      </c>
      <c r="K452" s="65"/>
    </row>
    <row r="453" spans="1:11" ht="15" customHeight="1" x14ac:dyDescent="0.2">
      <c r="A453" s="60" t="str">
        <f t="shared" si="32"/>
        <v/>
      </c>
      <c r="B453" s="56"/>
      <c r="C453" s="58" t="str">
        <f>IF(B453="","",IFERROR(INDEX('21 2026 ÜRETİM'!$F$2:$F$501,MATCH(B453,'21 2026 ÜRETİM'!$A$2:$A$501,0)),""))</f>
        <v/>
      </c>
      <c r="D453" s="56"/>
      <c r="E453" s="58" t="str">
        <f t="shared" si="33"/>
        <v/>
      </c>
      <c r="F453" s="56"/>
      <c r="G453" s="58" t="str">
        <f t="shared" si="34"/>
        <v/>
      </c>
      <c r="H453" s="56"/>
      <c r="I453" s="58" t="str">
        <f t="shared" si="35"/>
        <v/>
      </c>
      <c r="J453" s="56" t="str">
        <f t="shared" si="36"/>
        <v/>
      </c>
      <c r="K453" s="65"/>
    </row>
    <row r="454" spans="1:11" ht="15" customHeight="1" x14ac:dyDescent="0.2">
      <c r="A454" s="60" t="str">
        <f t="shared" si="32"/>
        <v/>
      </c>
      <c r="B454" s="56"/>
      <c r="C454" s="58" t="str">
        <f>IF(B454="","",IFERROR(INDEX('21 2026 ÜRETİM'!$F$2:$F$501,MATCH(B454,'21 2026 ÜRETİM'!$A$2:$A$501,0)),""))</f>
        <v/>
      </c>
      <c r="D454" s="56"/>
      <c r="E454" s="58" t="str">
        <f t="shared" si="33"/>
        <v/>
      </c>
      <c r="F454" s="56"/>
      <c r="G454" s="58" t="str">
        <f t="shared" si="34"/>
        <v/>
      </c>
      <c r="H454" s="56"/>
      <c r="I454" s="58" t="str">
        <f t="shared" si="35"/>
        <v/>
      </c>
      <c r="J454" s="56" t="str">
        <f t="shared" si="36"/>
        <v/>
      </c>
      <c r="K454" s="65"/>
    </row>
    <row r="455" spans="1:11" ht="15" customHeight="1" x14ac:dyDescent="0.2">
      <c r="A455" s="60" t="str">
        <f t="shared" si="32"/>
        <v/>
      </c>
      <c r="B455" s="56"/>
      <c r="C455" s="58" t="str">
        <f>IF(B455="","",IFERROR(INDEX('21 2026 ÜRETİM'!$F$2:$F$501,MATCH(B455,'21 2026 ÜRETİM'!$A$2:$A$501,0)),""))</f>
        <v/>
      </c>
      <c r="D455" s="56"/>
      <c r="E455" s="58" t="str">
        <f t="shared" si="33"/>
        <v/>
      </c>
      <c r="F455" s="56"/>
      <c r="G455" s="58" t="str">
        <f t="shared" si="34"/>
        <v/>
      </c>
      <c r="H455" s="56"/>
      <c r="I455" s="58" t="str">
        <f t="shared" si="35"/>
        <v/>
      </c>
      <c r="J455" s="56" t="str">
        <f t="shared" si="36"/>
        <v/>
      </c>
      <c r="K455" s="65"/>
    </row>
    <row r="456" spans="1:11" ht="15" customHeight="1" x14ac:dyDescent="0.2">
      <c r="A456" s="60" t="str">
        <f t="shared" si="32"/>
        <v/>
      </c>
      <c r="B456" s="56"/>
      <c r="C456" s="58" t="str">
        <f>IF(B456="","",IFERROR(INDEX('21 2026 ÜRETİM'!$F$2:$F$501,MATCH(B456,'21 2026 ÜRETİM'!$A$2:$A$501,0)),""))</f>
        <v/>
      </c>
      <c r="D456" s="56"/>
      <c r="E456" s="58" t="str">
        <f t="shared" si="33"/>
        <v/>
      </c>
      <c r="F456" s="56"/>
      <c r="G456" s="58" t="str">
        <f t="shared" si="34"/>
        <v/>
      </c>
      <c r="H456" s="56"/>
      <c r="I456" s="58" t="str">
        <f t="shared" si="35"/>
        <v/>
      </c>
      <c r="J456" s="56" t="str">
        <f t="shared" si="36"/>
        <v/>
      </c>
      <c r="K456" s="65"/>
    </row>
    <row r="457" spans="1:11" ht="15" customHeight="1" x14ac:dyDescent="0.2">
      <c r="A457" s="60" t="str">
        <f t="shared" si="32"/>
        <v/>
      </c>
      <c r="B457" s="56"/>
      <c r="C457" s="58" t="str">
        <f>IF(B457="","",IFERROR(INDEX('21 2026 ÜRETİM'!$F$2:$F$501,MATCH(B457,'21 2026 ÜRETİM'!$A$2:$A$501,0)),""))</f>
        <v/>
      </c>
      <c r="D457" s="56"/>
      <c r="E457" s="58" t="str">
        <f t="shared" si="33"/>
        <v/>
      </c>
      <c r="F457" s="56"/>
      <c r="G457" s="58" t="str">
        <f t="shared" si="34"/>
        <v/>
      </c>
      <c r="H457" s="56"/>
      <c r="I457" s="58" t="str">
        <f t="shared" si="35"/>
        <v/>
      </c>
      <c r="J457" s="56" t="str">
        <f t="shared" si="36"/>
        <v/>
      </c>
      <c r="K457" s="65"/>
    </row>
    <row r="458" spans="1:11" ht="15" customHeight="1" x14ac:dyDescent="0.2">
      <c r="A458" s="60" t="str">
        <f t="shared" si="32"/>
        <v/>
      </c>
      <c r="B458" s="56"/>
      <c r="C458" s="58" t="str">
        <f>IF(B458="","",IFERROR(INDEX('21 2026 ÜRETİM'!$F$2:$F$501,MATCH(B458,'21 2026 ÜRETİM'!$A$2:$A$501,0)),""))</f>
        <v/>
      </c>
      <c r="D458" s="56"/>
      <c r="E458" s="58" t="str">
        <f t="shared" si="33"/>
        <v/>
      </c>
      <c r="F458" s="56"/>
      <c r="G458" s="58" t="str">
        <f t="shared" si="34"/>
        <v/>
      </c>
      <c r="H458" s="56"/>
      <c r="I458" s="58" t="str">
        <f t="shared" si="35"/>
        <v/>
      </c>
      <c r="J458" s="56" t="str">
        <f t="shared" si="36"/>
        <v/>
      </c>
      <c r="K458" s="65"/>
    </row>
    <row r="459" spans="1:11" ht="15" customHeight="1" x14ac:dyDescent="0.2">
      <c r="A459" s="60" t="str">
        <f t="shared" si="32"/>
        <v/>
      </c>
      <c r="B459" s="56"/>
      <c r="C459" s="58" t="str">
        <f>IF(B459="","",IFERROR(INDEX('21 2026 ÜRETİM'!$F$2:$F$501,MATCH(B459,'21 2026 ÜRETİM'!$A$2:$A$501,0)),""))</f>
        <v/>
      </c>
      <c r="D459" s="56"/>
      <c r="E459" s="58" t="str">
        <f t="shared" si="33"/>
        <v/>
      </c>
      <c r="F459" s="56"/>
      <c r="G459" s="58" t="str">
        <f t="shared" si="34"/>
        <v/>
      </c>
      <c r="H459" s="56"/>
      <c r="I459" s="58" t="str">
        <f t="shared" si="35"/>
        <v/>
      </c>
      <c r="J459" s="56" t="str">
        <f t="shared" si="36"/>
        <v/>
      </c>
      <c r="K459" s="65"/>
    </row>
    <row r="460" spans="1:11" ht="15" customHeight="1" x14ac:dyDescent="0.2">
      <c r="A460" s="60" t="str">
        <f t="shared" si="32"/>
        <v/>
      </c>
      <c r="B460" s="56"/>
      <c r="C460" s="58" t="str">
        <f>IF(B460="","",IFERROR(INDEX('21 2026 ÜRETİM'!$F$2:$F$501,MATCH(B460,'21 2026 ÜRETİM'!$A$2:$A$501,0)),""))</f>
        <v/>
      </c>
      <c r="D460" s="56"/>
      <c r="E460" s="58" t="str">
        <f t="shared" si="33"/>
        <v/>
      </c>
      <c r="F460" s="56"/>
      <c r="G460" s="58" t="str">
        <f t="shared" si="34"/>
        <v/>
      </c>
      <c r="H460" s="56"/>
      <c r="I460" s="58" t="str">
        <f t="shared" si="35"/>
        <v/>
      </c>
      <c r="J460" s="56" t="str">
        <f t="shared" si="36"/>
        <v/>
      </c>
      <c r="K460" s="65"/>
    </row>
    <row r="461" spans="1:11" ht="15" customHeight="1" x14ac:dyDescent="0.2">
      <c r="A461" s="60" t="str">
        <f t="shared" ref="A461:A524" si="37">IF(B461="","",IFERROR(DATE(RIGHT(B461,4),MID(B461,4,2),LEFT(B461,2))+1,""))</f>
        <v/>
      </c>
      <c r="B461" s="56"/>
      <c r="C461" s="58" t="str">
        <f>IF(B461="","",IFERROR(INDEX('21 2026 ÜRETİM'!$F$2:$F$501,MATCH(B461,'21 2026 ÜRETİM'!$A$2:$A$501,0)),""))</f>
        <v/>
      </c>
      <c r="D461" s="56"/>
      <c r="E461" s="58" t="str">
        <f t="shared" ref="E461:E524" si="38">IF(D461="","",D461*0.5)</f>
        <v/>
      </c>
      <c r="F461" s="56"/>
      <c r="G461" s="58" t="str">
        <f t="shared" ref="G461:G524" si="39">IF(F461="","",F461*2.5)</f>
        <v/>
      </c>
      <c r="H461" s="56"/>
      <c r="I461" s="58" t="str">
        <f t="shared" ref="I461:I524" si="40">IF(C461="","",C461-E461-G461-IF(H461="",0,H461))</f>
        <v/>
      </c>
      <c r="J461" s="56" t="str">
        <f t="shared" ref="J461:J524" si="41">IF(C461="","",IF(ABS(I461)&lt;0.001,"KAPALI","KONTROL"))</f>
        <v/>
      </c>
      <c r="K461" s="65"/>
    </row>
    <row r="462" spans="1:11" ht="15" customHeight="1" x14ac:dyDescent="0.2">
      <c r="A462" s="60" t="str">
        <f t="shared" si="37"/>
        <v/>
      </c>
      <c r="B462" s="56"/>
      <c r="C462" s="58" t="str">
        <f>IF(B462="","",IFERROR(INDEX('21 2026 ÜRETİM'!$F$2:$F$501,MATCH(B462,'21 2026 ÜRETİM'!$A$2:$A$501,0)),""))</f>
        <v/>
      </c>
      <c r="D462" s="56"/>
      <c r="E462" s="58" t="str">
        <f t="shared" si="38"/>
        <v/>
      </c>
      <c r="F462" s="56"/>
      <c r="G462" s="58" t="str">
        <f t="shared" si="39"/>
        <v/>
      </c>
      <c r="H462" s="56"/>
      <c r="I462" s="58" t="str">
        <f t="shared" si="40"/>
        <v/>
      </c>
      <c r="J462" s="56" t="str">
        <f t="shared" si="41"/>
        <v/>
      </c>
      <c r="K462" s="65"/>
    </row>
    <row r="463" spans="1:11" ht="15" customHeight="1" x14ac:dyDescent="0.2">
      <c r="A463" s="60" t="str">
        <f t="shared" si="37"/>
        <v/>
      </c>
      <c r="B463" s="56"/>
      <c r="C463" s="58" t="str">
        <f>IF(B463="","",IFERROR(INDEX('21 2026 ÜRETİM'!$F$2:$F$501,MATCH(B463,'21 2026 ÜRETİM'!$A$2:$A$501,0)),""))</f>
        <v/>
      </c>
      <c r="D463" s="56"/>
      <c r="E463" s="58" t="str">
        <f t="shared" si="38"/>
        <v/>
      </c>
      <c r="F463" s="56"/>
      <c r="G463" s="58" t="str">
        <f t="shared" si="39"/>
        <v/>
      </c>
      <c r="H463" s="56"/>
      <c r="I463" s="58" t="str">
        <f t="shared" si="40"/>
        <v/>
      </c>
      <c r="J463" s="56" t="str">
        <f t="shared" si="41"/>
        <v/>
      </c>
      <c r="K463" s="65"/>
    </row>
    <row r="464" spans="1:11" ht="15" customHeight="1" x14ac:dyDescent="0.2">
      <c r="A464" s="60" t="str">
        <f t="shared" si="37"/>
        <v/>
      </c>
      <c r="B464" s="56"/>
      <c r="C464" s="58" t="str">
        <f>IF(B464="","",IFERROR(INDEX('21 2026 ÜRETİM'!$F$2:$F$501,MATCH(B464,'21 2026 ÜRETİM'!$A$2:$A$501,0)),""))</f>
        <v/>
      </c>
      <c r="D464" s="56"/>
      <c r="E464" s="58" t="str">
        <f t="shared" si="38"/>
        <v/>
      </c>
      <c r="F464" s="56"/>
      <c r="G464" s="58" t="str">
        <f t="shared" si="39"/>
        <v/>
      </c>
      <c r="H464" s="56"/>
      <c r="I464" s="58" t="str">
        <f t="shared" si="40"/>
        <v/>
      </c>
      <c r="J464" s="56" t="str">
        <f t="shared" si="41"/>
        <v/>
      </c>
      <c r="K464" s="65"/>
    </row>
    <row r="465" spans="1:11" ht="15" customHeight="1" x14ac:dyDescent="0.2">
      <c r="A465" s="60" t="str">
        <f t="shared" si="37"/>
        <v/>
      </c>
      <c r="B465" s="56"/>
      <c r="C465" s="58" t="str">
        <f>IF(B465="","",IFERROR(INDEX('21 2026 ÜRETİM'!$F$2:$F$501,MATCH(B465,'21 2026 ÜRETİM'!$A$2:$A$501,0)),""))</f>
        <v/>
      </c>
      <c r="D465" s="56"/>
      <c r="E465" s="58" t="str">
        <f t="shared" si="38"/>
        <v/>
      </c>
      <c r="F465" s="56"/>
      <c r="G465" s="58" t="str">
        <f t="shared" si="39"/>
        <v/>
      </c>
      <c r="H465" s="56"/>
      <c r="I465" s="58" t="str">
        <f t="shared" si="40"/>
        <v/>
      </c>
      <c r="J465" s="56" t="str">
        <f t="shared" si="41"/>
        <v/>
      </c>
      <c r="K465" s="65"/>
    </row>
    <row r="466" spans="1:11" ht="15" customHeight="1" x14ac:dyDescent="0.2">
      <c r="A466" s="60" t="str">
        <f t="shared" si="37"/>
        <v/>
      </c>
      <c r="B466" s="56"/>
      <c r="C466" s="58" t="str">
        <f>IF(B466="","",IFERROR(INDEX('21 2026 ÜRETİM'!$F$2:$F$501,MATCH(B466,'21 2026 ÜRETİM'!$A$2:$A$501,0)),""))</f>
        <v/>
      </c>
      <c r="D466" s="56"/>
      <c r="E466" s="58" t="str">
        <f t="shared" si="38"/>
        <v/>
      </c>
      <c r="F466" s="56"/>
      <c r="G466" s="58" t="str">
        <f t="shared" si="39"/>
        <v/>
      </c>
      <c r="H466" s="56"/>
      <c r="I466" s="58" t="str">
        <f t="shared" si="40"/>
        <v/>
      </c>
      <c r="J466" s="56" t="str">
        <f t="shared" si="41"/>
        <v/>
      </c>
      <c r="K466" s="65"/>
    </row>
    <row r="467" spans="1:11" ht="15" customHeight="1" x14ac:dyDescent="0.2">
      <c r="A467" s="60" t="str">
        <f t="shared" si="37"/>
        <v/>
      </c>
      <c r="B467" s="56"/>
      <c r="C467" s="58" t="str">
        <f>IF(B467="","",IFERROR(INDEX('21 2026 ÜRETİM'!$F$2:$F$501,MATCH(B467,'21 2026 ÜRETİM'!$A$2:$A$501,0)),""))</f>
        <v/>
      </c>
      <c r="D467" s="56"/>
      <c r="E467" s="58" t="str">
        <f t="shared" si="38"/>
        <v/>
      </c>
      <c r="F467" s="56"/>
      <c r="G467" s="58" t="str">
        <f t="shared" si="39"/>
        <v/>
      </c>
      <c r="H467" s="56"/>
      <c r="I467" s="58" t="str">
        <f t="shared" si="40"/>
        <v/>
      </c>
      <c r="J467" s="56" t="str">
        <f t="shared" si="41"/>
        <v/>
      </c>
      <c r="K467" s="65"/>
    </row>
    <row r="468" spans="1:11" ht="15" customHeight="1" x14ac:dyDescent="0.2">
      <c r="A468" s="60" t="str">
        <f t="shared" si="37"/>
        <v/>
      </c>
      <c r="B468" s="56"/>
      <c r="C468" s="58" t="str">
        <f>IF(B468="","",IFERROR(INDEX('21 2026 ÜRETİM'!$F$2:$F$501,MATCH(B468,'21 2026 ÜRETİM'!$A$2:$A$501,0)),""))</f>
        <v/>
      </c>
      <c r="D468" s="56"/>
      <c r="E468" s="58" t="str">
        <f t="shared" si="38"/>
        <v/>
      </c>
      <c r="F468" s="56"/>
      <c r="G468" s="58" t="str">
        <f t="shared" si="39"/>
        <v/>
      </c>
      <c r="H468" s="56"/>
      <c r="I468" s="58" t="str">
        <f t="shared" si="40"/>
        <v/>
      </c>
      <c r="J468" s="56" t="str">
        <f t="shared" si="41"/>
        <v/>
      </c>
      <c r="K468" s="65"/>
    </row>
    <row r="469" spans="1:11" ht="15" customHeight="1" x14ac:dyDescent="0.2">
      <c r="A469" s="60" t="str">
        <f t="shared" si="37"/>
        <v/>
      </c>
      <c r="B469" s="56"/>
      <c r="C469" s="58" t="str">
        <f>IF(B469="","",IFERROR(INDEX('21 2026 ÜRETİM'!$F$2:$F$501,MATCH(B469,'21 2026 ÜRETİM'!$A$2:$A$501,0)),""))</f>
        <v/>
      </c>
      <c r="D469" s="56"/>
      <c r="E469" s="58" t="str">
        <f t="shared" si="38"/>
        <v/>
      </c>
      <c r="F469" s="56"/>
      <c r="G469" s="58" t="str">
        <f t="shared" si="39"/>
        <v/>
      </c>
      <c r="H469" s="56"/>
      <c r="I469" s="58" t="str">
        <f t="shared" si="40"/>
        <v/>
      </c>
      <c r="J469" s="56" t="str">
        <f t="shared" si="41"/>
        <v/>
      </c>
      <c r="K469" s="65"/>
    </row>
    <row r="470" spans="1:11" ht="15" customHeight="1" x14ac:dyDescent="0.2">
      <c r="A470" s="60" t="str">
        <f t="shared" si="37"/>
        <v/>
      </c>
      <c r="B470" s="56"/>
      <c r="C470" s="58" t="str">
        <f>IF(B470="","",IFERROR(INDEX('21 2026 ÜRETİM'!$F$2:$F$501,MATCH(B470,'21 2026 ÜRETİM'!$A$2:$A$501,0)),""))</f>
        <v/>
      </c>
      <c r="D470" s="56"/>
      <c r="E470" s="58" t="str">
        <f t="shared" si="38"/>
        <v/>
      </c>
      <c r="F470" s="56"/>
      <c r="G470" s="58" t="str">
        <f t="shared" si="39"/>
        <v/>
      </c>
      <c r="H470" s="56"/>
      <c r="I470" s="58" t="str">
        <f t="shared" si="40"/>
        <v/>
      </c>
      <c r="J470" s="56" t="str">
        <f t="shared" si="41"/>
        <v/>
      </c>
      <c r="K470" s="65"/>
    </row>
    <row r="471" spans="1:11" ht="15" customHeight="1" x14ac:dyDescent="0.2">
      <c r="A471" s="60" t="str">
        <f t="shared" si="37"/>
        <v/>
      </c>
      <c r="B471" s="56"/>
      <c r="C471" s="58" t="str">
        <f>IF(B471="","",IFERROR(INDEX('21 2026 ÜRETİM'!$F$2:$F$501,MATCH(B471,'21 2026 ÜRETİM'!$A$2:$A$501,0)),""))</f>
        <v/>
      </c>
      <c r="D471" s="56"/>
      <c r="E471" s="58" t="str">
        <f t="shared" si="38"/>
        <v/>
      </c>
      <c r="F471" s="56"/>
      <c r="G471" s="58" t="str">
        <f t="shared" si="39"/>
        <v/>
      </c>
      <c r="H471" s="56"/>
      <c r="I471" s="58" t="str">
        <f t="shared" si="40"/>
        <v/>
      </c>
      <c r="J471" s="56" t="str">
        <f t="shared" si="41"/>
        <v/>
      </c>
      <c r="K471" s="65"/>
    </row>
    <row r="472" spans="1:11" ht="15" customHeight="1" x14ac:dyDescent="0.2">
      <c r="A472" s="60" t="str">
        <f t="shared" si="37"/>
        <v/>
      </c>
      <c r="B472" s="56"/>
      <c r="C472" s="58" t="str">
        <f>IF(B472="","",IFERROR(INDEX('21 2026 ÜRETİM'!$F$2:$F$501,MATCH(B472,'21 2026 ÜRETİM'!$A$2:$A$501,0)),""))</f>
        <v/>
      </c>
      <c r="D472" s="56"/>
      <c r="E472" s="58" t="str">
        <f t="shared" si="38"/>
        <v/>
      </c>
      <c r="F472" s="56"/>
      <c r="G472" s="58" t="str">
        <f t="shared" si="39"/>
        <v/>
      </c>
      <c r="H472" s="56"/>
      <c r="I472" s="58" t="str">
        <f t="shared" si="40"/>
        <v/>
      </c>
      <c r="J472" s="56" t="str">
        <f t="shared" si="41"/>
        <v/>
      </c>
      <c r="K472" s="65"/>
    </row>
    <row r="473" spans="1:11" ht="15" customHeight="1" x14ac:dyDescent="0.2">
      <c r="A473" s="60" t="str">
        <f t="shared" si="37"/>
        <v/>
      </c>
      <c r="B473" s="56"/>
      <c r="C473" s="58" t="str">
        <f>IF(B473="","",IFERROR(INDEX('21 2026 ÜRETİM'!$F$2:$F$501,MATCH(B473,'21 2026 ÜRETİM'!$A$2:$A$501,0)),""))</f>
        <v/>
      </c>
      <c r="D473" s="56"/>
      <c r="E473" s="58" t="str">
        <f t="shared" si="38"/>
        <v/>
      </c>
      <c r="F473" s="56"/>
      <c r="G473" s="58" t="str">
        <f t="shared" si="39"/>
        <v/>
      </c>
      <c r="H473" s="56"/>
      <c r="I473" s="58" t="str">
        <f t="shared" si="40"/>
        <v/>
      </c>
      <c r="J473" s="56" t="str">
        <f t="shared" si="41"/>
        <v/>
      </c>
      <c r="K473" s="65"/>
    </row>
    <row r="474" spans="1:11" ht="15" customHeight="1" x14ac:dyDescent="0.2">
      <c r="A474" s="60" t="str">
        <f t="shared" si="37"/>
        <v/>
      </c>
      <c r="B474" s="56"/>
      <c r="C474" s="58" t="str">
        <f>IF(B474="","",IFERROR(INDEX('21 2026 ÜRETİM'!$F$2:$F$501,MATCH(B474,'21 2026 ÜRETİM'!$A$2:$A$501,0)),""))</f>
        <v/>
      </c>
      <c r="D474" s="56"/>
      <c r="E474" s="58" t="str">
        <f t="shared" si="38"/>
        <v/>
      </c>
      <c r="F474" s="56"/>
      <c r="G474" s="58" t="str">
        <f t="shared" si="39"/>
        <v/>
      </c>
      <c r="H474" s="56"/>
      <c r="I474" s="58" t="str">
        <f t="shared" si="40"/>
        <v/>
      </c>
      <c r="J474" s="56" t="str">
        <f t="shared" si="41"/>
        <v/>
      </c>
      <c r="K474" s="65"/>
    </row>
    <row r="475" spans="1:11" ht="15" customHeight="1" x14ac:dyDescent="0.2">
      <c r="A475" s="60" t="str">
        <f t="shared" si="37"/>
        <v/>
      </c>
      <c r="B475" s="56"/>
      <c r="C475" s="58" t="str">
        <f>IF(B475="","",IFERROR(INDEX('21 2026 ÜRETİM'!$F$2:$F$501,MATCH(B475,'21 2026 ÜRETİM'!$A$2:$A$501,0)),""))</f>
        <v/>
      </c>
      <c r="D475" s="56"/>
      <c r="E475" s="58" t="str">
        <f t="shared" si="38"/>
        <v/>
      </c>
      <c r="F475" s="56"/>
      <c r="G475" s="58" t="str">
        <f t="shared" si="39"/>
        <v/>
      </c>
      <c r="H475" s="56"/>
      <c r="I475" s="58" t="str">
        <f t="shared" si="40"/>
        <v/>
      </c>
      <c r="J475" s="56" t="str">
        <f t="shared" si="41"/>
        <v/>
      </c>
      <c r="K475" s="65"/>
    </row>
    <row r="476" spans="1:11" ht="15" customHeight="1" x14ac:dyDescent="0.2">
      <c r="A476" s="60" t="str">
        <f t="shared" si="37"/>
        <v/>
      </c>
      <c r="B476" s="56"/>
      <c r="C476" s="58" t="str">
        <f>IF(B476="","",IFERROR(INDEX('21 2026 ÜRETİM'!$F$2:$F$501,MATCH(B476,'21 2026 ÜRETİM'!$A$2:$A$501,0)),""))</f>
        <v/>
      </c>
      <c r="D476" s="56"/>
      <c r="E476" s="58" t="str">
        <f t="shared" si="38"/>
        <v/>
      </c>
      <c r="F476" s="56"/>
      <c r="G476" s="58" t="str">
        <f t="shared" si="39"/>
        <v/>
      </c>
      <c r="H476" s="56"/>
      <c r="I476" s="58" t="str">
        <f t="shared" si="40"/>
        <v/>
      </c>
      <c r="J476" s="56" t="str">
        <f t="shared" si="41"/>
        <v/>
      </c>
      <c r="K476" s="65"/>
    </row>
    <row r="477" spans="1:11" ht="15" customHeight="1" x14ac:dyDescent="0.2">
      <c r="A477" s="60" t="str">
        <f t="shared" si="37"/>
        <v/>
      </c>
      <c r="B477" s="56"/>
      <c r="C477" s="58" t="str">
        <f>IF(B477="","",IFERROR(INDEX('21 2026 ÜRETİM'!$F$2:$F$501,MATCH(B477,'21 2026 ÜRETİM'!$A$2:$A$501,0)),""))</f>
        <v/>
      </c>
      <c r="D477" s="56"/>
      <c r="E477" s="58" t="str">
        <f t="shared" si="38"/>
        <v/>
      </c>
      <c r="F477" s="56"/>
      <c r="G477" s="58" t="str">
        <f t="shared" si="39"/>
        <v/>
      </c>
      <c r="H477" s="56"/>
      <c r="I477" s="58" t="str">
        <f t="shared" si="40"/>
        <v/>
      </c>
      <c r="J477" s="56" t="str">
        <f t="shared" si="41"/>
        <v/>
      </c>
      <c r="K477" s="65"/>
    </row>
    <row r="478" spans="1:11" ht="15" customHeight="1" x14ac:dyDescent="0.2">
      <c r="A478" s="60" t="str">
        <f t="shared" si="37"/>
        <v/>
      </c>
      <c r="B478" s="56"/>
      <c r="C478" s="58" t="str">
        <f>IF(B478="","",IFERROR(INDEX('21 2026 ÜRETİM'!$F$2:$F$501,MATCH(B478,'21 2026 ÜRETİM'!$A$2:$A$501,0)),""))</f>
        <v/>
      </c>
      <c r="D478" s="56"/>
      <c r="E478" s="58" t="str">
        <f t="shared" si="38"/>
        <v/>
      </c>
      <c r="F478" s="56"/>
      <c r="G478" s="58" t="str">
        <f t="shared" si="39"/>
        <v/>
      </c>
      <c r="H478" s="56"/>
      <c r="I478" s="58" t="str">
        <f t="shared" si="40"/>
        <v/>
      </c>
      <c r="J478" s="56" t="str">
        <f t="shared" si="41"/>
        <v/>
      </c>
      <c r="K478" s="65"/>
    </row>
    <row r="479" spans="1:11" ht="15" customHeight="1" x14ac:dyDescent="0.2">
      <c r="A479" s="60" t="str">
        <f t="shared" si="37"/>
        <v/>
      </c>
      <c r="B479" s="56"/>
      <c r="C479" s="58" t="str">
        <f>IF(B479="","",IFERROR(INDEX('21 2026 ÜRETİM'!$F$2:$F$501,MATCH(B479,'21 2026 ÜRETİM'!$A$2:$A$501,0)),""))</f>
        <v/>
      </c>
      <c r="D479" s="56"/>
      <c r="E479" s="58" t="str">
        <f t="shared" si="38"/>
        <v/>
      </c>
      <c r="F479" s="56"/>
      <c r="G479" s="58" t="str">
        <f t="shared" si="39"/>
        <v/>
      </c>
      <c r="H479" s="56"/>
      <c r="I479" s="58" t="str">
        <f t="shared" si="40"/>
        <v/>
      </c>
      <c r="J479" s="56" t="str">
        <f t="shared" si="41"/>
        <v/>
      </c>
      <c r="K479" s="65"/>
    </row>
    <row r="480" spans="1:11" ht="15" customHeight="1" x14ac:dyDescent="0.2">
      <c r="A480" s="60" t="str">
        <f t="shared" si="37"/>
        <v/>
      </c>
      <c r="B480" s="56"/>
      <c r="C480" s="58" t="str">
        <f>IF(B480="","",IFERROR(INDEX('21 2026 ÜRETİM'!$F$2:$F$501,MATCH(B480,'21 2026 ÜRETİM'!$A$2:$A$501,0)),""))</f>
        <v/>
      </c>
      <c r="D480" s="56"/>
      <c r="E480" s="58" t="str">
        <f t="shared" si="38"/>
        <v/>
      </c>
      <c r="F480" s="56"/>
      <c r="G480" s="58" t="str">
        <f t="shared" si="39"/>
        <v/>
      </c>
      <c r="H480" s="56"/>
      <c r="I480" s="58" t="str">
        <f t="shared" si="40"/>
        <v/>
      </c>
      <c r="J480" s="56" t="str">
        <f t="shared" si="41"/>
        <v/>
      </c>
      <c r="K480" s="65"/>
    </row>
    <row r="481" spans="1:11" ht="15" customHeight="1" x14ac:dyDescent="0.2">
      <c r="A481" s="60" t="str">
        <f t="shared" si="37"/>
        <v/>
      </c>
      <c r="B481" s="56"/>
      <c r="C481" s="58" t="str">
        <f>IF(B481="","",IFERROR(INDEX('21 2026 ÜRETİM'!$F$2:$F$501,MATCH(B481,'21 2026 ÜRETİM'!$A$2:$A$501,0)),""))</f>
        <v/>
      </c>
      <c r="D481" s="56"/>
      <c r="E481" s="58" t="str">
        <f t="shared" si="38"/>
        <v/>
      </c>
      <c r="F481" s="56"/>
      <c r="G481" s="58" t="str">
        <f t="shared" si="39"/>
        <v/>
      </c>
      <c r="H481" s="56"/>
      <c r="I481" s="58" t="str">
        <f t="shared" si="40"/>
        <v/>
      </c>
      <c r="J481" s="56" t="str">
        <f t="shared" si="41"/>
        <v/>
      </c>
      <c r="K481" s="65"/>
    </row>
    <row r="482" spans="1:11" ht="15" customHeight="1" x14ac:dyDescent="0.2">
      <c r="A482" s="60" t="str">
        <f t="shared" si="37"/>
        <v/>
      </c>
      <c r="B482" s="56"/>
      <c r="C482" s="58" t="str">
        <f>IF(B482="","",IFERROR(INDEX('21 2026 ÜRETİM'!$F$2:$F$501,MATCH(B482,'21 2026 ÜRETİM'!$A$2:$A$501,0)),""))</f>
        <v/>
      </c>
      <c r="D482" s="56"/>
      <c r="E482" s="58" t="str">
        <f t="shared" si="38"/>
        <v/>
      </c>
      <c r="F482" s="56"/>
      <c r="G482" s="58" t="str">
        <f t="shared" si="39"/>
        <v/>
      </c>
      <c r="H482" s="56"/>
      <c r="I482" s="58" t="str">
        <f t="shared" si="40"/>
        <v/>
      </c>
      <c r="J482" s="56" t="str">
        <f t="shared" si="41"/>
        <v/>
      </c>
      <c r="K482" s="65"/>
    </row>
    <row r="483" spans="1:11" ht="15" customHeight="1" x14ac:dyDescent="0.2">
      <c r="A483" s="60" t="str">
        <f t="shared" si="37"/>
        <v/>
      </c>
      <c r="B483" s="56"/>
      <c r="C483" s="58" t="str">
        <f>IF(B483="","",IFERROR(INDEX('21 2026 ÜRETİM'!$F$2:$F$501,MATCH(B483,'21 2026 ÜRETİM'!$A$2:$A$501,0)),""))</f>
        <v/>
      </c>
      <c r="D483" s="56"/>
      <c r="E483" s="58" t="str">
        <f t="shared" si="38"/>
        <v/>
      </c>
      <c r="F483" s="56"/>
      <c r="G483" s="58" t="str">
        <f t="shared" si="39"/>
        <v/>
      </c>
      <c r="H483" s="56"/>
      <c r="I483" s="58" t="str">
        <f t="shared" si="40"/>
        <v/>
      </c>
      <c r="J483" s="56" t="str">
        <f t="shared" si="41"/>
        <v/>
      </c>
      <c r="K483" s="65"/>
    </row>
    <row r="484" spans="1:11" ht="15" customHeight="1" x14ac:dyDescent="0.2">
      <c r="A484" s="60" t="str">
        <f t="shared" si="37"/>
        <v/>
      </c>
      <c r="B484" s="56"/>
      <c r="C484" s="58" t="str">
        <f>IF(B484="","",IFERROR(INDEX('21 2026 ÜRETİM'!$F$2:$F$501,MATCH(B484,'21 2026 ÜRETİM'!$A$2:$A$501,0)),""))</f>
        <v/>
      </c>
      <c r="D484" s="56"/>
      <c r="E484" s="58" t="str">
        <f t="shared" si="38"/>
        <v/>
      </c>
      <c r="F484" s="56"/>
      <c r="G484" s="58" t="str">
        <f t="shared" si="39"/>
        <v/>
      </c>
      <c r="H484" s="56"/>
      <c r="I484" s="58" t="str">
        <f t="shared" si="40"/>
        <v/>
      </c>
      <c r="J484" s="56" t="str">
        <f t="shared" si="41"/>
        <v/>
      </c>
      <c r="K484" s="65"/>
    </row>
    <row r="485" spans="1:11" ht="15" customHeight="1" x14ac:dyDescent="0.2">
      <c r="A485" s="60" t="str">
        <f t="shared" si="37"/>
        <v/>
      </c>
      <c r="B485" s="56"/>
      <c r="C485" s="58" t="str">
        <f>IF(B485="","",IFERROR(INDEX('21 2026 ÜRETİM'!$F$2:$F$501,MATCH(B485,'21 2026 ÜRETİM'!$A$2:$A$501,0)),""))</f>
        <v/>
      </c>
      <c r="D485" s="56"/>
      <c r="E485" s="58" t="str">
        <f t="shared" si="38"/>
        <v/>
      </c>
      <c r="F485" s="56"/>
      <c r="G485" s="58" t="str">
        <f t="shared" si="39"/>
        <v/>
      </c>
      <c r="H485" s="56"/>
      <c r="I485" s="58" t="str">
        <f t="shared" si="40"/>
        <v/>
      </c>
      <c r="J485" s="56" t="str">
        <f t="shared" si="41"/>
        <v/>
      </c>
      <c r="K485" s="65"/>
    </row>
    <row r="486" spans="1:11" ht="15" customHeight="1" x14ac:dyDescent="0.2">
      <c r="A486" s="60" t="str">
        <f t="shared" si="37"/>
        <v/>
      </c>
      <c r="B486" s="56"/>
      <c r="C486" s="58" t="str">
        <f>IF(B486="","",IFERROR(INDEX('21 2026 ÜRETİM'!$F$2:$F$501,MATCH(B486,'21 2026 ÜRETİM'!$A$2:$A$501,0)),""))</f>
        <v/>
      </c>
      <c r="D486" s="56"/>
      <c r="E486" s="58" t="str">
        <f t="shared" si="38"/>
        <v/>
      </c>
      <c r="F486" s="56"/>
      <c r="G486" s="58" t="str">
        <f t="shared" si="39"/>
        <v/>
      </c>
      <c r="H486" s="56"/>
      <c r="I486" s="58" t="str">
        <f t="shared" si="40"/>
        <v/>
      </c>
      <c r="J486" s="56" t="str">
        <f t="shared" si="41"/>
        <v/>
      </c>
      <c r="K486" s="65"/>
    </row>
    <row r="487" spans="1:11" ht="15" customHeight="1" x14ac:dyDescent="0.2">
      <c r="A487" s="60" t="str">
        <f t="shared" si="37"/>
        <v/>
      </c>
      <c r="B487" s="56"/>
      <c r="C487" s="58" t="str">
        <f>IF(B487="","",IFERROR(INDEX('21 2026 ÜRETİM'!$F$2:$F$501,MATCH(B487,'21 2026 ÜRETİM'!$A$2:$A$501,0)),""))</f>
        <v/>
      </c>
      <c r="D487" s="56"/>
      <c r="E487" s="58" t="str">
        <f t="shared" si="38"/>
        <v/>
      </c>
      <c r="F487" s="56"/>
      <c r="G487" s="58" t="str">
        <f t="shared" si="39"/>
        <v/>
      </c>
      <c r="H487" s="56"/>
      <c r="I487" s="58" t="str">
        <f t="shared" si="40"/>
        <v/>
      </c>
      <c r="J487" s="56" t="str">
        <f t="shared" si="41"/>
        <v/>
      </c>
      <c r="K487" s="65"/>
    </row>
    <row r="488" spans="1:11" ht="15" customHeight="1" x14ac:dyDescent="0.2">
      <c r="A488" s="60" t="str">
        <f t="shared" si="37"/>
        <v/>
      </c>
      <c r="B488" s="56"/>
      <c r="C488" s="58" t="str">
        <f>IF(B488="","",IFERROR(INDEX('21 2026 ÜRETİM'!$F$2:$F$501,MATCH(B488,'21 2026 ÜRETİM'!$A$2:$A$501,0)),""))</f>
        <v/>
      </c>
      <c r="D488" s="56"/>
      <c r="E488" s="58" t="str">
        <f t="shared" si="38"/>
        <v/>
      </c>
      <c r="F488" s="56"/>
      <c r="G488" s="58" t="str">
        <f t="shared" si="39"/>
        <v/>
      </c>
      <c r="H488" s="56"/>
      <c r="I488" s="58" t="str">
        <f t="shared" si="40"/>
        <v/>
      </c>
      <c r="J488" s="56" t="str">
        <f t="shared" si="41"/>
        <v/>
      </c>
      <c r="K488" s="65"/>
    </row>
    <row r="489" spans="1:11" ht="15" customHeight="1" x14ac:dyDescent="0.2">
      <c r="A489" s="60" t="str">
        <f t="shared" si="37"/>
        <v/>
      </c>
      <c r="B489" s="56"/>
      <c r="C489" s="58" t="str">
        <f>IF(B489="","",IFERROR(INDEX('21 2026 ÜRETİM'!$F$2:$F$501,MATCH(B489,'21 2026 ÜRETİM'!$A$2:$A$501,0)),""))</f>
        <v/>
      </c>
      <c r="D489" s="56"/>
      <c r="E489" s="58" t="str">
        <f t="shared" si="38"/>
        <v/>
      </c>
      <c r="F489" s="56"/>
      <c r="G489" s="58" t="str">
        <f t="shared" si="39"/>
        <v/>
      </c>
      <c r="H489" s="56"/>
      <c r="I489" s="58" t="str">
        <f t="shared" si="40"/>
        <v/>
      </c>
      <c r="J489" s="56" t="str">
        <f t="shared" si="41"/>
        <v/>
      </c>
      <c r="K489" s="65"/>
    </row>
    <row r="490" spans="1:11" ht="15" customHeight="1" x14ac:dyDescent="0.2">
      <c r="A490" s="60" t="str">
        <f t="shared" si="37"/>
        <v/>
      </c>
      <c r="B490" s="56"/>
      <c r="C490" s="58" t="str">
        <f>IF(B490="","",IFERROR(INDEX('21 2026 ÜRETİM'!$F$2:$F$501,MATCH(B490,'21 2026 ÜRETİM'!$A$2:$A$501,0)),""))</f>
        <v/>
      </c>
      <c r="D490" s="56"/>
      <c r="E490" s="58" t="str">
        <f t="shared" si="38"/>
        <v/>
      </c>
      <c r="F490" s="56"/>
      <c r="G490" s="58" t="str">
        <f t="shared" si="39"/>
        <v/>
      </c>
      <c r="H490" s="56"/>
      <c r="I490" s="58" t="str">
        <f t="shared" si="40"/>
        <v/>
      </c>
      <c r="J490" s="56" t="str">
        <f t="shared" si="41"/>
        <v/>
      </c>
      <c r="K490" s="65"/>
    </row>
    <row r="491" spans="1:11" ht="15" customHeight="1" x14ac:dyDescent="0.2">
      <c r="A491" s="60" t="str">
        <f t="shared" si="37"/>
        <v/>
      </c>
      <c r="B491" s="56"/>
      <c r="C491" s="58" t="str">
        <f>IF(B491="","",IFERROR(INDEX('21 2026 ÜRETİM'!$F$2:$F$501,MATCH(B491,'21 2026 ÜRETİM'!$A$2:$A$501,0)),""))</f>
        <v/>
      </c>
      <c r="D491" s="56"/>
      <c r="E491" s="58" t="str">
        <f t="shared" si="38"/>
        <v/>
      </c>
      <c r="F491" s="56"/>
      <c r="G491" s="58" t="str">
        <f t="shared" si="39"/>
        <v/>
      </c>
      <c r="H491" s="56"/>
      <c r="I491" s="58" t="str">
        <f t="shared" si="40"/>
        <v/>
      </c>
      <c r="J491" s="56" t="str">
        <f t="shared" si="41"/>
        <v/>
      </c>
      <c r="K491" s="65"/>
    </row>
    <row r="492" spans="1:11" ht="15" customHeight="1" x14ac:dyDescent="0.2">
      <c r="A492" s="60" t="str">
        <f t="shared" si="37"/>
        <v/>
      </c>
      <c r="B492" s="56"/>
      <c r="C492" s="58" t="str">
        <f>IF(B492="","",IFERROR(INDEX('21 2026 ÜRETİM'!$F$2:$F$501,MATCH(B492,'21 2026 ÜRETİM'!$A$2:$A$501,0)),""))</f>
        <v/>
      </c>
      <c r="D492" s="56"/>
      <c r="E492" s="58" t="str">
        <f t="shared" si="38"/>
        <v/>
      </c>
      <c r="F492" s="56"/>
      <c r="G492" s="58" t="str">
        <f t="shared" si="39"/>
        <v/>
      </c>
      <c r="H492" s="56"/>
      <c r="I492" s="58" t="str">
        <f t="shared" si="40"/>
        <v/>
      </c>
      <c r="J492" s="56" t="str">
        <f t="shared" si="41"/>
        <v/>
      </c>
      <c r="K492" s="65"/>
    </row>
    <row r="493" spans="1:11" ht="15" customHeight="1" x14ac:dyDescent="0.2">
      <c r="A493" s="60" t="str">
        <f t="shared" si="37"/>
        <v/>
      </c>
      <c r="B493" s="56"/>
      <c r="C493" s="58" t="str">
        <f>IF(B493="","",IFERROR(INDEX('21 2026 ÜRETİM'!$F$2:$F$501,MATCH(B493,'21 2026 ÜRETİM'!$A$2:$A$501,0)),""))</f>
        <v/>
      </c>
      <c r="D493" s="56"/>
      <c r="E493" s="58" t="str">
        <f t="shared" si="38"/>
        <v/>
      </c>
      <c r="F493" s="56"/>
      <c r="G493" s="58" t="str">
        <f t="shared" si="39"/>
        <v/>
      </c>
      <c r="H493" s="56"/>
      <c r="I493" s="58" t="str">
        <f t="shared" si="40"/>
        <v/>
      </c>
      <c r="J493" s="56" t="str">
        <f t="shared" si="41"/>
        <v/>
      </c>
      <c r="K493" s="65"/>
    </row>
    <row r="494" spans="1:11" ht="15" customHeight="1" x14ac:dyDescent="0.2">
      <c r="A494" s="60" t="str">
        <f t="shared" si="37"/>
        <v/>
      </c>
      <c r="B494" s="56"/>
      <c r="C494" s="58" t="str">
        <f>IF(B494="","",IFERROR(INDEX('21 2026 ÜRETİM'!$F$2:$F$501,MATCH(B494,'21 2026 ÜRETİM'!$A$2:$A$501,0)),""))</f>
        <v/>
      </c>
      <c r="D494" s="56"/>
      <c r="E494" s="58" t="str">
        <f t="shared" si="38"/>
        <v/>
      </c>
      <c r="F494" s="56"/>
      <c r="G494" s="58" t="str">
        <f t="shared" si="39"/>
        <v/>
      </c>
      <c r="H494" s="56"/>
      <c r="I494" s="58" t="str">
        <f t="shared" si="40"/>
        <v/>
      </c>
      <c r="J494" s="56" t="str">
        <f t="shared" si="41"/>
        <v/>
      </c>
      <c r="K494" s="65"/>
    </row>
    <row r="495" spans="1:11" ht="15" customHeight="1" x14ac:dyDescent="0.2">
      <c r="A495" s="60" t="str">
        <f t="shared" si="37"/>
        <v/>
      </c>
      <c r="B495" s="56"/>
      <c r="C495" s="58" t="str">
        <f>IF(B495="","",IFERROR(INDEX('21 2026 ÜRETİM'!$F$2:$F$501,MATCH(B495,'21 2026 ÜRETİM'!$A$2:$A$501,0)),""))</f>
        <v/>
      </c>
      <c r="D495" s="56"/>
      <c r="E495" s="58" t="str">
        <f t="shared" si="38"/>
        <v/>
      </c>
      <c r="F495" s="56"/>
      <c r="G495" s="58" t="str">
        <f t="shared" si="39"/>
        <v/>
      </c>
      <c r="H495" s="56"/>
      <c r="I495" s="58" t="str">
        <f t="shared" si="40"/>
        <v/>
      </c>
      <c r="J495" s="56" t="str">
        <f t="shared" si="41"/>
        <v/>
      </c>
      <c r="K495" s="65"/>
    </row>
    <row r="496" spans="1:11" ht="15" customHeight="1" x14ac:dyDescent="0.2">
      <c r="A496" s="60" t="str">
        <f t="shared" si="37"/>
        <v/>
      </c>
      <c r="B496" s="56"/>
      <c r="C496" s="58" t="str">
        <f>IF(B496="","",IFERROR(INDEX('21 2026 ÜRETİM'!$F$2:$F$501,MATCH(B496,'21 2026 ÜRETİM'!$A$2:$A$501,0)),""))</f>
        <v/>
      </c>
      <c r="D496" s="56"/>
      <c r="E496" s="58" t="str">
        <f t="shared" si="38"/>
        <v/>
      </c>
      <c r="F496" s="56"/>
      <c r="G496" s="58" t="str">
        <f t="shared" si="39"/>
        <v/>
      </c>
      <c r="H496" s="56"/>
      <c r="I496" s="58" t="str">
        <f t="shared" si="40"/>
        <v/>
      </c>
      <c r="J496" s="56" t="str">
        <f t="shared" si="41"/>
        <v/>
      </c>
      <c r="K496" s="65"/>
    </row>
    <row r="497" spans="1:11" ht="15" customHeight="1" x14ac:dyDescent="0.2">
      <c r="A497" s="60" t="str">
        <f t="shared" si="37"/>
        <v/>
      </c>
      <c r="B497" s="56"/>
      <c r="C497" s="58" t="str">
        <f>IF(B497="","",IFERROR(INDEX('21 2026 ÜRETİM'!$F$2:$F$501,MATCH(B497,'21 2026 ÜRETİM'!$A$2:$A$501,0)),""))</f>
        <v/>
      </c>
      <c r="D497" s="56"/>
      <c r="E497" s="58" t="str">
        <f t="shared" si="38"/>
        <v/>
      </c>
      <c r="F497" s="56"/>
      <c r="G497" s="58" t="str">
        <f t="shared" si="39"/>
        <v/>
      </c>
      <c r="H497" s="56"/>
      <c r="I497" s="58" t="str">
        <f t="shared" si="40"/>
        <v/>
      </c>
      <c r="J497" s="56" t="str">
        <f t="shared" si="41"/>
        <v/>
      </c>
      <c r="K497" s="65"/>
    </row>
    <row r="498" spans="1:11" ht="15" customHeight="1" x14ac:dyDescent="0.2">
      <c r="A498" s="60" t="str">
        <f t="shared" si="37"/>
        <v/>
      </c>
      <c r="B498" s="56"/>
      <c r="C498" s="58" t="str">
        <f>IF(B498="","",IFERROR(INDEX('21 2026 ÜRETİM'!$F$2:$F$501,MATCH(B498,'21 2026 ÜRETİM'!$A$2:$A$501,0)),""))</f>
        <v/>
      </c>
      <c r="D498" s="56"/>
      <c r="E498" s="58" t="str">
        <f t="shared" si="38"/>
        <v/>
      </c>
      <c r="F498" s="56"/>
      <c r="G498" s="58" t="str">
        <f t="shared" si="39"/>
        <v/>
      </c>
      <c r="H498" s="56"/>
      <c r="I498" s="58" t="str">
        <f t="shared" si="40"/>
        <v/>
      </c>
      <c r="J498" s="56" t="str">
        <f t="shared" si="41"/>
        <v/>
      </c>
      <c r="K498" s="65"/>
    </row>
    <row r="499" spans="1:11" ht="15" customHeight="1" x14ac:dyDescent="0.2">
      <c r="A499" s="60" t="str">
        <f t="shared" si="37"/>
        <v/>
      </c>
      <c r="B499" s="56"/>
      <c r="C499" s="58" t="str">
        <f>IF(B499="","",IFERROR(INDEX('21 2026 ÜRETİM'!$F$2:$F$501,MATCH(B499,'21 2026 ÜRETİM'!$A$2:$A$501,0)),""))</f>
        <v/>
      </c>
      <c r="D499" s="56"/>
      <c r="E499" s="58" t="str">
        <f t="shared" si="38"/>
        <v/>
      </c>
      <c r="F499" s="56"/>
      <c r="G499" s="58" t="str">
        <f t="shared" si="39"/>
        <v/>
      </c>
      <c r="H499" s="56"/>
      <c r="I499" s="58" t="str">
        <f t="shared" si="40"/>
        <v/>
      </c>
      <c r="J499" s="56" t="str">
        <f t="shared" si="41"/>
        <v/>
      </c>
      <c r="K499" s="65"/>
    </row>
    <row r="500" spans="1:11" ht="15" customHeight="1" x14ac:dyDescent="0.2">
      <c r="A500" s="60" t="str">
        <f t="shared" si="37"/>
        <v/>
      </c>
      <c r="B500" s="56"/>
      <c r="C500" s="58" t="str">
        <f>IF(B500="","",IFERROR(INDEX('21 2026 ÜRETİM'!$F$2:$F$501,MATCH(B500,'21 2026 ÜRETİM'!$A$2:$A$501,0)),""))</f>
        <v/>
      </c>
      <c r="D500" s="56"/>
      <c r="E500" s="58" t="str">
        <f t="shared" si="38"/>
        <v/>
      </c>
      <c r="F500" s="56"/>
      <c r="G500" s="58" t="str">
        <f t="shared" si="39"/>
        <v/>
      </c>
      <c r="H500" s="56"/>
      <c r="I500" s="58" t="str">
        <f t="shared" si="40"/>
        <v/>
      </c>
      <c r="J500" s="56" t="str">
        <f t="shared" si="41"/>
        <v/>
      </c>
      <c r="K500" s="65"/>
    </row>
    <row r="501" spans="1:11" ht="15" customHeight="1" x14ac:dyDescent="0.2">
      <c r="A501" s="60" t="str">
        <f t="shared" si="37"/>
        <v/>
      </c>
      <c r="B501" s="56"/>
      <c r="C501" s="58" t="str">
        <f>IF(B501="","",IFERROR(INDEX('21 2026 ÜRETİM'!$F$2:$F$501,MATCH(B501,'21 2026 ÜRETİM'!$A$2:$A$501,0)),""))</f>
        <v/>
      </c>
      <c r="D501" s="56"/>
      <c r="E501" s="58" t="str">
        <f t="shared" si="38"/>
        <v/>
      </c>
      <c r="F501" s="56"/>
      <c r="G501" s="58" t="str">
        <f t="shared" si="39"/>
        <v/>
      </c>
      <c r="H501" s="56"/>
      <c r="I501" s="58" t="str">
        <f t="shared" si="40"/>
        <v/>
      </c>
      <c r="J501" s="56" t="str">
        <f t="shared" si="41"/>
        <v/>
      </c>
      <c r="K501" s="65"/>
    </row>
  </sheetData>
  <autoFilter ref="A1:K501" xr:uid="{00000000-0009-0000-0000-00000D000000}"/>
  <hyperlinks>
    <hyperlink ref="V1" location="'00 ANA SAYFA'!A1" display="⌂ ANA SAYFA" xr:uid="{00000000-0004-0000-0D00-000000000000}"/>
    <hyperlink ref="V2" location="'21 2026 ÜRETİM'!A1" display="→ ÜRETİM" xr:uid="{00000000-0004-0000-0D00-000001000000}"/>
    <hyperlink ref="V3" location="'25 2026 LOT BAĞI'!A1" display="→ LOT BAĞI" xr:uid="{00000000-0004-0000-0D00-000002000000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ED7D31"/>
  </sheetPr>
  <dimension ref="A1:V509"/>
  <sheetViews>
    <sheetView showGridLines="0" workbookViewId="0">
      <pane ySplit="1" topLeftCell="A2" activePane="bottomLeft" state="frozen"/>
      <selection pane="bottomLeft" activeCell="K10" sqref="K10"/>
    </sheetView>
  </sheetViews>
  <sheetFormatPr baseColWidth="10" defaultColWidth="8.83203125" defaultRowHeight="15" x14ac:dyDescent="0.2"/>
  <cols>
    <col min="1" max="1" width="16" style="49" customWidth="1"/>
    <col min="2" max="2" width="28" style="44" customWidth="1"/>
    <col min="3" max="3" width="22" style="30" customWidth="1"/>
    <col min="4" max="4" width="16" style="77" customWidth="1"/>
    <col min="5" max="5" width="20" style="49" customWidth="1"/>
    <col min="6" max="6" width="14" style="54" customWidth="1"/>
    <col min="7" max="7" width="12" style="49" customWidth="1"/>
    <col min="8" max="8" width="8.83203125" style="54"/>
    <col min="9" max="9" width="40" style="49" customWidth="1"/>
    <col min="22" max="22" width="18" customWidth="1"/>
  </cols>
  <sheetData>
    <row r="1" spans="1:22" ht="31.5" customHeight="1" thickBot="1" x14ac:dyDescent="0.25">
      <c r="A1" s="45" t="s">
        <v>333</v>
      </c>
      <c r="B1" s="40" t="s">
        <v>441</v>
      </c>
      <c r="C1" s="33" t="s">
        <v>335</v>
      </c>
      <c r="D1" s="80" t="s">
        <v>336</v>
      </c>
      <c r="E1" s="45" t="s">
        <v>324</v>
      </c>
      <c r="F1" s="50" t="s">
        <v>249</v>
      </c>
      <c r="G1" s="45" t="s">
        <v>337</v>
      </c>
      <c r="H1" s="50" t="s">
        <v>253</v>
      </c>
      <c r="I1" s="45" t="s">
        <v>442</v>
      </c>
      <c r="V1" s="19" t="s">
        <v>365</v>
      </c>
    </row>
    <row r="2" spans="1:22" ht="15" customHeight="1" x14ac:dyDescent="0.2">
      <c r="A2" s="46" t="s">
        <v>443</v>
      </c>
      <c r="B2" s="41" t="s">
        <v>444</v>
      </c>
      <c r="C2" s="31" t="s">
        <v>445</v>
      </c>
      <c r="D2" s="79" t="s">
        <v>446</v>
      </c>
      <c r="E2" s="46" t="s">
        <v>400</v>
      </c>
      <c r="F2" s="51" t="s">
        <v>25</v>
      </c>
      <c r="G2" s="46">
        <v>40</v>
      </c>
      <c r="H2" s="51">
        <v>100</v>
      </c>
      <c r="I2" s="46" t="s">
        <v>447</v>
      </c>
      <c r="V2" s="20" t="s">
        <v>367</v>
      </c>
    </row>
    <row r="3" spans="1:22" ht="15" customHeight="1" x14ac:dyDescent="0.2">
      <c r="A3" s="47"/>
      <c r="B3" s="42" t="s">
        <v>29</v>
      </c>
      <c r="C3" s="28"/>
      <c r="D3" s="73"/>
      <c r="E3" s="47" t="s">
        <v>400</v>
      </c>
      <c r="F3" s="52" t="s">
        <v>25</v>
      </c>
      <c r="G3" s="47">
        <v>56</v>
      </c>
      <c r="H3" s="52">
        <v>140</v>
      </c>
      <c r="I3" s="47" t="s">
        <v>448</v>
      </c>
      <c r="V3" s="21" t="s">
        <v>370</v>
      </c>
    </row>
    <row r="4" spans="1:22" ht="15" customHeight="1" x14ac:dyDescent="0.2">
      <c r="A4" s="47" t="s">
        <v>431</v>
      </c>
      <c r="B4" s="42" t="s">
        <v>22</v>
      </c>
      <c r="C4" s="28" t="s">
        <v>449</v>
      </c>
      <c r="D4" s="73" t="s">
        <v>450</v>
      </c>
      <c r="E4" s="47" t="s">
        <v>393</v>
      </c>
      <c r="F4" s="52" t="s">
        <v>20</v>
      </c>
      <c r="G4" s="47">
        <v>128</v>
      </c>
      <c r="H4" s="52">
        <v>64</v>
      </c>
      <c r="I4" s="47" t="s">
        <v>451</v>
      </c>
    </row>
    <row r="5" spans="1:22" ht="15" customHeight="1" x14ac:dyDescent="0.2">
      <c r="A5" s="47" t="s">
        <v>452</v>
      </c>
      <c r="B5" s="42" t="s">
        <v>27</v>
      </c>
      <c r="C5" s="28" t="s">
        <v>449</v>
      </c>
      <c r="D5" s="73" t="s">
        <v>450</v>
      </c>
      <c r="E5" s="47" t="s">
        <v>393</v>
      </c>
      <c r="F5" s="52" t="s">
        <v>25</v>
      </c>
      <c r="G5" s="47">
        <v>18</v>
      </c>
      <c r="H5" s="52">
        <v>45</v>
      </c>
      <c r="I5" s="47" t="s">
        <v>447</v>
      </c>
    </row>
    <row r="6" spans="1:22" ht="17" customHeight="1" x14ac:dyDescent="0.2">
      <c r="A6" s="47" t="s">
        <v>453</v>
      </c>
      <c r="B6" s="42" t="s">
        <v>22</v>
      </c>
      <c r="C6" s="28" t="s">
        <v>449</v>
      </c>
      <c r="D6" s="73" t="s">
        <v>450</v>
      </c>
      <c r="E6" s="47" t="s">
        <v>393</v>
      </c>
      <c r="F6" s="52" t="s">
        <v>20</v>
      </c>
      <c r="G6" s="47">
        <v>224</v>
      </c>
      <c r="H6" s="52">
        <v>112</v>
      </c>
      <c r="I6" s="47" t="s">
        <v>454</v>
      </c>
    </row>
    <row r="7" spans="1:22" ht="18" customHeight="1" x14ac:dyDescent="0.2">
      <c r="A7" s="47" t="s">
        <v>455</v>
      </c>
      <c r="B7" s="42" t="s">
        <v>19</v>
      </c>
      <c r="C7" s="28" t="s">
        <v>339</v>
      </c>
      <c r="D7" s="73" t="s">
        <v>456</v>
      </c>
      <c r="E7" s="47" t="s">
        <v>457</v>
      </c>
      <c r="F7" s="52" t="s">
        <v>20</v>
      </c>
      <c r="G7" s="47">
        <v>2880</v>
      </c>
      <c r="H7" s="52">
        <v>1440</v>
      </c>
      <c r="I7" s="47" t="s">
        <v>458</v>
      </c>
    </row>
    <row r="8" spans="1:22" ht="16" customHeight="1" x14ac:dyDescent="0.2">
      <c r="A8" s="47" t="s">
        <v>459</v>
      </c>
      <c r="B8" s="42" t="s">
        <v>31</v>
      </c>
      <c r="C8" s="28" t="s">
        <v>460</v>
      </c>
      <c r="D8" s="73"/>
      <c r="E8" s="47" t="s">
        <v>457</v>
      </c>
      <c r="F8" s="52" t="s">
        <v>25</v>
      </c>
      <c r="G8" s="47"/>
      <c r="H8" s="52">
        <v>114</v>
      </c>
      <c r="I8" s="47" t="s">
        <v>461</v>
      </c>
    </row>
    <row r="9" spans="1:22" ht="15" customHeight="1" x14ac:dyDescent="0.2">
      <c r="A9" s="56" t="s">
        <v>440</v>
      </c>
      <c r="B9" s="55" t="s">
        <v>22</v>
      </c>
      <c r="C9" s="29" t="s">
        <v>460</v>
      </c>
      <c r="D9" s="74" t="s">
        <v>450</v>
      </c>
      <c r="E9" s="56" t="s">
        <v>457</v>
      </c>
      <c r="F9" s="58" t="s">
        <v>20</v>
      </c>
      <c r="G9" s="56">
        <v>672</v>
      </c>
      <c r="H9" s="58">
        <v>336</v>
      </c>
      <c r="I9" s="56" t="s">
        <v>462</v>
      </c>
    </row>
    <row r="10" spans="1:22" ht="15" customHeight="1" x14ac:dyDescent="0.2">
      <c r="A10" s="48"/>
      <c r="B10" s="43"/>
      <c r="C10" s="32"/>
      <c r="D10" s="75"/>
      <c r="E10" s="48"/>
      <c r="F10" s="53"/>
      <c r="G10" s="48"/>
      <c r="H10" s="53" t="str">
        <f t="shared" ref="H10:H73" si="0">IF(OR(F10="",G10=""),"",IF(F10="500 g",G10*0.5,IF(F10="2,5 kg",G10*2.5,"")))</f>
        <v/>
      </c>
      <c r="I10" s="48"/>
    </row>
    <row r="11" spans="1:22" ht="15" customHeight="1" x14ac:dyDescent="0.2">
      <c r="A11" s="48"/>
      <c r="B11" s="43"/>
      <c r="C11" s="32"/>
      <c r="D11" s="75"/>
      <c r="E11" s="48"/>
      <c r="F11" s="53"/>
      <c r="G11" s="48"/>
      <c r="H11" s="53" t="str">
        <f t="shared" si="0"/>
        <v/>
      </c>
      <c r="I11" s="48"/>
    </row>
    <row r="12" spans="1:22" ht="15" customHeight="1" x14ac:dyDescent="0.2">
      <c r="A12" s="48"/>
      <c r="B12" s="43"/>
      <c r="C12" s="32"/>
      <c r="D12" s="75"/>
      <c r="E12" s="48"/>
      <c r="F12" s="53"/>
      <c r="G12" s="48"/>
      <c r="H12" s="53" t="str">
        <f t="shared" si="0"/>
        <v/>
      </c>
      <c r="I12" s="48"/>
    </row>
    <row r="13" spans="1:22" ht="15" customHeight="1" x14ac:dyDescent="0.2">
      <c r="A13" s="48"/>
      <c r="B13" s="43"/>
      <c r="C13" s="32"/>
      <c r="D13" s="75"/>
      <c r="E13" s="48"/>
      <c r="F13" s="53"/>
      <c r="G13" s="48"/>
      <c r="H13" s="53" t="str">
        <f t="shared" si="0"/>
        <v/>
      </c>
      <c r="I13" s="48"/>
    </row>
    <row r="14" spans="1:22" ht="15" customHeight="1" x14ac:dyDescent="0.2">
      <c r="A14" s="48"/>
      <c r="B14" s="43"/>
      <c r="C14" s="32"/>
      <c r="D14" s="75"/>
      <c r="E14" s="48"/>
      <c r="F14" s="53"/>
      <c r="G14" s="48"/>
      <c r="H14" s="53" t="str">
        <f t="shared" si="0"/>
        <v/>
      </c>
      <c r="I14" s="48"/>
    </row>
    <row r="15" spans="1:22" ht="15" customHeight="1" x14ac:dyDescent="0.2">
      <c r="A15" s="48"/>
      <c r="B15" s="43"/>
      <c r="C15" s="32"/>
      <c r="D15" s="75"/>
      <c r="E15" s="48"/>
      <c r="F15" s="53"/>
      <c r="G15" s="48"/>
      <c r="H15" s="53" t="str">
        <f t="shared" si="0"/>
        <v/>
      </c>
      <c r="I15" s="48"/>
    </row>
    <row r="16" spans="1:22" ht="15" customHeight="1" x14ac:dyDescent="0.2">
      <c r="A16" s="48"/>
      <c r="B16" s="43"/>
      <c r="C16" s="32"/>
      <c r="D16" s="75"/>
      <c r="E16" s="48"/>
      <c r="F16" s="53"/>
      <c r="G16" s="48"/>
      <c r="H16" s="53" t="str">
        <f t="shared" si="0"/>
        <v/>
      </c>
      <c r="I16" s="48"/>
    </row>
    <row r="17" spans="1:9" ht="15" customHeight="1" x14ac:dyDescent="0.2">
      <c r="A17" s="48"/>
      <c r="B17" s="43"/>
      <c r="C17" s="32"/>
      <c r="D17" s="75"/>
      <c r="E17" s="48"/>
      <c r="F17" s="53"/>
      <c r="G17" s="48"/>
      <c r="H17" s="53" t="str">
        <f t="shared" si="0"/>
        <v/>
      </c>
      <c r="I17" s="48"/>
    </row>
    <row r="18" spans="1:9" ht="15" customHeight="1" x14ac:dyDescent="0.2">
      <c r="A18" s="48"/>
      <c r="B18" s="43"/>
      <c r="C18" s="32"/>
      <c r="D18" s="75"/>
      <c r="E18" s="48"/>
      <c r="F18" s="53"/>
      <c r="G18" s="48"/>
      <c r="H18" s="53" t="str">
        <f t="shared" si="0"/>
        <v/>
      </c>
      <c r="I18" s="48"/>
    </row>
    <row r="19" spans="1:9" ht="15" customHeight="1" x14ac:dyDescent="0.2">
      <c r="A19" s="48"/>
      <c r="B19" s="43"/>
      <c r="C19" s="32"/>
      <c r="D19" s="75"/>
      <c r="E19" s="48"/>
      <c r="F19" s="53"/>
      <c r="G19" s="48"/>
      <c r="H19" s="53" t="str">
        <f t="shared" si="0"/>
        <v/>
      </c>
      <c r="I19" s="48"/>
    </row>
    <row r="20" spans="1:9" ht="15" customHeight="1" x14ac:dyDescent="0.2">
      <c r="A20" s="48"/>
      <c r="B20" s="43"/>
      <c r="C20" s="32"/>
      <c r="D20" s="75"/>
      <c r="E20" s="48"/>
      <c r="F20" s="53"/>
      <c r="G20" s="48"/>
      <c r="H20" s="53" t="str">
        <f t="shared" si="0"/>
        <v/>
      </c>
      <c r="I20" s="48"/>
    </row>
    <row r="21" spans="1:9" ht="15" customHeight="1" x14ac:dyDescent="0.2">
      <c r="A21" s="48"/>
      <c r="B21" s="43"/>
      <c r="C21" s="32"/>
      <c r="D21" s="75"/>
      <c r="E21" s="48"/>
      <c r="F21" s="53"/>
      <c r="G21" s="48"/>
      <c r="H21" s="53" t="str">
        <f t="shared" si="0"/>
        <v/>
      </c>
      <c r="I21" s="48"/>
    </row>
    <row r="22" spans="1:9" ht="15" customHeight="1" x14ac:dyDescent="0.2">
      <c r="A22" s="48"/>
      <c r="B22" s="43"/>
      <c r="C22" s="32"/>
      <c r="D22" s="75"/>
      <c r="E22" s="48"/>
      <c r="F22" s="53"/>
      <c r="G22" s="48"/>
      <c r="H22" s="53" t="str">
        <f t="shared" si="0"/>
        <v/>
      </c>
      <c r="I22" s="48"/>
    </row>
    <row r="23" spans="1:9" ht="15" customHeight="1" x14ac:dyDescent="0.2">
      <c r="A23" s="48"/>
      <c r="B23" s="43"/>
      <c r="C23" s="32"/>
      <c r="D23" s="75"/>
      <c r="E23" s="48"/>
      <c r="F23" s="53"/>
      <c r="G23" s="48"/>
      <c r="H23" s="53" t="str">
        <f t="shared" si="0"/>
        <v/>
      </c>
      <c r="I23" s="48"/>
    </row>
    <row r="24" spans="1:9" ht="15" customHeight="1" x14ac:dyDescent="0.2">
      <c r="A24" s="48"/>
      <c r="B24" s="43"/>
      <c r="C24" s="32"/>
      <c r="D24" s="75"/>
      <c r="E24" s="48"/>
      <c r="F24" s="53"/>
      <c r="G24" s="48"/>
      <c r="H24" s="53" t="str">
        <f t="shared" si="0"/>
        <v/>
      </c>
      <c r="I24" s="48"/>
    </row>
    <row r="25" spans="1:9" ht="15" customHeight="1" x14ac:dyDescent="0.2">
      <c r="A25" s="48"/>
      <c r="B25" s="43"/>
      <c r="C25" s="32"/>
      <c r="D25" s="75"/>
      <c r="E25" s="48"/>
      <c r="F25" s="53"/>
      <c r="G25" s="48"/>
      <c r="H25" s="53" t="str">
        <f t="shared" si="0"/>
        <v/>
      </c>
      <c r="I25" s="48"/>
    </row>
    <row r="26" spans="1:9" ht="15" customHeight="1" x14ac:dyDescent="0.2">
      <c r="A26" s="48"/>
      <c r="B26" s="43"/>
      <c r="C26" s="32"/>
      <c r="D26" s="75"/>
      <c r="E26" s="48"/>
      <c r="F26" s="53"/>
      <c r="G26" s="48"/>
      <c r="H26" s="53" t="str">
        <f t="shared" si="0"/>
        <v/>
      </c>
      <c r="I26" s="48"/>
    </row>
    <row r="27" spans="1:9" ht="15" customHeight="1" x14ac:dyDescent="0.2">
      <c r="A27" s="48"/>
      <c r="B27" s="43"/>
      <c r="C27" s="32"/>
      <c r="D27" s="75"/>
      <c r="E27" s="48"/>
      <c r="F27" s="53"/>
      <c r="G27" s="48"/>
      <c r="H27" s="53" t="str">
        <f t="shared" si="0"/>
        <v/>
      </c>
      <c r="I27" s="48"/>
    </row>
    <row r="28" spans="1:9" ht="15" customHeight="1" x14ac:dyDescent="0.2">
      <c r="A28" s="48"/>
      <c r="B28" s="43"/>
      <c r="C28" s="32"/>
      <c r="D28" s="75"/>
      <c r="E28" s="48"/>
      <c r="F28" s="53"/>
      <c r="G28" s="48"/>
      <c r="H28" s="53" t="str">
        <f t="shared" si="0"/>
        <v/>
      </c>
      <c r="I28" s="48"/>
    </row>
    <row r="29" spans="1:9" ht="15" customHeight="1" x14ac:dyDescent="0.2">
      <c r="A29" s="48"/>
      <c r="B29" s="43"/>
      <c r="C29" s="32"/>
      <c r="D29" s="75"/>
      <c r="E29" s="48"/>
      <c r="F29" s="53"/>
      <c r="G29" s="48"/>
      <c r="H29" s="53" t="str">
        <f t="shared" si="0"/>
        <v/>
      </c>
      <c r="I29" s="48"/>
    </row>
    <row r="30" spans="1:9" ht="15" customHeight="1" x14ac:dyDescent="0.2">
      <c r="A30" s="48"/>
      <c r="B30" s="43"/>
      <c r="C30" s="32"/>
      <c r="D30" s="75"/>
      <c r="E30" s="48"/>
      <c r="F30" s="53"/>
      <c r="G30" s="48"/>
      <c r="H30" s="53" t="str">
        <f t="shared" si="0"/>
        <v/>
      </c>
      <c r="I30" s="48"/>
    </row>
    <row r="31" spans="1:9" ht="15" customHeight="1" x14ac:dyDescent="0.2">
      <c r="A31" s="48"/>
      <c r="B31" s="43"/>
      <c r="C31" s="32"/>
      <c r="D31" s="75"/>
      <c r="E31" s="48"/>
      <c r="F31" s="53"/>
      <c r="G31" s="48"/>
      <c r="H31" s="53" t="str">
        <f t="shared" si="0"/>
        <v/>
      </c>
      <c r="I31" s="48"/>
    </row>
    <row r="32" spans="1:9" ht="15" customHeight="1" x14ac:dyDescent="0.2">
      <c r="A32" s="48"/>
      <c r="B32" s="43"/>
      <c r="C32" s="32"/>
      <c r="D32" s="75"/>
      <c r="E32" s="48"/>
      <c r="F32" s="53"/>
      <c r="G32" s="48"/>
      <c r="H32" s="53" t="str">
        <f t="shared" si="0"/>
        <v/>
      </c>
      <c r="I32" s="48"/>
    </row>
    <row r="33" spans="1:9" ht="15" customHeight="1" x14ac:dyDescent="0.2">
      <c r="A33" s="48"/>
      <c r="B33" s="43"/>
      <c r="C33" s="32"/>
      <c r="D33" s="75"/>
      <c r="E33" s="48"/>
      <c r="F33" s="53"/>
      <c r="G33" s="48"/>
      <c r="H33" s="53" t="str">
        <f t="shared" si="0"/>
        <v/>
      </c>
      <c r="I33" s="48"/>
    </row>
    <row r="34" spans="1:9" ht="15" customHeight="1" x14ac:dyDescent="0.2">
      <c r="A34" s="48"/>
      <c r="B34" s="43"/>
      <c r="C34" s="32"/>
      <c r="D34" s="75"/>
      <c r="E34" s="48"/>
      <c r="F34" s="53"/>
      <c r="G34" s="48"/>
      <c r="H34" s="53" t="str">
        <f t="shared" si="0"/>
        <v/>
      </c>
      <c r="I34" s="48"/>
    </row>
    <row r="35" spans="1:9" ht="15" customHeight="1" x14ac:dyDescent="0.2">
      <c r="A35" s="48"/>
      <c r="B35" s="43"/>
      <c r="C35" s="32"/>
      <c r="D35" s="75"/>
      <c r="E35" s="48"/>
      <c r="F35" s="53"/>
      <c r="G35" s="48"/>
      <c r="H35" s="53" t="str">
        <f t="shared" si="0"/>
        <v/>
      </c>
      <c r="I35" s="48"/>
    </row>
    <row r="36" spans="1:9" ht="15" customHeight="1" x14ac:dyDescent="0.2">
      <c r="A36" s="48"/>
      <c r="B36" s="43"/>
      <c r="C36" s="32"/>
      <c r="D36" s="75"/>
      <c r="E36" s="48"/>
      <c r="F36" s="53"/>
      <c r="G36" s="48"/>
      <c r="H36" s="53" t="str">
        <f t="shared" si="0"/>
        <v/>
      </c>
      <c r="I36" s="48"/>
    </row>
    <row r="37" spans="1:9" ht="15" customHeight="1" x14ac:dyDescent="0.2">
      <c r="A37" s="48"/>
      <c r="B37" s="43"/>
      <c r="C37" s="32"/>
      <c r="D37" s="75"/>
      <c r="E37" s="48"/>
      <c r="F37" s="53"/>
      <c r="G37" s="48"/>
      <c r="H37" s="53" t="str">
        <f t="shared" si="0"/>
        <v/>
      </c>
      <c r="I37" s="48"/>
    </row>
    <row r="38" spans="1:9" ht="15" customHeight="1" x14ac:dyDescent="0.2">
      <c r="A38" s="48"/>
      <c r="B38" s="43"/>
      <c r="C38" s="32"/>
      <c r="D38" s="75"/>
      <c r="E38" s="48"/>
      <c r="F38" s="53"/>
      <c r="G38" s="48"/>
      <c r="H38" s="53" t="str">
        <f t="shared" si="0"/>
        <v/>
      </c>
      <c r="I38" s="48"/>
    </row>
    <row r="39" spans="1:9" ht="15" customHeight="1" x14ac:dyDescent="0.2">
      <c r="A39" s="48"/>
      <c r="B39" s="43"/>
      <c r="C39" s="32"/>
      <c r="D39" s="75"/>
      <c r="E39" s="48"/>
      <c r="F39" s="53"/>
      <c r="G39" s="48"/>
      <c r="H39" s="53" t="str">
        <f t="shared" si="0"/>
        <v/>
      </c>
      <c r="I39" s="48"/>
    </row>
    <row r="40" spans="1:9" ht="15" customHeight="1" x14ac:dyDescent="0.2">
      <c r="A40" s="48"/>
      <c r="B40" s="43"/>
      <c r="C40" s="32"/>
      <c r="D40" s="75"/>
      <c r="E40" s="48"/>
      <c r="F40" s="53"/>
      <c r="G40" s="48"/>
      <c r="H40" s="53" t="str">
        <f t="shared" si="0"/>
        <v/>
      </c>
      <c r="I40" s="48"/>
    </row>
    <row r="41" spans="1:9" ht="15" customHeight="1" x14ac:dyDescent="0.2">
      <c r="A41" s="48"/>
      <c r="B41" s="43"/>
      <c r="C41" s="32"/>
      <c r="D41" s="75"/>
      <c r="E41" s="48"/>
      <c r="F41" s="53"/>
      <c r="G41" s="48"/>
      <c r="H41" s="53" t="str">
        <f t="shared" si="0"/>
        <v/>
      </c>
      <c r="I41" s="48"/>
    </row>
    <row r="42" spans="1:9" ht="15" customHeight="1" x14ac:dyDescent="0.2">
      <c r="A42" s="48"/>
      <c r="B42" s="43"/>
      <c r="C42" s="32"/>
      <c r="D42" s="75"/>
      <c r="E42" s="48"/>
      <c r="F42" s="53"/>
      <c r="G42" s="48"/>
      <c r="H42" s="53" t="str">
        <f t="shared" si="0"/>
        <v/>
      </c>
      <c r="I42" s="48"/>
    </row>
    <row r="43" spans="1:9" ht="15" customHeight="1" x14ac:dyDescent="0.2">
      <c r="A43" s="48"/>
      <c r="B43" s="43"/>
      <c r="C43" s="32"/>
      <c r="D43" s="75"/>
      <c r="E43" s="48"/>
      <c r="F43" s="53"/>
      <c r="G43" s="48"/>
      <c r="H43" s="53" t="str">
        <f t="shared" si="0"/>
        <v/>
      </c>
      <c r="I43" s="48"/>
    </row>
    <row r="44" spans="1:9" ht="15" customHeight="1" x14ac:dyDescent="0.2">
      <c r="A44" s="48"/>
      <c r="B44" s="43"/>
      <c r="C44" s="32"/>
      <c r="D44" s="75"/>
      <c r="E44" s="48"/>
      <c r="F44" s="53"/>
      <c r="G44" s="48"/>
      <c r="H44" s="53" t="str">
        <f t="shared" si="0"/>
        <v/>
      </c>
      <c r="I44" s="48"/>
    </row>
    <row r="45" spans="1:9" ht="15" customHeight="1" x14ac:dyDescent="0.2">
      <c r="A45" s="48"/>
      <c r="B45" s="43"/>
      <c r="C45" s="32"/>
      <c r="D45" s="75"/>
      <c r="E45" s="48"/>
      <c r="F45" s="53"/>
      <c r="G45" s="48"/>
      <c r="H45" s="53" t="str">
        <f t="shared" si="0"/>
        <v/>
      </c>
      <c r="I45" s="48"/>
    </row>
    <row r="46" spans="1:9" ht="15" customHeight="1" x14ac:dyDescent="0.2">
      <c r="A46" s="48"/>
      <c r="B46" s="43"/>
      <c r="C46" s="32"/>
      <c r="D46" s="75"/>
      <c r="E46" s="48"/>
      <c r="F46" s="53"/>
      <c r="G46" s="48"/>
      <c r="H46" s="53" t="str">
        <f t="shared" si="0"/>
        <v/>
      </c>
      <c r="I46" s="48"/>
    </row>
    <row r="47" spans="1:9" ht="15" customHeight="1" x14ac:dyDescent="0.2">
      <c r="A47" s="48"/>
      <c r="B47" s="43"/>
      <c r="C47" s="32"/>
      <c r="D47" s="75"/>
      <c r="E47" s="48"/>
      <c r="F47" s="53"/>
      <c r="G47" s="48"/>
      <c r="H47" s="53" t="str">
        <f t="shared" si="0"/>
        <v/>
      </c>
      <c r="I47" s="48"/>
    </row>
    <row r="48" spans="1:9" ht="15" customHeight="1" x14ac:dyDescent="0.2">
      <c r="A48" s="48"/>
      <c r="B48" s="43"/>
      <c r="C48" s="32"/>
      <c r="D48" s="75"/>
      <c r="E48" s="48"/>
      <c r="F48" s="53"/>
      <c r="G48" s="48"/>
      <c r="H48" s="53" t="str">
        <f t="shared" si="0"/>
        <v/>
      </c>
      <c r="I48" s="48"/>
    </row>
    <row r="49" spans="1:9" ht="15" customHeight="1" x14ac:dyDescent="0.2">
      <c r="A49" s="48"/>
      <c r="B49" s="43"/>
      <c r="C49" s="32"/>
      <c r="D49" s="75"/>
      <c r="E49" s="48"/>
      <c r="F49" s="53"/>
      <c r="G49" s="48"/>
      <c r="H49" s="53" t="str">
        <f t="shared" si="0"/>
        <v/>
      </c>
      <c r="I49" s="48"/>
    </row>
    <row r="50" spans="1:9" ht="15" customHeight="1" x14ac:dyDescent="0.2">
      <c r="A50" s="48"/>
      <c r="B50" s="43"/>
      <c r="C50" s="32"/>
      <c r="D50" s="75"/>
      <c r="E50" s="48"/>
      <c r="F50" s="53"/>
      <c r="G50" s="48"/>
      <c r="H50" s="53" t="str">
        <f t="shared" si="0"/>
        <v/>
      </c>
      <c r="I50" s="48"/>
    </row>
    <row r="51" spans="1:9" ht="15" customHeight="1" x14ac:dyDescent="0.2">
      <c r="A51" s="48"/>
      <c r="B51" s="43"/>
      <c r="C51" s="32"/>
      <c r="D51" s="75"/>
      <c r="E51" s="48"/>
      <c r="F51" s="53"/>
      <c r="G51" s="48"/>
      <c r="H51" s="53" t="str">
        <f t="shared" si="0"/>
        <v/>
      </c>
      <c r="I51" s="48"/>
    </row>
    <row r="52" spans="1:9" ht="15" customHeight="1" x14ac:dyDescent="0.2">
      <c r="A52" s="48"/>
      <c r="B52" s="43"/>
      <c r="C52" s="32"/>
      <c r="D52" s="75"/>
      <c r="E52" s="48"/>
      <c r="F52" s="53"/>
      <c r="G52" s="48"/>
      <c r="H52" s="53" t="str">
        <f t="shared" si="0"/>
        <v/>
      </c>
      <c r="I52" s="48"/>
    </row>
    <row r="53" spans="1:9" ht="15" customHeight="1" x14ac:dyDescent="0.2">
      <c r="A53" s="48"/>
      <c r="B53" s="43"/>
      <c r="C53" s="32"/>
      <c r="D53" s="75"/>
      <c r="E53" s="48"/>
      <c r="F53" s="53"/>
      <c r="G53" s="48"/>
      <c r="H53" s="53" t="str">
        <f t="shared" si="0"/>
        <v/>
      </c>
      <c r="I53" s="48"/>
    </row>
    <row r="54" spans="1:9" ht="15" customHeight="1" x14ac:dyDescent="0.2">
      <c r="A54" s="48"/>
      <c r="B54" s="43"/>
      <c r="C54" s="32"/>
      <c r="D54" s="75"/>
      <c r="E54" s="48"/>
      <c r="F54" s="53"/>
      <c r="G54" s="48"/>
      <c r="H54" s="53" t="str">
        <f t="shared" si="0"/>
        <v/>
      </c>
      <c r="I54" s="48"/>
    </row>
    <row r="55" spans="1:9" ht="15" customHeight="1" x14ac:dyDescent="0.2">
      <c r="A55" s="48"/>
      <c r="B55" s="43"/>
      <c r="C55" s="32"/>
      <c r="D55" s="75"/>
      <c r="E55" s="48"/>
      <c r="F55" s="53"/>
      <c r="G55" s="48"/>
      <c r="H55" s="53" t="str">
        <f t="shared" si="0"/>
        <v/>
      </c>
      <c r="I55" s="48"/>
    </row>
    <row r="56" spans="1:9" ht="15" customHeight="1" x14ac:dyDescent="0.2">
      <c r="A56" s="48"/>
      <c r="B56" s="43"/>
      <c r="C56" s="32"/>
      <c r="D56" s="75"/>
      <c r="E56" s="48"/>
      <c r="F56" s="53"/>
      <c r="G56" s="48"/>
      <c r="H56" s="53" t="str">
        <f t="shared" si="0"/>
        <v/>
      </c>
      <c r="I56" s="48"/>
    </row>
    <row r="57" spans="1:9" ht="15" customHeight="1" x14ac:dyDescent="0.2">
      <c r="A57" s="48"/>
      <c r="B57" s="43"/>
      <c r="C57" s="32"/>
      <c r="D57" s="75"/>
      <c r="E57" s="48"/>
      <c r="F57" s="53"/>
      <c r="G57" s="48"/>
      <c r="H57" s="53" t="str">
        <f t="shared" si="0"/>
        <v/>
      </c>
      <c r="I57" s="48"/>
    </row>
    <row r="58" spans="1:9" ht="15" customHeight="1" x14ac:dyDescent="0.2">
      <c r="A58" s="48"/>
      <c r="B58" s="43"/>
      <c r="C58" s="32"/>
      <c r="D58" s="75"/>
      <c r="E58" s="48"/>
      <c r="F58" s="53"/>
      <c r="G58" s="48"/>
      <c r="H58" s="53" t="str">
        <f t="shared" si="0"/>
        <v/>
      </c>
      <c r="I58" s="48"/>
    </row>
    <row r="59" spans="1:9" ht="15" customHeight="1" x14ac:dyDescent="0.2">
      <c r="A59" s="48"/>
      <c r="B59" s="43"/>
      <c r="C59" s="32"/>
      <c r="D59" s="75"/>
      <c r="E59" s="48"/>
      <c r="F59" s="53"/>
      <c r="G59" s="48"/>
      <c r="H59" s="53" t="str">
        <f t="shared" si="0"/>
        <v/>
      </c>
      <c r="I59" s="48"/>
    </row>
    <row r="60" spans="1:9" ht="15" customHeight="1" x14ac:dyDescent="0.2">
      <c r="A60" s="48"/>
      <c r="B60" s="43"/>
      <c r="C60" s="32"/>
      <c r="D60" s="75"/>
      <c r="E60" s="48"/>
      <c r="F60" s="53"/>
      <c r="G60" s="48"/>
      <c r="H60" s="53" t="str">
        <f t="shared" si="0"/>
        <v/>
      </c>
      <c r="I60" s="48"/>
    </row>
    <row r="61" spans="1:9" ht="15" customHeight="1" x14ac:dyDescent="0.2">
      <c r="A61" s="48"/>
      <c r="B61" s="43"/>
      <c r="C61" s="32"/>
      <c r="D61" s="75"/>
      <c r="E61" s="48"/>
      <c r="F61" s="53"/>
      <c r="G61" s="48"/>
      <c r="H61" s="53" t="str">
        <f t="shared" si="0"/>
        <v/>
      </c>
      <c r="I61" s="48"/>
    </row>
    <row r="62" spans="1:9" ht="15" customHeight="1" x14ac:dyDescent="0.2">
      <c r="A62" s="48"/>
      <c r="B62" s="43"/>
      <c r="C62" s="32"/>
      <c r="D62" s="75"/>
      <c r="E62" s="48"/>
      <c r="F62" s="53"/>
      <c r="G62" s="48"/>
      <c r="H62" s="53" t="str">
        <f t="shared" si="0"/>
        <v/>
      </c>
      <c r="I62" s="48"/>
    </row>
    <row r="63" spans="1:9" ht="15" customHeight="1" x14ac:dyDescent="0.2">
      <c r="A63" s="48"/>
      <c r="B63" s="43"/>
      <c r="C63" s="32"/>
      <c r="D63" s="75"/>
      <c r="E63" s="48"/>
      <c r="F63" s="53"/>
      <c r="G63" s="48"/>
      <c r="H63" s="53" t="str">
        <f t="shared" si="0"/>
        <v/>
      </c>
      <c r="I63" s="48"/>
    </row>
    <row r="64" spans="1:9" ht="15" customHeight="1" x14ac:dyDescent="0.2">
      <c r="A64" s="48"/>
      <c r="B64" s="43"/>
      <c r="C64" s="32"/>
      <c r="D64" s="75"/>
      <c r="E64" s="48"/>
      <c r="F64" s="53"/>
      <c r="G64" s="48"/>
      <c r="H64" s="53" t="str">
        <f t="shared" si="0"/>
        <v/>
      </c>
      <c r="I64" s="48"/>
    </row>
    <row r="65" spans="1:9" ht="15" customHeight="1" x14ac:dyDescent="0.2">
      <c r="A65" s="48"/>
      <c r="B65" s="43"/>
      <c r="C65" s="32"/>
      <c r="D65" s="75"/>
      <c r="E65" s="48"/>
      <c r="F65" s="53"/>
      <c r="G65" s="48"/>
      <c r="H65" s="53" t="str">
        <f t="shared" si="0"/>
        <v/>
      </c>
      <c r="I65" s="48"/>
    </row>
    <row r="66" spans="1:9" ht="15" customHeight="1" x14ac:dyDescent="0.2">
      <c r="A66" s="48"/>
      <c r="B66" s="43"/>
      <c r="C66" s="32"/>
      <c r="D66" s="75"/>
      <c r="E66" s="48"/>
      <c r="F66" s="53"/>
      <c r="G66" s="48"/>
      <c r="H66" s="53" t="str">
        <f t="shared" si="0"/>
        <v/>
      </c>
      <c r="I66" s="48"/>
    </row>
    <row r="67" spans="1:9" ht="15" customHeight="1" x14ac:dyDescent="0.2">
      <c r="A67" s="48"/>
      <c r="B67" s="43"/>
      <c r="C67" s="32"/>
      <c r="D67" s="75"/>
      <c r="E67" s="48"/>
      <c r="F67" s="53"/>
      <c r="G67" s="48"/>
      <c r="H67" s="53" t="str">
        <f t="shared" si="0"/>
        <v/>
      </c>
      <c r="I67" s="48"/>
    </row>
    <row r="68" spans="1:9" ht="15" customHeight="1" x14ac:dyDescent="0.2">
      <c r="A68" s="48"/>
      <c r="B68" s="43"/>
      <c r="C68" s="32"/>
      <c r="D68" s="75"/>
      <c r="E68" s="48"/>
      <c r="F68" s="53"/>
      <c r="G68" s="48"/>
      <c r="H68" s="53" t="str">
        <f t="shared" si="0"/>
        <v/>
      </c>
      <c r="I68" s="48"/>
    </row>
    <row r="69" spans="1:9" ht="15" customHeight="1" x14ac:dyDescent="0.2">
      <c r="A69" s="48"/>
      <c r="B69" s="43"/>
      <c r="C69" s="32"/>
      <c r="D69" s="75"/>
      <c r="E69" s="48"/>
      <c r="F69" s="53"/>
      <c r="G69" s="48"/>
      <c r="H69" s="53" t="str">
        <f t="shared" si="0"/>
        <v/>
      </c>
      <c r="I69" s="48"/>
    </row>
    <row r="70" spans="1:9" ht="15" customHeight="1" x14ac:dyDescent="0.2">
      <c r="A70" s="48"/>
      <c r="B70" s="43"/>
      <c r="C70" s="32"/>
      <c r="D70" s="75"/>
      <c r="E70" s="48"/>
      <c r="F70" s="53"/>
      <c r="G70" s="48"/>
      <c r="H70" s="53" t="str">
        <f t="shared" si="0"/>
        <v/>
      </c>
      <c r="I70" s="48"/>
    </row>
    <row r="71" spans="1:9" ht="15" customHeight="1" x14ac:dyDescent="0.2">
      <c r="A71" s="48"/>
      <c r="B71" s="43"/>
      <c r="C71" s="32"/>
      <c r="D71" s="75"/>
      <c r="E71" s="48"/>
      <c r="F71" s="53"/>
      <c r="G71" s="48"/>
      <c r="H71" s="53" t="str">
        <f t="shared" si="0"/>
        <v/>
      </c>
      <c r="I71" s="48"/>
    </row>
    <row r="72" spans="1:9" ht="15" customHeight="1" x14ac:dyDescent="0.2">
      <c r="A72" s="48"/>
      <c r="B72" s="43"/>
      <c r="C72" s="32"/>
      <c r="D72" s="75"/>
      <c r="E72" s="48"/>
      <c r="F72" s="53"/>
      <c r="G72" s="48"/>
      <c r="H72" s="53" t="str">
        <f t="shared" si="0"/>
        <v/>
      </c>
      <c r="I72" s="48"/>
    </row>
    <row r="73" spans="1:9" ht="15" customHeight="1" x14ac:dyDescent="0.2">
      <c r="A73" s="48"/>
      <c r="B73" s="43"/>
      <c r="C73" s="32"/>
      <c r="D73" s="75"/>
      <c r="E73" s="48"/>
      <c r="F73" s="53"/>
      <c r="G73" s="48"/>
      <c r="H73" s="53" t="str">
        <f t="shared" si="0"/>
        <v/>
      </c>
      <c r="I73" s="48"/>
    </row>
    <row r="74" spans="1:9" ht="15" customHeight="1" x14ac:dyDescent="0.2">
      <c r="A74" s="48"/>
      <c r="B74" s="43"/>
      <c r="C74" s="32"/>
      <c r="D74" s="75"/>
      <c r="E74" s="48"/>
      <c r="F74" s="53"/>
      <c r="G74" s="48"/>
      <c r="H74" s="53" t="str">
        <f t="shared" ref="H74:H137" si="1">IF(OR(F74="",G74=""),"",IF(F74="500 g",G74*0.5,IF(F74="2,5 kg",G74*2.5,"")))</f>
        <v/>
      </c>
      <c r="I74" s="48"/>
    </row>
    <row r="75" spans="1:9" ht="15" customHeight="1" x14ac:dyDescent="0.2">
      <c r="A75" s="48"/>
      <c r="B75" s="43"/>
      <c r="C75" s="32"/>
      <c r="D75" s="75"/>
      <c r="E75" s="48"/>
      <c r="F75" s="53"/>
      <c r="G75" s="48"/>
      <c r="H75" s="53" t="str">
        <f t="shared" si="1"/>
        <v/>
      </c>
      <c r="I75" s="48"/>
    </row>
    <row r="76" spans="1:9" ht="15" customHeight="1" x14ac:dyDescent="0.2">
      <c r="A76" s="48"/>
      <c r="B76" s="43"/>
      <c r="C76" s="32"/>
      <c r="D76" s="75"/>
      <c r="E76" s="48"/>
      <c r="F76" s="53"/>
      <c r="G76" s="48"/>
      <c r="H76" s="53" t="str">
        <f t="shared" si="1"/>
        <v/>
      </c>
      <c r="I76" s="48"/>
    </row>
    <row r="77" spans="1:9" ht="15" customHeight="1" x14ac:dyDescent="0.2">
      <c r="A77" s="48"/>
      <c r="B77" s="43"/>
      <c r="C77" s="32"/>
      <c r="D77" s="75"/>
      <c r="E77" s="48"/>
      <c r="F77" s="53"/>
      <c r="G77" s="48"/>
      <c r="H77" s="53" t="str">
        <f t="shared" si="1"/>
        <v/>
      </c>
      <c r="I77" s="48"/>
    </row>
    <row r="78" spans="1:9" ht="15" customHeight="1" x14ac:dyDescent="0.2">
      <c r="A78" s="48"/>
      <c r="B78" s="43"/>
      <c r="C78" s="32"/>
      <c r="D78" s="75"/>
      <c r="E78" s="48"/>
      <c r="F78" s="53"/>
      <c r="G78" s="48"/>
      <c r="H78" s="53" t="str">
        <f t="shared" si="1"/>
        <v/>
      </c>
      <c r="I78" s="48"/>
    </row>
    <row r="79" spans="1:9" ht="15" customHeight="1" x14ac:dyDescent="0.2">
      <c r="A79" s="48"/>
      <c r="B79" s="43"/>
      <c r="C79" s="32"/>
      <c r="D79" s="75"/>
      <c r="E79" s="48"/>
      <c r="F79" s="53"/>
      <c r="G79" s="48"/>
      <c r="H79" s="53" t="str">
        <f t="shared" si="1"/>
        <v/>
      </c>
      <c r="I79" s="48"/>
    </row>
    <row r="80" spans="1:9" ht="15" customHeight="1" x14ac:dyDescent="0.2">
      <c r="A80" s="48"/>
      <c r="B80" s="43"/>
      <c r="C80" s="32"/>
      <c r="D80" s="75"/>
      <c r="E80" s="48"/>
      <c r="F80" s="53"/>
      <c r="G80" s="48"/>
      <c r="H80" s="53" t="str">
        <f t="shared" si="1"/>
        <v/>
      </c>
      <c r="I80" s="48"/>
    </row>
    <row r="81" spans="1:9" ht="15" customHeight="1" x14ac:dyDescent="0.2">
      <c r="A81" s="48"/>
      <c r="B81" s="43"/>
      <c r="C81" s="32"/>
      <c r="D81" s="75"/>
      <c r="E81" s="48"/>
      <c r="F81" s="53"/>
      <c r="G81" s="48"/>
      <c r="H81" s="53" t="str">
        <f t="shared" si="1"/>
        <v/>
      </c>
      <c r="I81" s="48"/>
    </row>
    <row r="82" spans="1:9" ht="15" customHeight="1" x14ac:dyDescent="0.2">
      <c r="A82" s="48"/>
      <c r="B82" s="43"/>
      <c r="C82" s="32"/>
      <c r="D82" s="75"/>
      <c r="E82" s="48"/>
      <c r="F82" s="53"/>
      <c r="G82" s="48"/>
      <c r="H82" s="53" t="str">
        <f t="shared" si="1"/>
        <v/>
      </c>
      <c r="I82" s="48"/>
    </row>
    <row r="83" spans="1:9" ht="15" customHeight="1" x14ac:dyDescent="0.2">
      <c r="A83" s="48"/>
      <c r="B83" s="43"/>
      <c r="C83" s="32"/>
      <c r="D83" s="75"/>
      <c r="E83" s="48"/>
      <c r="F83" s="53"/>
      <c r="G83" s="48"/>
      <c r="H83" s="53" t="str">
        <f t="shared" si="1"/>
        <v/>
      </c>
      <c r="I83" s="48"/>
    </row>
    <row r="84" spans="1:9" ht="15" customHeight="1" x14ac:dyDescent="0.2">
      <c r="A84" s="48"/>
      <c r="B84" s="43"/>
      <c r="C84" s="32"/>
      <c r="D84" s="75"/>
      <c r="E84" s="48"/>
      <c r="F84" s="53"/>
      <c r="G84" s="48"/>
      <c r="H84" s="53" t="str">
        <f t="shared" si="1"/>
        <v/>
      </c>
      <c r="I84" s="48"/>
    </row>
    <row r="85" spans="1:9" ht="15" customHeight="1" x14ac:dyDescent="0.2">
      <c r="A85" s="48"/>
      <c r="B85" s="43"/>
      <c r="C85" s="32"/>
      <c r="D85" s="75"/>
      <c r="E85" s="48"/>
      <c r="F85" s="53"/>
      <c r="G85" s="48"/>
      <c r="H85" s="53" t="str">
        <f t="shared" si="1"/>
        <v/>
      </c>
      <c r="I85" s="48"/>
    </row>
    <row r="86" spans="1:9" ht="15" customHeight="1" x14ac:dyDescent="0.2">
      <c r="A86" s="48"/>
      <c r="B86" s="43"/>
      <c r="C86" s="32"/>
      <c r="D86" s="75"/>
      <c r="E86" s="48"/>
      <c r="F86" s="53"/>
      <c r="G86" s="48"/>
      <c r="H86" s="53" t="str">
        <f t="shared" si="1"/>
        <v/>
      </c>
      <c r="I86" s="48"/>
    </row>
    <row r="87" spans="1:9" ht="15" customHeight="1" x14ac:dyDescent="0.2">
      <c r="A87" s="48"/>
      <c r="B87" s="43"/>
      <c r="C87" s="32"/>
      <c r="D87" s="75"/>
      <c r="E87" s="48"/>
      <c r="F87" s="53"/>
      <c r="G87" s="48"/>
      <c r="H87" s="53" t="str">
        <f t="shared" si="1"/>
        <v/>
      </c>
      <c r="I87" s="48"/>
    </row>
    <row r="88" spans="1:9" ht="15" customHeight="1" x14ac:dyDescent="0.2">
      <c r="A88" s="48"/>
      <c r="B88" s="43"/>
      <c r="C88" s="32"/>
      <c r="D88" s="75"/>
      <c r="E88" s="48"/>
      <c r="F88" s="53"/>
      <c r="G88" s="48"/>
      <c r="H88" s="53" t="str">
        <f t="shared" si="1"/>
        <v/>
      </c>
      <c r="I88" s="48"/>
    </row>
    <row r="89" spans="1:9" ht="15" customHeight="1" x14ac:dyDescent="0.2">
      <c r="A89" s="48"/>
      <c r="B89" s="43"/>
      <c r="C89" s="32"/>
      <c r="D89" s="75"/>
      <c r="E89" s="48"/>
      <c r="F89" s="53"/>
      <c r="G89" s="48"/>
      <c r="H89" s="53" t="str">
        <f t="shared" si="1"/>
        <v/>
      </c>
      <c r="I89" s="48"/>
    </row>
    <row r="90" spans="1:9" ht="15" customHeight="1" x14ac:dyDescent="0.2">
      <c r="A90" s="48"/>
      <c r="B90" s="43"/>
      <c r="C90" s="32"/>
      <c r="D90" s="75"/>
      <c r="E90" s="48"/>
      <c r="F90" s="53"/>
      <c r="G90" s="48"/>
      <c r="H90" s="53" t="str">
        <f t="shared" si="1"/>
        <v/>
      </c>
      <c r="I90" s="48"/>
    </row>
    <row r="91" spans="1:9" ht="15" customHeight="1" x14ac:dyDescent="0.2">
      <c r="A91" s="48"/>
      <c r="B91" s="43"/>
      <c r="C91" s="32"/>
      <c r="D91" s="75"/>
      <c r="E91" s="48"/>
      <c r="F91" s="53"/>
      <c r="G91" s="48"/>
      <c r="H91" s="53" t="str">
        <f t="shared" si="1"/>
        <v/>
      </c>
      <c r="I91" s="48"/>
    </row>
    <row r="92" spans="1:9" ht="15" customHeight="1" x14ac:dyDescent="0.2">
      <c r="A92" s="48"/>
      <c r="B92" s="43"/>
      <c r="C92" s="32"/>
      <c r="D92" s="75"/>
      <c r="E92" s="48"/>
      <c r="F92" s="53"/>
      <c r="G92" s="48"/>
      <c r="H92" s="53" t="str">
        <f t="shared" si="1"/>
        <v/>
      </c>
      <c r="I92" s="48"/>
    </row>
    <row r="93" spans="1:9" ht="15" customHeight="1" x14ac:dyDescent="0.2">
      <c r="A93" s="48"/>
      <c r="B93" s="43"/>
      <c r="C93" s="32"/>
      <c r="D93" s="75"/>
      <c r="E93" s="48"/>
      <c r="F93" s="53"/>
      <c r="G93" s="48"/>
      <c r="H93" s="53" t="str">
        <f t="shared" si="1"/>
        <v/>
      </c>
      <c r="I93" s="48"/>
    </row>
    <row r="94" spans="1:9" ht="15" customHeight="1" x14ac:dyDescent="0.2">
      <c r="A94" s="48"/>
      <c r="B94" s="43"/>
      <c r="C94" s="32"/>
      <c r="D94" s="75"/>
      <c r="E94" s="48"/>
      <c r="F94" s="53"/>
      <c r="G94" s="48"/>
      <c r="H94" s="53" t="str">
        <f t="shared" si="1"/>
        <v/>
      </c>
      <c r="I94" s="48"/>
    </row>
    <row r="95" spans="1:9" ht="15" customHeight="1" x14ac:dyDescent="0.2">
      <c r="A95" s="48"/>
      <c r="B95" s="43"/>
      <c r="C95" s="32"/>
      <c r="D95" s="75"/>
      <c r="E95" s="48"/>
      <c r="F95" s="53"/>
      <c r="G95" s="48"/>
      <c r="H95" s="53" t="str">
        <f t="shared" si="1"/>
        <v/>
      </c>
      <c r="I95" s="48"/>
    </row>
    <row r="96" spans="1:9" ht="15" customHeight="1" x14ac:dyDescent="0.2">
      <c r="A96" s="48"/>
      <c r="B96" s="43"/>
      <c r="C96" s="32"/>
      <c r="D96" s="75"/>
      <c r="E96" s="48"/>
      <c r="F96" s="53"/>
      <c r="G96" s="48"/>
      <c r="H96" s="53" t="str">
        <f t="shared" si="1"/>
        <v/>
      </c>
      <c r="I96" s="48"/>
    </row>
    <row r="97" spans="1:9" ht="15" customHeight="1" x14ac:dyDescent="0.2">
      <c r="A97" s="48"/>
      <c r="B97" s="43"/>
      <c r="C97" s="32"/>
      <c r="D97" s="75"/>
      <c r="E97" s="48"/>
      <c r="F97" s="53"/>
      <c r="G97" s="48"/>
      <c r="H97" s="53" t="str">
        <f t="shared" si="1"/>
        <v/>
      </c>
      <c r="I97" s="48"/>
    </row>
    <row r="98" spans="1:9" ht="15" customHeight="1" x14ac:dyDescent="0.2">
      <c r="A98" s="48"/>
      <c r="B98" s="43"/>
      <c r="C98" s="32"/>
      <c r="D98" s="75"/>
      <c r="E98" s="48"/>
      <c r="F98" s="53"/>
      <c r="G98" s="48"/>
      <c r="H98" s="53" t="str">
        <f t="shared" si="1"/>
        <v/>
      </c>
      <c r="I98" s="48"/>
    </row>
    <row r="99" spans="1:9" ht="15" customHeight="1" x14ac:dyDescent="0.2">
      <c r="A99" s="48"/>
      <c r="B99" s="43"/>
      <c r="C99" s="32"/>
      <c r="D99" s="75"/>
      <c r="E99" s="48"/>
      <c r="F99" s="53"/>
      <c r="G99" s="48"/>
      <c r="H99" s="53" t="str">
        <f t="shared" si="1"/>
        <v/>
      </c>
      <c r="I99" s="48"/>
    </row>
    <row r="100" spans="1:9" ht="15" customHeight="1" x14ac:dyDescent="0.2">
      <c r="A100" s="48"/>
      <c r="B100" s="43"/>
      <c r="C100" s="32"/>
      <c r="D100" s="75"/>
      <c r="E100" s="48"/>
      <c r="F100" s="53"/>
      <c r="G100" s="48"/>
      <c r="H100" s="53" t="str">
        <f t="shared" si="1"/>
        <v/>
      </c>
      <c r="I100" s="48"/>
    </row>
    <row r="101" spans="1:9" ht="15" customHeight="1" x14ac:dyDescent="0.2">
      <c r="A101" s="48"/>
      <c r="B101" s="43"/>
      <c r="C101" s="32"/>
      <c r="D101" s="75"/>
      <c r="E101" s="48"/>
      <c r="F101" s="53"/>
      <c r="G101" s="48"/>
      <c r="H101" s="53" t="str">
        <f t="shared" si="1"/>
        <v/>
      </c>
      <c r="I101" s="48"/>
    </row>
    <row r="102" spans="1:9" ht="15" customHeight="1" x14ac:dyDescent="0.2">
      <c r="A102" s="48"/>
      <c r="B102" s="43"/>
      <c r="C102" s="32"/>
      <c r="D102" s="75"/>
      <c r="E102" s="48"/>
      <c r="F102" s="53"/>
      <c r="G102" s="48"/>
      <c r="H102" s="53" t="str">
        <f t="shared" si="1"/>
        <v/>
      </c>
      <c r="I102" s="48"/>
    </row>
    <row r="103" spans="1:9" ht="15" customHeight="1" x14ac:dyDescent="0.2">
      <c r="A103" s="48"/>
      <c r="B103" s="43"/>
      <c r="C103" s="32"/>
      <c r="D103" s="75"/>
      <c r="E103" s="48"/>
      <c r="F103" s="53"/>
      <c r="G103" s="48"/>
      <c r="H103" s="53" t="str">
        <f t="shared" si="1"/>
        <v/>
      </c>
      <c r="I103" s="48"/>
    </row>
    <row r="104" spans="1:9" ht="15" customHeight="1" x14ac:dyDescent="0.2">
      <c r="A104" s="48"/>
      <c r="B104" s="43"/>
      <c r="C104" s="32"/>
      <c r="D104" s="75"/>
      <c r="E104" s="48"/>
      <c r="F104" s="53"/>
      <c r="G104" s="48"/>
      <c r="H104" s="53" t="str">
        <f t="shared" si="1"/>
        <v/>
      </c>
      <c r="I104" s="48"/>
    </row>
    <row r="105" spans="1:9" ht="15" customHeight="1" x14ac:dyDescent="0.2">
      <c r="A105" s="48"/>
      <c r="B105" s="43"/>
      <c r="C105" s="32"/>
      <c r="D105" s="75"/>
      <c r="E105" s="48"/>
      <c r="F105" s="53"/>
      <c r="G105" s="48"/>
      <c r="H105" s="53" t="str">
        <f t="shared" si="1"/>
        <v/>
      </c>
      <c r="I105" s="48"/>
    </row>
    <row r="106" spans="1:9" ht="15" customHeight="1" x14ac:dyDescent="0.2">
      <c r="A106" s="48"/>
      <c r="B106" s="43"/>
      <c r="C106" s="32"/>
      <c r="D106" s="75"/>
      <c r="E106" s="48"/>
      <c r="F106" s="53"/>
      <c r="G106" s="48"/>
      <c r="H106" s="53" t="str">
        <f t="shared" si="1"/>
        <v/>
      </c>
      <c r="I106" s="48"/>
    </row>
    <row r="107" spans="1:9" ht="15" customHeight="1" x14ac:dyDescent="0.2">
      <c r="A107" s="48"/>
      <c r="B107" s="43"/>
      <c r="C107" s="32"/>
      <c r="D107" s="75"/>
      <c r="E107" s="48"/>
      <c r="F107" s="53"/>
      <c r="G107" s="48"/>
      <c r="H107" s="53" t="str">
        <f t="shared" si="1"/>
        <v/>
      </c>
      <c r="I107" s="48"/>
    </row>
    <row r="108" spans="1:9" ht="15" customHeight="1" x14ac:dyDescent="0.2">
      <c r="A108" s="48"/>
      <c r="B108" s="43"/>
      <c r="C108" s="32"/>
      <c r="D108" s="75"/>
      <c r="E108" s="48"/>
      <c r="F108" s="53"/>
      <c r="G108" s="48"/>
      <c r="H108" s="53" t="str">
        <f t="shared" si="1"/>
        <v/>
      </c>
      <c r="I108" s="48"/>
    </row>
    <row r="109" spans="1:9" ht="15" customHeight="1" x14ac:dyDescent="0.2">
      <c r="A109" s="48"/>
      <c r="B109" s="43"/>
      <c r="C109" s="32"/>
      <c r="D109" s="75"/>
      <c r="E109" s="48"/>
      <c r="F109" s="53"/>
      <c r="G109" s="48"/>
      <c r="H109" s="53" t="str">
        <f t="shared" si="1"/>
        <v/>
      </c>
      <c r="I109" s="48"/>
    </row>
    <row r="110" spans="1:9" ht="15" customHeight="1" x14ac:dyDescent="0.2">
      <c r="A110" s="48"/>
      <c r="B110" s="43"/>
      <c r="C110" s="32"/>
      <c r="D110" s="75"/>
      <c r="E110" s="48"/>
      <c r="F110" s="53"/>
      <c r="G110" s="48"/>
      <c r="H110" s="53" t="str">
        <f t="shared" si="1"/>
        <v/>
      </c>
      <c r="I110" s="48"/>
    </row>
    <row r="111" spans="1:9" ht="15" customHeight="1" x14ac:dyDescent="0.2">
      <c r="A111" s="48"/>
      <c r="B111" s="43"/>
      <c r="C111" s="32"/>
      <c r="D111" s="75"/>
      <c r="E111" s="48"/>
      <c r="F111" s="53"/>
      <c r="G111" s="48"/>
      <c r="H111" s="53" t="str">
        <f t="shared" si="1"/>
        <v/>
      </c>
      <c r="I111" s="48"/>
    </row>
    <row r="112" spans="1:9" ht="15" customHeight="1" x14ac:dyDescent="0.2">
      <c r="A112" s="48"/>
      <c r="B112" s="43"/>
      <c r="C112" s="32"/>
      <c r="D112" s="75"/>
      <c r="E112" s="48"/>
      <c r="F112" s="53"/>
      <c r="G112" s="48"/>
      <c r="H112" s="53" t="str">
        <f t="shared" si="1"/>
        <v/>
      </c>
      <c r="I112" s="48"/>
    </row>
    <row r="113" spans="1:9" ht="15" customHeight="1" x14ac:dyDescent="0.2">
      <c r="A113" s="48"/>
      <c r="B113" s="43"/>
      <c r="C113" s="32"/>
      <c r="D113" s="75"/>
      <c r="E113" s="48"/>
      <c r="F113" s="53"/>
      <c r="G113" s="48"/>
      <c r="H113" s="53" t="str">
        <f t="shared" si="1"/>
        <v/>
      </c>
      <c r="I113" s="48"/>
    </row>
    <row r="114" spans="1:9" ht="15" customHeight="1" x14ac:dyDescent="0.2">
      <c r="A114" s="48"/>
      <c r="B114" s="43"/>
      <c r="C114" s="32"/>
      <c r="D114" s="75"/>
      <c r="E114" s="48"/>
      <c r="F114" s="53"/>
      <c r="G114" s="48"/>
      <c r="H114" s="53" t="str">
        <f t="shared" si="1"/>
        <v/>
      </c>
      <c r="I114" s="48"/>
    </row>
    <row r="115" spans="1:9" ht="15" customHeight="1" x14ac:dyDescent="0.2">
      <c r="A115" s="48"/>
      <c r="B115" s="43"/>
      <c r="C115" s="32"/>
      <c r="D115" s="75"/>
      <c r="E115" s="48"/>
      <c r="F115" s="53"/>
      <c r="G115" s="48"/>
      <c r="H115" s="53" t="str">
        <f t="shared" si="1"/>
        <v/>
      </c>
      <c r="I115" s="48"/>
    </row>
    <row r="116" spans="1:9" ht="15" customHeight="1" x14ac:dyDescent="0.2">
      <c r="A116" s="48"/>
      <c r="B116" s="43"/>
      <c r="C116" s="32"/>
      <c r="D116" s="75"/>
      <c r="E116" s="48"/>
      <c r="F116" s="53"/>
      <c r="G116" s="48"/>
      <c r="H116" s="53" t="str">
        <f t="shared" si="1"/>
        <v/>
      </c>
      <c r="I116" s="48"/>
    </row>
    <row r="117" spans="1:9" ht="15" customHeight="1" x14ac:dyDescent="0.2">
      <c r="A117" s="48"/>
      <c r="B117" s="43"/>
      <c r="C117" s="32"/>
      <c r="D117" s="75"/>
      <c r="E117" s="48"/>
      <c r="F117" s="53"/>
      <c r="G117" s="48"/>
      <c r="H117" s="53" t="str">
        <f t="shared" si="1"/>
        <v/>
      </c>
      <c r="I117" s="48"/>
    </row>
    <row r="118" spans="1:9" ht="15" customHeight="1" x14ac:dyDescent="0.2">
      <c r="A118" s="48"/>
      <c r="B118" s="43"/>
      <c r="C118" s="32"/>
      <c r="D118" s="75"/>
      <c r="E118" s="48"/>
      <c r="F118" s="53"/>
      <c r="G118" s="48"/>
      <c r="H118" s="53" t="str">
        <f t="shared" si="1"/>
        <v/>
      </c>
      <c r="I118" s="48"/>
    </row>
    <row r="119" spans="1:9" ht="15" customHeight="1" x14ac:dyDescent="0.2">
      <c r="A119" s="48"/>
      <c r="B119" s="43"/>
      <c r="C119" s="32"/>
      <c r="D119" s="75"/>
      <c r="E119" s="48"/>
      <c r="F119" s="53"/>
      <c r="G119" s="48"/>
      <c r="H119" s="53" t="str">
        <f t="shared" si="1"/>
        <v/>
      </c>
      <c r="I119" s="48"/>
    </row>
    <row r="120" spans="1:9" ht="15" customHeight="1" x14ac:dyDescent="0.2">
      <c r="A120" s="48"/>
      <c r="B120" s="43"/>
      <c r="C120" s="32"/>
      <c r="D120" s="75"/>
      <c r="E120" s="48"/>
      <c r="F120" s="53"/>
      <c r="G120" s="48"/>
      <c r="H120" s="53" t="str">
        <f t="shared" si="1"/>
        <v/>
      </c>
      <c r="I120" s="48"/>
    </row>
    <row r="121" spans="1:9" ht="15" customHeight="1" x14ac:dyDescent="0.2">
      <c r="A121" s="48"/>
      <c r="B121" s="43"/>
      <c r="C121" s="32"/>
      <c r="D121" s="75"/>
      <c r="E121" s="48"/>
      <c r="F121" s="53"/>
      <c r="G121" s="48"/>
      <c r="H121" s="53" t="str">
        <f t="shared" si="1"/>
        <v/>
      </c>
      <c r="I121" s="48"/>
    </row>
    <row r="122" spans="1:9" ht="15" customHeight="1" x14ac:dyDescent="0.2">
      <c r="A122" s="48"/>
      <c r="B122" s="43"/>
      <c r="C122" s="32"/>
      <c r="D122" s="75"/>
      <c r="E122" s="48"/>
      <c r="F122" s="53"/>
      <c r="G122" s="48"/>
      <c r="H122" s="53" t="str">
        <f t="shared" si="1"/>
        <v/>
      </c>
      <c r="I122" s="48"/>
    </row>
    <row r="123" spans="1:9" ht="15" customHeight="1" x14ac:dyDescent="0.2">
      <c r="A123" s="48"/>
      <c r="B123" s="43"/>
      <c r="C123" s="32"/>
      <c r="D123" s="75"/>
      <c r="E123" s="48"/>
      <c r="F123" s="53"/>
      <c r="G123" s="48"/>
      <c r="H123" s="53" t="str">
        <f t="shared" si="1"/>
        <v/>
      </c>
      <c r="I123" s="48"/>
    </row>
    <row r="124" spans="1:9" ht="15" customHeight="1" x14ac:dyDescent="0.2">
      <c r="A124" s="48"/>
      <c r="B124" s="43"/>
      <c r="C124" s="32"/>
      <c r="D124" s="75"/>
      <c r="E124" s="48"/>
      <c r="F124" s="53"/>
      <c r="G124" s="48"/>
      <c r="H124" s="53" t="str">
        <f t="shared" si="1"/>
        <v/>
      </c>
      <c r="I124" s="48"/>
    </row>
    <row r="125" spans="1:9" ht="15" customHeight="1" x14ac:dyDescent="0.2">
      <c r="A125" s="48"/>
      <c r="B125" s="43"/>
      <c r="C125" s="32"/>
      <c r="D125" s="75"/>
      <c r="E125" s="48"/>
      <c r="F125" s="53"/>
      <c r="G125" s="48"/>
      <c r="H125" s="53" t="str">
        <f t="shared" si="1"/>
        <v/>
      </c>
      <c r="I125" s="48"/>
    </row>
    <row r="126" spans="1:9" ht="15" customHeight="1" x14ac:dyDescent="0.2">
      <c r="A126" s="48"/>
      <c r="B126" s="43"/>
      <c r="C126" s="32"/>
      <c r="D126" s="75"/>
      <c r="E126" s="48"/>
      <c r="F126" s="53"/>
      <c r="G126" s="48"/>
      <c r="H126" s="53" t="str">
        <f t="shared" si="1"/>
        <v/>
      </c>
      <c r="I126" s="48"/>
    </row>
    <row r="127" spans="1:9" ht="15" customHeight="1" x14ac:dyDescent="0.2">
      <c r="A127" s="48"/>
      <c r="B127" s="43"/>
      <c r="C127" s="32"/>
      <c r="D127" s="75"/>
      <c r="E127" s="48"/>
      <c r="F127" s="53"/>
      <c r="G127" s="48"/>
      <c r="H127" s="53" t="str">
        <f t="shared" si="1"/>
        <v/>
      </c>
      <c r="I127" s="48"/>
    </row>
    <row r="128" spans="1:9" ht="15" customHeight="1" x14ac:dyDescent="0.2">
      <c r="A128" s="48"/>
      <c r="B128" s="43"/>
      <c r="C128" s="32"/>
      <c r="D128" s="75"/>
      <c r="E128" s="48"/>
      <c r="F128" s="53"/>
      <c r="G128" s="48"/>
      <c r="H128" s="53" t="str">
        <f t="shared" si="1"/>
        <v/>
      </c>
      <c r="I128" s="48"/>
    </row>
    <row r="129" spans="1:9" ht="15" customHeight="1" x14ac:dyDescent="0.2">
      <c r="A129" s="48"/>
      <c r="B129" s="43"/>
      <c r="C129" s="32"/>
      <c r="D129" s="75"/>
      <c r="E129" s="48"/>
      <c r="F129" s="53"/>
      <c r="G129" s="48"/>
      <c r="H129" s="53" t="str">
        <f t="shared" si="1"/>
        <v/>
      </c>
      <c r="I129" s="48"/>
    </row>
    <row r="130" spans="1:9" ht="15" customHeight="1" x14ac:dyDescent="0.2">
      <c r="A130" s="48"/>
      <c r="B130" s="43"/>
      <c r="C130" s="32"/>
      <c r="D130" s="75"/>
      <c r="E130" s="48"/>
      <c r="F130" s="53"/>
      <c r="G130" s="48"/>
      <c r="H130" s="53" t="str">
        <f t="shared" si="1"/>
        <v/>
      </c>
      <c r="I130" s="48"/>
    </row>
    <row r="131" spans="1:9" ht="15" customHeight="1" x14ac:dyDescent="0.2">
      <c r="A131" s="48"/>
      <c r="B131" s="43"/>
      <c r="C131" s="32"/>
      <c r="D131" s="75"/>
      <c r="E131" s="48"/>
      <c r="F131" s="53"/>
      <c r="G131" s="48"/>
      <c r="H131" s="53" t="str">
        <f t="shared" si="1"/>
        <v/>
      </c>
      <c r="I131" s="48"/>
    </row>
    <row r="132" spans="1:9" ht="15" customHeight="1" x14ac:dyDescent="0.2">
      <c r="A132" s="48"/>
      <c r="B132" s="43"/>
      <c r="C132" s="32"/>
      <c r="D132" s="75"/>
      <c r="E132" s="48"/>
      <c r="F132" s="53"/>
      <c r="G132" s="48"/>
      <c r="H132" s="53" t="str">
        <f t="shared" si="1"/>
        <v/>
      </c>
      <c r="I132" s="48"/>
    </row>
    <row r="133" spans="1:9" ht="15" customHeight="1" x14ac:dyDescent="0.2">
      <c r="A133" s="48"/>
      <c r="B133" s="43"/>
      <c r="C133" s="32"/>
      <c r="D133" s="75"/>
      <c r="E133" s="48"/>
      <c r="F133" s="53"/>
      <c r="G133" s="48"/>
      <c r="H133" s="53" t="str">
        <f t="shared" si="1"/>
        <v/>
      </c>
      <c r="I133" s="48"/>
    </row>
    <row r="134" spans="1:9" ht="15" customHeight="1" x14ac:dyDescent="0.2">
      <c r="A134" s="48"/>
      <c r="B134" s="43"/>
      <c r="C134" s="32"/>
      <c r="D134" s="75"/>
      <c r="E134" s="48"/>
      <c r="F134" s="53"/>
      <c r="G134" s="48"/>
      <c r="H134" s="53" t="str">
        <f t="shared" si="1"/>
        <v/>
      </c>
      <c r="I134" s="48"/>
    </row>
    <row r="135" spans="1:9" ht="15" customHeight="1" x14ac:dyDescent="0.2">
      <c r="A135" s="48"/>
      <c r="B135" s="43"/>
      <c r="C135" s="32"/>
      <c r="D135" s="75"/>
      <c r="E135" s="48"/>
      <c r="F135" s="53"/>
      <c r="G135" s="48"/>
      <c r="H135" s="53" t="str">
        <f t="shared" si="1"/>
        <v/>
      </c>
      <c r="I135" s="48"/>
    </row>
    <row r="136" spans="1:9" ht="15" customHeight="1" x14ac:dyDescent="0.2">
      <c r="A136" s="48"/>
      <c r="B136" s="43"/>
      <c r="C136" s="32"/>
      <c r="D136" s="75"/>
      <c r="E136" s="48"/>
      <c r="F136" s="53"/>
      <c r="G136" s="48"/>
      <c r="H136" s="53" t="str">
        <f t="shared" si="1"/>
        <v/>
      </c>
      <c r="I136" s="48"/>
    </row>
    <row r="137" spans="1:9" ht="15" customHeight="1" x14ac:dyDescent="0.2">
      <c r="A137" s="48"/>
      <c r="B137" s="43"/>
      <c r="C137" s="32"/>
      <c r="D137" s="75"/>
      <c r="E137" s="48"/>
      <c r="F137" s="53"/>
      <c r="G137" s="48"/>
      <c r="H137" s="53" t="str">
        <f t="shared" si="1"/>
        <v/>
      </c>
      <c r="I137" s="48"/>
    </row>
    <row r="138" spans="1:9" ht="15" customHeight="1" x14ac:dyDescent="0.2">
      <c r="A138" s="48"/>
      <c r="B138" s="43"/>
      <c r="C138" s="32"/>
      <c r="D138" s="75"/>
      <c r="E138" s="48"/>
      <c r="F138" s="53"/>
      <c r="G138" s="48"/>
      <c r="H138" s="53" t="str">
        <f t="shared" ref="H138:H201" si="2">IF(OR(F138="",G138=""),"",IF(F138="500 g",G138*0.5,IF(F138="2,5 kg",G138*2.5,"")))</f>
        <v/>
      </c>
      <c r="I138" s="48"/>
    </row>
    <row r="139" spans="1:9" ht="15" customHeight="1" x14ac:dyDescent="0.2">
      <c r="A139" s="48"/>
      <c r="B139" s="43"/>
      <c r="C139" s="32"/>
      <c r="D139" s="75"/>
      <c r="E139" s="48"/>
      <c r="F139" s="53"/>
      <c r="G139" s="48"/>
      <c r="H139" s="53" t="str">
        <f t="shared" si="2"/>
        <v/>
      </c>
      <c r="I139" s="48"/>
    </row>
    <row r="140" spans="1:9" ht="15" customHeight="1" x14ac:dyDescent="0.2">
      <c r="A140" s="48"/>
      <c r="B140" s="43"/>
      <c r="C140" s="32"/>
      <c r="D140" s="75"/>
      <c r="E140" s="48"/>
      <c r="F140" s="53"/>
      <c r="G140" s="48"/>
      <c r="H140" s="53" t="str">
        <f t="shared" si="2"/>
        <v/>
      </c>
      <c r="I140" s="48"/>
    </row>
    <row r="141" spans="1:9" ht="15" customHeight="1" x14ac:dyDescent="0.2">
      <c r="A141" s="48"/>
      <c r="B141" s="43"/>
      <c r="C141" s="32"/>
      <c r="D141" s="75"/>
      <c r="E141" s="48"/>
      <c r="F141" s="53"/>
      <c r="G141" s="48"/>
      <c r="H141" s="53" t="str">
        <f t="shared" si="2"/>
        <v/>
      </c>
      <c r="I141" s="48"/>
    </row>
    <row r="142" spans="1:9" ht="15" customHeight="1" x14ac:dyDescent="0.2">
      <c r="A142" s="48"/>
      <c r="B142" s="43"/>
      <c r="C142" s="32"/>
      <c r="D142" s="75"/>
      <c r="E142" s="48"/>
      <c r="F142" s="53"/>
      <c r="G142" s="48"/>
      <c r="H142" s="53" t="str">
        <f t="shared" si="2"/>
        <v/>
      </c>
      <c r="I142" s="48"/>
    </row>
    <row r="143" spans="1:9" ht="15" customHeight="1" x14ac:dyDescent="0.2">
      <c r="A143" s="48"/>
      <c r="B143" s="43"/>
      <c r="C143" s="32"/>
      <c r="D143" s="75"/>
      <c r="E143" s="48"/>
      <c r="F143" s="53"/>
      <c r="G143" s="48"/>
      <c r="H143" s="53" t="str">
        <f t="shared" si="2"/>
        <v/>
      </c>
      <c r="I143" s="48"/>
    </row>
    <row r="144" spans="1:9" ht="15" customHeight="1" x14ac:dyDescent="0.2">
      <c r="A144" s="48"/>
      <c r="B144" s="43"/>
      <c r="C144" s="32"/>
      <c r="D144" s="75"/>
      <c r="E144" s="48"/>
      <c r="F144" s="53"/>
      <c r="G144" s="48"/>
      <c r="H144" s="53" t="str">
        <f t="shared" si="2"/>
        <v/>
      </c>
      <c r="I144" s="48"/>
    </row>
    <row r="145" spans="1:9" ht="15" customHeight="1" x14ac:dyDescent="0.2">
      <c r="A145" s="48"/>
      <c r="B145" s="43"/>
      <c r="C145" s="32"/>
      <c r="D145" s="75"/>
      <c r="E145" s="48"/>
      <c r="F145" s="53"/>
      <c r="G145" s="48"/>
      <c r="H145" s="53" t="str">
        <f t="shared" si="2"/>
        <v/>
      </c>
      <c r="I145" s="48"/>
    </row>
    <row r="146" spans="1:9" ht="15" customHeight="1" x14ac:dyDescent="0.2">
      <c r="A146" s="48"/>
      <c r="B146" s="43"/>
      <c r="C146" s="32"/>
      <c r="D146" s="75"/>
      <c r="E146" s="48"/>
      <c r="F146" s="53"/>
      <c r="G146" s="48"/>
      <c r="H146" s="53" t="str">
        <f t="shared" si="2"/>
        <v/>
      </c>
      <c r="I146" s="48"/>
    </row>
    <row r="147" spans="1:9" ht="15" customHeight="1" x14ac:dyDescent="0.2">
      <c r="A147" s="48"/>
      <c r="B147" s="43"/>
      <c r="C147" s="32"/>
      <c r="D147" s="75"/>
      <c r="E147" s="48"/>
      <c r="F147" s="53"/>
      <c r="G147" s="48"/>
      <c r="H147" s="53" t="str">
        <f t="shared" si="2"/>
        <v/>
      </c>
      <c r="I147" s="48"/>
    </row>
    <row r="148" spans="1:9" ht="15" customHeight="1" x14ac:dyDescent="0.2">
      <c r="A148" s="48"/>
      <c r="B148" s="43"/>
      <c r="C148" s="32"/>
      <c r="D148" s="75"/>
      <c r="E148" s="48"/>
      <c r="F148" s="53"/>
      <c r="G148" s="48"/>
      <c r="H148" s="53" t="str">
        <f t="shared" si="2"/>
        <v/>
      </c>
      <c r="I148" s="48"/>
    </row>
    <row r="149" spans="1:9" ht="15" customHeight="1" x14ac:dyDescent="0.2">
      <c r="A149" s="48"/>
      <c r="B149" s="43"/>
      <c r="C149" s="32"/>
      <c r="D149" s="75"/>
      <c r="E149" s="48"/>
      <c r="F149" s="53"/>
      <c r="G149" s="48"/>
      <c r="H149" s="53" t="str">
        <f t="shared" si="2"/>
        <v/>
      </c>
      <c r="I149" s="48"/>
    </row>
    <row r="150" spans="1:9" ht="15" customHeight="1" x14ac:dyDescent="0.2">
      <c r="A150" s="48"/>
      <c r="B150" s="43"/>
      <c r="C150" s="32"/>
      <c r="D150" s="75"/>
      <c r="E150" s="48"/>
      <c r="F150" s="53"/>
      <c r="G150" s="48"/>
      <c r="H150" s="53" t="str">
        <f t="shared" si="2"/>
        <v/>
      </c>
      <c r="I150" s="48"/>
    </row>
    <row r="151" spans="1:9" ht="15" customHeight="1" x14ac:dyDescent="0.2">
      <c r="A151" s="48"/>
      <c r="B151" s="43"/>
      <c r="C151" s="32"/>
      <c r="D151" s="75"/>
      <c r="E151" s="48"/>
      <c r="F151" s="53"/>
      <c r="G151" s="48"/>
      <c r="H151" s="53" t="str">
        <f t="shared" si="2"/>
        <v/>
      </c>
      <c r="I151" s="48"/>
    </row>
    <row r="152" spans="1:9" ht="15" customHeight="1" x14ac:dyDescent="0.2">
      <c r="A152" s="48"/>
      <c r="B152" s="43"/>
      <c r="C152" s="32"/>
      <c r="D152" s="75"/>
      <c r="E152" s="48"/>
      <c r="F152" s="53"/>
      <c r="G152" s="48"/>
      <c r="H152" s="53" t="str">
        <f t="shared" si="2"/>
        <v/>
      </c>
      <c r="I152" s="48"/>
    </row>
    <row r="153" spans="1:9" ht="15" customHeight="1" x14ac:dyDescent="0.2">
      <c r="A153" s="48"/>
      <c r="B153" s="43"/>
      <c r="C153" s="32"/>
      <c r="D153" s="75"/>
      <c r="E153" s="48"/>
      <c r="F153" s="53"/>
      <c r="G153" s="48"/>
      <c r="H153" s="53" t="str">
        <f t="shared" si="2"/>
        <v/>
      </c>
      <c r="I153" s="48"/>
    </row>
    <row r="154" spans="1:9" ht="15" customHeight="1" x14ac:dyDescent="0.2">
      <c r="A154" s="48"/>
      <c r="B154" s="43"/>
      <c r="C154" s="32"/>
      <c r="D154" s="75"/>
      <c r="E154" s="48"/>
      <c r="F154" s="53"/>
      <c r="G154" s="48"/>
      <c r="H154" s="53" t="str">
        <f t="shared" si="2"/>
        <v/>
      </c>
      <c r="I154" s="48"/>
    </row>
    <row r="155" spans="1:9" ht="15" customHeight="1" x14ac:dyDescent="0.2">
      <c r="A155" s="48"/>
      <c r="B155" s="43"/>
      <c r="C155" s="32"/>
      <c r="D155" s="75"/>
      <c r="E155" s="48"/>
      <c r="F155" s="53"/>
      <c r="G155" s="48"/>
      <c r="H155" s="53" t="str">
        <f t="shared" si="2"/>
        <v/>
      </c>
      <c r="I155" s="48"/>
    </row>
    <row r="156" spans="1:9" ht="15" customHeight="1" x14ac:dyDescent="0.2">
      <c r="A156" s="48"/>
      <c r="B156" s="43"/>
      <c r="C156" s="32"/>
      <c r="D156" s="75"/>
      <c r="E156" s="48"/>
      <c r="F156" s="53"/>
      <c r="G156" s="48"/>
      <c r="H156" s="53" t="str">
        <f t="shared" si="2"/>
        <v/>
      </c>
      <c r="I156" s="48"/>
    </row>
    <row r="157" spans="1:9" ht="15" customHeight="1" x14ac:dyDescent="0.2">
      <c r="A157" s="48"/>
      <c r="B157" s="43"/>
      <c r="C157" s="32"/>
      <c r="D157" s="75"/>
      <c r="E157" s="48"/>
      <c r="F157" s="53"/>
      <c r="G157" s="48"/>
      <c r="H157" s="53" t="str">
        <f t="shared" si="2"/>
        <v/>
      </c>
      <c r="I157" s="48"/>
    </row>
    <row r="158" spans="1:9" ht="15" customHeight="1" x14ac:dyDescent="0.2">
      <c r="A158" s="48"/>
      <c r="B158" s="43"/>
      <c r="C158" s="32"/>
      <c r="D158" s="75"/>
      <c r="E158" s="48"/>
      <c r="F158" s="53"/>
      <c r="G158" s="48"/>
      <c r="H158" s="53" t="str">
        <f t="shared" si="2"/>
        <v/>
      </c>
      <c r="I158" s="48"/>
    </row>
    <row r="159" spans="1:9" ht="15" customHeight="1" x14ac:dyDescent="0.2">
      <c r="A159" s="48"/>
      <c r="B159" s="43"/>
      <c r="C159" s="32"/>
      <c r="D159" s="75"/>
      <c r="E159" s="48"/>
      <c r="F159" s="53"/>
      <c r="G159" s="48"/>
      <c r="H159" s="53" t="str">
        <f t="shared" si="2"/>
        <v/>
      </c>
      <c r="I159" s="48"/>
    </row>
    <row r="160" spans="1:9" ht="15" customHeight="1" x14ac:dyDescent="0.2">
      <c r="A160" s="48"/>
      <c r="B160" s="43"/>
      <c r="C160" s="32"/>
      <c r="D160" s="75"/>
      <c r="E160" s="48"/>
      <c r="F160" s="53"/>
      <c r="G160" s="48"/>
      <c r="H160" s="53" t="str">
        <f t="shared" si="2"/>
        <v/>
      </c>
      <c r="I160" s="48"/>
    </row>
    <row r="161" spans="1:9" ht="15" customHeight="1" x14ac:dyDescent="0.2">
      <c r="A161" s="48"/>
      <c r="B161" s="43"/>
      <c r="C161" s="32"/>
      <c r="D161" s="75"/>
      <c r="E161" s="48"/>
      <c r="F161" s="53"/>
      <c r="G161" s="48"/>
      <c r="H161" s="53" t="str">
        <f t="shared" si="2"/>
        <v/>
      </c>
      <c r="I161" s="48"/>
    </row>
    <row r="162" spans="1:9" ht="15" customHeight="1" x14ac:dyDescent="0.2">
      <c r="A162" s="48"/>
      <c r="B162" s="43"/>
      <c r="C162" s="32"/>
      <c r="D162" s="75"/>
      <c r="E162" s="48"/>
      <c r="F162" s="53"/>
      <c r="G162" s="48"/>
      <c r="H162" s="53" t="str">
        <f t="shared" si="2"/>
        <v/>
      </c>
      <c r="I162" s="48"/>
    </row>
    <row r="163" spans="1:9" ht="15" customHeight="1" x14ac:dyDescent="0.2">
      <c r="A163" s="48"/>
      <c r="B163" s="43"/>
      <c r="C163" s="32"/>
      <c r="D163" s="75"/>
      <c r="E163" s="48"/>
      <c r="F163" s="53"/>
      <c r="G163" s="48"/>
      <c r="H163" s="53" t="str">
        <f t="shared" si="2"/>
        <v/>
      </c>
      <c r="I163" s="48"/>
    </row>
    <row r="164" spans="1:9" ht="15" customHeight="1" x14ac:dyDescent="0.2">
      <c r="A164" s="48"/>
      <c r="B164" s="43"/>
      <c r="C164" s="32"/>
      <c r="D164" s="75"/>
      <c r="E164" s="48"/>
      <c r="F164" s="53"/>
      <c r="G164" s="48"/>
      <c r="H164" s="53" t="str">
        <f t="shared" si="2"/>
        <v/>
      </c>
      <c r="I164" s="48"/>
    </row>
    <row r="165" spans="1:9" ht="15" customHeight="1" x14ac:dyDescent="0.2">
      <c r="A165" s="48"/>
      <c r="B165" s="43"/>
      <c r="C165" s="32"/>
      <c r="D165" s="75"/>
      <c r="E165" s="48"/>
      <c r="F165" s="53"/>
      <c r="G165" s="48"/>
      <c r="H165" s="53" t="str">
        <f t="shared" si="2"/>
        <v/>
      </c>
      <c r="I165" s="48"/>
    </row>
    <row r="166" spans="1:9" ht="15" customHeight="1" x14ac:dyDescent="0.2">
      <c r="A166" s="48"/>
      <c r="B166" s="43"/>
      <c r="C166" s="32"/>
      <c r="D166" s="75"/>
      <c r="E166" s="48"/>
      <c r="F166" s="53"/>
      <c r="G166" s="48"/>
      <c r="H166" s="53" t="str">
        <f t="shared" si="2"/>
        <v/>
      </c>
      <c r="I166" s="48"/>
    </row>
    <row r="167" spans="1:9" ht="15" customHeight="1" x14ac:dyDescent="0.2">
      <c r="A167" s="48"/>
      <c r="B167" s="43"/>
      <c r="C167" s="32"/>
      <c r="D167" s="75"/>
      <c r="E167" s="48"/>
      <c r="F167" s="53"/>
      <c r="G167" s="48"/>
      <c r="H167" s="53" t="str">
        <f t="shared" si="2"/>
        <v/>
      </c>
      <c r="I167" s="48"/>
    </row>
    <row r="168" spans="1:9" ht="15" customHeight="1" x14ac:dyDescent="0.2">
      <c r="A168" s="48"/>
      <c r="B168" s="43"/>
      <c r="C168" s="32"/>
      <c r="D168" s="75"/>
      <c r="E168" s="48"/>
      <c r="F168" s="53"/>
      <c r="G168" s="48"/>
      <c r="H168" s="53" t="str">
        <f t="shared" si="2"/>
        <v/>
      </c>
      <c r="I168" s="48"/>
    </row>
    <row r="169" spans="1:9" ht="15" customHeight="1" x14ac:dyDescent="0.2">
      <c r="A169" s="48"/>
      <c r="B169" s="43"/>
      <c r="C169" s="32"/>
      <c r="D169" s="75"/>
      <c r="E169" s="48"/>
      <c r="F169" s="53"/>
      <c r="G169" s="48"/>
      <c r="H169" s="53" t="str">
        <f t="shared" si="2"/>
        <v/>
      </c>
      <c r="I169" s="48"/>
    </row>
    <row r="170" spans="1:9" ht="15" customHeight="1" x14ac:dyDescent="0.2">
      <c r="A170" s="48"/>
      <c r="B170" s="43"/>
      <c r="C170" s="32"/>
      <c r="D170" s="75"/>
      <c r="E170" s="48"/>
      <c r="F170" s="53"/>
      <c r="G170" s="48"/>
      <c r="H170" s="53" t="str">
        <f t="shared" si="2"/>
        <v/>
      </c>
      <c r="I170" s="48"/>
    </row>
    <row r="171" spans="1:9" ht="15" customHeight="1" x14ac:dyDescent="0.2">
      <c r="A171" s="48"/>
      <c r="B171" s="43"/>
      <c r="C171" s="32"/>
      <c r="D171" s="75"/>
      <c r="E171" s="48"/>
      <c r="F171" s="53"/>
      <c r="G171" s="48"/>
      <c r="H171" s="53" t="str">
        <f t="shared" si="2"/>
        <v/>
      </c>
      <c r="I171" s="48"/>
    </row>
    <row r="172" spans="1:9" ht="15" customHeight="1" x14ac:dyDescent="0.2">
      <c r="A172" s="48"/>
      <c r="B172" s="43"/>
      <c r="C172" s="32"/>
      <c r="D172" s="75"/>
      <c r="E172" s="48"/>
      <c r="F172" s="53"/>
      <c r="G172" s="48"/>
      <c r="H172" s="53" t="str">
        <f t="shared" si="2"/>
        <v/>
      </c>
      <c r="I172" s="48"/>
    </row>
    <row r="173" spans="1:9" ht="15" customHeight="1" x14ac:dyDescent="0.2">
      <c r="A173" s="48"/>
      <c r="B173" s="43"/>
      <c r="C173" s="32"/>
      <c r="D173" s="75"/>
      <c r="E173" s="48"/>
      <c r="F173" s="53"/>
      <c r="G173" s="48"/>
      <c r="H173" s="53" t="str">
        <f t="shared" si="2"/>
        <v/>
      </c>
      <c r="I173" s="48"/>
    </row>
    <row r="174" spans="1:9" ht="15" customHeight="1" x14ac:dyDescent="0.2">
      <c r="A174" s="48"/>
      <c r="B174" s="43"/>
      <c r="C174" s="32"/>
      <c r="D174" s="75"/>
      <c r="E174" s="48"/>
      <c r="F174" s="53"/>
      <c r="G174" s="48"/>
      <c r="H174" s="53" t="str">
        <f t="shared" si="2"/>
        <v/>
      </c>
      <c r="I174" s="48"/>
    </row>
    <row r="175" spans="1:9" ht="15" customHeight="1" x14ac:dyDescent="0.2">
      <c r="A175" s="48"/>
      <c r="B175" s="43"/>
      <c r="C175" s="32"/>
      <c r="D175" s="75"/>
      <c r="E175" s="48"/>
      <c r="F175" s="53"/>
      <c r="G175" s="48"/>
      <c r="H175" s="53" t="str">
        <f t="shared" si="2"/>
        <v/>
      </c>
      <c r="I175" s="48"/>
    </row>
    <row r="176" spans="1:9" ht="15" customHeight="1" x14ac:dyDescent="0.2">
      <c r="A176" s="48"/>
      <c r="B176" s="43"/>
      <c r="C176" s="32"/>
      <c r="D176" s="75"/>
      <c r="E176" s="48"/>
      <c r="F176" s="53"/>
      <c r="G176" s="48"/>
      <c r="H176" s="53" t="str">
        <f t="shared" si="2"/>
        <v/>
      </c>
      <c r="I176" s="48"/>
    </row>
    <row r="177" spans="1:9" ht="15" customHeight="1" x14ac:dyDescent="0.2">
      <c r="A177" s="48"/>
      <c r="B177" s="43"/>
      <c r="C177" s="32"/>
      <c r="D177" s="75"/>
      <c r="E177" s="48"/>
      <c r="F177" s="53"/>
      <c r="G177" s="48"/>
      <c r="H177" s="53" t="str">
        <f t="shared" si="2"/>
        <v/>
      </c>
      <c r="I177" s="48"/>
    </row>
    <row r="178" spans="1:9" ht="15" customHeight="1" x14ac:dyDescent="0.2">
      <c r="A178" s="48"/>
      <c r="B178" s="43"/>
      <c r="C178" s="32"/>
      <c r="D178" s="75"/>
      <c r="E178" s="48"/>
      <c r="F178" s="53"/>
      <c r="G178" s="48"/>
      <c r="H178" s="53" t="str">
        <f t="shared" si="2"/>
        <v/>
      </c>
      <c r="I178" s="48"/>
    </row>
    <row r="179" spans="1:9" ht="15" customHeight="1" x14ac:dyDescent="0.2">
      <c r="A179" s="48"/>
      <c r="B179" s="43"/>
      <c r="C179" s="32"/>
      <c r="D179" s="75"/>
      <c r="E179" s="48"/>
      <c r="F179" s="53"/>
      <c r="G179" s="48"/>
      <c r="H179" s="53" t="str">
        <f t="shared" si="2"/>
        <v/>
      </c>
      <c r="I179" s="48"/>
    </row>
    <row r="180" spans="1:9" ht="15" customHeight="1" x14ac:dyDescent="0.2">
      <c r="A180" s="48"/>
      <c r="B180" s="43"/>
      <c r="C180" s="32"/>
      <c r="D180" s="75"/>
      <c r="E180" s="48"/>
      <c r="F180" s="53"/>
      <c r="G180" s="48"/>
      <c r="H180" s="53" t="str">
        <f t="shared" si="2"/>
        <v/>
      </c>
      <c r="I180" s="48"/>
    </row>
    <row r="181" spans="1:9" ht="15" customHeight="1" x14ac:dyDescent="0.2">
      <c r="A181" s="48"/>
      <c r="B181" s="43"/>
      <c r="C181" s="32"/>
      <c r="D181" s="75"/>
      <c r="E181" s="48"/>
      <c r="F181" s="53"/>
      <c r="G181" s="48"/>
      <c r="H181" s="53" t="str">
        <f t="shared" si="2"/>
        <v/>
      </c>
      <c r="I181" s="48"/>
    </row>
    <row r="182" spans="1:9" ht="15" customHeight="1" x14ac:dyDescent="0.2">
      <c r="A182" s="48"/>
      <c r="B182" s="43"/>
      <c r="C182" s="32"/>
      <c r="D182" s="75"/>
      <c r="E182" s="48"/>
      <c r="F182" s="53"/>
      <c r="G182" s="48"/>
      <c r="H182" s="53" t="str">
        <f t="shared" si="2"/>
        <v/>
      </c>
      <c r="I182" s="48"/>
    </row>
    <row r="183" spans="1:9" ht="15" customHeight="1" x14ac:dyDescent="0.2">
      <c r="A183" s="48"/>
      <c r="B183" s="43"/>
      <c r="C183" s="32"/>
      <c r="D183" s="75"/>
      <c r="E183" s="48"/>
      <c r="F183" s="53"/>
      <c r="G183" s="48"/>
      <c r="H183" s="53" t="str">
        <f t="shared" si="2"/>
        <v/>
      </c>
      <c r="I183" s="48"/>
    </row>
    <row r="184" spans="1:9" ht="15" customHeight="1" x14ac:dyDescent="0.2">
      <c r="A184" s="48"/>
      <c r="B184" s="43"/>
      <c r="C184" s="32"/>
      <c r="D184" s="75"/>
      <c r="E184" s="48"/>
      <c r="F184" s="53"/>
      <c r="G184" s="48"/>
      <c r="H184" s="53" t="str">
        <f t="shared" si="2"/>
        <v/>
      </c>
      <c r="I184" s="48"/>
    </row>
    <row r="185" spans="1:9" ht="15" customHeight="1" x14ac:dyDescent="0.2">
      <c r="A185" s="48"/>
      <c r="B185" s="43"/>
      <c r="C185" s="32"/>
      <c r="D185" s="75"/>
      <c r="E185" s="48"/>
      <c r="F185" s="53"/>
      <c r="G185" s="48"/>
      <c r="H185" s="53" t="str">
        <f t="shared" si="2"/>
        <v/>
      </c>
      <c r="I185" s="48"/>
    </row>
    <row r="186" spans="1:9" ht="15" customHeight="1" x14ac:dyDescent="0.2">
      <c r="A186" s="48"/>
      <c r="B186" s="43"/>
      <c r="C186" s="32"/>
      <c r="D186" s="75"/>
      <c r="E186" s="48"/>
      <c r="F186" s="53"/>
      <c r="G186" s="48"/>
      <c r="H186" s="53" t="str">
        <f t="shared" si="2"/>
        <v/>
      </c>
      <c r="I186" s="48"/>
    </row>
    <row r="187" spans="1:9" ht="15" customHeight="1" x14ac:dyDescent="0.2">
      <c r="A187" s="48"/>
      <c r="B187" s="43"/>
      <c r="C187" s="32"/>
      <c r="D187" s="75"/>
      <c r="E187" s="48"/>
      <c r="F187" s="53"/>
      <c r="G187" s="48"/>
      <c r="H187" s="53" t="str">
        <f t="shared" si="2"/>
        <v/>
      </c>
      <c r="I187" s="48"/>
    </row>
    <row r="188" spans="1:9" ht="15" customHeight="1" x14ac:dyDescent="0.2">
      <c r="A188" s="48"/>
      <c r="B188" s="43"/>
      <c r="C188" s="32"/>
      <c r="D188" s="75"/>
      <c r="E188" s="48"/>
      <c r="F188" s="53"/>
      <c r="G188" s="48"/>
      <c r="H188" s="53" t="str">
        <f t="shared" si="2"/>
        <v/>
      </c>
      <c r="I188" s="48"/>
    </row>
    <row r="189" spans="1:9" ht="15" customHeight="1" x14ac:dyDescent="0.2">
      <c r="A189" s="48"/>
      <c r="B189" s="43"/>
      <c r="C189" s="32"/>
      <c r="D189" s="75"/>
      <c r="E189" s="48"/>
      <c r="F189" s="53"/>
      <c r="G189" s="48"/>
      <c r="H189" s="53" t="str">
        <f t="shared" si="2"/>
        <v/>
      </c>
      <c r="I189" s="48"/>
    </row>
    <row r="190" spans="1:9" ht="15" customHeight="1" x14ac:dyDescent="0.2">
      <c r="A190" s="48"/>
      <c r="B190" s="43"/>
      <c r="C190" s="32"/>
      <c r="D190" s="75"/>
      <c r="E190" s="48"/>
      <c r="F190" s="53"/>
      <c r="G190" s="48"/>
      <c r="H190" s="53" t="str">
        <f t="shared" si="2"/>
        <v/>
      </c>
      <c r="I190" s="48"/>
    </row>
    <row r="191" spans="1:9" ht="15" customHeight="1" x14ac:dyDescent="0.2">
      <c r="A191" s="48"/>
      <c r="B191" s="43"/>
      <c r="C191" s="32"/>
      <c r="D191" s="75"/>
      <c r="E191" s="48"/>
      <c r="F191" s="53"/>
      <c r="G191" s="48"/>
      <c r="H191" s="53" t="str">
        <f t="shared" si="2"/>
        <v/>
      </c>
      <c r="I191" s="48"/>
    </row>
    <row r="192" spans="1:9" ht="15" customHeight="1" x14ac:dyDescent="0.2">
      <c r="A192" s="48"/>
      <c r="B192" s="43"/>
      <c r="C192" s="32"/>
      <c r="D192" s="75"/>
      <c r="E192" s="48"/>
      <c r="F192" s="53"/>
      <c r="G192" s="48"/>
      <c r="H192" s="53" t="str">
        <f t="shared" si="2"/>
        <v/>
      </c>
      <c r="I192" s="48"/>
    </row>
    <row r="193" spans="1:9" ht="15" customHeight="1" x14ac:dyDescent="0.2">
      <c r="A193" s="48"/>
      <c r="B193" s="43"/>
      <c r="C193" s="32"/>
      <c r="D193" s="75"/>
      <c r="E193" s="48"/>
      <c r="F193" s="53"/>
      <c r="G193" s="48"/>
      <c r="H193" s="53" t="str">
        <f t="shared" si="2"/>
        <v/>
      </c>
      <c r="I193" s="48"/>
    </row>
    <row r="194" spans="1:9" ht="15" customHeight="1" x14ac:dyDescent="0.2">
      <c r="A194" s="48"/>
      <c r="B194" s="43"/>
      <c r="C194" s="32"/>
      <c r="D194" s="75"/>
      <c r="E194" s="48"/>
      <c r="F194" s="53"/>
      <c r="G194" s="48"/>
      <c r="H194" s="53" t="str">
        <f t="shared" si="2"/>
        <v/>
      </c>
      <c r="I194" s="48"/>
    </row>
    <row r="195" spans="1:9" ht="15" customHeight="1" x14ac:dyDescent="0.2">
      <c r="A195" s="48"/>
      <c r="B195" s="43"/>
      <c r="C195" s="32"/>
      <c r="D195" s="75"/>
      <c r="E195" s="48"/>
      <c r="F195" s="53"/>
      <c r="G195" s="48"/>
      <c r="H195" s="53" t="str">
        <f t="shared" si="2"/>
        <v/>
      </c>
      <c r="I195" s="48"/>
    </row>
    <row r="196" spans="1:9" ht="15" customHeight="1" x14ac:dyDescent="0.2">
      <c r="A196" s="48"/>
      <c r="B196" s="43"/>
      <c r="C196" s="32"/>
      <c r="D196" s="75"/>
      <c r="E196" s="48"/>
      <c r="F196" s="53"/>
      <c r="G196" s="48"/>
      <c r="H196" s="53" t="str">
        <f t="shared" si="2"/>
        <v/>
      </c>
      <c r="I196" s="48"/>
    </row>
    <row r="197" spans="1:9" ht="15" customHeight="1" x14ac:dyDescent="0.2">
      <c r="A197" s="48"/>
      <c r="B197" s="43"/>
      <c r="C197" s="32"/>
      <c r="D197" s="75"/>
      <c r="E197" s="48"/>
      <c r="F197" s="53"/>
      <c r="G197" s="48"/>
      <c r="H197" s="53" t="str">
        <f t="shared" si="2"/>
        <v/>
      </c>
      <c r="I197" s="48"/>
    </row>
    <row r="198" spans="1:9" ht="15" customHeight="1" x14ac:dyDescent="0.2">
      <c r="A198" s="48"/>
      <c r="B198" s="43"/>
      <c r="C198" s="32"/>
      <c r="D198" s="75"/>
      <c r="E198" s="48"/>
      <c r="F198" s="53"/>
      <c r="G198" s="48"/>
      <c r="H198" s="53" t="str">
        <f t="shared" si="2"/>
        <v/>
      </c>
      <c r="I198" s="48"/>
    </row>
    <row r="199" spans="1:9" ht="15" customHeight="1" x14ac:dyDescent="0.2">
      <c r="A199" s="48"/>
      <c r="B199" s="43"/>
      <c r="C199" s="32"/>
      <c r="D199" s="75"/>
      <c r="E199" s="48"/>
      <c r="F199" s="53"/>
      <c r="G199" s="48"/>
      <c r="H199" s="53" t="str">
        <f t="shared" si="2"/>
        <v/>
      </c>
      <c r="I199" s="48"/>
    </row>
    <row r="200" spans="1:9" ht="15" customHeight="1" x14ac:dyDescent="0.2">
      <c r="A200" s="48"/>
      <c r="B200" s="43"/>
      <c r="C200" s="32"/>
      <c r="D200" s="75"/>
      <c r="E200" s="48"/>
      <c r="F200" s="53"/>
      <c r="G200" s="48"/>
      <c r="H200" s="53" t="str">
        <f t="shared" si="2"/>
        <v/>
      </c>
      <c r="I200" s="48"/>
    </row>
    <row r="201" spans="1:9" ht="15" customHeight="1" x14ac:dyDescent="0.2">
      <c r="A201" s="48"/>
      <c r="B201" s="43"/>
      <c r="C201" s="32"/>
      <c r="D201" s="75"/>
      <c r="E201" s="48"/>
      <c r="F201" s="53"/>
      <c r="G201" s="48"/>
      <c r="H201" s="53" t="str">
        <f t="shared" si="2"/>
        <v/>
      </c>
      <c r="I201" s="48"/>
    </row>
    <row r="202" spans="1:9" ht="15" customHeight="1" x14ac:dyDescent="0.2">
      <c r="A202" s="48"/>
      <c r="B202" s="43"/>
      <c r="C202" s="32"/>
      <c r="D202" s="75"/>
      <c r="E202" s="48"/>
      <c r="F202" s="53"/>
      <c r="G202" s="48"/>
      <c r="H202" s="53" t="str">
        <f t="shared" ref="H202:H265" si="3">IF(OR(F202="",G202=""),"",IF(F202="500 g",G202*0.5,IF(F202="2,5 kg",G202*2.5,"")))</f>
        <v/>
      </c>
      <c r="I202" s="48"/>
    </row>
    <row r="203" spans="1:9" ht="15" customHeight="1" x14ac:dyDescent="0.2">
      <c r="A203" s="48"/>
      <c r="B203" s="43"/>
      <c r="C203" s="32"/>
      <c r="D203" s="75"/>
      <c r="E203" s="48"/>
      <c r="F203" s="53"/>
      <c r="G203" s="48"/>
      <c r="H203" s="53" t="str">
        <f t="shared" si="3"/>
        <v/>
      </c>
      <c r="I203" s="48"/>
    </row>
    <row r="204" spans="1:9" ht="15" customHeight="1" x14ac:dyDescent="0.2">
      <c r="A204" s="48"/>
      <c r="B204" s="43"/>
      <c r="C204" s="32"/>
      <c r="D204" s="75"/>
      <c r="E204" s="48"/>
      <c r="F204" s="53"/>
      <c r="G204" s="48"/>
      <c r="H204" s="53" t="str">
        <f t="shared" si="3"/>
        <v/>
      </c>
      <c r="I204" s="48"/>
    </row>
    <row r="205" spans="1:9" ht="15" customHeight="1" x14ac:dyDescent="0.2">
      <c r="A205" s="48"/>
      <c r="B205" s="43"/>
      <c r="C205" s="32"/>
      <c r="D205" s="75"/>
      <c r="E205" s="48"/>
      <c r="F205" s="53"/>
      <c r="G205" s="48"/>
      <c r="H205" s="53" t="str">
        <f t="shared" si="3"/>
        <v/>
      </c>
      <c r="I205" s="48"/>
    </row>
    <row r="206" spans="1:9" ht="15" customHeight="1" x14ac:dyDescent="0.2">
      <c r="A206" s="48"/>
      <c r="B206" s="43"/>
      <c r="C206" s="32"/>
      <c r="D206" s="75"/>
      <c r="E206" s="48"/>
      <c r="F206" s="53"/>
      <c r="G206" s="48"/>
      <c r="H206" s="53" t="str">
        <f t="shared" si="3"/>
        <v/>
      </c>
      <c r="I206" s="48"/>
    </row>
    <row r="207" spans="1:9" ht="15" customHeight="1" x14ac:dyDescent="0.2">
      <c r="A207" s="48"/>
      <c r="B207" s="43"/>
      <c r="C207" s="32"/>
      <c r="D207" s="75"/>
      <c r="E207" s="48"/>
      <c r="F207" s="53"/>
      <c r="G207" s="48"/>
      <c r="H207" s="53" t="str">
        <f t="shared" si="3"/>
        <v/>
      </c>
      <c r="I207" s="48"/>
    </row>
    <row r="208" spans="1:9" ht="15" customHeight="1" x14ac:dyDescent="0.2">
      <c r="A208" s="48"/>
      <c r="B208" s="43"/>
      <c r="C208" s="32"/>
      <c r="D208" s="75"/>
      <c r="E208" s="48"/>
      <c r="F208" s="53"/>
      <c r="G208" s="48"/>
      <c r="H208" s="53" t="str">
        <f t="shared" si="3"/>
        <v/>
      </c>
      <c r="I208" s="48"/>
    </row>
    <row r="209" spans="1:9" ht="15" customHeight="1" x14ac:dyDescent="0.2">
      <c r="A209" s="48"/>
      <c r="B209" s="43"/>
      <c r="C209" s="32"/>
      <c r="D209" s="75"/>
      <c r="E209" s="48"/>
      <c r="F209" s="53"/>
      <c r="G209" s="48"/>
      <c r="H209" s="53" t="str">
        <f t="shared" si="3"/>
        <v/>
      </c>
      <c r="I209" s="48"/>
    </row>
    <row r="210" spans="1:9" ht="15" customHeight="1" x14ac:dyDescent="0.2">
      <c r="A210" s="48"/>
      <c r="B210" s="43"/>
      <c r="C210" s="32"/>
      <c r="D210" s="75"/>
      <c r="E210" s="48"/>
      <c r="F210" s="53"/>
      <c r="G210" s="48"/>
      <c r="H210" s="53" t="str">
        <f t="shared" si="3"/>
        <v/>
      </c>
      <c r="I210" s="48"/>
    </row>
    <row r="211" spans="1:9" ht="15" customHeight="1" x14ac:dyDescent="0.2">
      <c r="A211" s="48"/>
      <c r="B211" s="43"/>
      <c r="C211" s="32"/>
      <c r="D211" s="75"/>
      <c r="E211" s="48"/>
      <c r="F211" s="53"/>
      <c r="G211" s="48"/>
      <c r="H211" s="53" t="str">
        <f t="shared" si="3"/>
        <v/>
      </c>
      <c r="I211" s="48"/>
    </row>
    <row r="212" spans="1:9" ht="15" customHeight="1" x14ac:dyDescent="0.2">
      <c r="A212" s="48"/>
      <c r="B212" s="43"/>
      <c r="C212" s="32"/>
      <c r="D212" s="75"/>
      <c r="E212" s="48"/>
      <c r="F212" s="53"/>
      <c r="G212" s="48"/>
      <c r="H212" s="53" t="str">
        <f t="shared" si="3"/>
        <v/>
      </c>
      <c r="I212" s="48"/>
    </row>
    <row r="213" spans="1:9" ht="15" customHeight="1" x14ac:dyDescent="0.2">
      <c r="A213" s="48"/>
      <c r="B213" s="43"/>
      <c r="C213" s="32"/>
      <c r="D213" s="75"/>
      <c r="E213" s="48"/>
      <c r="F213" s="53"/>
      <c r="G213" s="48"/>
      <c r="H213" s="53" t="str">
        <f t="shared" si="3"/>
        <v/>
      </c>
      <c r="I213" s="48"/>
    </row>
    <row r="214" spans="1:9" ht="15" customHeight="1" x14ac:dyDescent="0.2">
      <c r="A214" s="48"/>
      <c r="B214" s="43"/>
      <c r="C214" s="32"/>
      <c r="D214" s="75"/>
      <c r="E214" s="48"/>
      <c r="F214" s="53"/>
      <c r="G214" s="48"/>
      <c r="H214" s="53" t="str">
        <f t="shared" si="3"/>
        <v/>
      </c>
      <c r="I214" s="48"/>
    </row>
    <row r="215" spans="1:9" ht="15" customHeight="1" x14ac:dyDescent="0.2">
      <c r="A215" s="48"/>
      <c r="B215" s="43"/>
      <c r="C215" s="32"/>
      <c r="D215" s="75"/>
      <c r="E215" s="48"/>
      <c r="F215" s="53"/>
      <c r="G215" s="48"/>
      <c r="H215" s="53" t="str">
        <f t="shared" si="3"/>
        <v/>
      </c>
      <c r="I215" s="48"/>
    </row>
    <row r="216" spans="1:9" ht="15" customHeight="1" x14ac:dyDescent="0.2">
      <c r="A216" s="48"/>
      <c r="B216" s="43"/>
      <c r="C216" s="32"/>
      <c r="D216" s="75"/>
      <c r="E216" s="48"/>
      <c r="F216" s="53"/>
      <c r="G216" s="48"/>
      <c r="H216" s="53" t="str">
        <f t="shared" si="3"/>
        <v/>
      </c>
      <c r="I216" s="48"/>
    </row>
    <row r="217" spans="1:9" ht="15" customHeight="1" x14ac:dyDescent="0.2">
      <c r="A217" s="48"/>
      <c r="B217" s="43"/>
      <c r="C217" s="32"/>
      <c r="D217" s="75"/>
      <c r="E217" s="48"/>
      <c r="F217" s="53"/>
      <c r="G217" s="48"/>
      <c r="H217" s="53" t="str">
        <f t="shared" si="3"/>
        <v/>
      </c>
      <c r="I217" s="48"/>
    </row>
    <row r="218" spans="1:9" ht="15" customHeight="1" x14ac:dyDescent="0.2">
      <c r="A218" s="48"/>
      <c r="B218" s="43"/>
      <c r="C218" s="32"/>
      <c r="D218" s="75"/>
      <c r="E218" s="48"/>
      <c r="F218" s="53"/>
      <c r="G218" s="48"/>
      <c r="H218" s="53" t="str">
        <f t="shared" si="3"/>
        <v/>
      </c>
      <c r="I218" s="48"/>
    </row>
    <row r="219" spans="1:9" ht="15" customHeight="1" x14ac:dyDescent="0.2">
      <c r="A219" s="48"/>
      <c r="B219" s="43"/>
      <c r="C219" s="32"/>
      <c r="D219" s="75"/>
      <c r="E219" s="48"/>
      <c r="F219" s="53"/>
      <c r="G219" s="48"/>
      <c r="H219" s="53" t="str">
        <f t="shared" si="3"/>
        <v/>
      </c>
      <c r="I219" s="48"/>
    </row>
    <row r="220" spans="1:9" ht="15" customHeight="1" x14ac:dyDescent="0.2">
      <c r="A220" s="48"/>
      <c r="B220" s="43"/>
      <c r="C220" s="32"/>
      <c r="D220" s="75"/>
      <c r="E220" s="48"/>
      <c r="F220" s="53"/>
      <c r="G220" s="48"/>
      <c r="H220" s="53" t="str">
        <f t="shared" si="3"/>
        <v/>
      </c>
      <c r="I220" s="48"/>
    </row>
    <row r="221" spans="1:9" ht="15" customHeight="1" x14ac:dyDescent="0.2">
      <c r="A221" s="48"/>
      <c r="B221" s="43"/>
      <c r="C221" s="32"/>
      <c r="D221" s="75"/>
      <c r="E221" s="48"/>
      <c r="F221" s="53"/>
      <c r="G221" s="48"/>
      <c r="H221" s="53" t="str">
        <f t="shared" si="3"/>
        <v/>
      </c>
      <c r="I221" s="48"/>
    </row>
    <row r="222" spans="1:9" ht="15" customHeight="1" x14ac:dyDescent="0.2">
      <c r="A222" s="48"/>
      <c r="B222" s="43"/>
      <c r="C222" s="32"/>
      <c r="D222" s="75"/>
      <c r="E222" s="48"/>
      <c r="F222" s="53"/>
      <c r="G222" s="48"/>
      <c r="H222" s="53" t="str">
        <f t="shared" si="3"/>
        <v/>
      </c>
      <c r="I222" s="48"/>
    </row>
    <row r="223" spans="1:9" ht="15" customHeight="1" x14ac:dyDescent="0.2">
      <c r="A223" s="48"/>
      <c r="B223" s="43"/>
      <c r="C223" s="32"/>
      <c r="D223" s="75"/>
      <c r="E223" s="48"/>
      <c r="F223" s="53"/>
      <c r="G223" s="48"/>
      <c r="H223" s="53" t="str">
        <f t="shared" si="3"/>
        <v/>
      </c>
      <c r="I223" s="48"/>
    </row>
    <row r="224" spans="1:9" ht="15" customHeight="1" x14ac:dyDescent="0.2">
      <c r="A224" s="48"/>
      <c r="B224" s="43"/>
      <c r="C224" s="32"/>
      <c r="D224" s="75"/>
      <c r="E224" s="48"/>
      <c r="F224" s="53"/>
      <c r="G224" s="48"/>
      <c r="H224" s="53" t="str">
        <f t="shared" si="3"/>
        <v/>
      </c>
      <c r="I224" s="48"/>
    </row>
    <row r="225" spans="1:9" ht="15" customHeight="1" x14ac:dyDescent="0.2">
      <c r="A225" s="48"/>
      <c r="B225" s="43"/>
      <c r="C225" s="32"/>
      <c r="D225" s="75"/>
      <c r="E225" s="48"/>
      <c r="F225" s="53"/>
      <c r="G225" s="48"/>
      <c r="H225" s="53" t="str">
        <f t="shared" si="3"/>
        <v/>
      </c>
      <c r="I225" s="48"/>
    </row>
    <row r="226" spans="1:9" ht="15" customHeight="1" x14ac:dyDescent="0.2">
      <c r="A226" s="48"/>
      <c r="B226" s="43"/>
      <c r="C226" s="32"/>
      <c r="D226" s="75"/>
      <c r="E226" s="48"/>
      <c r="F226" s="53"/>
      <c r="G226" s="48"/>
      <c r="H226" s="53" t="str">
        <f t="shared" si="3"/>
        <v/>
      </c>
      <c r="I226" s="48"/>
    </row>
    <row r="227" spans="1:9" ht="15" customHeight="1" x14ac:dyDescent="0.2">
      <c r="A227" s="48"/>
      <c r="B227" s="43"/>
      <c r="C227" s="32"/>
      <c r="D227" s="75"/>
      <c r="E227" s="48"/>
      <c r="F227" s="53"/>
      <c r="G227" s="48"/>
      <c r="H227" s="53" t="str">
        <f t="shared" si="3"/>
        <v/>
      </c>
      <c r="I227" s="48"/>
    </row>
    <row r="228" spans="1:9" ht="15" customHeight="1" x14ac:dyDescent="0.2">
      <c r="A228" s="48"/>
      <c r="B228" s="43"/>
      <c r="C228" s="32"/>
      <c r="D228" s="75"/>
      <c r="E228" s="48"/>
      <c r="F228" s="53"/>
      <c r="G228" s="48"/>
      <c r="H228" s="53" t="str">
        <f t="shared" si="3"/>
        <v/>
      </c>
      <c r="I228" s="48"/>
    </row>
    <row r="229" spans="1:9" ht="15" customHeight="1" x14ac:dyDescent="0.2">
      <c r="A229" s="48"/>
      <c r="B229" s="43"/>
      <c r="C229" s="32"/>
      <c r="D229" s="75"/>
      <c r="E229" s="48"/>
      <c r="F229" s="53"/>
      <c r="G229" s="48"/>
      <c r="H229" s="53" t="str">
        <f t="shared" si="3"/>
        <v/>
      </c>
      <c r="I229" s="48"/>
    </row>
    <row r="230" spans="1:9" ht="15" customHeight="1" x14ac:dyDescent="0.2">
      <c r="A230" s="48"/>
      <c r="B230" s="43"/>
      <c r="C230" s="32"/>
      <c r="D230" s="75"/>
      <c r="E230" s="48"/>
      <c r="F230" s="53"/>
      <c r="G230" s="48"/>
      <c r="H230" s="53" t="str">
        <f t="shared" si="3"/>
        <v/>
      </c>
      <c r="I230" s="48"/>
    </row>
    <row r="231" spans="1:9" ht="15" customHeight="1" x14ac:dyDescent="0.2">
      <c r="A231" s="48"/>
      <c r="B231" s="43"/>
      <c r="C231" s="32"/>
      <c r="D231" s="75"/>
      <c r="E231" s="48"/>
      <c r="F231" s="53"/>
      <c r="G231" s="48"/>
      <c r="H231" s="53" t="str">
        <f t="shared" si="3"/>
        <v/>
      </c>
      <c r="I231" s="48"/>
    </row>
    <row r="232" spans="1:9" ht="15" customHeight="1" x14ac:dyDescent="0.2">
      <c r="A232" s="48"/>
      <c r="B232" s="43"/>
      <c r="C232" s="32"/>
      <c r="D232" s="75"/>
      <c r="E232" s="48"/>
      <c r="F232" s="53"/>
      <c r="G232" s="48"/>
      <c r="H232" s="53" t="str">
        <f t="shared" si="3"/>
        <v/>
      </c>
      <c r="I232" s="48"/>
    </row>
    <row r="233" spans="1:9" ht="15" customHeight="1" x14ac:dyDescent="0.2">
      <c r="A233" s="48"/>
      <c r="B233" s="43"/>
      <c r="C233" s="32"/>
      <c r="D233" s="75"/>
      <c r="E233" s="48"/>
      <c r="F233" s="53"/>
      <c r="G233" s="48"/>
      <c r="H233" s="53" t="str">
        <f t="shared" si="3"/>
        <v/>
      </c>
      <c r="I233" s="48"/>
    </row>
    <row r="234" spans="1:9" ht="15" customHeight="1" x14ac:dyDescent="0.2">
      <c r="A234" s="48"/>
      <c r="B234" s="43"/>
      <c r="C234" s="32"/>
      <c r="D234" s="75"/>
      <c r="E234" s="48"/>
      <c r="F234" s="53"/>
      <c r="G234" s="48"/>
      <c r="H234" s="53" t="str">
        <f t="shared" si="3"/>
        <v/>
      </c>
      <c r="I234" s="48"/>
    </row>
    <row r="235" spans="1:9" ht="15" customHeight="1" x14ac:dyDescent="0.2">
      <c r="A235" s="48"/>
      <c r="B235" s="43"/>
      <c r="C235" s="32"/>
      <c r="D235" s="75"/>
      <c r="E235" s="48"/>
      <c r="F235" s="53"/>
      <c r="G235" s="48"/>
      <c r="H235" s="53" t="str">
        <f t="shared" si="3"/>
        <v/>
      </c>
      <c r="I235" s="48"/>
    </row>
    <row r="236" spans="1:9" ht="15" customHeight="1" x14ac:dyDescent="0.2">
      <c r="A236" s="48"/>
      <c r="B236" s="43"/>
      <c r="C236" s="32"/>
      <c r="D236" s="75"/>
      <c r="E236" s="48"/>
      <c r="F236" s="53"/>
      <c r="G236" s="48"/>
      <c r="H236" s="53" t="str">
        <f t="shared" si="3"/>
        <v/>
      </c>
      <c r="I236" s="48"/>
    </row>
    <row r="237" spans="1:9" ht="15" customHeight="1" x14ac:dyDescent="0.2">
      <c r="A237" s="48"/>
      <c r="B237" s="43"/>
      <c r="C237" s="32"/>
      <c r="D237" s="75"/>
      <c r="E237" s="48"/>
      <c r="F237" s="53"/>
      <c r="G237" s="48"/>
      <c r="H237" s="53" t="str">
        <f t="shared" si="3"/>
        <v/>
      </c>
      <c r="I237" s="48"/>
    </row>
    <row r="238" spans="1:9" ht="15" customHeight="1" x14ac:dyDescent="0.2">
      <c r="A238" s="48"/>
      <c r="B238" s="43"/>
      <c r="C238" s="32"/>
      <c r="D238" s="75"/>
      <c r="E238" s="48"/>
      <c r="F238" s="53"/>
      <c r="G238" s="48"/>
      <c r="H238" s="53" t="str">
        <f t="shared" si="3"/>
        <v/>
      </c>
      <c r="I238" s="48"/>
    </row>
    <row r="239" spans="1:9" ht="15" customHeight="1" x14ac:dyDescent="0.2">
      <c r="A239" s="48"/>
      <c r="B239" s="43"/>
      <c r="C239" s="32"/>
      <c r="D239" s="75"/>
      <c r="E239" s="48"/>
      <c r="F239" s="53"/>
      <c r="G239" s="48"/>
      <c r="H239" s="53" t="str">
        <f t="shared" si="3"/>
        <v/>
      </c>
      <c r="I239" s="48"/>
    </row>
    <row r="240" spans="1:9" ht="15" customHeight="1" x14ac:dyDescent="0.2">
      <c r="A240" s="48"/>
      <c r="B240" s="43"/>
      <c r="C240" s="32"/>
      <c r="D240" s="75"/>
      <c r="E240" s="48"/>
      <c r="F240" s="53"/>
      <c r="G240" s="48"/>
      <c r="H240" s="53" t="str">
        <f t="shared" si="3"/>
        <v/>
      </c>
      <c r="I240" s="48"/>
    </row>
    <row r="241" spans="1:9" ht="15" customHeight="1" x14ac:dyDescent="0.2">
      <c r="A241" s="48"/>
      <c r="B241" s="43"/>
      <c r="C241" s="32"/>
      <c r="D241" s="75"/>
      <c r="E241" s="48"/>
      <c r="F241" s="53"/>
      <c r="G241" s="48"/>
      <c r="H241" s="53" t="str">
        <f t="shared" si="3"/>
        <v/>
      </c>
      <c r="I241" s="48"/>
    </row>
    <row r="242" spans="1:9" ht="15" customHeight="1" x14ac:dyDescent="0.2">
      <c r="A242" s="48"/>
      <c r="B242" s="43"/>
      <c r="C242" s="32"/>
      <c r="D242" s="75"/>
      <c r="E242" s="48"/>
      <c r="F242" s="53"/>
      <c r="G242" s="48"/>
      <c r="H242" s="53" t="str">
        <f t="shared" si="3"/>
        <v/>
      </c>
      <c r="I242" s="48"/>
    </row>
    <row r="243" spans="1:9" ht="15" customHeight="1" x14ac:dyDescent="0.2">
      <c r="A243" s="48"/>
      <c r="B243" s="43"/>
      <c r="C243" s="32"/>
      <c r="D243" s="75"/>
      <c r="E243" s="48"/>
      <c r="F243" s="53"/>
      <c r="G243" s="48"/>
      <c r="H243" s="53" t="str">
        <f t="shared" si="3"/>
        <v/>
      </c>
      <c r="I243" s="48"/>
    </row>
    <row r="244" spans="1:9" ht="15" customHeight="1" x14ac:dyDescent="0.2">
      <c r="A244" s="48"/>
      <c r="B244" s="43"/>
      <c r="C244" s="32"/>
      <c r="D244" s="75"/>
      <c r="E244" s="48"/>
      <c r="F244" s="53"/>
      <c r="G244" s="48"/>
      <c r="H244" s="53" t="str">
        <f t="shared" si="3"/>
        <v/>
      </c>
      <c r="I244" s="48"/>
    </row>
    <row r="245" spans="1:9" ht="15" customHeight="1" x14ac:dyDescent="0.2">
      <c r="A245" s="48"/>
      <c r="B245" s="43"/>
      <c r="C245" s="32"/>
      <c r="D245" s="75"/>
      <c r="E245" s="48"/>
      <c r="F245" s="53"/>
      <c r="G245" s="48"/>
      <c r="H245" s="53" t="str">
        <f t="shared" si="3"/>
        <v/>
      </c>
      <c r="I245" s="48"/>
    </row>
    <row r="246" spans="1:9" ht="15" customHeight="1" x14ac:dyDescent="0.2">
      <c r="A246" s="48"/>
      <c r="B246" s="43"/>
      <c r="C246" s="32"/>
      <c r="D246" s="75"/>
      <c r="E246" s="48"/>
      <c r="F246" s="53"/>
      <c r="G246" s="48"/>
      <c r="H246" s="53" t="str">
        <f t="shared" si="3"/>
        <v/>
      </c>
      <c r="I246" s="48"/>
    </row>
    <row r="247" spans="1:9" ht="15" customHeight="1" x14ac:dyDescent="0.2">
      <c r="A247" s="48"/>
      <c r="B247" s="43"/>
      <c r="C247" s="32"/>
      <c r="D247" s="75"/>
      <c r="E247" s="48"/>
      <c r="F247" s="53"/>
      <c r="G247" s="48"/>
      <c r="H247" s="53" t="str">
        <f t="shared" si="3"/>
        <v/>
      </c>
      <c r="I247" s="48"/>
    </row>
    <row r="248" spans="1:9" ht="15" customHeight="1" x14ac:dyDescent="0.2">
      <c r="A248" s="48"/>
      <c r="B248" s="43"/>
      <c r="C248" s="32"/>
      <c r="D248" s="75"/>
      <c r="E248" s="48"/>
      <c r="F248" s="53"/>
      <c r="G248" s="48"/>
      <c r="H248" s="53" t="str">
        <f t="shared" si="3"/>
        <v/>
      </c>
      <c r="I248" s="48"/>
    </row>
    <row r="249" spans="1:9" ht="15" customHeight="1" x14ac:dyDescent="0.2">
      <c r="A249" s="48"/>
      <c r="B249" s="43"/>
      <c r="C249" s="32"/>
      <c r="D249" s="75"/>
      <c r="E249" s="48"/>
      <c r="F249" s="53"/>
      <c r="G249" s="48"/>
      <c r="H249" s="53" t="str">
        <f t="shared" si="3"/>
        <v/>
      </c>
      <c r="I249" s="48"/>
    </row>
    <row r="250" spans="1:9" ht="15" customHeight="1" x14ac:dyDescent="0.2">
      <c r="A250" s="48"/>
      <c r="B250" s="43"/>
      <c r="C250" s="32"/>
      <c r="D250" s="75"/>
      <c r="E250" s="48"/>
      <c r="F250" s="53"/>
      <c r="G250" s="48"/>
      <c r="H250" s="53" t="str">
        <f t="shared" si="3"/>
        <v/>
      </c>
      <c r="I250" s="48"/>
    </row>
    <row r="251" spans="1:9" ht="15" customHeight="1" x14ac:dyDescent="0.2">
      <c r="A251" s="48"/>
      <c r="B251" s="43"/>
      <c r="C251" s="32"/>
      <c r="D251" s="75"/>
      <c r="E251" s="48"/>
      <c r="F251" s="53"/>
      <c r="G251" s="48"/>
      <c r="H251" s="53" t="str">
        <f t="shared" si="3"/>
        <v/>
      </c>
      <c r="I251" s="48"/>
    </row>
    <row r="252" spans="1:9" ht="15" customHeight="1" x14ac:dyDescent="0.2">
      <c r="A252" s="48"/>
      <c r="B252" s="43"/>
      <c r="C252" s="32"/>
      <c r="D252" s="75"/>
      <c r="E252" s="48"/>
      <c r="F252" s="53"/>
      <c r="G252" s="48"/>
      <c r="H252" s="53" t="str">
        <f t="shared" si="3"/>
        <v/>
      </c>
      <c r="I252" s="48"/>
    </row>
    <row r="253" spans="1:9" ht="15" customHeight="1" x14ac:dyDescent="0.2">
      <c r="A253" s="48"/>
      <c r="B253" s="43"/>
      <c r="C253" s="32"/>
      <c r="D253" s="75"/>
      <c r="E253" s="48"/>
      <c r="F253" s="53"/>
      <c r="G253" s="48"/>
      <c r="H253" s="53" t="str">
        <f t="shared" si="3"/>
        <v/>
      </c>
      <c r="I253" s="48"/>
    </row>
    <row r="254" spans="1:9" ht="15" customHeight="1" x14ac:dyDescent="0.2">
      <c r="A254" s="48"/>
      <c r="B254" s="43"/>
      <c r="C254" s="32"/>
      <c r="D254" s="75"/>
      <c r="E254" s="48"/>
      <c r="F254" s="53"/>
      <c r="G254" s="48"/>
      <c r="H254" s="53" t="str">
        <f t="shared" si="3"/>
        <v/>
      </c>
      <c r="I254" s="48"/>
    </row>
    <row r="255" spans="1:9" ht="15" customHeight="1" x14ac:dyDescent="0.2">
      <c r="A255" s="48"/>
      <c r="B255" s="43"/>
      <c r="C255" s="32"/>
      <c r="D255" s="75"/>
      <c r="E255" s="48"/>
      <c r="F255" s="53"/>
      <c r="G255" s="48"/>
      <c r="H255" s="53" t="str">
        <f t="shared" si="3"/>
        <v/>
      </c>
      <c r="I255" s="48"/>
    </row>
    <row r="256" spans="1:9" ht="15" customHeight="1" x14ac:dyDescent="0.2">
      <c r="A256" s="48"/>
      <c r="B256" s="43"/>
      <c r="C256" s="32"/>
      <c r="D256" s="75"/>
      <c r="E256" s="48"/>
      <c r="F256" s="53"/>
      <c r="G256" s="48"/>
      <c r="H256" s="53" t="str">
        <f t="shared" si="3"/>
        <v/>
      </c>
      <c r="I256" s="48"/>
    </row>
    <row r="257" spans="1:9" ht="15" customHeight="1" x14ac:dyDescent="0.2">
      <c r="A257" s="48"/>
      <c r="B257" s="43"/>
      <c r="C257" s="32"/>
      <c r="D257" s="75"/>
      <c r="E257" s="48"/>
      <c r="F257" s="53"/>
      <c r="G257" s="48"/>
      <c r="H257" s="53" t="str">
        <f t="shared" si="3"/>
        <v/>
      </c>
      <c r="I257" s="48"/>
    </row>
    <row r="258" spans="1:9" ht="15" customHeight="1" x14ac:dyDescent="0.2">
      <c r="A258" s="48"/>
      <c r="B258" s="43"/>
      <c r="C258" s="32"/>
      <c r="D258" s="75"/>
      <c r="E258" s="48"/>
      <c r="F258" s="53"/>
      <c r="G258" s="48"/>
      <c r="H258" s="53" t="str">
        <f t="shared" si="3"/>
        <v/>
      </c>
      <c r="I258" s="48"/>
    </row>
    <row r="259" spans="1:9" ht="15" customHeight="1" x14ac:dyDescent="0.2">
      <c r="A259" s="48"/>
      <c r="B259" s="43"/>
      <c r="C259" s="32"/>
      <c r="D259" s="75"/>
      <c r="E259" s="48"/>
      <c r="F259" s="53"/>
      <c r="G259" s="48"/>
      <c r="H259" s="53" t="str">
        <f t="shared" si="3"/>
        <v/>
      </c>
      <c r="I259" s="48"/>
    </row>
    <row r="260" spans="1:9" ht="15" customHeight="1" x14ac:dyDescent="0.2">
      <c r="A260" s="48"/>
      <c r="B260" s="43"/>
      <c r="C260" s="32"/>
      <c r="D260" s="75"/>
      <c r="E260" s="48"/>
      <c r="F260" s="53"/>
      <c r="G260" s="48"/>
      <c r="H260" s="53" t="str">
        <f t="shared" si="3"/>
        <v/>
      </c>
      <c r="I260" s="48"/>
    </row>
    <row r="261" spans="1:9" ht="15" customHeight="1" x14ac:dyDescent="0.2">
      <c r="A261" s="48"/>
      <c r="B261" s="43"/>
      <c r="C261" s="32"/>
      <c r="D261" s="75"/>
      <c r="E261" s="48"/>
      <c r="F261" s="53"/>
      <c r="G261" s="48"/>
      <c r="H261" s="53" t="str">
        <f t="shared" si="3"/>
        <v/>
      </c>
      <c r="I261" s="48"/>
    </row>
    <row r="262" spans="1:9" ht="15" customHeight="1" x14ac:dyDescent="0.2">
      <c r="A262" s="48"/>
      <c r="B262" s="43"/>
      <c r="C262" s="32"/>
      <c r="D262" s="75"/>
      <c r="E262" s="48"/>
      <c r="F262" s="53"/>
      <c r="G262" s="48"/>
      <c r="H262" s="53" t="str">
        <f t="shared" si="3"/>
        <v/>
      </c>
      <c r="I262" s="48"/>
    </row>
    <row r="263" spans="1:9" ht="15" customHeight="1" x14ac:dyDescent="0.2">
      <c r="A263" s="48"/>
      <c r="B263" s="43"/>
      <c r="C263" s="32"/>
      <c r="D263" s="75"/>
      <c r="E263" s="48"/>
      <c r="F263" s="53"/>
      <c r="G263" s="48"/>
      <c r="H263" s="53" t="str">
        <f t="shared" si="3"/>
        <v/>
      </c>
      <c r="I263" s="48"/>
    </row>
    <row r="264" spans="1:9" ht="15" customHeight="1" x14ac:dyDescent="0.2">
      <c r="A264" s="48"/>
      <c r="B264" s="43"/>
      <c r="C264" s="32"/>
      <c r="D264" s="75"/>
      <c r="E264" s="48"/>
      <c r="F264" s="53"/>
      <c r="G264" s="48"/>
      <c r="H264" s="53" t="str">
        <f t="shared" si="3"/>
        <v/>
      </c>
      <c r="I264" s="48"/>
    </row>
    <row r="265" spans="1:9" ht="15" customHeight="1" x14ac:dyDescent="0.2">
      <c r="A265" s="48"/>
      <c r="B265" s="43"/>
      <c r="C265" s="32"/>
      <c r="D265" s="75"/>
      <c r="E265" s="48"/>
      <c r="F265" s="53"/>
      <c r="G265" s="48"/>
      <c r="H265" s="53" t="str">
        <f t="shared" si="3"/>
        <v/>
      </c>
      <c r="I265" s="48"/>
    </row>
    <row r="266" spans="1:9" ht="15" customHeight="1" x14ac:dyDescent="0.2">
      <c r="A266" s="48"/>
      <c r="B266" s="43"/>
      <c r="C266" s="32"/>
      <c r="D266" s="75"/>
      <c r="E266" s="48"/>
      <c r="F266" s="53"/>
      <c r="G266" s="48"/>
      <c r="H266" s="53" t="str">
        <f t="shared" ref="H266:H329" si="4">IF(OR(F266="",G266=""),"",IF(F266="500 g",G266*0.5,IF(F266="2,5 kg",G266*2.5,"")))</f>
        <v/>
      </c>
      <c r="I266" s="48"/>
    </row>
    <row r="267" spans="1:9" ht="15" customHeight="1" x14ac:dyDescent="0.2">
      <c r="A267" s="48"/>
      <c r="B267" s="43"/>
      <c r="C267" s="32"/>
      <c r="D267" s="75"/>
      <c r="E267" s="48"/>
      <c r="F267" s="53"/>
      <c r="G267" s="48"/>
      <c r="H267" s="53" t="str">
        <f t="shared" si="4"/>
        <v/>
      </c>
      <c r="I267" s="48"/>
    </row>
    <row r="268" spans="1:9" ht="15" customHeight="1" x14ac:dyDescent="0.2">
      <c r="A268" s="48"/>
      <c r="B268" s="43"/>
      <c r="C268" s="32"/>
      <c r="D268" s="75"/>
      <c r="E268" s="48"/>
      <c r="F268" s="53"/>
      <c r="G268" s="48"/>
      <c r="H268" s="53" t="str">
        <f t="shared" si="4"/>
        <v/>
      </c>
      <c r="I268" s="48"/>
    </row>
    <row r="269" spans="1:9" ht="15" customHeight="1" x14ac:dyDescent="0.2">
      <c r="A269" s="48"/>
      <c r="B269" s="43"/>
      <c r="C269" s="32"/>
      <c r="D269" s="75"/>
      <c r="E269" s="48"/>
      <c r="F269" s="53"/>
      <c r="G269" s="48"/>
      <c r="H269" s="53" t="str">
        <f t="shared" si="4"/>
        <v/>
      </c>
      <c r="I269" s="48"/>
    </row>
    <row r="270" spans="1:9" ht="15" customHeight="1" x14ac:dyDescent="0.2">
      <c r="A270" s="48"/>
      <c r="B270" s="43"/>
      <c r="C270" s="32"/>
      <c r="D270" s="75"/>
      <c r="E270" s="48"/>
      <c r="F270" s="53"/>
      <c r="G270" s="48"/>
      <c r="H270" s="53" t="str">
        <f t="shared" si="4"/>
        <v/>
      </c>
      <c r="I270" s="48"/>
    </row>
    <row r="271" spans="1:9" ht="15" customHeight="1" x14ac:dyDescent="0.2">
      <c r="A271" s="48"/>
      <c r="B271" s="43"/>
      <c r="C271" s="32"/>
      <c r="D271" s="75"/>
      <c r="E271" s="48"/>
      <c r="F271" s="53"/>
      <c r="G271" s="48"/>
      <c r="H271" s="53" t="str">
        <f t="shared" si="4"/>
        <v/>
      </c>
      <c r="I271" s="48"/>
    </row>
    <row r="272" spans="1:9" ht="15" customHeight="1" x14ac:dyDescent="0.2">
      <c r="A272" s="48"/>
      <c r="B272" s="43"/>
      <c r="C272" s="32"/>
      <c r="D272" s="75"/>
      <c r="E272" s="48"/>
      <c r="F272" s="53"/>
      <c r="G272" s="48"/>
      <c r="H272" s="53" t="str">
        <f t="shared" si="4"/>
        <v/>
      </c>
      <c r="I272" s="48"/>
    </row>
    <row r="273" spans="1:9" ht="15" customHeight="1" x14ac:dyDescent="0.2">
      <c r="A273" s="48"/>
      <c r="B273" s="43"/>
      <c r="C273" s="32"/>
      <c r="D273" s="75"/>
      <c r="E273" s="48"/>
      <c r="F273" s="53"/>
      <c r="G273" s="48"/>
      <c r="H273" s="53" t="str">
        <f t="shared" si="4"/>
        <v/>
      </c>
      <c r="I273" s="48"/>
    </row>
    <row r="274" spans="1:9" ht="15" customHeight="1" x14ac:dyDescent="0.2">
      <c r="A274" s="48"/>
      <c r="B274" s="43"/>
      <c r="C274" s="32"/>
      <c r="D274" s="75"/>
      <c r="E274" s="48"/>
      <c r="F274" s="53"/>
      <c r="G274" s="48"/>
      <c r="H274" s="53" t="str">
        <f t="shared" si="4"/>
        <v/>
      </c>
      <c r="I274" s="48"/>
    </row>
    <row r="275" spans="1:9" ht="15" customHeight="1" x14ac:dyDescent="0.2">
      <c r="A275" s="48"/>
      <c r="B275" s="43"/>
      <c r="C275" s="32"/>
      <c r="D275" s="75"/>
      <c r="E275" s="48"/>
      <c r="F275" s="53"/>
      <c r="G275" s="48"/>
      <c r="H275" s="53" t="str">
        <f t="shared" si="4"/>
        <v/>
      </c>
      <c r="I275" s="48"/>
    </row>
    <row r="276" spans="1:9" ht="15" customHeight="1" x14ac:dyDescent="0.2">
      <c r="A276" s="48"/>
      <c r="B276" s="43"/>
      <c r="C276" s="32"/>
      <c r="D276" s="75"/>
      <c r="E276" s="48"/>
      <c r="F276" s="53"/>
      <c r="G276" s="48"/>
      <c r="H276" s="53" t="str">
        <f t="shared" si="4"/>
        <v/>
      </c>
      <c r="I276" s="48"/>
    </row>
    <row r="277" spans="1:9" ht="15" customHeight="1" x14ac:dyDescent="0.2">
      <c r="A277" s="48"/>
      <c r="B277" s="43"/>
      <c r="C277" s="32"/>
      <c r="D277" s="75"/>
      <c r="E277" s="48"/>
      <c r="F277" s="53"/>
      <c r="G277" s="48"/>
      <c r="H277" s="53" t="str">
        <f t="shared" si="4"/>
        <v/>
      </c>
      <c r="I277" s="48"/>
    </row>
    <row r="278" spans="1:9" ht="15" customHeight="1" x14ac:dyDescent="0.2">
      <c r="A278" s="48"/>
      <c r="B278" s="43"/>
      <c r="C278" s="32"/>
      <c r="D278" s="75"/>
      <c r="E278" s="48"/>
      <c r="F278" s="53"/>
      <c r="G278" s="48"/>
      <c r="H278" s="53" t="str">
        <f t="shared" si="4"/>
        <v/>
      </c>
      <c r="I278" s="48"/>
    </row>
    <row r="279" spans="1:9" ht="15" customHeight="1" x14ac:dyDescent="0.2">
      <c r="A279" s="48"/>
      <c r="B279" s="43"/>
      <c r="C279" s="32"/>
      <c r="D279" s="75"/>
      <c r="E279" s="48"/>
      <c r="F279" s="53"/>
      <c r="G279" s="48"/>
      <c r="H279" s="53" t="str">
        <f t="shared" si="4"/>
        <v/>
      </c>
      <c r="I279" s="48"/>
    </row>
    <row r="280" spans="1:9" ht="15" customHeight="1" x14ac:dyDescent="0.2">
      <c r="A280" s="48"/>
      <c r="B280" s="43"/>
      <c r="C280" s="32"/>
      <c r="D280" s="75"/>
      <c r="E280" s="48"/>
      <c r="F280" s="53"/>
      <c r="G280" s="48"/>
      <c r="H280" s="53" t="str">
        <f t="shared" si="4"/>
        <v/>
      </c>
      <c r="I280" s="48"/>
    </row>
    <row r="281" spans="1:9" ht="15" customHeight="1" x14ac:dyDescent="0.2">
      <c r="A281" s="48"/>
      <c r="B281" s="43"/>
      <c r="C281" s="32"/>
      <c r="D281" s="75"/>
      <c r="E281" s="48"/>
      <c r="F281" s="53"/>
      <c r="G281" s="48"/>
      <c r="H281" s="53" t="str">
        <f t="shared" si="4"/>
        <v/>
      </c>
      <c r="I281" s="48"/>
    </row>
    <row r="282" spans="1:9" ht="15" customHeight="1" x14ac:dyDescent="0.2">
      <c r="A282" s="48"/>
      <c r="B282" s="43"/>
      <c r="C282" s="32"/>
      <c r="D282" s="75"/>
      <c r="E282" s="48"/>
      <c r="F282" s="53"/>
      <c r="G282" s="48"/>
      <c r="H282" s="53" t="str">
        <f t="shared" si="4"/>
        <v/>
      </c>
      <c r="I282" s="48"/>
    </row>
    <row r="283" spans="1:9" ht="15" customHeight="1" x14ac:dyDescent="0.2">
      <c r="A283" s="48"/>
      <c r="B283" s="43"/>
      <c r="C283" s="32"/>
      <c r="D283" s="75"/>
      <c r="E283" s="48"/>
      <c r="F283" s="53"/>
      <c r="G283" s="48"/>
      <c r="H283" s="53" t="str">
        <f t="shared" si="4"/>
        <v/>
      </c>
      <c r="I283" s="48"/>
    </row>
    <row r="284" spans="1:9" ht="15" customHeight="1" x14ac:dyDescent="0.2">
      <c r="A284" s="48"/>
      <c r="B284" s="43"/>
      <c r="C284" s="32"/>
      <c r="D284" s="75"/>
      <c r="E284" s="48"/>
      <c r="F284" s="53"/>
      <c r="G284" s="48"/>
      <c r="H284" s="53" t="str">
        <f t="shared" si="4"/>
        <v/>
      </c>
      <c r="I284" s="48"/>
    </row>
    <row r="285" spans="1:9" ht="15" customHeight="1" x14ac:dyDescent="0.2">
      <c r="A285" s="48"/>
      <c r="B285" s="43"/>
      <c r="C285" s="32"/>
      <c r="D285" s="75"/>
      <c r="E285" s="48"/>
      <c r="F285" s="53"/>
      <c r="G285" s="48"/>
      <c r="H285" s="53" t="str">
        <f t="shared" si="4"/>
        <v/>
      </c>
      <c r="I285" s="48"/>
    </row>
    <row r="286" spans="1:9" ht="15" customHeight="1" x14ac:dyDescent="0.2">
      <c r="A286" s="48"/>
      <c r="B286" s="43"/>
      <c r="C286" s="32"/>
      <c r="D286" s="75"/>
      <c r="E286" s="48"/>
      <c r="F286" s="53"/>
      <c r="G286" s="48"/>
      <c r="H286" s="53" t="str">
        <f t="shared" si="4"/>
        <v/>
      </c>
      <c r="I286" s="48"/>
    </row>
    <row r="287" spans="1:9" ht="15" customHeight="1" x14ac:dyDescent="0.2">
      <c r="A287" s="48"/>
      <c r="B287" s="43"/>
      <c r="C287" s="32"/>
      <c r="D287" s="75"/>
      <c r="E287" s="48"/>
      <c r="F287" s="53"/>
      <c r="G287" s="48"/>
      <c r="H287" s="53" t="str">
        <f t="shared" si="4"/>
        <v/>
      </c>
      <c r="I287" s="48"/>
    </row>
    <row r="288" spans="1:9" ht="15" customHeight="1" x14ac:dyDescent="0.2">
      <c r="A288" s="48"/>
      <c r="B288" s="43"/>
      <c r="C288" s="32"/>
      <c r="D288" s="75"/>
      <c r="E288" s="48"/>
      <c r="F288" s="53"/>
      <c r="G288" s="48"/>
      <c r="H288" s="53" t="str">
        <f t="shared" si="4"/>
        <v/>
      </c>
      <c r="I288" s="48"/>
    </row>
    <row r="289" spans="1:9" ht="15" customHeight="1" x14ac:dyDescent="0.2">
      <c r="A289" s="48"/>
      <c r="B289" s="43"/>
      <c r="C289" s="32"/>
      <c r="D289" s="75"/>
      <c r="E289" s="48"/>
      <c r="F289" s="53"/>
      <c r="G289" s="48"/>
      <c r="H289" s="53" t="str">
        <f t="shared" si="4"/>
        <v/>
      </c>
      <c r="I289" s="48"/>
    </row>
    <row r="290" spans="1:9" ht="15" customHeight="1" x14ac:dyDescent="0.2">
      <c r="A290" s="48"/>
      <c r="B290" s="43"/>
      <c r="C290" s="32"/>
      <c r="D290" s="75"/>
      <c r="E290" s="48"/>
      <c r="F290" s="53"/>
      <c r="G290" s="48"/>
      <c r="H290" s="53" t="str">
        <f t="shared" si="4"/>
        <v/>
      </c>
      <c r="I290" s="48"/>
    </row>
    <row r="291" spans="1:9" ht="15" customHeight="1" x14ac:dyDescent="0.2">
      <c r="A291" s="48"/>
      <c r="B291" s="43"/>
      <c r="C291" s="32"/>
      <c r="D291" s="75"/>
      <c r="E291" s="48"/>
      <c r="F291" s="53"/>
      <c r="G291" s="48"/>
      <c r="H291" s="53" t="str">
        <f t="shared" si="4"/>
        <v/>
      </c>
      <c r="I291" s="48"/>
    </row>
    <row r="292" spans="1:9" ht="15" customHeight="1" x14ac:dyDescent="0.2">
      <c r="A292" s="48"/>
      <c r="B292" s="43"/>
      <c r="C292" s="32"/>
      <c r="D292" s="75"/>
      <c r="E292" s="48"/>
      <c r="F292" s="53"/>
      <c r="G292" s="48"/>
      <c r="H292" s="53" t="str">
        <f t="shared" si="4"/>
        <v/>
      </c>
      <c r="I292" s="48"/>
    </row>
    <row r="293" spans="1:9" ht="15" customHeight="1" x14ac:dyDescent="0.2">
      <c r="A293" s="48"/>
      <c r="B293" s="43"/>
      <c r="C293" s="32"/>
      <c r="D293" s="75"/>
      <c r="E293" s="48"/>
      <c r="F293" s="53"/>
      <c r="G293" s="48"/>
      <c r="H293" s="53" t="str">
        <f t="shared" si="4"/>
        <v/>
      </c>
      <c r="I293" s="48"/>
    </row>
    <row r="294" spans="1:9" ht="15" customHeight="1" x14ac:dyDescent="0.2">
      <c r="A294" s="48"/>
      <c r="B294" s="43"/>
      <c r="C294" s="32"/>
      <c r="D294" s="75"/>
      <c r="E294" s="48"/>
      <c r="F294" s="53"/>
      <c r="G294" s="48"/>
      <c r="H294" s="53" t="str">
        <f t="shared" si="4"/>
        <v/>
      </c>
      <c r="I294" s="48"/>
    </row>
    <row r="295" spans="1:9" ht="15" customHeight="1" x14ac:dyDescent="0.2">
      <c r="A295" s="48"/>
      <c r="B295" s="43"/>
      <c r="C295" s="32"/>
      <c r="D295" s="75"/>
      <c r="E295" s="48"/>
      <c r="F295" s="53"/>
      <c r="G295" s="48"/>
      <c r="H295" s="53" t="str">
        <f t="shared" si="4"/>
        <v/>
      </c>
      <c r="I295" s="48"/>
    </row>
    <row r="296" spans="1:9" ht="15" customHeight="1" x14ac:dyDescent="0.2">
      <c r="A296" s="48"/>
      <c r="B296" s="43"/>
      <c r="C296" s="32"/>
      <c r="D296" s="75"/>
      <c r="E296" s="48"/>
      <c r="F296" s="53"/>
      <c r="G296" s="48"/>
      <c r="H296" s="53" t="str">
        <f t="shared" si="4"/>
        <v/>
      </c>
      <c r="I296" s="48"/>
    </row>
    <row r="297" spans="1:9" ht="15" customHeight="1" x14ac:dyDescent="0.2">
      <c r="A297" s="48"/>
      <c r="B297" s="43"/>
      <c r="C297" s="32"/>
      <c r="D297" s="75"/>
      <c r="E297" s="48"/>
      <c r="F297" s="53"/>
      <c r="G297" s="48"/>
      <c r="H297" s="53" t="str">
        <f t="shared" si="4"/>
        <v/>
      </c>
      <c r="I297" s="48"/>
    </row>
    <row r="298" spans="1:9" ht="15" customHeight="1" x14ac:dyDescent="0.2">
      <c r="A298" s="48"/>
      <c r="B298" s="43"/>
      <c r="C298" s="32"/>
      <c r="D298" s="75"/>
      <c r="E298" s="48"/>
      <c r="F298" s="53"/>
      <c r="G298" s="48"/>
      <c r="H298" s="53" t="str">
        <f t="shared" si="4"/>
        <v/>
      </c>
      <c r="I298" s="48"/>
    </row>
    <row r="299" spans="1:9" ht="15" customHeight="1" x14ac:dyDescent="0.2">
      <c r="A299" s="48"/>
      <c r="B299" s="43"/>
      <c r="C299" s="32"/>
      <c r="D299" s="75"/>
      <c r="E299" s="48"/>
      <c r="F299" s="53"/>
      <c r="G299" s="48"/>
      <c r="H299" s="53" t="str">
        <f t="shared" si="4"/>
        <v/>
      </c>
      <c r="I299" s="48"/>
    </row>
    <row r="300" spans="1:9" ht="15" customHeight="1" x14ac:dyDescent="0.2">
      <c r="A300" s="48"/>
      <c r="B300" s="43"/>
      <c r="C300" s="32"/>
      <c r="D300" s="75"/>
      <c r="E300" s="48"/>
      <c r="F300" s="53"/>
      <c r="G300" s="48"/>
      <c r="H300" s="53" t="str">
        <f t="shared" si="4"/>
        <v/>
      </c>
      <c r="I300" s="48"/>
    </row>
    <row r="301" spans="1:9" ht="15" customHeight="1" x14ac:dyDescent="0.2">
      <c r="A301" s="48"/>
      <c r="B301" s="43"/>
      <c r="C301" s="32"/>
      <c r="D301" s="75"/>
      <c r="E301" s="48"/>
      <c r="F301" s="53"/>
      <c r="G301" s="48"/>
      <c r="H301" s="53" t="str">
        <f t="shared" si="4"/>
        <v/>
      </c>
      <c r="I301" s="48"/>
    </row>
    <row r="302" spans="1:9" ht="15" customHeight="1" x14ac:dyDescent="0.2">
      <c r="A302" s="48"/>
      <c r="B302" s="43"/>
      <c r="C302" s="32"/>
      <c r="D302" s="75"/>
      <c r="E302" s="48"/>
      <c r="F302" s="53"/>
      <c r="G302" s="48"/>
      <c r="H302" s="53" t="str">
        <f t="shared" si="4"/>
        <v/>
      </c>
      <c r="I302" s="48"/>
    </row>
    <row r="303" spans="1:9" ht="15" customHeight="1" x14ac:dyDescent="0.2">
      <c r="A303" s="48"/>
      <c r="B303" s="43"/>
      <c r="C303" s="32"/>
      <c r="D303" s="75"/>
      <c r="E303" s="48"/>
      <c r="F303" s="53"/>
      <c r="G303" s="48"/>
      <c r="H303" s="53" t="str">
        <f t="shared" si="4"/>
        <v/>
      </c>
      <c r="I303" s="48"/>
    </row>
    <row r="304" spans="1:9" ht="15" customHeight="1" x14ac:dyDescent="0.2">
      <c r="A304" s="48"/>
      <c r="B304" s="43"/>
      <c r="C304" s="32"/>
      <c r="D304" s="75"/>
      <c r="E304" s="48"/>
      <c r="F304" s="53"/>
      <c r="G304" s="48"/>
      <c r="H304" s="53" t="str">
        <f t="shared" si="4"/>
        <v/>
      </c>
      <c r="I304" s="48"/>
    </row>
    <row r="305" spans="1:9" ht="15" customHeight="1" x14ac:dyDescent="0.2">
      <c r="A305" s="48"/>
      <c r="B305" s="43"/>
      <c r="C305" s="32"/>
      <c r="D305" s="75"/>
      <c r="E305" s="48"/>
      <c r="F305" s="53"/>
      <c r="G305" s="48"/>
      <c r="H305" s="53" t="str">
        <f t="shared" si="4"/>
        <v/>
      </c>
      <c r="I305" s="48"/>
    </row>
    <row r="306" spans="1:9" ht="15" customHeight="1" x14ac:dyDescent="0.2">
      <c r="A306" s="48"/>
      <c r="B306" s="43"/>
      <c r="C306" s="32"/>
      <c r="D306" s="75"/>
      <c r="E306" s="48"/>
      <c r="F306" s="53"/>
      <c r="G306" s="48"/>
      <c r="H306" s="53" t="str">
        <f t="shared" si="4"/>
        <v/>
      </c>
      <c r="I306" s="48"/>
    </row>
    <row r="307" spans="1:9" ht="15" customHeight="1" x14ac:dyDescent="0.2">
      <c r="A307" s="48"/>
      <c r="B307" s="43"/>
      <c r="C307" s="32"/>
      <c r="D307" s="75"/>
      <c r="E307" s="48"/>
      <c r="F307" s="53"/>
      <c r="G307" s="48"/>
      <c r="H307" s="53" t="str">
        <f t="shared" si="4"/>
        <v/>
      </c>
      <c r="I307" s="48"/>
    </row>
    <row r="308" spans="1:9" ht="15" customHeight="1" x14ac:dyDescent="0.2">
      <c r="A308" s="48"/>
      <c r="B308" s="43"/>
      <c r="C308" s="32"/>
      <c r="D308" s="75"/>
      <c r="E308" s="48"/>
      <c r="F308" s="53"/>
      <c r="G308" s="48"/>
      <c r="H308" s="53" t="str">
        <f t="shared" si="4"/>
        <v/>
      </c>
      <c r="I308" s="48"/>
    </row>
    <row r="309" spans="1:9" ht="15" customHeight="1" x14ac:dyDescent="0.2">
      <c r="A309" s="48"/>
      <c r="B309" s="43"/>
      <c r="C309" s="32"/>
      <c r="D309" s="75"/>
      <c r="E309" s="48"/>
      <c r="F309" s="53"/>
      <c r="G309" s="48"/>
      <c r="H309" s="53" t="str">
        <f t="shared" si="4"/>
        <v/>
      </c>
      <c r="I309" s="48"/>
    </row>
    <row r="310" spans="1:9" ht="15" customHeight="1" x14ac:dyDescent="0.2">
      <c r="A310" s="48"/>
      <c r="B310" s="43"/>
      <c r="C310" s="32"/>
      <c r="D310" s="75"/>
      <c r="E310" s="48"/>
      <c r="F310" s="53"/>
      <c r="G310" s="48"/>
      <c r="H310" s="53" t="str">
        <f t="shared" si="4"/>
        <v/>
      </c>
      <c r="I310" s="48"/>
    </row>
    <row r="311" spans="1:9" ht="15" customHeight="1" x14ac:dyDescent="0.2">
      <c r="A311" s="48"/>
      <c r="B311" s="43"/>
      <c r="C311" s="32"/>
      <c r="D311" s="75"/>
      <c r="E311" s="48"/>
      <c r="F311" s="53"/>
      <c r="G311" s="48"/>
      <c r="H311" s="53" t="str">
        <f t="shared" si="4"/>
        <v/>
      </c>
      <c r="I311" s="48"/>
    </row>
    <row r="312" spans="1:9" ht="15" customHeight="1" x14ac:dyDescent="0.2">
      <c r="A312" s="48"/>
      <c r="B312" s="43"/>
      <c r="C312" s="32"/>
      <c r="D312" s="75"/>
      <c r="E312" s="48"/>
      <c r="F312" s="53"/>
      <c r="G312" s="48"/>
      <c r="H312" s="53" t="str">
        <f t="shared" si="4"/>
        <v/>
      </c>
      <c r="I312" s="48"/>
    </row>
    <row r="313" spans="1:9" ht="15" customHeight="1" x14ac:dyDescent="0.2">
      <c r="A313" s="48"/>
      <c r="B313" s="43"/>
      <c r="C313" s="32"/>
      <c r="D313" s="75"/>
      <c r="E313" s="48"/>
      <c r="F313" s="53"/>
      <c r="G313" s="48"/>
      <c r="H313" s="53" t="str">
        <f t="shared" si="4"/>
        <v/>
      </c>
      <c r="I313" s="48"/>
    </row>
    <row r="314" spans="1:9" ht="15" customHeight="1" x14ac:dyDescent="0.2">
      <c r="A314" s="48"/>
      <c r="B314" s="43"/>
      <c r="C314" s="32"/>
      <c r="D314" s="75"/>
      <c r="E314" s="48"/>
      <c r="F314" s="53"/>
      <c r="G314" s="48"/>
      <c r="H314" s="53" t="str">
        <f t="shared" si="4"/>
        <v/>
      </c>
      <c r="I314" s="48"/>
    </row>
    <row r="315" spans="1:9" ht="15" customHeight="1" x14ac:dyDescent="0.2">
      <c r="A315" s="48"/>
      <c r="B315" s="43"/>
      <c r="C315" s="32"/>
      <c r="D315" s="75"/>
      <c r="E315" s="48"/>
      <c r="F315" s="53"/>
      <c r="G315" s="48"/>
      <c r="H315" s="53" t="str">
        <f t="shared" si="4"/>
        <v/>
      </c>
      <c r="I315" s="48"/>
    </row>
    <row r="316" spans="1:9" ht="15" customHeight="1" x14ac:dyDescent="0.2">
      <c r="A316" s="48"/>
      <c r="B316" s="43"/>
      <c r="C316" s="32"/>
      <c r="D316" s="75"/>
      <c r="E316" s="48"/>
      <c r="F316" s="53"/>
      <c r="G316" s="48"/>
      <c r="H316" s="53" t="str">
        <f t="shared" si="4"/>
        <v/>
      </c>
      <c r="I316" s="48"/>
    </row>
    <row r="317" spans="1:9" ht="15" customHeight="1" x14ac:dyDescent="0.2">
      <c r="A317" s="48"/>
      <c r="B317" s="43"/>
      <c r="C317" s="32"/>
      <c r="D317" s="75"/>
      <c r="E317" s="48"/>
      <c r="F317" s="53"/>
      <c r="G317" s="48"/>
      <c r="H317" s="53" t="str">
        <f t="shared" si="4"/>
        <v/>
      </c>
      <c r="I317" s="48"/>
    </row>
    <row r="318" spans="1:9" ht="15" customHeight="1" x14ac:dyDescent="0.2">
      <c r="A318" s="48"/>
      <c r="B318" s="43"/>
      <c r="C318" s="32"/>
      <c r="D318" s="75"/>
      <c r="E318" s="48"/>
      <c r="F318" s="53"/>
      <c r="G318" s="48"/>
      <c r="H318" s="53" t="str">
        <f t="shared" si="4"/>
        <v/>
      </c>
      <c r="I318" s="48"/>
    </row>
    <row r="319" spans="1:9" ht="15" customHeight="1" x14ac:dyDescent="0.2">
      <c r="A319" s="48"/>
      <c r="B319" s="43"/>
      <c r="C319" s="32"/>
      <c r="D319" s="75"/>
      <c r="E319" s="48"/>
      <c r="F319" s="53"/>
      <c r="G319" s="48"/>
      <c r="H319" s="53" t="str">
        <f t="shared" si="4"/>
        <v/>
      </c>
      <c r="I319" s="48"/>
    </row>
    <row r="320" spans="1:9" ht="15" customHeight="1" x14ac:dyDescent="0.2">
      <c r="A320" s="48"/>
      <c r="B320" s="43"/>
      <c r="C320" s="32"/>
      <c r="D320" s="75"/>
      <c r="E320" s="48"/>
      <c r="F320" s="53"/>
      <c r="G320" s="48"/>
      <c r="H320" s="53" t="str">
        <f t="shared" si="4"/>
        <v/>
      </c>
      <c r="I320" s="48"/>
    </row>
    <row r="321" spans="1:9" ht="15" customHeight="1" x14ac:dyDescent="0.2">
      <c r="A321" s="48"/>
      <c r="B321" s="43"/>
      <c r="C321" s="32"/>
      <c r="D321" s="75"/>
      <c r="E321" s="48"/>
      <c r="F321" s="53"/>
      <c r="G321" s="48"/>
      <c r="H321" s="53" t="str">
        <f t="shared" si="4"/>
        <v/>
      </c>
      <c r="I321" s="48"/>
    </row>
    <row r="322" spans="1:9" ht="15" customHeight="1" x14ac:dyDescent="0.2">
      <c r="A322" s="48"/>
      <c r="B322" s="43"/>
      <c r="C322" s="32"/>
      <c r="D322" s="75"/>
      <c r="E322" s="48"/>
      <c r="F322" s="53"/>
      <c r="G322" s="48"/>
      <c r="H322" s="53" t="str">
        <f t="shared" si="4"/>
        <v/>
      </c>
      <c r="I322" s="48"/>
    </row>
    <row r="323" spans="1:9" ht="15" customHeight="1" x14ac:dyDescent="0.2">
      <c r="A323" s="48"/>
      <c r="B323" s="43"/>
      <c r="C323" s="32"/>
      <c r="D323" s="75"/>
      <c r="E323" s="48"/>
      <c r="F323" s="53"/>
      <c r="G323" s="48"/>
      <c r="H323" s="53" t="str">
        <f t="shared" si="4"/>
        <v/>
      </c>
      <c r="I323" s="48"/>
    </row>
    <row r="324" spans="1:9" ht="15" customHeight="1" x14ac:dyDescent="0.2">
      <c r="A324" s="48"/>
      <c r="B324" s="43"/>
      <c r="C324" s="32"/>
      <c r="D324" s="75"/>
      <c r="E324" s="48"/>
      <c r="F324" s="53"/>
      <c r="G324" s="48"/>
      <c r="H324" s="53" t="str">
        <f t="shared" si="4"/>
        <v/>
      </c>
      <c r="I324" s="48"/>
    </row>
    <row r="325" spans="1:9" ht="15" customHeight="1" x14ac:dyDescent="0.2">
      <c r="A325" s="48"/>
      <c r="B325" s="43"/>
      <c r="C325" s="32"/>
      <c r="D325" s="75"/>
      <c r="E325" s="48"/>
      <c r="F325" s="53"/>
      <c r="G325" s="48"/>
      <c r="H325" s="53" t="str">
        <f t="shared" si="4"/>
        <v/>
      </c>
      <c r="I325" s="48"/>
    </row>
    <row r="326" spans="1:9" ht="15" customHeight="1" x14ac:dyDescent="0.2">
      <c r="A326" s="48"/>
      <c r="B326" s="43"/>
      <c r="C326" s="32"/>
      <c r="D326" s="75"/>
      <c r="E326" s="48"/>
      <c r="F326" s="53"/>
      <c r="G326" s="48"/>
      <c r="H326" s="53" t="str">
        <f t="shared" si="4"/>
        <v/>
      </c>
      <c r="I326" s="48"/>
    </row>
    <row r="327" spans="1:9" ht="15" customHeight="1" x14ac:dyDescent="0.2">
      <c r="A327" s="48"/>
      <c r="B327" s="43"/>
      <c r="C327" s="32"/>
      <c r="D327" s="75"/>
      <c r="E327" s="48"/>
      <c r="F327" s="53"/>
      <c r="G327" s="48"/>
      <c r="H327" s="53" t="str">
        <f t="shared" si="4"/>
        <v/>
      </c>
      <c r="I327" s="48"/>
    </row>
    <row r="328" spans="1:9" ht="15" customHeight="1" x14ac:dyDescent="0.2">
      <c r="A328" s="48"/>
      <c r="B328" s="43"/>
      <c r="C328" s="32"/>
      <c r="D328" s="75"/>
      <c r="E328" s="48"/>
      <c r="F328" s="53"/>
      <c r="G328" s="48"/>
      <c r="H328" s="53" t="str">
        <f t="shared" si="4"/>
        <v/>
      </c>
      <c r="I328" s="48"/>
    </row>
    <row r="329" spans="1:9" ht="15" customHeight="1" x14ac:dyDescent="0.2">
      <c r="A329" s="48"/>
      <c r="B329" s="43"/>
      <c r="C329" s="32"/>
      <c r="D329" s="75"/>
      <c r="E329" s="48"/>
      <c r="F329" s="53"/>
      <c r="G329" s="48"/>
      <c r="H329" s="53" t="str">
        <f t="shared" si="4"/>
        <v/>
      </c>
      <c r="I329" s="48"/>
    </row>
    <row r="330" spans="1:9" ht="15" customHeight="1" x14ac:dyDescent="0.2">
      <c r="A330" s="48"/>
      <c r="B330" s="43"/>
      <c r="C330" s="32"/>
      <c r="D330" s="75"/>
      <c r="E330" s="48"/>
      <c r="F330" s="53"/>
      <c r="G330" s="48"/>
      <c r="H330" s="53" t="str">
        <f t="shared" ref="H330:H393" si="5">IF(OR(F330="",G330=""),"",IF(F330="500 g",G330*0.5,IF(F330="2,5 kg",G330*2.5,"")))</f>
        <v/>
      </c>
      <c r="I330" s="48"/>
    </row>
    <row r="331" spans="1:9" ht="15" customHeight="1" x14ac:dyDescent="0.2">
      <c r="A331" s="48"/>
      <c r="B331" s="43"/>
      <c r="C331" s="32"/>
      <c r="D331" s="75"/>
      <c r="E331" s="48"/>
      <c r="F331" s="53"/>
      <c r="G331" s="48"/>
      <c r="H331" s="53" t="str">
        <f t="shared" si="5"/>
        <v/>
      </c>
      <c r="I331" s="48"/>
    </row>
    <row r="332" spans="1:9" ht="15" customHeight="1" x14ac:dyDescent="0.2">
      <c r="A332" s="48"/>
      <c r="B332" s="43"/>
      <c r="C332" s="32"/>
      <c r="D332" s="75"/>
      <c r="E332" s="48"/>
      <c r="F332" s="53"/>
      <c r="G332" s="48"/>
      <c r="H332" s="53" t="str">
        <f t="shared" si="5"/>
        <v/>
      </c>
      <c r="I332" s="48"/>
    </row>
    <row r="333" spans="1:9" ht="15" customHeight="1" x14ac:dyDescent="0.2">
      <c r="A333" s="48"/>
      <c r="B333" s="43"/>
      <c r="C333" s="32"/>
      <c r="D333" s="75"/>
      <c r="E333" s="48"/>
      <c r="F333" s="53"/>
      <c r="G333" s="48"/>
      <c r="H333" s="53" t="str">
        <f t="shared" si="5"/>
        <v/>
      </c>
      <c r="I333" s="48"/>
    </row>
    <row r="334" spans="1:9" ht="15" customHeight="1" x14ac:dyDescent="0.2">
      <c r="A334" s="48"/>
      <c r="B334" s="43"/>
      <c r="C334" s="32"/>
      <c r="D334" s="75"/>
      <c r="E334" s="48"/>
      <c r="F334" s="53"/>
      <c r="G334" s="48"/>
      <c r="H334" s="53" t="str">
        <f t="shared" si="5"/>
        <v/>
      </c>
      <c r="I334" s="48"/>
    </row>
    <row r="335" spans="1:9" ht="15" customHeight="1" x14ac:dyDescent="0.2">
      <c r="A335" s="48"/>
      <c r="B335" s="43"/>
      <c r="C335" s="32"/>
      <c r="D335" s="75"/>
      <c r="E335" s="48"/>
      <c r="F335" s="53"/>
      <c r="G335" s="48"/>
      <c r="H335" s="53" t="str">
        <f t="shared" si="5"/>
        <v/>
      </c>
      <c r="I335" s="48"/>
    </row>
    <row r="336" spans="1:9" ht="15" customHeight="1" x14ac:dyDescent="0.2">
      <c r="A336" s="48"/>
      <c r="B336" s="43"/>
      <c r="C336" s="32"/>
      <c r="D336" s="75"/>
      <c r="E336" s="48"/>
      <c r="F336" s="53"/>
      <c r="G336" s="48"/>
      <c r="H336" s="53" t="str">
        <f t="shared" si="5"/>
        <v/>
      </c>
      <c r="I336" s="48"/>
    </row>
    <row r="337" spans="1:9" ht="15" customHeight="1" x14ac:dyDescent="0.2">
      <c r="A337" s="48"/>
      <c r="B337" s="43"/>
      <c r="C337" s="32"/>
      <c r="D337" s="75"/>
      <c r="E337" s="48"/>
      <c r="F337" s="53"/>
      <c r="G337" s="48"/>
      <c r="H337" s="53" t="str">
        <f t="shared" si="5"/>
        <v/>
      </c>
      <c r="I337" s="48"/>
    </row>
    <row r="338" spans="1:9" ht="15" customHeight="1" x14ac:dyDescent="0.2">
      <c r="A338" s="48"/>
      <c r="B338" s="43"/>
      <c r="C338" s="32"/>
      <c r="D338" s="75"/>
      <c r="E338" s="48"/>
      <c r="F338" s="53"/>
      <c r="G338" s="48"/>
      <c r="H338" s="53" t="str">
        <f t="shared" si="5"/>
        <v/>
      </c>
      <c r="I338" s="48"/>
    </row>
    <row r="339" spans="1:9" ht="15" customHeight="1" x14ac:dyDescent="0.2">
      <c r="A339" s="48"/>
      <c r="B339" s="43"/>
      <c r="C339" s="32"/>
      <c r="D339" s="75"/>
      <c r="E339" s="48"/>
      <c r="F339" s="53"/>
      <c r="G339" s="48"/>
      <c r="H339" s="53" t="str">
        <f t="shared" si="5"/>
        <v/>
      </c>
      <c r="I339" s="48"/>
    </row>
    <row r="340" spans="1:9" ht="15" customHeight="1" x14ac:dyDescent="0.2">
      <c r="A340" s="48"/>
      <c r="B340" s="43"/>
      <c r="C340" s="32"/>
      <c r="D340" s="75"/>
      <c r="E340" s="48"/>
      <c r="F340" s="53"/>
      <c r="G340" s="48"/>
      <c r="H340" s="53" t="str">
        <f t="shared" si="5"/>
        <v/>
      </c>
      <c r="I340" s="48"/>
    </row>
    <row r="341" spans="1:9" ht="15" customHeight="1" x14ac:dyDescent="0.2">
      <c r="A341" s="48"/>
      <c r="B341" s="43"/>
      <c r="C341" s="32"/>
      <c r="D341" s="75"/>
      <c r="E341" s="48"/>
      <c r="F341" s="53"/>
      <c r="G341" s="48"/>
      <c r="H341" s="53" t="str">
        <f t="shared" si="5"/>
        <v/>
      </c>
      <c r="I341" s="48"/>
    </row>
    <row r="342" spans="1:9" ht="15" customHeight="1" x14ac:dyDescent="0.2">
      <c r="A342" s="48"/>
      <c r="B342" s="43"/>
      <c r="C342" s="32"/>
      <c r="D342" s="75"/>
      <c r="E342" s="48"/>
      <c r="F342" s="53"/>
      <c r="G342" s="48"/>
      <c r="H342" s="53" t="str">
        <f t="shared" si="5"/>
        <v/>
      </c>
      <c r="I342" s="48"/>
    </row>
    <row r="343" spans="1:9" ht="15" customHeight="1" x14ac:dyDescent="0.2">
      <c r="A343" s="48"/>
      <c r="B343" s="43"/>
      <c r="C343" s="32"/>
      <c r="D343" s="75"/>
      <c r="E343" s="48"/>
      <c r="F343" s="53"/>
      <c r="G343" s="48"/>
      <c r="H343" s="53" t="str">
        <f t="shared" si="5"/>
        <v/>
      </c>
      <c r="I343" s="48"/>
    </row>
    <row r="344" spans="1:9" ht="15" customHeight="1" x14ac:dyDescent="0.2">
      <c r="A344" s="48"/>
      <c r="B344" s="43"/>
      <c r="C344" s="32"/>
      <c r="D344" s="75"/>
      <c r="E344" s="48"/>
      <c r="F344" s="53"/>
      <c r="G344" s="48"/>
      <c r="H344" s="53" t="str">
        <f t="shared" si="5"/>
        <v/>
      </c>
      <c r="I344" s="48"/>
    </row>
    <row r="345" spans="1:9" ht="15" customHeight="1" x14ac:dyDescent="0.2">
      <c r="A345" s="48"/>
      <c r="B345" s="43"/>
      <c r="C345" s="32"/>
      <c r="D345" s="75"/>
      <c r="E345" s="48"/>
      <c r="F345" s="53"/>
      <c r="G345" s="48"/>
      <c r="H345" s="53" t="str">
        <f t="shared" si="5"/>
        <v/>
      </c>
      <c r="I345" s="48"/>
    </row>
    <row r="346" spans="1:9" ht="15" customHeight="1" x14ac:dyDescent="0.2">
      <c r="A346" s="48"/>
      <c r="B346" s="43"/>
      <c r="C346" s="32"/>
      <c r="D346" s="75"/>
      <c r="E346" s="48"/>
      <c r="F346" s="53"/>
      <c r="G346" s="48"/>
      <c r="H346" s="53" t="str">
        <f t="shared" si="5"/>
        <v/>
      </c>
      <c r="I346" s="48"/>
    </row>
    <row r="347" spans="1:9" ht="15" customHeight="1" x14ac:dyDescent="0.2">
      <c r="A347" s="48"/>
      <c r="B347" s="43"/>
      <c r="C347" s="32"/>
      <c r="D347" s="75"/>
      <c r="E347" s="48"/>
      <c r="F347" s="53"/>
      <c r="G347" s="48"/>
      <c r="H347" s="53" t="str">
        <f t="shared" si="5"/>
        <v/>
      </c>
      <c r="I347" s="48"/>
    </row>
    <row r="348" spans="1:9" ht="15" customHeight="1" x14ac:dyDescent="0.2">
      <c r="A348" s="48"/>
      <c r="B348" s="43"/>
      <c r="C348" s="32"/>
      <c r="D348" s="75"/>
      <c r="E348" s="48"/>
      <c r="F348" s="53"/>
      <c r="G348" s="48"/>
      <c r="H348" s="53" t="str">
        <f t="shared" si="5"/>
        <v/>
      </c>
      <c r="I348" s="48"/>
    </row>
    <row r="349" spans="1:9" ht="15" customHeight="1" x14ac:dyDescent="0.2">
      <c r="A349" s="48"/>
      <c r="B349" s="43"/>
      <c r="C349" s="32"/>
      <c r="D349" s="75"/>
      <c r="E349" s="48"/>
      <c r="F349" s="53"/>
      <c r="G349" s="48"/>
      <c r="H349" s="53" t="str">
        <f t="shared" si="5"/>
        <v/>
      </c>
      <c r="I349" s="48"/>
    </row>
    <row r="350" spans="1:9" ht="15" customHeight="1" x14ac:dyDescent="0.2">
      <c r="A350" s="48"/>
      <c r="B350" s="43"/>
      <c r="C350" s="32"/>
      <c r="D350" s="75"/>
      <c r="E350" s="48"/>
      <c r="F350" s="53"/>
      <c r="G350" s="48"/>
      <c r="H350" s="53" t="str">
        <f t="shared" si="5"/>
        <v/>
      </c>
      <c r="I350" s="48"/>
    </row>
    <row r="351" spans="1:9" ht="15" customHeight="1" x14ac:dyDescent="0.2">
      <c r="A351" s="48"/>
      <c r="B351" s="43"/>
      <c r="C351" s="32"/>
      <c r="D351" s="75"/>
      <c r="E351" s="48"/>
      <c r="F351" s="53"/>
      <c r="G351" s="48"/>
      <c r="H351" s="53" t="str">
        <f t="shared" si="5"/>
        <v/>
      </c>
      <c r="I351" s="48"/>
    </row>
    <row r="352" spans="1:9" ht="15" customHeight="1" x14ac:dyDescent="0.2">
      <c r="A352" s="48"/>
      <c r="B352" s="43"/>
      <c r="C352" s="32"/>
      <c r="D352" s="75"/>
      <c r="E352" s="48"/>
      <c r="F352" s="53"/>
      <c r="G352" s="48"/>
      <c r="H352" s="53" t="str">
        <f t="shared" si="5"/>
        <v/>
      </c>
      <c r="I352" s="48"/>
    </row>
    <row r="353" spans="1:9" ht="15" customHeight="1" x14ac:dyDescent="0.2">
      <c r="A353" s="48"/>
      <c r="B353" s="43"/>
      <c r="C353" s="32"/>
      <c r="D353" s="75"/>
      <c r="E353" s="48"/>
      <c r="F353" s="53"/>
      <c r="G353" s="48"/>
      <c r="H353" s="53" t="str">
        <f t="shared" si="5"/>
        <v/>
      </c>
      <c r="I353" s="48"/>
    </row>
    <row r="354" spans="1:9" ht="15" customHeight="1" x14ac:dyDescent="0.2">
      <c r="A354" s="48"/>
      <c r="B354" s="43"/>
      <c r="C354" s="32"/>
      <c r="D354" s="75"/>
      <c r="E354" s="48"/>
      <c r="F354" s="53"/>
      <c r="G354" s="48"/>
      <c r="H354" s="53" t="str">
        <f t="shared" si="5"/>
        <v/>
      </c>
      <c r="I354" s="48"/>
    </row>
    <row r="355" spans="1:9" ht="15" customHeight="1" x14ac:dyDescent="0.2">
      <c r="A355" s="48"/>
      <c r="B355" s="43"/>
      <c r="C355" s="32"/>
      <c r="D355" s="75"/>
      <c r="E355" s="48"/>
      <c r="F355" s="53"/>
      <c r="G355" s="48"/>
      <c r="H355" s="53" t="str">
        <f t="shared" si="5"/>
        <v/>
      </c>
      <c r="I355" s="48"/>
    </row>
    <row r="356" spans="1:9" ht="15" customHeight="1" x14ac:dyDescent="0.2">
      <c r="A356" s="48"/>
      <c r="B356" s="43"/>
      <c r="C356" s="32"/>
      <c r="D356" s="75"/>
      <c r="E356" s="48"/>
      <c r="F356" s="53"/>
      <c r="G356" s="48"/>
      <c r="H356" s="53" t="str">
        <f t="shared" si="5"/>
        <v/>
      </c>
      <c r="I356" s="48"/>
    </row>
    <row r="357" spans="1:9" ht="15" customHeight="1" x14ac:dyDescent="0.2">
      <c r="A357" s="48"/>
      <c r="B357" s="43"/>
      <c r="C357" s="32"/>
      <c r="D357" s="75"/>
      <c r="E357" s="48"/>
      <c r="F357" s="53"/>
      <c r="G357" s="48"/>
      <c r="H357" s="53" t="str">
        <f t="shared" si="5"/>
        <v/>
      </c>
      <c r="I357" s="48"/>
    </row>
    <row r="358" spans="1:9" ht="15" customHeight="1" x14ac:dyDescent="0.2">
      <c r="A358" s="48"/>
      <c r="B358" s="43"/>
      <c r="C358" s="32"/>
      <c r="D358" s="75"/>
      <c r="E358" s="48"/>
      <c r="F358" s="53"/>
      <c r="G358" s="48"/>
      <c r="H358" s="53" t="str">
        <f t="shared" si="5"/>
        <v/>
      </c>
      <c r="I358" s="48"/>
    </row>
    <row r="359" spans="1:9" ht="15" customHeight="1" x14ac:dyDescent="0.2">
      <c r="A359" s="48"/>
      <c r="B359" s="43"/>
      <c r="C359" s="32"/>
      <c r="D359" s="75"/>
      <c r="E359" s="48"/>
      <c r="F359" s="53"/>
      <c r="G359" s="48"/>
      <c r="H359" s="53" t="str">
        <f t="shared" si="5"/>
        <v/>
      </c>
      <c r="I359" s="48"/>
    </row>
    <row r="360" spans="1:9" ht="15" customHeight="1" x14ac:dyDescent="0.2">
      <c r="A360" s="48"/>
      <c r="B360" s="43"/>
      <c r="C360" s="32"/>
      <c r="D360" s="75"/>
      <c r="E360" s="48"/>
      <c r="F360" s="53"/>
      <c r="G360" s="48"/>
      <c r="H360" s="53" t="str">
        <f t="shared" si="5"/>
        <v/>
      </c>
      <c r="I360" s="48"/>
    </row>
    <row r="361" spans="1:9" ht="15" customHeight="1" x14ac:dyDescent="0.2">
      <c r="A361" s="48"/>
      <c r="B361" s="43"/>
      <c r="C361" s="32"/>
      <c r="D361" s="75"/>
      <c r="E361" s="48"/>
      <c r="F361" s="53"/>
      <c r="G361" s="48"/>
      <c r="H361" s="53" t="str">
        <f t="shared" si="5"/>
        <v/>
      </c>
      <c r="I361" s="48"/>
    </row>
    <row r="362" spans="1:9" ht="15" customHeight="1" x14ac:dyDescent="0.2">
      <c r="A362" s="48"/>
      <c r="B362" s="43"/>
      <c r="C362" s="32"/>
      <c r="D362" s="75"/>
      <c r="E362" s="48"/>
      <c r="F362" s="53"/>
      <c r="G362" s="48"/>
      <c r="H362" s="53" t="str">
        <f t="shared" si="5"/>
        <v/>
      </c>
      <c r="I362" s="48"/>
    </row>
    <row r="363" spans="1:9" ht="15" customHeight="1" x14ac:dyDescent="0.2">
      <c r="A363" s="48"/>
      <c r="B363" s="43"/>
      <c r="C363" s="32"/>
      <c r="D363" s="75"/>
      <c r="E363" s="48"/>
      <c r="F363" s="53"/>
      <c r="G363" s="48"/>
      <c r="H363" s="53" t="str">
        <f t="shared" si="5"/>
        <v/>
      </c>
      <c r="I363" s="48"/>
    </row>
    <row r="364" spans="1:9" ht="15" customHeight="1" x14ac:dyDescent="0.2">
      <c r="A364" s="48"/>
      <c r="B364" s="43"/>
      <c r="C364" s="32"/>
      <c r="D364" s="75"/>
      <c r="E364" s="48"/>
      <c r="F364" s="53"/>
      <c r="G364" s="48"/>
      <c r="H364" s="53" t="str">
        <f t="shared" si="5"/>
        <v/>
      </c>
      <c r="I364" s="48"/>
    </row>
    <row r="365" spans="1:9" ht="15" customHeight="1" x14ac:dyDescent="0.2">
      <c r="A365" s="48"/>
      <c r="B365" s="43"/>
      <c r="C365" s="32"/>
      <c r="D365" s="75"/>
      <c r="E365" s="48"/>
      <c r="F365" s="53"/>
      <c r="G365" s="48"/>
      <c r="H365" s="53" t="str">
        <f t="shared" si="5"/>
        <v/>
      </c>
      <c r="I365" s="48"/>
    </row>
    <row r="366" spans="1:9" ht="15" customHeight="1" x14ac:dyDescent="0.2">
      <c r="A366" s="48"/>
      <c r="B366" s="43"/>
      <c r="C366" s="32"/>
      <c r="D366" s="75"/>
      <c r="E366" s="48"/>
      <c r="F366" s="53"/>
      <c r="G366" s="48"/>
      <c r="H366" s="53" t="str">
        <f t="shared" si="5"/>
        <v/>
      </c>
      <c r="I366" s="48"/>
    </row>
    <row r="367" spans="1:9" ht="15" customHeight="1" x14ac:dyDescent="0.2">
      <c r="A367" s="48"/>
      <c r="B367" s="43"/>
      <c r="C367" s="32"/>
      <c r="D367" s="75"/>
      <c r="E367" s="48"/>
      <c r="F367" s="53"/>
      <c r="G367" s="48"/>
      <c r="H367" s="53" t="str">
        <f t="shared" si="5"/>
        <v/>
      </c>
      <c r="I367" s="48"/>
    </row>
    <row r="368" spans="1:9" ht="15" customHeight="1" x14ac:dyDescent="0.2">
      <c r="A368" s="48"/>
      <c r="B368" s="43"/>
      <c r="C368" s="32"/>
      <c r="D368" s="75"/>
      <c r="E368" s="48"/>
      <c r="F368" s="53"/>
      <c r="G368" s="48"/>
      <c r="H368" s="53" t="str">
        <f t="shared" si="5"/>
        <v/>
      </c>
      <c r="I368" s="48"/>
    </row>
    <row r="369" spans="1:9" ht="15" customHeight="1" x14ac:dyDescent="0.2">
      <c r="A369" s="48"/>
      <c r="B369" s="43"/>
      <c r="C369" s="32"/>
      <c r="D369" s="75"/>
      <c r="E369" s="48"/>
      <c r="F369" s="53"/>
      <c r="G369" s="48"/>
      <c r="H369" s="53" t="str">
        <f t="shared" si="5"/>
        <v/>
      </c>
      <c r="I369" s="48"/>
    </row>
    <row r="370" spans="1:9" ht="15" customHeight="1" x14ac:dyDescent="0.2">
      <c r="A370" s="48"/>
      <c r="B370" s="43"/>
      <c r="C370" s="32"/>
      <c r="D370" s="75"/>
      <c r="E370" s="48"/>
      <c r="F370" s="53"/>
      <c r="G370" s="48"/>
      <c r="H370" s="53" t="str">
        <f t="shared" si="5"/>
        <v/>
      </c>
      <c r="I370" s="48"/>
    </row>
    <row r="371" spans="1:9" ht="15" customHeight="1" x14ac:dyDescent="0.2">
      <c r="A371" s="48"/>
      <c r="B371" s="43"/>
      <c r="C371" s="32"/>
      <c r="D371" s="75"/>
      <c r="E371" s="48"/>
      <c r="F371" s="53"/>
      <c r="G371" s="48"/>
      <c r="H371" s="53" t="str">
        <f t="shared" si="5"/>
        <v/>
      </c>
      <c r="I371" s="48"/>
    </row>
    <row r="372" spans="1:9" ht="15" customHeight="1" x14ac:dyDescent="0.2">
      <c r="A372" s="48"/>
      <c r="B372" s="43"/>
      <c r="C372" s="32"/>
      <c r="D372" s="75"/>
      <c r="E372" s="48"/>
      <c r="F372" s="53"/>
      <c r="G372" s="48"/>
      <c r="H372" s="53" t="str">
        <f t="shared" si="5"/>
        <v/>
      </c>
      <c r="I372" s="48"/>
    </row>
    <row r="373" spans="1:9" ht="15" customHeight="1" x14ac:dyDescent="0.2">
      <c r="A373" s="48"/>
      <c r="B373" s="43"/>
      <c r="C373" s="32"/>
      <c r="D373" s="75"/>
      <c r="E373" s="48"/>
      <c r="F373" s="53"/>
      <c r="G373" s="48"/>
      <c r="H373" s="53" t="str">
        <f t="shared" si="5"/>
        <v/>
      </c>
      <c r="I373" s="48"/>
    </row>
    <row r="374" spans="1:9" ht="15" customHeight="1" x14ac:dyDescent="0.2">
      <c r="A374" s="48"/>
      <c r="B374" s="43"/>
      <c r="C374" s="32"/>
      <c r="D374" s="75"/>
      <c r="E374" s="48"/>
      <c r="F374" s="53"/>
      <c r="G374" s="48"/>
      <c r="H374" s="53" t="str">
        <f t="shared" si="5"/>
        <v/>
      </c>
      <c r="I374" s="48"/>
    </row>
    <row r="375" spans="1:9" ht="15" customHeight="1" x14ac:dyDescent="0.2">
      <c r="A375" s="48"/>
      <c r="B375" s="43"/>
      <c r="C375" s="32"/>
      <c r="D375" s="75"/>
      <c r="E375" s="48"/>
      <c r="F375" s="53"/>
      <c r="G375" s="48"/>
      <c r="H375" s="53" t="str">
        <f t="shared" si="5"/>
        <v/>
      </c>
      <c r="I375" s="48"/>
    </row>
    <row r="376" spans="1:9" ht="15" customHeight="1" x14ac:dyDescent="0.2">
      <c r="A376" s="48"/>
      <c r="B376" s="43"/>
      <c r="C376" s="32"/>
      <c r="D376" s="75"/>
      <c r="E376" s="48"/>
      <c r="F376" s="53"/>
      <c r="G376" s="48"/>
      <c r="H376" s="53" t="str">
        <f t="shared" si="5"/>
        <v/>
      </c>
      <c r="I376" s="48"/>
    </row>
    <row r="377" spans="1:9" ht="15" customHeight="1" x14ac:dyDescent="0.2">
      <c r="A377" s="48"/>
      <c r="B377" s="43"/>
      <c r="C377" s="32"/>
      <c r="D377" s="75"/>
      <c r="E377" s="48"/>
      <c r="F377" s="53"/>
      <c r="G377" s="48"/>
      <c r="H377" s="53" t="str">
        <f t="shared" si="5"/>
        <v/>
      </c>
      <c r="I377" s="48"/>
    </row>
    <row r="378" spans="1:9" ht="15" customHeight="1" x14ac:dyDescent="0.2">
      <c r="A378" s="48"/>
      <c r="B378" s="43"/>
      <c r="C378" s="32"/>
      <c r="D378" s="75"/>
      <c r="E378" s="48"/>
      <c r="F378" s="53"/>
      <c r="G378" s="48"/>
      <c r="H378" s="53" t="str">
        <f t="shared" si="5"/>
        <v/>
      </c>
      <c r="I378" s="48"/>
    </row>
    <row r="379" spans="1:9" ht="15" customHeight="1" x14ac:dyDescent="0.2">
      <c r="A379" s="48"/>
      <c r="B379" s="43"/>
      <c r="C379" s="32"/>
      <c r="D379" s="75"/>
      <c r="E379" s="48"/>
      <c r="F379" s="53"/>
      <c r="G379" s="48"/>
      <c r="H379" s="53" t="str">
        <f t="shared" si="5"/>
        <v/>
      </c>
      <c r="I379" s="48"/>
    </row>
    <row r="380" spans="1:9" ht="15" customHeight="1" x14ac:dyDescent="0.2">
      <c r="A380" s="48"/>
      <c r="B380" s="43"/>
      <c r="C380" s="32"/>
      <c r="D380" s="75"/>
      <c r="E380" s="48"/>
      <c r="F380" s="53"/>
      <c r="G380" s="48"/>
      <c r="H380" s="53" t="str">
        <f t="shared" si="5"/>
        <v/>
      </c>
      <c r="I380" s="48"/>
    </row>
    <row r="381" spans="1:9" ht="15" customHeight="1" x14ac:dyDescent="0.2">
      <c r="A381" s="48"/>
      <c r="B381" s="43"/>
      <c r="C381" s="32"/>
      <c r="D381" s="75"/>
      <c r="E381" s="48"/>
      <c r="F381" s="53"/>
      <c r="G381" s="48"/>
      <c r="H381" s="53" t="str">
        <f t="shared" si="5"/>
        <v/>
      </c>
      <c r="I381" s="48"/>
    </row>
    <row r="382" spans="1:9" ht="15" customHeight="1" x14ac:dyDescent="0.2">
      <c r="A382" s="48"/>
      <c r="B382" s="43"/>
      <c r="C382" s="32"/>
      <c r="D382" s="75"/>
      <c r="E382" s="48"/>
      <c r="F382" s="53"/>
      <c r="G382" s="48"/>
      <c r="H382" s="53" t="str">
        <f t="shared" si="5"/>
        <v/>
      </c>
      <c r="I382" s="48"/>
    </row>
    <row r="383" spans="1:9" ht="15" customHeight="1" x14ac:dyDescent="0.2">
      <c r="A383" s="48"/>
      <c r="B383" s="43"/>
      <c r="C383" s="32"/>
      <c r="D383" s="75"/>
      <c r="E383" s="48"/>
      <c r="F383" s="53"/>
      <c r="G383" s="48"/>
      <c r="H383" s="53" t="str">
        <f t="shared" si="5"/>
        <v/>
      </c>
      <c r="I383" s="48"/>
    </row>
    <row r="384" spans="1:9" ht="15" customHeight="1" x14ac:dyDescent="0.2">
      <c r="A384" s="48"/>
      <c r="B384" s="43"/>
      <c r="C384" s="32"/>
      <c r="D384" s="75"/>
      <c r="E384" s="48"/>
      <c r="F384" s="53"/>
      <c r="G384" s="48"/>
      <c r="H384" s="53" t="str">
        <f t="shared" si="5"/>
        <v/>
      </c>
      <c r="I384" s="48"/>
    </row>
    <row r="385" spans="1:9" ht="15" customHeight="1" x14ac:dyDescent="0.2">
      <c r="A385" s="48"/>
      <c r="B385" s="43"/>
      <c r="C385" s="32"/>
      <c r="D385" s="75"/>
      <c r="E385" s="48"/>
      <c r="F385" s="53"/>
      <c r="G385" s="48"/>
      <c r="H385" s="53" t="str">
        <f t="shared" si="5"/>
        <v/>
      </c>
      <c r="I385" s="48"/>
    </row>
    <row r="386" spans="1:9" ht="15" customHeight="1" x14ac:dyDescent="0.2">
      <c r="A386" s="48"/>
      <c r="B386" s="43"/>
      <c r="C386" s="32"/>
      <c r="D386" s="75"/>
      <c r="E386" s="48"/>
      <c r="F386" s="53"/>
      <c r="G386" s="48"/>
      <c r="H386" s="53" t="str">
        <f t="shared" si="5"/>
        <v/>
      </c>
      <c r="I386" s="48"/>
    </row>
    <row r="387" spans="1:9" ht="15" customHeight="1" x14ac:dyDescent="0.2">
      <c r="A387" s="48"/>
      <c r="B387" s="43"/>
      <c r="C387" s="32"/>
      <c r="D387" s="75"/>
      <c r="E387" s="48"/>
      <c r="F387" s="53"/>
      <c r="G387" s="48"/>
      <c r="H387" s="53" t="str">
        <f t="shared" si="5"/>
        <v/>
      </c>
      <c r="I387" s="48"/>
    </row>
    <row r="388" spans="1:9" ht="15" customHeight="1" x14ac:dyDescent="0.2">
      <c r="A388" s="48"/>
      <c r="B388" s="43"/>
      <c r="C388" s="32"/>
      <c r="D388" s="75"/>
      <c r="E388" s="48"/>
      <c r="F388" s="53"/>
      <c r="G388" s="48"/>
      <c r="H388" s="53" t="str">
        <f t="shared" si="5"/>
        <v/>
      </c>
      <c r="I388" s="48"/>
    </row>
    <row r="389" spans="1:9" ht="15" customHeight="1" x14ac:dyDescent="0.2">
      <c r="A389" s="48"/>
      <c r="B389" s="43"/>
      <c r="C389" s="32"/>
      <c r="D389" s="75"/>
      <c r="E389" s="48"/>
      <c r="F389" s="53"/>
      <c r="G389" s="48"/>
      <c r="H389" s="53" t="str">
        <f t="shared" si="5"/>
        <v/>
      </c>
      <c r="I389" s="48"/>
    </row>
    <row r="390" spans="1:9" ht="15" customHeight="1" x14ac:dyDescent="0.2">
      <c r="A390" s="48"/>
      <c r="B390" s="43"/>
      <c r="C390" s="32"/>
      <c r="D390" s="75"/>
      <c r="E390" s="48"/>
      <c r="F390" s="53"/>
      <c r="G390" s="48"/>
      <c r="H390" s="53" t="str">
        <f t="shared" si="5"/>
        <v/>
      </c>
      <c r="I390" s="48"/>
    </row>
    <row r="391" spans="1:9" ht="15" customHeight="1" x14ac:dyDescent="0.2">
      <c r="A391" s="48"/>
      <c r="B391" s="43"/>
      <c r="C391" s="32"/>
      <c r="D391" s="75"/>
      <c r="E391" s="48"/>
      <c r="F391" s="53"/>
      <c r="G391" s="48"/>
      <c r="H391" s="53" t="str">
        <f t="shared" si="5"/>
        <v/>
      </c>
      <c r="I391" s="48"/>
    </row>
    <row r="392" spans="1:9" ht="15" customHeight="1" x14ac:dyDescent="0.2">
      <c r="A392" s="48"/>
      <c r="B392" s="43"/>
      <c r="C392" s="32"/>
      <c r="D392" s="75"/>
      <c r="E392" s="48"/>
      <c r="F392" s="53"/>
      <c r="G392" s="48"/>
      <c r="H392" s="53" t="str">
        <f t="shared" si="5"/>
        <v/>
      </c>
      <c r="I392" s="48"/>
    </row>
    <row r="393" spans="1:9" ht="15" customHeight="1" x14ac:dyDescent="0.2">
      <c r="A393" s="48"/>
      <c r="B393" s="43"/>
      <c r="C393" s="32"/>
      <c r="D393" s="75"/>
      <c r="E393" s="48"/>
      <c r="F393" s="53"/>
      <c r="G393" s="48"/>
      <c r="H393" s="53" t="str">
        <f t="shared" si="5"/>
        <v/>
      </c>
      <c r="I393" s="48"/>
    </row>
    <row r="394" spans="1:9" ht="15" customHeight="1" x14ac:dyDescent="0.2">
      <c r="A394" s="48"/>
      <c r="B394" s="43"/>
      <c r="C394" s="32"/>
      <c r="D394" s="75"/>
      <c r="E394" s="48"/>
      <c r="F394" s="53"/>
      <c r="G394" s="48"/>
      <c r="H394" s="53" t="str">
        <f t="shared" ref="H394:H457" si="6">IF(OR(F394="",G394=""),"",IF(F394="500 g",G394*0.5,IF(F394="2,5 kg",G394*2.5,"")))</f>
        <v/>
      </c>
      <c r="I394" s="48"/>
    </row>
    <row r="395" spans="1:9" ht="15" customHeight="1" x14ac:dyDescent="0.2">
      <c r="A395" s="48"/>
      <c r="B395" s="43"/>
      <c r="C395" s="32"/>
      <c r="D395" s="75"/>
      <c r="E395" s="48"/>
      <c r="F395" s="53"/>
      <c r="G395" s="48"/>
      <c r="H395" s="53" t="str">
        <f t="shared" si="6"/>
        <v/>
      </c>
      <c r="I395" s="48"/>
    </row>
    <row r="396" spans="1:9" ht="15" customHeight="1" x14ac:dyDescent="0.2">
      <c r="A396" s="48"/>
      <c r="B396" s="43"/>
      <c r="C396" s="32"/>
      <c r="D396" s="75"/>
      <c r="E396" s="48"/>
      <c r="F396" s="53"/>
      <c r="G396" s="48"/>
      <c r="H396" s="53" t="str">
        <f t="shared" si="6"/>
        <v/>
      </c>
      <c r="I396" s="48"/>
    </row>
    <row r="397" spans="1:9" ht="15" customHeight="1" x14ac:dyDescent="0.2">
      <c r="A397" s="48"/>
      <c r="B397" s="43"/>
      <c r="C397" s="32"/>
      <c r="D397" s="75"/>
      <c r="E397" s="48"/>
      <c r="F397" s="53"/>
      <c r="G397" s="48"/>
      <c r="H397" s="53" t="str">
        <f t="shared" si="6"/>
        <v/>
      </c>
      <c r="I397" s="48"/>
    </row>
    <row r="398" spans="1:9" ht="15" customHeight="1" x14ac:dyDescent="0.2">
      <c r="A398" s="48"/>
      <c r="B398" s="43"/>
      <c r="C398" s="32"/>
      <c r="D398" s="75"/>
      <c r="E398" s="48"/>
      <c r="F398" s="53"/>
      <c r="G398" s="48"/>
      <c r="H398" s="53" t="str">
        <f t="shared" si="6"/>
        <v/>
      </c>
      <c r="I398" s="48"/>
    </row>
    <row r="399" spans="1:9" ht="15" customHeight="1" x14ac:dyDescent="0.2">
      <c r="A399" s="48"/>
      <c r="B399" s="43"/>
      <c r="C399" s="32"/>
      <c r="D399" s="75"/>
      <c r="E399" s="48"/>
      <c r="F399" s="53"/>
      <c r="G399" s="48"/>
      <c r="H399" s="53" t="str">
        <f t="shared" si="6"/>
        <v/>
      </c>
      <c r="I399" s="48"/>
    </row>
    <row r="400" spans="1:9" ht="15" customHeight="1" x14ac:dyDescent="0.2">
      <c r="A400" s="48"/>
      <c r="B400" s="43"/>
      <c r="C400" s="32"/>
      <c r="D400" s="75"/>
      <c r="E400" s="48"/>
      <c r="F400" s="53"/>
      <c r="G400" s="48"/>
      <c r="H400" s="53" t="str">
        <f t="shared" si="6"/>
        <v/>
      </c>
      <c r="I400" s="48"/>
    </row>
    <row r="401" spans="1:9" ht="15" customHeight="1" x14ac:dyDescent="0.2">
      <c r="A401" s="48"/>
      <c r="B401" s="43"/>
      <c r="C401" s="32"/>
      <c r="D401" s="75"/>
      <c r="E401" s="48"/>
      <c r="F401" s="53"/>
      <c r="G401" s="48"/>
      <c r="H401" s="53" t="str">
        <f t="shared" si="6"/>
        <v/>
      </c>
      <c r="I401" s="48"/>
    </row>
    <row r="402" spans="1:9" ht="15" customHeight="1" x14ac:dyDescent="0.2">
      <c r="A402" s="48"/>
      <c r="B402" s="43"/>
      <c r="C402" s="32"/>
      <c r="D402" s="75"/>
      <c r="E402" s="48"/>
      <c r="F402" s="53"/>
      <c r="G402" s="48"/>
      <c r="H402" s="53" t="str">
        <f t="shared" si="6"/>
        <v/>
      </c>
      <c r="I402" s="48"/>
    </row>
    <row r="403" spans="1:9" ht="15" customHeight="1" x14ac:dyDescent="0.2">
      <c r="A403" s="48"/>
      <c r="B403" s="43"/>
      <c r="C403" s="32"/>
      <c r="D403" s="75"/>
      <c r="E403" s="48"/>
      <c r="F403" s="53"/>
      <c r="G403" s="48"/>
      <c r="H403" s="53" t="str">
        <f t="shared" si="6"/>
        <v/>
      </c>
      <c r="I403" s="48"/>
    </row>
    <row r="404" spans="1:9" ht="15" customHeight="1" x14ac:dyDescent="0.2">
      <c r="A404" s="48"/>
      <c r="B404" s="43"/>
      <c r="C404" s="32"/>
      <c r="D404" s="75"/>
      <c r="E404" s="48"/>
      <c r="F404" s="53"/>
      <c r="G404" s="48"/>
      <c r="H404" s="53" t="str">
        <f t="shared" si="6"/>
        <v/>
      </c>
      <c r="I404" s="48"/>
    </row>
    <row r="405" spans="1:9" ht="15" customHeight="1" x14ac:dyDescent="0.2">
      <c r="A405" s="48"/>
      <c r="B405" s="43"/>
      <c r="C405" s="32"/>
      <c r="D405" s="75"/>
      <c r="E405" s="48"/>
      <c r="F405" s="53"/>
      <c r="G405" s="48"/>
      <c r="H405" s="53" t="str">
        <f t="shared" si="6"/>
        <v/>
      </c>
      <c r="I405" s="48"/>
    </row>
    <row r="406" spans="1:9" ht="15" customHeight="1" x14ac:dyDescent="0.2">
      <c r="A406" s="48"/>
      <c r="B406" s="43"/>
      <c r="C406" s="32"/>
      <c r="D406" s="75"/>
      <c r="E406" s="48"/>
      <c r="F406" s="53"/>
      <c r="G406" s="48"/>
      <c r="H406" s="53" t="str">
        <f t="shared" si="6"/>
        <v/>
      </c>
      <c r="I406" s="48"/>
    </row>
    <row r="407" spans="1:9" ht="15" customHeight="1" x14ac:dyDescent="0.2">
      <c r="A407" s="48"/>
      <c r="B407" s="43"/>
      <c r="C407" s="32"/>
      <c r="D407" s="75"/>
      <c r="E407" s="48"/>
      <c r="F407" s="53"/>
      <c r="G407" s="48"/>
      <c r="H407" s="53" t="str">
        <f t="shared" si="6"/>
        <v/>
      </c>
      <c r="I407" s="48"/>
    </row>
    <row r="408" spans="1:9" ht="15" customHeight="1" x14ac:dyDescent="0.2">
      <c r="A408" s="48"/>
      <c r="B408" s="43"/>
      <c r="C408" s="32"/>
      <c r="D408" s="75"/>
      <c r="E408" s="48"/>
      <c r="F408" s="53"/>
      <c r="G408" s="48"/>
      <c r="H408" s="53" t="str">
        <f t="shared" si="6"/>
        <v/>
      </c>
      <c r="I408" s="48"/>
    </row>
    <row r="409" spans="1:9" ht="15" customHeight="1" x14ac:dyDescent="0.2">
      <c r="A409" s="48"/>
      <c r="B409" s="43"/>
      <c r="C409" s="32"/>
      <c r="D409" s="75"/>
      <c r="E409" s="48"/>
      <c r="F409" s="53"/>
      <c r="G409" s="48"/>
      <c r="H409" s="53" t="str">
        <f t="shared" si="6"/>
        <v/>
      </c>
      <c r="I409" s="48"/>
    </row>
    <row r="410" spans="1:9" ht="15" customHeight="1" x14ac:dyDescent="0.2">
      <c r="A410" s="48"/>
      <c r="B410" s="43"/>
      <c r="C410" s="32"/>
      <c r="D410" s="75"/>
      <c r="E410" s="48"/>
      <c r="F410" s="53"/>
      <c r="G410" s="48"/>
      <c r="H410" s="53" t="str">
        <f t="shared" si="6"/>
        <v/>
      </c>
      <c r="I410" s="48"/>
    </row>
    <row r="411" spans="1:9" ht="15" customHeight="1" x14ac:dyDescent="0.2">
      <c r="A411" s="48"/>
      <c r="B411" s="43"/>
      <c r="C411" s="32"/>
      <c r="D411" s="75"/>
      <c r="E411" s="48"/>
      <c r="F411" s="53"/>
      <c r="G411" s="48"/>
      <c r="H411" s="53" t="str">
        <f t="shared" si="6"/>
        <v/>
      </c>
      <c r="I411" s="48"/>
    </row>
    <row r="412" spans="1:9" ht="15" customHeight="1" x14ac:dyDescent="0.2">
      <c r="A412" s="48"/>
      <c r="B412" s="43"/>
      <c r="C412" s="32"/>
      <c r="D412" s="75"/>
      <c r="E412" s="48"/>
      <c r="F412" s="53"/>
      <c r="G412" s="48"/>
      <c r="H412" s="53" t="str">
        <f t="shared" si="6"/>
        <v/>
      </c>
      <c r="I412" s="48"/>
    </row>
    <row r="413" spans="1:9" ht="15" customHeight="1" x14ac:dyDescent="0.2">
      <c r="A413" s="48"/>
      <c r="B413" s="43"/>
      <c r="C413" s="32"/>
      <c r="D413" s="75"/>
      <c r="E413" s="48"/>
      <c r="F413" s="53"/>
      <c r="G413" s="48"/>
      <c r="H413" s="53" t="str">
        <f t="shared" si="6"/>
        <v/>
      </c>
      <c r="I413" s="48"/>
    </row>
    <row r="414" spans="1:9" ht="15" customHeight="1" x14ac:dyDescent="0.2">
      <c r="A414" s="48"/>
      <c r="B414" s="43"/>
      <c r="C414" s="32"/>
      <c r="D414" s="75"/>
      <c r="E414" s="48"/>
      <c r="F414" s="53"/>
      <c r="G414" s="48"/>
      <c r="H414" s="53" t="str">
        <f t="shared" si="6"/>
        <v/>
      </c>
      <c r="I414" s="48"/>
    </row>
    <row r="415" spans="1:9" ht="15" customHeight="1" x14ac:dyDescent="0.2">
      <c r="A415" s="48"/>
      <c r="B415" s="43"/>
      <c r="C415" s="32"/>
      <c r="D415" s="75"/>
      <c r="E415" s="48"/>
      <c r="F415" s="53"/>
      <c r="G415" s="48"/>
      <c r="H415" s="53" t="str">
        <f t="shared" si="6"/>
        <v/>
      </c>
      <c r="I415" s="48"/>
    </row>
    <row r="416" spans="1:9" ht="15" customHeight="1" x14ac:dyDescent="0.2">
      <c r="A416" s="48"/>
      <c r="B416" s="43"/>
      <c r="C416" s="32"/>
      <c r="D416" s="75"/>
      <c r="E416" s="48"/>
      <c r="F416" s="53"/>
      <c r="G416" s="48"/>
      <c r="H416" s="53" t="str">
        <f t="shared" si="6"/>
        <v/>
      </c>
      <c r="I416" s="48"/>
    </row>
    <row r="417" spans="1:9" ht="15" customHeight="1" x14ac:dyDescent="0.2">
      <c r="A417" s="48"/>
      <c r="B417" s="43"/>
      <c r="C417" s="32"/>
      <c r="D417" s="75"/>
      <c r="E417" s="48"/>
      <c r="F417" s="53"/>
      <c r="G417" s="48"/>
      <c r="H417" s="53" t="str">
        <f t="shared" si="6"/>
        <v/>
      </c>
      <c r="I417" s="48"/>
    </row>
    <row r="418" spans="1:9" ht="15" customHeight="1" x14ac:dyDescent="0.2">
      <c r="A418" s="48"/>
      <c r="B418" s="43"/>
      <c r="C418" s="32"/>
      <c r="D418" s="75"/>
      <c r="E418" s="48"/>
      <c r="F418" s="53"/>
      <c r="G418" s="48"/>
      <c r="H418" s="53" t="str">
        <f t="shared" si="6"/>
        <v/>
      </c>
      <c r="I418" s="48"/>
    </row>
    <row r="419" spans="1:9" ht="15" customHeight="1" x14ac:dyDescent="0.2">
      <c r="A419" s="48"/>
      <c r="B419" s="43"/>
      <c r="C419" s="32"/>
      <c r="D419" s="75"/>
      <c r="E419" s="48"/>
      <c r="F419" s="53"/>
      <c r="G419" s="48"/>
      <c r="H419" s="53" t="str">
        <f t="shared" si="6"/>
        <v/>
      </c>
      <c r="I419" s="48"/>
    </row>
    <row r="420" spans="1:9" ht="15" customHeight="1" x14ac:dyDescent="0.2">
      <c r="A420" s="48"/>
      <c r="B420" s="43"/>
      <c r="C420" s="32"/>
      <c r="D420" s="75"/>
      <c r="E420" s="48"/>
      <c r="F420" s="53"/>
      <c r="G420" s="48"/>
      <c r="H420" s="53" t="str">
        <f t="shared" si="6"/>
        <v/>
      </c>
      <c r="I420" s="48"/>
    </row>
    <row r="421" spans="1:9" ht="15" customHeight="1" x14ac:dyDescent="0.2">
      <c r="A421" s="48"/>
      <c r="B421" s="43"/>
      <c r="C421" s="32"/>
      <c r="D421" s="75"/>
      <c r="E421" s="48"/>
      <c r="F421" s="53"/>
      <c r="G421" s="48"/>
      <c r="H421" s="53" t="str">
        <f t="shared" si="6"/>
        <v/>
      </c>
      <c r="I421" s="48"/>
    </row>
    <row r="422" spans="1:9" ht="15" customHeight="1" x14ac:dyDescent="0.2">
      <c r="A422" s="48"/>
      <c r="B422" s="43"/>
      <c r="C422" s="32"/>
      <c r="D422" s="75"/>
      <c r="E422" s="48"/>
      <c r="F422" s="53"/>
      <c r="G422" s="48"/>
      <c r="H422" s="53" t="str">
        <f t="shared" si="6"/>
        <v/>
      </c>
      <c r="I422" s="48"/>
    </row>
    <row r="423" spans="1:9" ht="15" customHeight="1" x14ac:dyDescent="0.2">
      <c r="A423" s="48"/>
      <c r="B423" s="43"/>
      <c r="C423" s="32"/>
      <c r="D423" s="75"/>
      <c r="E423" s="48"/>
      <c r="F423" s="53"/>
      <c r="G423" s="48"/>
      <c r="H423" s="53" t="str">
        <f t="shared" si="6"/>
        <v/>
      </c>
      <c r="I423" s="48"/>
    </row>
    <row r="424" spans="1:9" ht="15" customHeight="1" x14ac:dyDescent="0.2">
      <c r="A424" s="48"/>
      <c r="B424" s="43"/>
      <c r="C424" s="32"/>
      <c r="D424" s="75"/>
      <c r="E424" s="48"/>
      <c r="F424" s="53"/>
      <c r="G424" s="48"/>
      <c r="H424" s="53" t="str">
        <f t="shared" si="6"/>
        <v/>
      </c>
      <c r="I424" s="48"/>
    </row>
    <row r="425" spans="1:9" ht="15" customHeight="1" x14ac:dyDescent="0.2">
      <c r="A425" s="48"/>
      <c r="B425" s="43"/>
      <c r="C425" s="32"/>
      <c r="D425" s="75"/>
      <c r="E425" s="48"/>
      <c r="F425" s="53"/>
      <c r="G425" s="48"/>
      <c r="H425" s="53" t="str">
        <f t="shared" si="6"/>
        <v/>
      </c>
      <c r="I425" s="48"/>
    </row>
    <row r="426" spans="1:9" ht="15" customHeight="1" x14ac:dyDescent="0.2">
      <c r="A426" s="48"/>
      <c r="B426" s="43"/>
      <c r="C426" s="32"/>
      <c r="D426" s="75"/>
      <c r="E426" s="48"/>
      <c r="F426" s="53"/>
      <c r="G426" s="48"/>
      <c r="H426" s="53" t="str">
        <f t="shared" si="6"/>
        <v/>
      </c>
      <c r="I426" s="48"/>
    </row>
    <row r="427" spans="1:9" ht="15" customHeight="1" x14ac:dyDescent="0.2">
      <c r="A427" s="48"/>
      <c r="B427" s="43"/>
      <c r="C427" s="32"/>
      <c r="D427" s="75"/>
      <c r="E427" s="48"/>
      <c r="F427" s="53"/>
      <c r="G427" s="48"/>
      <c r="H427" s="53" t="str">
        <f t="shared" si="6"/>
        <v/>
      </c>
      <c r="I427" s="48"/>
    </row>
    <row r="428" spans="1:9" ht="15" customHeight="1" x14ac:dyDescent="0.2">
      <c r="A428" s="48"/>
      <c r="B428" s="43"/>
      <c r="C428" s="32"/>
      <c r="D428" s="75"/>
      <c r="E428" s="48"/>
      <c r="F428" s="53"/>
      <c r="G428" s="48"/>
      <c r="H428" s="53" t="str">
        <f t="shared" si="6"/>
        <v/>
      </c>
      <c r="I428" s="48"/>
    </row>
    <row r="429" spans="1:9" ht="15" customHeight="1" x14ac:dyDescent="0.2">
      <c r="A429" s="48"/>
      <c r="B429" s="43"/>
      <c r="C429" s="32"/>
      <c r="D429" s="75"/>
      <c r="E429" s="48"/>
      <c r="F429" s="53"/>
      <c r="G429" s="48"/>
      <c r="H429" s="53" t="str">
        <f t="shared" si="6"/>
        <v/>
      </c>
      <c r="I429" s="48"/>
    </row>
    <row r="430" spans="1:9" ht="15" customHeight="1" x14ac:dyDescent="0.2">
      <c r="A430" s="48"/>
      <c r="B430" s="43"/>
      <c r="C430" s="32"/>
      <c r="D430" s="75"/>
      <c r="E430" s="48"/>
      <c r="F430" s="53"/>
      <c r="G430" s="48"/>
      <c r="H430" s="53" t="str">
        <f t="shared" si="6"/>
        <v/>
      </c>
      <c r="I430" s="48"/>
    </row>
    <row r="431" spans="1:9" ht="15" customHeight="1" x14ac:dyDescent="0.2">
      <c r="A431" s="48"/>
      <c r="B431" s="43"/>
      <c r="C431" s="32"/>
      <c r="D431" s="75"/>
      <c r="E431" s="48"/>
      <c r="F431" s="53"/>
      <c r="G431" s="48"/>
      <c r="H431" s="53" t="str">
        <f t="shared" si="6"/>
        <v/>
      </c>
      <c r="I431" s="48"/>
    </row>
    <row r="432" spans="1:9" ht="15" customHeight="1" x14ac:dyDescent="0.2">
      <c r="A432" s="48"/>
      <c r="B432" s="43"/>
      <c r="C432" s="32"/>
      <c r="D432" s="75"/>
      <c r="E432" s="48"/>
      <c r="F432" s="53"/>
      <c r="G432" s="48"/>
      <c r="H432" s="53" t="str">
        <f t="shared" si="6"/>
        <v/>
      </c>
      <c r="I432" s="48"/>
    </row>
    <row r="433" spans="1:9" ht="15" customHeight="1" x14ac:dyDescent="0.2">
      <c r="A433" s="48"/>
      <c r="B433" s="43"/>
      <c r="C433" s="32"/>
      <c r="D433" s="75"/>
      <c r="E433" s="48"/>
      <c r="F433" s="53"/>
      <c r="G433" s="48"/>
      <c r="H433" s="53" t="str">
        <f t="shared" si="6"/>
        <v/>
      </c>
      <c r="I433" s="48"/>
    </row>
    <row r="434" spans="1:9" ht="15" customHeight="1" x14ac:dyDescent="0.2">
      <c r="A434" s="48"/>
      <c r="B434" s="43"/>
      <c r="C434" s="32"/>
      <c r="D434" s="75"/>
      <c r="E434" s="48"/>
      <c r="F434" s="53"/>
      <c r="G434" s="48"/>
      <c r="H434" s="53" t="str">
        <f t="shared" si="6"/>
        <v/>
      </c>
      <c r="I434" s="48"/>
    </row>
    <row r="435" spans="1:9" ht="15" customHeight="1" x14ac:dyDescent="0.2">
      <c r="A435" s="48"/>
      <c r="B435" s="43"/>
      <c r="C435" s="32"/>
      <c r="D435" s="75"/>
      <c r="E435" s="48"/>
      <c r="F435" s="53"/>
      <c r="G435" s="48"/>
      <c r="H435" s="53" t="str">
        <f t="shared" si="6"/>
        <v/>
      </c>
      <c r="I435" s="48"/>
    </row>
    <row r="436" spans="1:9" ht="15" customHeight="1" x14ac:dyDescent="0.2">
      <c r="A436" s="48"/>
      <c r="B436" s="43"/>
      <c r="C436" s="32"/>
      <c r="D436" s="75"/>
      <c r="E436" s="48"/>
      <c r="F436" s="53"/>
      <c r="G436" s="48"/>
      <c r="H436" s="53" t="str">
        <f t="shared" si="6"/>
        <v/>
      </c>
      <c r="I436" s="48"/>
    </row>
    <row r="437" spans="1:9" ht="15" customHeight="1" x14ac:dyDescent="0.2">
      <c r="A437" s="48"/>
      <c r="B437" s="43"/>
      <c r="C437" s="32"/>
      <c r="D437" s="75"/>
      <c r="E437" s="48"/>
      <c r="F437" s="53"/>
      <c r="G437" s="48"/>
      <c r="H437" s="53" t="str">
        <f t="shared" si="6"/>
        <v/>
      </c>
      <c r="I437" s="48"/>
    </row>
    <row r="438" spans="1:9" ht="15" customHeight="1" x14ac:dyDescent="0.2">
      <c r="A438" s="48"/>
      <c r="B438" s="43"/>
      <c r="C438" s="32"/>
      <c r="D438" s="75"/>
      <c r="E438" s="48"/>
      <c r="F438" s="53"/>
      <c r="G438" s="48"/>
      <c r="H438" s="53" t="str">
        <f t="shared" si="6"/>
        <v/>
      </c>
      <c r="I438" s="48"/>
    </row>
    <row r="439" spans="1:9" ht="15" customHeight="1" x14ac:dyDescent="0.2">
      <c r="A439" s="48"/>
      <c r="B439" s="43"/>
      <c r="C439" s="32"/>
      <c r="D439" s="75"/>
      <c r="E439" s="48"/>
      <c r="F439" s="53"/>
      <c r="G439" s="48"/>
      <c r="H439" s="53" t="str">
        <f t="shared" si="6"/>
        <v/>
      </c>
      <c r="I439" s="48"/>
    </row>
    <row r="440" spans="1:9" ht="15" customHeight="1" x14ac:dyDescent="0.2">
      <c r="A440" s="48"/>
      <c r="B440" s="43"/>
      <c r="C440" s="32"/>
      <c r="D440" s="75"/>
      <c r="E440" s="48"/>
      <c r="F440" s="53"/>
      <c r="G440" s="48"/>
      <c r="H440" s="53" t="str">
        <f t="shared" si="6"/>
        <v/>
      </c>
      <c r="I440" s="48"/>
    </row>
    <row r="441" spans="1:9" ht="15" customHeight="1" x14ac:dyDescent="0.2">
      <c r="A441" s="48"/>
      <c r="B441" s="43"/>
      <c r="C441" s="32"/>
      <c r="D441" s="75"/>
      <c r="E441" s="48"/>
      <c r="F441" s="53"/>
      <c r="G441" s="48"/>
      <c r="H441" s="53" t="str">
        <f t="shared" si="6"/>
        <v/>
      </c>
      <c r="I441" s="48"/>
    </row>
    <row r="442" spans="1:9" ht="15" customHeight="1" x14ac:dyDescent="0.2">
      <c r="A442" s="48"/>
      <c r="B442" s="43"/>
      <c r="C442" s="32"/>
      <c r="D442" s="75"/>
      <c r="E442" s="48"/>
      <c r="F442" s="53"/>
      <c r="G442" s="48"/>
      <c r="H442" s="53" t="str">
        <f t="shared" si="6"/>
        <v/>
      </c>
      <c r="I442" s="48"/>
    </row>
    <row r="443" spans="1:9" ht="15" customHeight="1" x14ac:dyDescent="0.2">
      <c r="A443" s="48"/>
      <c r="B443" s="43"/>
      <c r="C443" s="32"/>
      <c r="D443" s="75"/>
      <c r="E443" s="48"/>
      <c r="F443" s="53"/>
      <c r="G443" s="48"/>
      <c r="H443" s="53" t="str">
        <f t="shared" si="6"/>
        <v/>
      </c>
      <c r="I443" s="48"/>
    </row>
    <row r="444" spans="1:9" ht="15" customHeight="1" x14ac:dyDescent="0.2">
      <c r="A444" s="48"/>
      <c r="B444" s="43"/>
      <c r="C444" s="32"/>
      <c r="D444" s="75"/>
      <c r="E444" s="48"/>
      <c r="F444" s="53"/>
      <c r="G444" s="48"/>
      <c r="H444" s="53" t="str">
        <f t="shared" si="6"/>
        <v/>
      </c>
      <c r="I444" s="48"/>
    </row>
    <row r="445" spans="1:9" ht="15" customHeight="1" x14ac:dyDescent="0.2">
      <c r="A445" s="48"/>
      <c r="B445" s="43"/>
      <c r="C445" s="32"/>
      <c r="D445" s="75"/>
      <c r="E445" s="48"/>
      <c r="F445" s="53"/>
      <c r="G445" s="48"/>
      <c r="H445" s="53" t="str">
        <f t="shared" si="6"/>
        <v/>
      </c>
      <c r="I445" s="48"/>
    </row>
    <row r="446" spans="1:9" ht="15" customHeight="1" x14ac:dyDescent="0.2">
      <c r="A446" s="48"/>
      <c r="B446" s="43"/>
      <c r="C446" s="32"/>
      <c r="D446" s="75"/>
      <c r="E446" s="48"/>
      <c r="F446" s="53"/>
      <c r="G446" s="48"/>
      <c r="H446" s="53" t="str">
        <f t="shared" si="6"/>
        <v/>
      </c>
      <c r="I446" s="48"/>
    </row>
    <row r="447" spans="1:9" ht="15" customHeight="1" x14ac:dyDescent="0.2">
      <c r="A447" s="48"/>
      <c r="B447" s="43"/>
      <c r="C447" s="32"/>
      <c r="D447" s="75"/>
      <c r="E447" s="48"/>
      <c r="F447" s="53"/>
      <c r="G447" s="48"/>
      <c r="H447" s="53" t="str">
        <f t="shared" si="6"/>
        <v/>
      </c>
      <c r="I447" s="48"/>
    </row>
    <row r="448" spans="1:9" ht="15" customHeight="1" x14ac:dyDescent="0.2">
      <c r="A448" s="48"/>
      <c r="B448" s="43"/>
      <c r="C448" s="32"/>
      <c r="D448" s="75"/>
      <c r="E448" s="48"/>
      <c r="F448" s="53"/>
      <c r="G448" s="48"/>
      <c r="H448" s="53" t="str">
        <f t="shared" si="6"/>
        <v/>
      </c>
      <c r="I448" s="48"/>
    </row>
    <row r="449" spans="1:9" ht="15" customHeight="1" x14ac:dyDescent="0.2">
      <c r="A449" s="48"/>
      <c r="B449" s="43"/>
      <c r="C449" s="32"/>
      <c r="D449" s="75"/>
      <c r="E449" s="48"/>
      <c r="F449" s="53"/>
      <c r="G449" s="48"/>
      <c r="H449" s="53" t="str">
        <f t="shared" si="6"/>
        <v/>
      </c>
      <c r="I449" s="48"/>
    </row>
    <row r="450" spans="1:9" ht="15" customHeight="1" x14ac:dyDescent="0.2">
      <c r="A450" s="48"/>
      <c r="B450" s="43"/>
      <c r="C450" s="32"/>
      <c r="D450" s="75"/>
      <c r="E450" s="48"/>
      <c r="F450" s="53"/>
      <c r="G450" s="48"/>
      <c r="H450" s="53" t="str">
        <f t="shared" si="6"/>
        <v/>
      </c>
      <c r="I450" s="48"/>
    </row>
    <row r="451" spans="1:9" ht="15" customHeight="1" x14ac:dyDescent="0.2">
      <c r="A451" s="48"/>
      <c r="B451" s="43"/>
      <c r="C451" s="32"/>
      <c r="D451" s="75"/>
      <c r="E451" s="48"/>
      <c r="F451" s="53"/>
      <c r="G451" s="48"/>
      <c r="H451" s="53" t="str">
        <f t="shared" si="6"/>
        <v/>
      </c>
      <c r="I451" s="48"/>
    </row>
    <row r="452" spans="1:9" ht="15" customHeight="1" x14ac:dyDescent="0.2">
      <c r="A452" s="48"/>
      <c r="B452" s="43"/>
      <c r="C452" s="32"/>
      <c r="D452" s="75"/>
      <c r="E452" s="48"/>
      <c r="F452" s="53"/>
      <c r="G452" s="48"/>
      <c r="H452" s="53" t="str">
        <f t="shared" si="6"/>
        <v/>
      </c>
      <c r="I452" s="48"/>
    </row>
    <row r="453" spans="1:9" ht="15" customHeight="1" x14ac:dyDescent="0.2">
      <c r="A453" s="48"/>
      <c r="B453" s="43"/>
      <c r="C453" s="32"/>
      <c r="D453" s="75"/>
      <c r="E453" s="48"/>
      <c r="F453" s="53"/>
      <c r="G453" s="48"/>
      <c r="H453" s="53" t="str">
        <f t="shared" si="6"/>
        <v/>
      </c>
      <c r="I453" s="48"/>
    </row>
    <row r="454" spans="1:9" ht="15" customHeight="1" x14ac:dyDescent="0.2">
      <c r="A454" s="48"/>
      <c r="B454" s="43"/>
      <c r="C454" s="32"/>
      <c r="D454" s="75"/>
      <c r="E454" s="48"/>
      <c r="F454" s="53"/>
      <c r="G454" s="48"/>
      <c r="H454" s="53" t="str">
        <f t="shared" si="6"/>
        <v/>
      </c>
      <c r="I454" s="48"/>
    </row>
    <row r="455" spans="1:9" ht="15" customHeight="1" x14ac:dyDescent="0.2">
      <c r="A455" s="48"/>
      <c r="B455" s="43"/>
      <c r="C455" s="32"/>
      <c r="D455" s="75"/>
      <c r="E455" s="48"/>
      <c r="F455" s="53"/>
      <c r="G455" s="48"/>
      <c r="H455" s="53" t="str">
        <f t="shared" si="6"/>
        <v/>
      </c>
      <c r="I455" s="48"/>
    </row>
    <row r="456" spans="1:9" ht="15" customHeight="1" x14ac:dyDescent="0.2">
      <c r="A456" s="48"/>
      <c r="B456" s="43"/>
      <c r="C456" s="32"/>
      <c r="D456" s="75"/>
      <c r="E456" s="48"/>
      <c r="F456" s="53"/>
      <c r="G456" s="48"/>
      <c r="H456" s="53" t="str">
        <f t="shared" si="6"/>
        <v/>
      </c>
      <c r="I456" s="48"/>
    </row>
    <row r="457" spans="1:9" ht="15" customHeight="1" x14ac:dyDescent="0.2">
      <c r="A457" s="48"/>
      <c r="B457" s="43"/>
      <c r="C457" s="32"/>
      <c r="D457" s="75"/>
      <c r="E457" s="48"/>
      <c r="F457" s="53"/>
      <c r="G457" s="48"/>
      <c r="H457" s="53" t="str">
        <f t="shared" si="6"/>
        <v/>
      </c>
      <c r="I457" s="48"/>
    </row>
    <row r="458" spans="1:9" ht="15" customHeight="1" x14ac:dyDescent="0.2">
      <c r="A458" s="48"/>
      <c r="B458" s="43"/>
      <c r="C458" s="32"/>
      <c r="D458" s="75"/>
      <c r="E458" s="48"/>
      <c r="F458" s="53"/>
      <c r="G458" s="48"/>
      <c r="H458" s="53" t="str">
        <f t="shared" ref="H458:H521" si="7">IF(OR(F458="",G458=""),"",IF(F458="500 g",G458*0.5,IF(F458="2,5 kg",G458*2.5,"")))</f>
        <v/>
      </c>
      <c r="I458" s="48"/>
    </row>
    <row r="459" spans="1:9" ht="15" customHeight="1" x14ac:dyDescent="0.2">
      <c r="A459" s="48"/>
      <c r="B459" s="43"/>
      <c r="C459" s="32"/>
      <c r="D459" s="75"/>
      <c r="E459" s="48"/>
      <c r="F459" s="53"/>
      <c r="G459" s="48"/>
      <c r="H459" s="53" t="str">
        <f t="shared" si="7"/>
        <v/>
      </c>
      <c r="I459" s="48"/>
    </row>
    <row r="460" spans="1:9" ht="15" customHeight="1" x14ac:dyDescent="0.2">
      <c r="A460" s="48"/>
      <c r="B460" s="43"/>
      <c r="C460" s="32"/>
      <c r="D460" s="75"/>
      <c r="E460" s="48"/>
      <c r="F460" s="53"/>
      <c r="G460" s="48"/>
      <c r="H460" s="53" t="str">
        <f t="shared" si="7"/>
        <v/>
      </c>
      <c r="I460" s="48"/>
    </row>
    <row r="461" spans="1:9" ht="15" customHeight="1" x14ac:dyDescent="0.2">
      <c r="A461" s="48"/>
      <c r="B461" s="43"/>
      <c r="C461" s="32"/>
      <c r="D461" s="75"/>
      <c r="E461" s="48"/>
      <c r="F461" s="53"/>
      <c r="G461" s="48"/>
      <c r="H461" s="53" t="str">
        <f t="shared" si="7"/>
        <v/>
      </c>
      <c r="I461" s="48"/>
    </row>
    <row r="462" spans="1:9" ht="15" customHeight="1" x14ac:dyDescent="0.2">
      <c r="A462" s="48"/>
      <c r="B462" s="43"/>
      <c r="C462" s="32"/>
      <c r="D462" s="75"/>
      <c r="E462" s="48"/>
      <c r="F462" s="53"/>
      <c r="G462" s="48"/>
      <c r="H462" s="53" t="str">
        <f t="shared" si="7"/>
        <v/>
      </c>
      <c r="I462" s="48"/>
    </row>
    <row r="463" spans="1:9" ht="15" customHeight="1" x14ac:dyDescent="0.2">
      <c r="A463" s="48"/>
      <c r="B463" s="43"/>
      <c r="C463" s="32"/>
      <c r="D463" s="75"/>
      <c r="E463" s="48"/>
      <c r="F463" s="53"/>
      <c r="G463" s="48"/>
      <c r="H463" s="53" t="str">
        <f t="shared" si="7"/>
        <v/>
      </c>
      <c r="I463" s="48"/>
    </row>
    <row r="464" spans="1:9" ht="15" customHeight="1" x14ac:dyDescent="0.2">
      <c r="A464" s="48"/>
      <c r="B464" s="43"/>
      <c r="C464" s="32"/>
      <c r="D464" s="75"/>
      <c r="E464" s="48"/>
      <c r="F464" s="53"/>
      <c r="G464" s="48"/>
      <c r="H464" s="53" t="str">
        <f t="shared" si="7"/>
        <v/>
      </c>
      <c r="I464" s="48"/>
    </row>
    <row r="465" spans="1:9" ht="15" customHeight="1" x14ac:dyDescent="0.2">
      <c r="A465" s="48"/>
      <c r="B465" s="43"/>
      <c r="C465" s="32"/>
      <c r="D465" s="75"/>
      <c r="E465" s="48"/>
      <c r="F465" s="53"/>
      <c r="G465" s="48"/>
      <c r="H465" s="53" t="str">
        <f t="shared" si="7"/>
        <v/>
      </c>
      <c r="I465" s="48"/>
    </row>
    <row r="466" spans="1:9" ht="15" customHeight="1" x14ac:dyDescent="0.2">
      <c r="A466" s="48"/>
      <c r="B466" s="43"/>
      <c r="C466" s="32"/>
      <c r="D466" s="75"/>
      <c r="E466" s="48"/>
      <c r="F466" s="53"/>
      <c r="G466" s="48"/>
      <c r="H466" s="53" t="str">
        <f t="shared" si="7"/>
        <v/>
      </c>
      <c r="I466" s="48"/>
    </row>
    <row r="467" spans="1:9" ht="15" customHeight="1" x14ac:dyDescent="0.2">
      <c r="A467" s="48"/>
      <c r="B467" s="43"/>
      <c r="C467" s="32"/>
      <c r="D467" s="75"/>
      <c r="E467" s="48"/>
      <c r="F467" s="53"/>
      <c r="G467" s="48"/>
      <c r="H467" s="53" t="str">
        <f t="shared" si="7"/>
        <v/>
      </c>
      <c r="I467" s="48"/>
    </row>
    <row r="468" spans="1:9" ht="15" customHeight="1" x14ac:dyDescent="0.2">
      <c r="A468" s="48"/>
      <c r="B468" s="43"/>
      <c r="C468" s="32"/>
      <c r="D468" s="75"/>
      <c r="E468" s="48"/>
      <c r="F468" s="53"/>
      <c r="G468" s="48"/>
      <c r="H468" s="53" t="str">
        <f t="shared" si="7"/>
        <v/>
      </c>
      <c r="I468" s="48"/>
    </row>
    <row r="469" spans="1:9" ht="15" customHeight="1" x14ac:dyDescent="0.2">
      <c r="A469" s="48"/>
      <c r="B469" s="43"/>
      <c r="C469" s="32"/>
      <c r="D469" s="75"/>
      <c r="E469" s="48"/>
      <c r="F469" s="53"/>
      <c r="G469" s="48"/>
      <c r="H469" s="53" t="str">
        <f t="shared" si="7"/>
        <v/>
      </c>
      <c r="I469" s="48"/>
    </row>
    <row r="470" spans="1:9" ht="15" customHeight="1" x14ac:dyDescent="0.2">
      <c r="A470" s="48"/>
      <c r="B470" s="43"/>
      <c r="C470" s="32"/>
      <c r="D470" s="75"/>
      <c r="E470" s="48"/>
      <c r="F470" s="53"/>
      <c r="G470" s="48"/>
      <c r="H470" s="53" t="str">
        <f t="shared" si="7"/>
        <v/>
      </c>
      <c r="I470" s="48"/>
    </row>
    <row r="471" spans="1:9" ht="15" customHeight="1" x14ac:dyDescent="0.2">
      <c r="A471" s="48"/>
      <c r="B471" s="43"/>
      <c r="C471" s="32"/>
      <c r="D471" s="75"/>
      <c r="E471" s="48"/>
      <c r="F471" s="53"/>
      <c r="G471" s="48"/>
      <c r="H471" s="53" t="str">
        <f t="shared" si="7"/>
        <v/>
      </c>
      <c r="I471" s="48"/>
    </row>
    <row r="472" spans="1:9" ht="15" customHeight="1" x14ac:dyDescent="0.2">
      <c r="A472" s="48"/>
      <c r="B472" s="43"/>
      <c r="C472" s="32"/>
      <c r="D472" s="75"/>
      <c r="E472" s="48"/>
      <c r="F472" s="53"/>
      <c r="G472" s="48"/>
      <c r="H472" s="53" t="str">
        <f t="shared" si="7"/>
        <v/>
      </c>
      <c r="I472" s="48"/>
    </row>
    <row r="473" spans="1:9" ht="15" customHeight="1" x14ac:dyDescent="0.2">
      <c r="A473" s="48"/>
      <c r="B473" s="43"/>
      <c r="C473" s="32"/>
      <c r="D473" s="75"/>
      <c r="E473" s="48"/>
      <c r="F473" s="53"/>
      <c r="G473" s="48"/>
      <c r="H473" s="53" t="str">
        <f t="shared" si="7"/>
        <v/>
      </c>
      <c r="I473" s="48"/>
    </row>
    <row r="474" spans="1:9" ht="15" customHeight="1" x14ac:dyDescent="0.2">
      <c r="A474" s="48"/>
      <c r="B474" s="43"/>
      <c r="C474" s="32"/>
      <c r="D474" s="75"/>
      <c r="E474" s="48"/>
      <c r="F474" s="53"/>
      <c r="G474" s="48"/>
      <c r="H474" s="53" t="str">
        <f t="shared" si="7"/>
        <v/>
      </c>
      <c r="I474" s="48"/>
    </row>
    <row r="475" spans="1:9" ht="15" customHeight="1" x14ac:dyDescent="0.2">
      <c r="A475" s="48"/>
      <c r="B475" s="43"/>
      <c r="C475" s="32"/>
      <c r="D475" s="75"/>
      <c r="E475" s="48"/>
      <c r="F475" s="53"/>
      <c r="G475" s="48"/>
      <c r="H475" s="53" t="str">
        <f t="shared" si="7"/>
        <v/>
      </c>
      <c r="I475" s="48"/>
    </row>
    <row r="476" spans="1:9" ht="15" customHeight="1" x14ac:dyDescent="0.2">
      <c r="A476" s="48"/>
      <c r="B476" s="43"/>
      <c r="C476" s="32"/>
      <c r="D476" s="75"/>
      <c r="E476" s="48"/>
      <c r="F476" s="53"/>
      <c r="G476" s="48"/>
      <c r="H476" s="53" t="str">
        <f t="shared" si="7"/>
        <v/>
      </c>
      <c r="I476" s="48"/>
    </row>
    <row r="477" spans="1:9" ht="15" customHeight="1" x14ac:dyDescent="0.2">
      <c r="A477" s="48"/>
      <c r="B477" s="43"/>
      <c r="C477" s="32"/>
      <c r="D477" s="75"/>
      <c r="E477" s="48"/>
      <c r="F477" s="53"/>
      <c r="G477" s="48"/>
      <c r="H477" s="53" t="str">
        <f t="shared" si="7"/>
        <v/>
      </c>
      <c r="I477" s="48"/>
    </row>
    <row r="478" spans="1:9" ht="15" customHeight="1" x14ac:dyDescent="0.2">
      <c r="A478" s="48"/>
      <c r="B478" s="43"/>
      <c r="C478" s="32"/>
      <c r="D478" s="75"/>
      <c r="E478" s="48"/>
      <c r="F478" s="53"/>
      <c r="G478" s="48"/>
      <c r="H478" s="53" t="str">
        <f t="shared" si="7"/>
        <v/>
      </c>
      <c r="I478" s="48"/>
    </row>
    <row r="479" spans="1:9" ht="15" customHeight="1" x14ac:dyDescent="0.2">
      <c r="A479" s="48"/>
      <c r="B479" s="43"/>
      <c r="C479" s="32"/>
      <c r="D479" s="75"/>
      <c r="E479" s="48"/>
      <c r="F479" s="53"/>
      <c r="G479" s="48"/>
      <c r="H479" s="53" t="str">
        <f t="shared" si="7"/>
        <v/>
      </c>
      <c r="I479" s="48"/>
    </row>
    <row r="480" spans="1:9" ht="15" customHeight="1" x14ac:dyDescent="0.2">
      <c r="A480" s="48"/>
      <c r="B480" s="43"/>
      <c r="C480" s="32"/>
      <c r="D480" s="75"/>
      <c r="E480" s="48"/>
      <c r="F480" s="53"/>
      <c r="G480" s="48"/>
      <c r="H480" s="53" t="str">
        <f t="shared" si="7"/>
        <v/>
      </c>
      <c r="I480" s="48"/>
    </row>
    <row r="481" spans="1:9" ht="15" customHeight="1" x14ac:dyDescent="0.2">
      <c r="A481" s="48"/>
      <c r="B481" s="43"/>
      <c r="C481" s="32"/>
      <c r="D481" s="75"/>
      <c r="E481" s="48"/>
      <c r="F481" s="53"/>
      <c r="G481" s="48"/>
      <c r="H481" s="53" t="str">
        <f t="shared" si="7"/>
        <v/>
      </c>
      <c r="I481" s="48"/>
    </row>
    <row r="482" spans="1:9" ht="15" customHeight="1" x14ac:dyDescent="0.2">
      <c r="A482" s="48"/>
      <c r="B482" s="43"/>
      <c r="C482" s="32"/>
      <c r="D482" s="75"/>
      <c r="E482" s="48"/>
      <c r="F482" s="53"/>
      <c r="G482" s="48"/>
      <c r="H482" s="53" t="str">
        <f t="shared" si="7"/>
        <v/>
      </c>
      <c r="I482" s="48"/>
    </row>
    <row r="483" spans="1:9" ht="15" customHeight="1" x14ac:dyDescent="0.2">
      <c r="A483" s="48"/>
      <c r="B483" s="43"/>
      <c r="C483" s="32"/>
      <c r="D483" s="75"/>
      <c r="E483" s="48"/>
      <c r="F483" s="53"/>
      <c r="G483" s="48"/>
      <c r="H483" s="53" t="str">
        <f t="shared" si="7"/>
        <v/>
      </c>
      <c r="I483" s="48"/>
    </row>
    <row r="484" spans="1:9" ht="15" customHeight="1" x14ac:dyDescent="0.2">
      <c r="A484" s="48"/>
      <c r="B484" s="43"/>
      <c r="C484" s="32"/>
      <c r="D484" s="75"/>
      <c r="E484" s="48"/>
      <c r="F484" s="53"/>
      <c r="G484" s="48"/>
      <c r="H484" s="53" t="str">
        <f t="shared" si="7"/>
        <v/>
      </c>
      <c r="I484" s="48"/>
    </row>
    <row r="485" spans="1:9" ht="15" customHeight="1" x14ac:dyDescent="0.2">
      <c r="A485" s="48"/>
      <c r="B485" s="43"/>
      <c r="C485" s="32"/>
      <c r="D485" s="75"/>
      <c r="E485" s="48"/>
      <c r="F485" s="53"/>
      <c r="G485" s="48"/>
      <c r="H485" s="53" t="str">
        <f t="shared" si="7"/>
        <v/>
      </c>
      <c r="I485" s="48"/>
    </row>
    <row r="486" spans="1:9" ht="15" customHeight="1" x14ac:dyDescent="0.2">
      <c r="A486" s="48"/>
      <c r="B486" s="43"/>
      <c r="C486" s="32"/>
      <c r="D486" s="75"/>
      <c r="E486" s="48"/>
      <c r="F486" s="53"/>
      <c r="G486" s="48"/>
      <c r="H486" s="53" t="str">
        <f t="shared" si="7"/>
        <v/>
      </c>
      <c r="I486" s="48"/>
    </row>
    <row r="487" spans="1:9" ht="15" customHeight="1" x14ac:dyDescent="0.2">
      <c r="A487" s="48"/>
      <c r="B487" s="43"/>
      <c r="C487" s="32"/>
      <c r="D487" s="75"/>
      <c r="E487" s="48"/>
      <c r="F487" s="53"/>
      <c r="G487" s="48"/>
      <c r="H487" s="53" t="str">
        <f t="shared" si="7"/>
        <v/>
      </c>
      <c r="I487" s="48"/>
    </row>
    <row r="488" spans="1:9" ht="15" customHeight="1" x14ac:dyDescent="0.2">
      <c r="A488" s="48"/>
      <c r="B488" s="43"/>
      <c r="C488" s="32"/>
      <c r="D488" s="75"/>
      <c r="E488" s="48"/>
      <c r="F488" s="53"/>
      <c r="G488" s="48"/>
      <c r="H488" s="53" t="str">
        <f t="shared" si="7"/>
        <v/>
      </c>
      <c r="I488" s="48"/>
    </row>
    <row r="489" spans="1:9" ht="15" customHeight="1" x14ac:dyDescent="0.2">
      <c r="A489" s="48"/>
      <c r="B489" s="43"/>
      <c r="C489" s="32"/>
      <c r="D489" s="75"/>
      <c r="E489" s="48"/>
      <c r="F489" s="53"/>
      <c r="G489" s="48"/>
      <c r="H489" s="53" t="str">
        <f t="shared" si="7"/>
        <v/>
      </c>
      <c r="I489" s="48"/>
    </row>
    <row r="490" spans="1:9" ht="15" customHeight="1" x14ac:dyDescent="0.2">
      <c r="A490" s="48"/>
      <c r="B490" s="43"/>
      <c r="C490" s="32"/>
      <c r="D490" s="75"/>
      <c r="E490" s="48"/>
      <c r="F490" s="53"/>
      <c r="G490" s="48"/>
      <c r="H490" s="53" t="str">
        <f t="shared" si="7"/>
        <v/>
      </c>
      <c r="I490" s="48"/>
    </row>
    <row r="491" spans="1:9" ht="15" customHeight="1" x14ac:dyDescent="0.2">
      <c r="A491" s="48"/>
      <c r="B491" s="43"/>
      <c r="C491" s="32"/>
      <c r="D491" s="75"/>
      <c r="E491" s="48"/>
      <c r="F491" s="53"/>
      <c r="G491" s="48"/>
      <c r="H491" s="53" t="str">
        <f t="shared" si="7"/>
        <v/>
      </c>
      <c r="I491" s="48"/>
    </row>
    <row r="492" spans="1:9" ht="15" customHeight="1" x14ac:dyDescent="0.2">
      <c r="A492" s="48"/>
      <c r="B492" s="43"/>
      <c r="C492" s="32"/>
      <c r="D492" s="75"/>
      <c r="E492" s="48"/>
      <c r="F492" s="53"/>
      <c r="G492" s="48"/>
      <c r="H492" s="53" t="str">
        <f t="shared" si="7"/>
        <v/>
      </c>
      <c r="I492" s="48"/>
    </row>
    <row r="493" spans="1:9" ht="15" customHeight="1" x14ac:dyDescent="0.2">
      <c r="A493" s="48"/>
      <c r="B493" s="43"/>
      <c r="C493" s="32"/>
      <c r="D493" s="75"/>
      <c r="E493" s="48"/>
      <c r="F493" s="53"/>
      <c r="G493" s="48"/>
      <c r="H493" s="53" t="str">
        <f t="shared" si="7"/>
        <v/>
      </c>
      <c r="I493" s="48"/>
    </row>
    <row r="494" spans="1:9" ht="15" customHeight="1" x14ac:dyDescent="0.2">
      <c r="A494" s="48"/>
      <c r="B494" s="43"/>
      <c r="C494" s="32"/>
      <c r="D494" s="75"/>
      <c r="E494" s="48"/>
      <c r="F494" s="53"/>
      <c r="G494" s="48"/>
      <c r="H494" s="53" t="str">
        <f t="shared" si="7"/>
        <v/>
      </c>
      <c r="I494" s="48"/>
    </row>
    <row r="495" spans="1:9" ht="15" customHeight="1" x14ac:dyDescent="0.2">
      <c r="A495" s="48"/>
      <c r="B495" s="43"/>
      <c r="C495" s="32"/>
      <c r="D495" s="75"/>
      <c r="E495" s="48"/>
      <c r="F495" s="53"/>
      <c r="G495" s="48"/>
      <c r="H495" s="53" t="str">
        <f t="shared" si="7"/>
        <v/>
      </c>
      <c r="I495" s="48"/>
    </row>
    <row r="496" spans="1:9" ht="15" customHeight="1" x14ac:dyDescent="0.2">
      <c r="A496" s="48"/>
      <c r="B496" s="43"/>
      <c r="C496" s="32"/>
      <c r="D496" s="75"/>
      <c r="E496" s="48"/>
      <c r="F496" s="53"/>
      <c r="G496" s="48"/>
      <c r="H496" s="53" t="str">
        <f t="shared" si="7"/>
        <v/>
      </c>
      <c r="I496" s="48"/>
    </row>
    <row r="497" spans="1:9" ht="15" customHeight="1" x14ac:dyDescent="0.2">
      <c r="A497" s="48"/>
      <c r="B497" s="43"/>
      <c r="C497" s="32"/>
      <c r="D497" s="75"/>
      <c r="E497" s="48"/>
      <c r="F497" s="53"/>
      <c r="G497" s="48"/>
      <c r="H497" s="53" t="str">
        <f t="shared" si="7"/>
        <v/>
      </c>
      <c r="I497" s="48"/>
    </row>
    <row r="498" spans="1:9" ht="15" customHeight="1" x14ac:dyDescent="0.2">
      <c r="A498" s="48"/>
      <c r="B498" s="43"/>
      <c r="C498" s="32"/>
      <c r="D498" s="75"/>
      <c r="E498" s="48"/>
      <c r="F498" s="53"/>
      <c r="G498" s="48"/>
      <c r="H498" s="53" t="str">
        <f t="shared" si="7"/>
        <v/>
      </c>
      <c r="I498" s="48"/>
    </row>
    <row r="499" spans="1:9" ht="15" customHeight="1" x14ac:dyDescent="0.2">
      <c r="A499" s="48"/>
      <c r="B499" s="43"/>
      <c r="C499" s="32"/>
      <c r="D499" s="75"/>
      <c r="E499" s="48"/>
      <c r="F499" s="53"/>
      <c r="G499" s="48"/>
      <c r="H499" s="53" t="str">
        <f t="shared" si="7"/>
        <v/>
      </c>
      <c r="I499" s="48"/>
    </row>
    <row r="500" spans="1:9" ht="15" customHeight="1" x14ac:dyDescent="0.2">
      <c r="A500" s="48"/>
      <c r="B500" s="43"/>
      <c r="C500" s="32"/>
      <c r="D500" s="75"/>
      <c r="E500" s="48"/>
      <c r="F500" s="53"/>
      <c r="G500" s="48"/>
      <c r="H500" s="53" t="str">
        <f t="shared" si="7"/>
        <v/>
      </c>
      <c r="I500" s="48"/>
    </row>
    <row r="501" spans="1:9" ht="15" customHeight="1" x14ac:dyDescent="0.2">
      <c r="A501" s="48"/>
      <c r="B501" s="43"/>
      <c r="C501" s="32"/>
      <c r="D501" s="75"/>
      <c r="E501" s="48"/>
      <c r="F501" s="53"/>
      <c r="G501" s="48"/>
      <c r="H501" s="53" t="str">
        <f t="shared" si="7"/>
        <v/>
      </c>
      <c r="I501" s="48"/>
    </row>
    <row r="502" spans="1:9" ht="15" customHeight="1" x14ac:dyDescent="0.2">
      <c r="A502" s="72"/>
      <c r="B502" s="71"/>
      <c r="C502" s="70"/>
      <c r="D502" s="76"/>
      <c r="E502" s="72"/>
      <c r="F502" s="78"/>
      <c r="G502" s="72"/>
      <c r="H502" s="78"/>
      <c r="I502" s="72"/>
    </row>
    <row r="503" spans="1:9" ht="15" customHeight="1" x14ac:dyDescent="0.2">
      <c r="A503" s="72"/>
      <c r="B503" s="71"/>
      <c r="C503" s="70"/>
      <c r="D503" s="76"/>
      <c r="E503" s="72"/>
      <c r="F503" s="78"/>
      <c r="G503" s="72"/>
      <c r="H503" s="78"/>
      <c r="I503" s="72"/>
    </row>
    <row r="504" spans="1:9" ht="15" customHeight="1" x14ac:dyDescent="0.2">
      <c r="A504" s="72"/>
      <c r="B504" s="71"/>
      <c r="C504" s="70"/>
      <c r="D504" s="76"/>
      <c r="E504" s="72"/>
      <c r="F504" s="78"/>
      <c r="G504" s="72"/>
      <c r="H504" s="78"/>
      <c r="I504" s="72"/>
    </row>
    <row r="505" spans="1:9" ht="15" customHeight="1" x14ac:dyDescent="0.2">
      <c r="A505" s="72"/>
      <c r="B505" s="71"/>
      <c r="C505" s="70"/>
      <c r="D505" s="76"/>
      <c r="E505" s="72"/>
      <c r="F505" s="78"/>
      <c r="G505" s="72"/>
      <c r="H505" s="78"/>
      <c r="I505" s="72"/>
    </row>
    <row r="506" spans="1:9" ht="15" customHeight="1" x14ac:dyDescent="0.2">
      <c r="A506" s="72"/>
      <c r="B506" s="71"/>
      <c r="C506" s="70"/>
      <c r="D506" s="76"/>
      <c r="E506" s="72"/>
      <c r="F506" s="78"/>
      <c r="G506" s="72"/>
      <c r="H506" s="78"/>
      <c r="I506" s="72"/>
    </row>
    <row r="507" spans="1:9" ht="15" customHeight="1" x14ac:dyDescent="0.2">
      <c r="A507" s="72"/>
      <c r="B507" s="71"/>
      <c r="C507" s="70"/>
      <c r="D507" s="76"/>
      <c r="E507" s="72"/>
      <c r="F507" s="78"/>
      <c r="G507" s="72"/>
      <c r="H507" s="78"/>
      <c r="I507" s="72"/>
    </row>
    <row r="508" spans="1:9" ht="15" customHeight="1" x14ac:dyDescent="0.2">
      <c r="A508" s="72"/>
      <c r="B508" s="71"/>
      <c r="C508" s="70"/>
      <c r="D508" s="76"/>
      <c r="E508" s="72"/>
      <c r="F508" s="78"/>
      <c r="G508" s="72"/>
      <c r="H508" s="78"/>
      <c r="I508" s="72"/>
    </row>
    <row r="509" spans="1:9" ht="15" customHeight="1" x14ac:dyDescent="0.2">
      <c r="A509" s="72"/>
      <c r="B509" s="71"/>
      <c r="C509" s="70"/>
      <c r="D509" s="76"/>
      <c r="E509" s="72"/>
      <c r="F509" s="78"/>
      <c r="G509" s="72"/>
      <c r="H509" s="78"/>
      <c r="I509" s="72"/>
    </row>
  </sheetData>
  <autoFilter ref="A1:I501" xr:uid="{00000000-0009-0000-0000-00000E000000}"/>
  <hyperlinks>
    <hyperlink ref="V1" location="'00 ANA SAYFA'!A1" display="⌂ ANA SAYFA" xr:uid="{00000000-0004-0000-0E00-000000000000}"/>
    <hyperlink ref="V2" location="'21 2026 ÜRETİM'!A1" display="→ ÜRETİM" xr:uid="{00000000-0004-0000-0E00-000001000000}"/>
    <hyperlink ref="V3" location="'25 2026 LOT BAĞI'!A1" display="→ LOT BAĞI" xr:uid="{00000000-0004-0000-0E00-000002000000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A5A5A5"/>
  </sheetPr>
  <dimension ref="A1:V501"/>
  <sheetViews>
    <sheetView showGridLines="0" topLeftCell="B1" workbookViewId="0">
      <pane ySplit="1" topLeftCell="A2" activePane="bottomLeft" state="frozen"/>
      <selection pane="bottomLeft" activeCell="M1" sqref="M1:M1048576"/>
    </sheetView>
  </sheetViews>
  <sheetFormatPr baseColWidth="10" defaultColWidth="8.83203125" defaultRowHeight="15" x14ac:dyDescent="0.2"/>
  <cols>
    <col min="1" max="1" width="24" style="39" customWidth="1"/>
    <col min="2" max="2" width="34" style="49" customWidth="1"/>
    <col min="3" max="3" width="8.83203125" style="49"/>
    <col min="4" max="4" width="8.83203125" style="54"/>
    <col min="5" max="5" width="8.83203125" style="49"/>
    <col min="6" max="6" width="8.83203125" style="54"/>
    <col min="7" max="7" width="8.83203125" style="49"/>
    <col min="8" max="8" width="33" style="49" customWidth="1"/>
    <col min="9" max="9" width="34" style="54" customWidth="1"/>
    <col min="10" max="10" width="29" style="49" customWidth="1"/>
    <col min="11" max="11" width="34" style="49" customWidth="1"/>
    <col min="12" max="12" width="8.83203125" style="54"/>
    <col min="13" max="13" width="8.83203125" style="49"/>
    <col min="22" max="22" width="18" customWidth="1"/>
  </cols>
  <sheetData>
    <row r="1" spans="1:22" ht="31.5" customHeight="1" x14ac:dyDescent="0.2">
      <c r="A1" s="59" t="s">
        <v>308</v>
      </c>
      <c r="B1" s="61" t="s">
        <v>463</v>
      </c>
      <c r="C1" s="61" t="s">
        <v>312</v>
      </c>
      <c r="D1" s="62" t="s">
        <v>313</v>
      </c>
      <c r="E1" s="61" t="s">
        <v>464</v>
      </c>
      <c r="F1" s="62" t="s">
        <v>465</v>
      </c>
      <c r="G1" s="61" t="s">
        <v>331</v>
      </c>
      <c r="H1" s="61" t="s">
        <v>466</v>
      </c>
      <c r="I1" s="62" t="s">
        <v>467</v>
      </c>
      <c r="J1" s="61" t="s">
        <v>468</v>
      </c>
      <c r="K1" s="61" t="s">
        <v>469</v>
      </c>
      <c r="L1" s="62" t="s">
        <v>272</v>
      </c>
      <c r="M1" s="61" t="s">
        <v>273</v>
      </c>
      <c r="V1" s="19" t="s">
        <v>365</v>
      </c>
    </row>
    <row r="2" spans="1:22" ht="15" customHeight="1" x14ac:dyDescent="0.2">
      <c r="A2" s="60" t="str">
        <f>'21 2026 ÜRETİM'!A2</f>
        <v>14.01.2026</v>
      </c>
      <c r="B2" s="81">
        <f>IF(A2="","",'21 2026 ÜRETİM'!D2)</f>
        <v>244.94399999999999</v>
      </c>
      <c r="C2" s="81">
        <f>IF(A2="","",'21 2026 ÜRETİM'!E2)</f>
        <v>4</v>
      </c>
      <c r="D2" s="82">
        <f>IF(A2="","",'21 2026 ÜRETİM'!F2)</f>
        <v>240.94399999999999</v>
      </c>
      <c r="E2" s="81">
        <f>IF(A2="","",SUMIF('22 2026 PAKETLEME'!$B$2:$B$501,A2,'22 2026 PAKETLEME'!$E$2:$E$501))</f>
        <v>0</v>
      </c>
      <c r="F2" s="82">
        <f>IF(A2="","",SUMIF('22 2026 PAKETLEME'!$B$2:$B$501,A2,'22 2026 PAKETLEME'!$G$2:$G$501))</f>
        <v>240</v>
      </c>
      <c r="G2" s="81">
        <f>IF(A2="","",SUMIF('22 2026 PAKETLEME'!$B$2:$B$501,A2,'22 2026 PAKETLEME'!$H$2:$H$501))</f>
        <v>0.94399999999999995</v>
      </c>
      <c r="H2" s="81">
        <f t="shared" ref="H2:H65" si="0">IF(A2="","",D2-E2-F2-G2)</f>
        <v>-1.1546319456101628E-14</v>
      </c>
      <c r="I2" s="82">
        <f>IF(A2="","",SUMIF('23 2026 SEVKİYAT'!$E$2:$E$501,A2,'23 2026 SEVKİYAT'!$H$2:$H$501))</f>
        <v>240</v>
      </c>
      <c r="J2" s="81">
        <f t="shared" ref="J2:J65" si="1">IF(A2="","",E2+F2-I2)</f>
        <v>0</v>
      </c>
      <c r="K2" s="81">
        <f t="shared" ref="K2:K65" si="2">IF(A2="","",D2-E2-F2-G2-H2)</f>
        <v>0</v>
      </c>
      <c r="L2" s="58" t="str">
        <f t="shared" ref="L2:L65" si="3">IF(A2="","",IF(ABS(K2)&lt;0.001,"KAPALI","KONTROL"))</f>
        <v>KAPALI</v>
      </c>
      <c r="M2" s="56" t="str">
        <f t="shared" ref="M2:M65" si="4">IF(A2="","",IF(J2&lt;0,"SEVK PAKETLEMEYİ AŞIYOR",IF(H2&lt;&gt;0,"PAKETLEME BAKİYESİ VAR","DENKLİK KAPALI")))</f>
        <v>PAKETLEME BAKİYESİ VAR</v>
      </c>
      <c r="V2" s="20" t="s">
        <v>367</v>
      </c>
    </row>
    <row r="3" spans="1:22" ht="15" customHeight="1" x14ac:dyDescent="0.2">
      <c r="A3" s="60" t="str">
        <f>'21 2026 ÜRETİM'!A3</f>
        <v>17.02.2026</v>
      </c>
      <c r="B3" s="81">
        <f>IF(A3="","",'21 2026 ÜRETİM'!D3)</f>
        <v>224.53200000000001</v>
      </c>
      <c r="C3" s="81">
        <f>IF(A3="","",'21 2026 ÜRETİM'!E3)</f>
        <v>3</v>
      </c>
      <c r="D3" s="82">
        <f>IF(A3="","",'21 2026 ÜRETİM'!F3)</f>
        <v>221.53200000000001</v>
      </c>
      <c r="E3" s="81">
        <f>IF(A3="","",SUMIF('22 2026 PAKETLEME'!$B$2:$B$501,A3,'22 2026 PAKETLEME'!$E$2:$E$501))</f>
        <v>176</v>
      </c>
      <c r="F3" s="82">
        <f>IF(A3="","",SUMIF('22 2026 PAKETLEME'!$B$2:$B$501,A3,'22 2026 PAKETLEME'!$G$2:$G$501))</f>
        <v>45</v>
      </c>
      <c r="G3" s="81">
        <f>IF(A3="","",SUMIF('22 2026 PAKETLEME'!$B$2:$B$501,A3,'22 2026 PAKETLEME'!$H$2:$H$501))</f>
        <v>0.53200000000000003</v>
      </c>
      <c r="H3" s="81">
        <f t="shared" si="0"/>
        <v>1.0658141036401503E-14</v>
      </c>
      <c r="I3" s="82">
        <f>IF(A3="","",SUMIF('23 2026 SEVKİYAT'!$E$2:$E$501,A3,'23 2026 SEVKİYAT'!$H$2:$H$501))</f>
        <v>221</v>
      </c>
      <c r="J3" s="81">
        <f t="shared" si="1"/>
        <v>0</v>
      </c>
      <c r="K3" s="81">
        <f t="shared" si="2"/>
        <v>0</v>
      </c>
      <c r="L3" s="58" t="str">
        <f t="shared" si="3"/>
        <v>KAPALI</v>
      </c>
      <c r="M3" s="56" t="str">
        <f t="shared" si="4"/>
        <v>PAKETLEME BAKİYESİ VAR</v>
      </c>
      <c r="V3" s="21" t="s">
        <v>370</v>
      </c>
    </row>
    <row r="4" spans="1:22" ht="15" customHeight="1" x14ac:dyDescent="0.2">
      <c r="A4" s="60" t="str">
        <f>'21 2026 ÜRETİM'!A4</f>
        <v>15.04.2026</v>
      </c>
      <c r="B4" s="81">
        <f>IF(A4="","",'21 2026 ÜRETİM'!D4)</f>
        <v>265.35599999999999</v>
      </c>
      <c r="C4" s="81">
        <f>IF(A4="","",'21 2026 ÜRETİM'!E4)</f>
        <v>5</v>
      </c>
      <c r="D4" s="82">
        <f>IF(A4="","",'21 2026 ÜRETİM'!F4)</f>
        <v>260</v>
      </c>
      <c r="E4" s="81">
        <f>IF(A4="","",SUMIF('22 2026 PAKETLEME'!$B$2:$B$501,A4,'22 2026 PAKETLEME'!$E$2:$E$501))</f>
        <v>260</v>
      </c>
      <c r="F4" s="82">
        <f>IF(A4="","",SUMIF('22 2026 PAKETLEME'!$B$2:$B$501,A4,'22 2026 PAKETLEME'!$G$2:$G$501))</f>
        <v>0</v>
      </c>
      <c r="G4" s="81">
        <f>IF(A4="","",SUMIF('22 2026 PAKETLEME'!$B$2:$B$501,A4,'22 2026 PAKETLEME'!$H$2:$H$501))</f>
        <v>0</v>
      </c>
      <c r="H4" s="81">
        <f t="shared" si="0"/>
        <v>0</v>
      </c>
      <c r="I4" s="82">
        <f>IF(A4="","",SUMIF('23 2026 SEVKİYAT'!$E$2:$E$501,A4,'23 2026 SEVKİYAT'!$H$2:$H$501))</f>
        <v>0</v>
      </c>
      <c r="J4" s="81">
        <f t="shared" si="1"/>
        <v>260</v>
      </c>
      <c r="K4" s="81">
        <f t="shared" si="2"/>
        <v>0</v>
      </c>
      <c r="L4" s="58" t="str">
        <f t="shared" si="3"/>
        <v>KAPALI</v>
      </c>
      <c r="M4" s="56" t="str">
        <f t="shared" si="4"/>
        <v>DENKLİK KAPALI</v>
      </c>
    </row>
    <row r="5" spans="1:22" ht="15" customHeight="1" x14ac:dyDescent="0.2">
      <c r="A5" s="60" t="str">
        <f>'21 2026 ÜRETİM'!A5</f>
        <v>27.04.2026</v>
      </c>
      <c r="B5" s="81">
        <f>IF(A5="","",'21 2026 ÜRETİM'!D5)</f>
        <v>265.35599999999999</v>
      </c>
      <c r="C5" s="81">
        <f>IF(A5="","",'21 2026 ÜRETİM'!E5)</f>
        <v>4</v>
      </c>
      <c r="D5" s="82">
        <f>IF(A5="","",'21 2026 ÜRETİM'!F5)</f>
        <v>261.35599999999999</v>
      </c>
      <c r="E5" s="81">
        <f>IF(A5="","",SUMIF('22 2026 PAKETLEME'!$B$2:$B$501,A5,'22 2026 PAKETLEME'!$E$2:$E$501))</f>
        <v>261</v>
      </c>
      <c r="F5" s="82">
        <f>IF(A5="","",SUMIF('22 2026 PAKETLEME'!$B$2:$B$501,A5,'22 2026 PAKETLEME'!$G$2:$G$501))</f>
        <v>0</v>
      </c>
      <c r="G5" s="81">
        <f>IF(A5="","",SUMIF('22 2026 PAKETLEME'!$B$2:$B$501,A5,'22 2026 PAKETLEME'!$H$2:$H$501))</f>
        <v>0.35599999999999998</v>
      </c>
      <c r="H5" s="81">
        <f t="shared" si="0"/>
        <v>-5.440092820663267E-15</v>
      </c>
      <c r="I5" s="82">
        <f>IF(A5="","",SUMIF('23 2026 SEVKİYAT'!$E$2:$E$501,A5,'23 2026 SEVKİYAT'!$H$2:$H$501))</f>
        <v>0</v>
      </c>
      <c r="J5" s="81">
        <f t="shared" si="1"/>
        <v>261</v>
      </c>
      <c r="K5" s="81">
        <f t="shared" si="2"/>
        <v>0</v>
      </c>
      <c r="L5" s="58" t="str">
        <f t="shared" si="3"/>
        <v>KAPALI</v>
      </c>
      <c r="M5" s="56" t="str">
        <f t="shared" si="4"/>
        <v>PAKETLEME BAKİYESİ VAR</v>
      </c>
    </row>
    <row r="6" spans="1:22" ht="15" customHeight="1" x14ac:dyDescent="0.2">
      <c r="A6" s="60" t="str">
        <f>'21 2026 ÜRETİM'!A6</f>
        <v>04.05.2026</v>
      </c>
      <c r="B6" s="81">
        <f>IF(A6="","",'21 2026 ÜRETİM'!D6)</f>
        <v>265.35599999999999</v>
      </c>
      <c r="C6" s="81">
        <f>IF(A6="","",'21 2026 ÜRETİM'!E6)</f>
        <v>6</v>
      </c>
      <c r="D6" s="82">
        <f>IF(A6="","",'21 2026 ÜRETİM'!F6)</f>
        <v>259.35599999999999</v>
      </c>
      <c r="E6" s="81">
        <f>IF(A6="","",SUMIF('22 2026 PAKETLEME'!$B$2:$B$501,A6,'22 2026 PAKETLEME'!$E$2:$E$501))</f>
        <v>259</v>
      </c>
      <c r="F6" s="82">
        <f>IF(A6="","",SUMIF('22 2026 PAKETLEME'!$B$2:$B$501,A6,'22 2026 PAKETLEME'!$G$2:$G$501))</f>
        <v>0</v>
      </c>
      <c r="G6" s="81">
        <f>IF(A6="","",SUMIF('22 2026 PAKETLEME'!$B$2:$B$501,A6,'22 2026 PAKETLEME'!$H$2:$H$501))</f>
        <v>0.35599999999999998</v>
      </c>
      <c r="H6" s="81">
        <f t="shared" si="0"/>
        <v>-5.440092820663267E-15</v>
      </c>
      <c r="I6" s="82">
        <f>IF(A6="","",SUMIF('23 2026 SEVKİYAT'!$E$2:$E$501,A6,'23 2026 SEVKİYAT'!$H$2:$H$501))</f>
        <v>0</v>
      </c>
      <c r="J6" s="81">
        <f t="shared" si="1"/>
        <v>259</v>
      </c>
      <c r="K6" s="81">
        <f t="shared" si="2"/>
        <v>0</v>
      </c>
      <c r="L6" s="58" t="str">
        <f t="shared" si="3"/>
        <v>KAPALI</v>
      </c>
      <c r="M6" s="56" t="str">
        <f t="shared" si="4"/>
        <v>PAKETLEME BAKİYESİ VAR</v>
      </c>
    </row>
    <row r="7" spans="1:22" ht="15" customHeight="1" x14ac:dyDescent="0.2">
      <c r="A7" s="60" t="str">
        <f>'21 2026 ÜRETİM'!A7</f>
        <v>05.05.2026</v>
      </c>
      <c r="B7" s="81">
        <f>IF(A7="","",'21 2026 ÜRETİM'!D7)</f>
        <v>265.35599999999999</v>
      </c>
      <c r="C7" s="81">
        <f>IF(A7="","",'21 2026 ÜRETİM'!E7)</f>
        <v>5</v>
      </c>
      <c r="D7" s="82">
        <f>IF(A7="","",'21 2026 ÜRETİM'!F7)</f>
        <v>260.35599999999999</v>
      </c>
      <c r="E7" s="81">
        <f>IF(A7="","",SUMIF('22 2026 PAKETLEME'!$B$2:$B$501,A7,'22 2026 PAKETLEME'!$E$2:$E$501))</f>
        <v>260</v>
      </c>
      <c r="F7" s="82">
        <f>IF(A7="","",SUMIF('22 2026 PAKETLEME'!$B$2:$B$501,A7,'22 2026 PAKETLEME'!$G$2:$G$501))</f>
        <v>0</v>
      </c>
      <c r="G7" s="81">
        <f>IF(A7="","",SUMIF('22 2026 PAKETLEME'!$B$2:$B$501,A7,'22 2026 PAKETLEME'!$H$2:$H$501))</f>
        <v>0.35599999999999998</v>
      </c>
      <c r="H7" s="81">
        <f t="shared" si="0"/>
        <v>-5.440092820663267E-15</v>
      </c>
      <c r="I7" s="82">
        <f>IF(A7="","",SUMIF('23 2026 SEVKİYAT'!$E$2:$E$501,A7,'23 2026 SEVKİYAT'!$H$2:$H$501))</f>
        <v>0</v>
      </c>
      <c r="J7" s="81">
        <f t="shared" si="1"/>
        <v>260</v>
      </c>
      <c r="K7" s="81">
        <f t="shared" si="2"/>
        <v>0</v>
      </c>
      <c r="L7" s="58" t="str">
        <f t="shared" si="3"/>
        <v>KAPALI</v>
      </c>
      <c r="M7" s="56" t="str">
        <f t="shared" si="4"/>
        <v>PAKETLEME BAKİYESİ VAR</v>
      </c>
    </row>
    <row r="8" spans="1:22" ht="15" customHeight="1" x14ac:dyDescent="0.2">
      <c r="A8" s="60" t="str">
        <f>'21 2026 ÜRETİM'!A8</f>
        <v>07.05.2026</v>
      </c>
      <c r="B8" s="81">
        <f>IF(A8="","",'21 2026 ÜRETİM'!D8)</f>
        <v>265.35599999999999</v>
      </c>
      <c r="C8" s="81">
        <f>IF(A8="","",'21 2026 ÜRETİM'!E8)</f>
        <v>6</v>
      </c>
      <c r="D8" s="82">
        <f>IF(A8="","",'21 2026 ÜRETİM'!F8)</f>
        <v>259.35599999999999</v>
      </c>
      <c r="E8" s="81">
        <f>IF(A8="","",SUMIF('22 2026 PAKETLEME'!$B$2:$B$501,A8,'22 2026 PAKETLEME'!$E$2:$E$501))</f>
        <v>259</v>
      </c>
      <c r="F8" s="82">
        <f>IF(A8="","",SUMIF('22 2026 PAKETLEME'!$B$2:$B$501,A8,'22 2026 PAKETLEME'!$G$2:$G$501))</f>
        <v>0</v>
      </c>
      <c r="G8" s="81">
        <f>IF(A8="","",SUMIF('22 2026 PAKETLEME'!$B$2:$B$501,A8,'22 2026 PAKETLEME'!$H$2:$H$501))</f>
        <v>0.35599999999999998</v>
      </c>
      <c r="H8" s="81">
        <f t="shared" si="0"/>
        <v>-5.440092820663267E-15</v>
      </c>
      <c r="I8" s="82">
        <f>IF(A8="","",SUMIF('23 2026 SEVKİYAT'!$E$2:$E$501,A8,'23 2026 SEVKİYAT'!$H$2:$H$501))</f>
        <v>0</v>
      </c>
      <c r="J8" s="81">
        <f t="shared" si="1"/>
        <v>259</v>
      </c>
      <c r="K8" s="81">
        <f t="shared" si="2"/>
        <v>0</v>
      </c>
      <c r="L8" s="58" t="str">
        <f t="shared" si="3"/>
        <v>KAPALI</v>
      </c>
      <c r="M8" s="56" t="str">
        <f t="shared" si="4"/>
        <v>PAKETLEME BAKİYESİ VAR</v>
      </c>
    </row>
    <row r="9" spans="1:22" ht="15" customHeight="1" x14ac:dyDescent="0.2">
      <c r="A9" s="60" t="str">
        <f>'21 2026 ÜRETİM'!A9</f>
        <v>12.05.2026</v>
      </c>
      <c r="B9" s="81">
        <f>IF(A9="","",'21 2026 ÜRETİM'!D9)</f>
        <v>265.35599999999999</v>
      </c>
      <c r="C9" s="81">
        <f>IF(A9="","",'21 2026 ÜRETİM'!E9)</f>
        <v>5</v>
      </c>
      <c r="D9" s="82">
        <f>IF(A9="","",'21 2026 ÜRETİM'!F9)</f>
        <v>260.35599999999999</v>
      </c>
      <c r="E9" s="81">
        <f>IF(A9="","",SUMIF('22 2026 PAKETLEME'!$B$2:$B$501,A9,'22 2026 PAKETLEME'!$E$2:$E$501))</f>
        <v>260</v>
      </c>
      <c r="F9" s="82">
        <f>IF(A9="","",SUMIF('22 2026 PAKETLEME'!$B$2:$B$501,A9,'22 2026 PAKETLEME'!$G$2:$G$501))</f>
        <v>0</v>
      </c>
      <c r="G9" s="81">
        <f>IF(A9="","",SUMIF('22 2026 PAKETLEME'!$B$2:$B$501,A9,'22 2026 PAKETLEME'!$H$2:$H$501))</f>
        <v>0.35599999999999998</v>
      </c>
      <c r="H9" s="81">
        <f t="shared" si="0"/>
        <v>-5.440092820663267E-15</v>
      </c>
      <c r="I9" s="82">
        <f>IF(A9="","",SUMIF('23 2026 SEVKİYAT'!$E$2:$E$501,A9,'23 2026 SEVKİYAT'!$H$2:$H$501))</f>
        <v>0</v>
      </c>
      <c r="J9" s="81">
        <f t="shared" si="1"/>
        <v>260</v>
      </c>
      <c r="K9" s="81">
        <f t="shared" si="2"/>
        <v>0</v>
      </c>
      <c r="L9" s="58" t="str">
        <f t="shared" si="3"/>
        <v>KAPALI</v>
      </c>
      <c r="M9" s="56" t="str">
        <f t="shared" si="4"/>
        <v>PAKETLEME BAKİYESİ VAR</v>
      </c>
    </row>
    <row r="10" spans="1:22" ht="15" customHeight="1" x14ac:dyDescent="0.2">
      <c r="A10" s="60" t="str">
        <f>'21 2026 ÜRETİM'!A10</f>
        <v>15.06.2026</v>
      </c>
      <c r="B10" s="81">
        <f>IF(A10="","",'21 2026 ÜRETİM'!D10)</f>
        <v>122.47199999999999</v>
      </c>
      <c r="C10" s="81">
        <f>IF(A10="","",'21 2026 ÜRETİM'!E10)</f>
        <v>40</v>
      </c>
      <c r="D10" s="82">
        <f>IF(A10="","",'21 2026 ÜRETİM'!F10)</f>
        <v>82.471999999999994</v>
      </c>
      <c r="E10" s="81">
        <f>IF(A10="","",SUMIF('22 2026 PAKETLEME'!$B$2:$B$501,A10,'22 2026 PAKETLEME'!$E$2:$E$501))</f>
        <v>82</v>
      </c>
      <c r="F10" s="82">
        <f>IF(A10="","",SUMIF('22 2026 PAKETLEME'!$B$2:$B$501,A10,'22 2026 PAKETLEME'!$G$2:$G$501))</f>
        <v>0</v>
      </c>
      <c r="G10" s="81">
        <f>IF(A10="","",SUMIF('22 2026 PAKETLEME'!$B$2:$B$501,A10,'22 2026 PAKETLEME'!$H$2:$H$501))</f>
        <v>0.47199999999999998</v>
      </c>
      <c r="H10" s="81">
        <f t="shared" si="0"/>
        <v>-5.773159728050814E-15</v>
      </c>
      <c r="I10" s="82">
        <f>IF(A10="","",SUMIF('23 2026 SEVKİYAT'!$E$2:$E$501,A10,'23 2026 SEVKİYAT'!$H$2:$H$501))</f>
        <v>0</v>
      </c>
      <c r="J10" s="81">
        <f t="shared" si="1"/>
        <v>82</v>
      </c>
      <c r="K10" s="81">
        <f t="shared" si="2"/>
        <v>0</v>
      </c>
      <c r="L10" s="58" t="str">
        <f t="shared" si="3"/>
        <v>KAPALI</v>
      </c>
      <c r="M10" s="56" t="str">
        <f t="shared" si="4"/>
        <v>PAKETLEME BAKİYESİ VAR</v>
      </c>
    </row>
    <row r="11" spans="1:22" ht="15" customHeight="1" x14ac:dyDescent="0.2">
      <c r="A11" s="60" t="str">
        <f>'21 2026 ÜRETİM'!A11</f>
        <v>17.06.2026</v>
      </c>
      <c r="B11" s="81">
        <f>IF(A11="","",'21 2026 ÜRETİM'!D11)</f>
        <v>142.88399999999999</v>
      </c>
      <c r="C11" s="81">
        <f>IF(A11="","",'21 2026 ÜRETİM'!E11)</f>
        <v>15</v>
      </c>
      <c r="D11" s="82">
        <f>IF(A11="","",'21 2026 ÜRETİM'!F11)</f>
        <v>127.884</v>
      </c>
      <c r="E11" s="81">
        <f>IF(A11="","",SUMIF('22 2026 PAKETLEME'!$B$2:$B$501,A11,'22 2026 PAKETLEME'!$E$2:$E$501))</f>
        <v>127.5</v>
      </c>
      <c r="F11" s="82">
        <f>IF(A11="","",SUMIF('22 2026 PAKETLEME'!$B$2:$B$501,A11,'22 2026 PAKETLEME'!$G$2:$G$501))</f>
        <v>0</v>
      </c>
      <c r="G11" s="81">
        <f>IF(A11="","",SUMIF('22 2026 PAKETLEME'!$B$2:$B$501,A11,'22 2026 PAKETLEME'!$H$2:$H$501))</f>
        <v>0.38400000000000001</v>
      </c>
      <c r="H11" s="81">
        <f t="shared" si="0"/>
        <v>3.3306690738754696E-16</v>
      </c>
      <c r="I11" s="82">
        <f>IF(A11="","",SUMIF('23 2026 SEVKİYAT'!$E$2:$E$501,A11,'23 2026 SEVKİYAT'!$H$2:$H$501))</f>
        <v>0</v>
      </c>
      <c r="J11" s="81">
        <f t="shared" si="1"/>
        <v>127.5</v>
      </c>
      <c r="K11" s="81">
        <f t="shared" si="2"/>
        <v>0</v>
      </c>
      <c r="L11" s="58" t="str">
        <f t="shared" si="3"/>
        <v>KAPALI</v>
      </c>
      <c r="M11" s="56" t="str">
        <f t="shared" si="4"/>
        <v>PAKETLEME BAKİYESİ VAR</v>
      </c>
    </row>
    <row r="12" spans="1:22" ht="15" customHeight="1" x14ac:dyDescent="0.2">
      <c r="A12" s="60" t="str">
        <f>'21 2026 ÜRETİM'!A12</f>
        <v>23.06.2026</v>
      </c>
      <c r="B12" s="81">
        <f>IF(A12="","",'21 2026 ÜRETİM'!D12)</f>
        <v>142.88399999999999</v>
      </c>
      <c r="C12" s="81">
        <f>IF(A12="","",'21 2026 ÜRETİM'!E12)</f>
        <v>10</v>
      </c>
      <c r="D12" s="82">
        <f>IF(A12="","",'21 2026 ÜRETİM'!F12)</f>
        <v>132.88399999999999</v>
      </c>
      <c r="E12" s="81">
        <f>IF(A12="","",SUMIF('22 2026 PAKETLEME'!$B$2:$B$501,A12,'22 2026 PAKETLEME'!$E$2:$E$501))</f>
        <v>132.5</v>
      </c>
      <c r="F12" s="82">
        <f>IF(A12="","",SUMIF('22 2026 PAKETLEME'!$B$2:$B$501,A12,'22 2026 PAKETLEME'!$G$2:$G$501))</f>
        <v>0</v>
      </c>
      <c r="G12" s="81">
        <f>IF(A12="","",SUMIF('22 2026 PAKETLEME'!$B$2:$B$501,A12,'22 2026 PAKETLEME'!$H$2:$H$501))</f>
        <v>0.38400000000000001</v>
      </c>
      <c r="H12" s="81">
        <f t="shared" si="0"/>
        <v>-1.3877787807814457E-14</v>
      </c>
      <c r="I12" s="82">
        <f>IF(A12="","",SUMIF('23 2026 SEVKİYAT'!$E$2:$E$501,A12,'23 2026 SEVKİYAT'!$H$2:$H$501))</f>
        <v>0</v>
      </c>
      <c r="J12" s="81">
        <f t="shared" si="1"/>
        <v>132.5</v>
      </c>
      <c r="K12" s="81">
        <f t="shared" si="2"/>
        <v>0</v>
      </c>
      <c r="L12" s="58" t="str">
        <f t="shared" si="3"/>
        <v>KAPALI</v>
      </c>
      <c r="M12" s="56" t="str">
        <f t="shared" si="4"/>
        <v>PAKETLEME BAKİYESİ VAR</v>
      </c>
    </row>
    <row r="13" spans="1:22" ht="15" customHeight="1" x14ac:dyDescent="0.2">
      <c r="A13" s="60">
        <f>'21 2026 ÜRETİM'!A13</f>
        <v>0</v>
      </c>
      <c r="B13" s="81" t="str">
        <f>IF(A13="","",'21 2026 ÜRETİM'!D13)</f>
        <v/>
      </c>
      <c r="C13" s="81">
        <f>IF(A13="","",'21 2026 ÜRETİM'!E13)</f>
        <v>0</v>
      </c>
      <c r="D13" s="82" t="str">
        <f>IF(A13="","",'21 2026 ÜRETİM'!F13)</f>
        <v/>
      </c>
      <c r="E13" s="81">
        <f>IF(A13="","",SUMIF('22 2026 PAKETLEME'!$B$2:$B$501,A13,'22 2026 PAKETLEME'!$E$2:$E$501))</f>
        <v>0</v>
      </c>
      <c r="F13" s="82">
        <f>IF(A13="","",SUMIF('22 2026 PAKETLEME'!$B$2:$B$501,A13,'22 2026 PAKETLEME'!$G$2:$G$501))</f>
        <v>0</v>
      </c>
      <c r="G13" s="81">
        <f>IF(A13="","",SUMIF('22 2026 PAKETLEME'!$B$2:$B$501,A13,'22 2026 PAKETLEME'!$H$2:$H$501))</f>
        <v>0</v>
      </c>
      <c r="H13" s="81" t="e">
        <f t="shared" si="0"/>
        <v>#VALUE!</v>
      </c>
      <c r="I13" s="82">
        <f>IF(A13="","",SUMIF('23 2026 SEVKİYAT'!$E$2:$E$501,A13,'23 2026 SEVKİYAT'!$H$2:$H$501))</f>
        <v>0</v>
      </c>
      <c r="J13" s="81">
        <f t="shared" si="1"/>
        <v>0</v>
      </c>
      <c r="K13" s="81" t="e">
        <f t="shared" si="2"/>
        <v>#VALUE!</v>
      </c>
      <c r="L13" s="58" t="e">
        <f t="shared" si="3"/>
        <v>#VALUE!</v>
      </c>
      <c r="M13" s="56" t="e">
        <f t="shared" si="4"/>
        <v>#VALUE!</v>
      </c>
    </row>
    <row r="14" spans="1:22" ht="15" customHeight="1" x14ac:dyDescent="0.2">
      <c r="A14" s="60">
        <f>'21 2026 ÜRETİM'!A14</f>
        <v>0</v>
      </c>
      <c r="B14" s="81" t="str">
        <f>IF(A14="","",'21 2026 ÜRETİM'!D14)</f>
        <v/>
      </c>
      <c r="C14" s="81">
        <f>IF(A14="","",'21 2026 ÜRETİM'!E14)</f>
        <v>0</v>
      </c>
      <c r="D14" s="82" t="str">
        <f>IF(A14="","",'21 2026 ÜRETİM'!F14)</f>
        <v/>
      </c>
      <c r="E14" s="81">
        <f>IF(A14="","",SUMIF('22 2026 PAKETLEME'!$B$2:$B$501,A14,'22 2026 PAKETLEME'!$E$2:$E$501))</f>
        <v>0</v>
      </c>
      <c r="F14" s="82">
        <f>IF(A14="","",SUMIF('22 2026 PAKETLEME'!$B$2:$B$501,A14,'22 2026 PAKETLEME'!$G$2:$G$501))</f>
        <v>0</v>
      </c>
      <c r="G14" s="81">
        <f>IF(A14="","",SUMIF('22 2026 PAKETLEME'!$B$2:$B$501,A14,'22 2026 PAKETLEME'!$H$2:$H$501))</f>
        <v>0</v>
      </c>
      <c r="H14" s="81" t="e">
        <f t="shared" si="0"/>
        <v>#VALUE!</v>
      </c>
      <c r="I14" s="82">
        <f>IF(A14="","",SUMIF('23 2026 SEVKİYAT'!$E$2:$E$501,A14,'23 2026 SEVKİYAT'!$H$2:$H$501))</f>
        <v>0</v>
      </c>
      <c r="J14" s="81">
        <f t="shared" si="1"/>
        <v>0</v>
      </c>
      <c r="K14" s="81" t="e">
        <f t="shared" si="2"/>
        <v>#VALUE!</v>
      </c>
      <c r="L14" s="58" t="e">
        <f t="shared" si="3"/>
        <v>#VALUE!</v>
      </c>
      <c r="M14" s="56" t="e">
        <f t="shared" si="4"/>
        <v>#VALUE!</v>
      </c>
    </row>
    <row r="15" spans="1:22" ht="15" customHeight="1" x14ac:dyDescent="0.2">
      <c r="A15" s="60">
        <f>'21 2026 ÜRETİM'!A15</f>
        <v>0</v>
      </c>
      <c r="B15" s="81" t="str">
        <f>IF(A15="","",'21 2026 ÜRETİM'!D15)</f>
        <v/>
      </c>
      <c r="C15" s="81">
        <f>IF(A15="","",'21 2026 ÜRETİM'!E15)</f>
        <v>0</v>
      </c>
      <c r="D15" s="82" t="str">
        <f>IF(A15="","",'21 2026 ÜRETİM'!F15)</f>
        <v/>
      </c>
      <c r="E15" s="81">
        <f>IF(A15="","",SUMIF('22 2026 PAKETLEME'!$B$2:$B$501,A15,'22 2026 PAKETLEME'!$E$2:$E$501))</f>
        <v>0</v>
      </c>
      <c r="F15" s="82">
        <f>IF(A15="","",SUMIF('22 2026 PAKETLEME'!$B$2:$B$501,A15,'22 2026 PAKETLEME'!$G$2:$G$501))</f>
        <v>0</v>
      </c>
      <c r="G15" s="81">
        <f>IF(A15="","",SUMIF('22 2026 PAKETLEME'!$B$2:$B$501,A15,'22 2026 PAKETLEME'!$H$2:$H$501))</f>
        <v>0</v>
      </c>
      <c r="H15" s="81" t="e">
        <f t="shared" si="0"/>
        <v>#VALUE!</v>
      </c>
      <c r="I15" s="82">
        <f>IF(A15="","",SUMIF('23 2026 SEVKİYAT'!$E$2:$E$501,A15,'23 2026 SEVKİYAT'!$H$2:$H$501))</f>
        <v>0</v>
      </c>
      <c r="J15" s="81">
        <f t="shared" si="1"/>
        <v>0</v>
      </c>
      <c r="K15" s="81" t="e">
        <f t="shared" si="2"/>
        <v>#VALUE!</v>
      </c>
      <c r="L15" s="58" t="e">
        <f t="shared" si="3"/>
        <v>#VALUE!</v>
      </c>
      <c r="M15" s="56" t="e">
        <f t="shared" si="4"/>
        <v>#VALUE!</v>
      </c>
    </row>
    <row r="16" spans="1:22" ht="15" customHeight="1" x14ac:dyDescent="0.2">
      <c r="A16" s="60">
        <f>'21 2026 ÜRETİM'!A16</f>
        <v>0</v>
      </c>
      <c r="B16" s="81" t="str">
        <f>IF(A16="","",'21 2026 ÜRETİM'!D16)</f>
        <v/>
      </c>
      <c r="C16" s="81">
        <f>IF(A16="","",'21 2026 ÜRETİM'!E16)</f>
        <v>0</v>
      </c>
      <c r="D16" s="82" t="str">
        <f>IF(A16="","",'21 2026 ÜRETİM'!F16)</f>
        <v/>
      </c>
      <c r="E16" s="81">
        <f>IF(A16="","",SUMIF('22 2026 PAKETLEME'!$B$2:$B$501,A16,'22 2026 PAKETLEME'!$E$2:$E$501))</f>
        <v>0</v>
      </c>
      <c r="F16" s="82">
        <f>IF(A16="","",SUMIF('22 2026 PAKETLEME'!$B$2:$B$501,A16,'22 2026 PAKETLEME'!$G$2:$G$501))</f>
        <v>0</v>
      </c>
      <c r="G16" s="81">
        <f>IF(A16="","",SUMIF('22 2026 PAKETLEME'!$B$2:$B$501,A16,'22 2026 PAKETLEME'!$H$2:$H$501))</f>
        <v>0</v>
      </c>
      <c r="H16" s="81" t="e">
        <f t="shared" si="0"/>
        <v>#VALUE!</v>
      </c>
      <c r="I16" s="82">
        <f>IF(A16="","",SUMIF('23 2026 SEVKİYAT'!$E$2:$E$501,A16,'23 2026 SEVKİYAT'!$H$2:$H$501))</f>
        <v>0</v>
      </c>
      <c r="J16" s="81">
        <f t="shared" si="1"/>
        <v>0</v>
      </c>
      <c r="K16" s="81" t="e">
        <f t="shared" si="2"/>
        <v>#VALUE!</v>
      </c>
      <c r="L16" s="58" t="e">
        <f t="shared" si="3"/>
        <v>#VALUE!</v>
      </c>
      <c r="M16" s="56" t="e">
        <f t="shared" si="4"/>
        <v>#VALUE!</v>
      </c>
    </row>
    <row r="17" spans="1:13" ht="15" customHeight="1" x14ac:dyDescent="0.2">
      <c r="A17" s="60">
        <f>'21 2026 ÜRETİM'!A17</f>
        <v>0</v>
      </c>
      <c r="B17" s="81" t="str">
        <f>IF(A17="","",'21 2026 ÜRETİM'!D17)</f>
        <v/>
      </c>
      <c r="C17" s="81">
        <f>IF(A17="","",'21 2026 ÜRETİM'!E17)</f>
        <v>0</v>
      </c>
      <c r="D17" s="82" t="str">
        <f>IF(A17="","",'21 2026 ÜRETİM'!F17)</f>
        <v/>
      </c>
      <c r="E17" s="81">
        <f>IF(A17="","",SUMIF('22 2026 PAKETLEME'!$B$2:$B$501,A17,'22 2026 PAKETLEME'!$E$2:$E$501))</f>
        <v>0</v>
      </c>
      <c r="F17" s="82">
        <f>IF(A17="","",SUMIF('22 2026 PAKETLEME'!$B$2:$B$501,A17,'22 2026 PAKETLEME'!$G$2:$G$501))</f>
        <v>0</v>
      </c>
      <c r="G17" s="81">
        <f>IF(A17="","",SUMIF('22 2026 PAKETLEME'!$B$2:$B$501,A17,'22 2026 PAKETLEME'!$H$2:$H$501))</f>
        <v>0</v>
      </c>
      <c r="H17" s="81" t="e">
        <f t="shared" si="0"/>
        <v>#VALUE!</v>
      </c>
      <c r="I17" s="82">
        <f>IF(A17="","",SUMIF('23 2026 SEVKİYAT'!$E$2:$E$501,A17,'23 2026 SEVKİYAT'!$H$2:$H$501))</f>
        <v>0</v>
      </c>
      <c r="J17" s="81">
        <f t="shared" si="1"/>
        <v>0</v>
      </c>
      <c r="K17" s="81" t="e">
        <f t="shared" si="2"/>
        <v>#VALUE!</v>
      </c>
      <c r="L17" s="58" t="e">
        <f t="shared" si="3"/>
        <v>#VALUE!</v>
      </c>
      <c r="M17" s="56" t="e">
        <f t="shared" si="4"/>
        <v>#VALUE!</v>
      </c>
    </row>
    <row r="18" spans="1:13" ht="15" customHeight="1" x14ac:dyDescent="0.2">
      <c r="A18" s="60">
        <f>'21 2026 ÜRETİM'!A18</f>
        <v>0</v>
      </c>
      <c r="B18" s="81" t="str">
        <f>IF(A18="","",'21 2026 ÜRETİM'!D18)</f>
        <v/>
      </c>
      <c r="C18" s="81">
        <f>IF(A18="","",'21 2026 ÜRETİM'!E18)</f>
        <v>0</v>
      </c>
      <c r="D18" s="82" t="str">
        <f>IF(A18="","",'21 2026 ÜRETİM'!F18)</f>
        <v/>
      </c>
      <c r="E18" s="81">
        <f>IF(A18="","",SUMIF('22 2026 PAKETLEME'!$B$2:$B$501,A18,'22 2026 PAKETLEME'!$E$2:$E$501))</f>
        <v>0</v>
      </c>
      <c r="F18" s="82">
        <f>IF(A18="","",SUMIF('22 2026 PAKETLEME'!$B$2:$B$501,A18,'22 2026 PAKETLEME'!$G$2:$G$501))</f>
        <v>0</v>
      </c>
      <c r="G18" s="81">
        <f>IF(A18="","",SUMIF('22 2026 PAKETLEME'!$B$2:$B$501,A18,'22 2026 PAKETLEME'!$H$2:$H$501))</f>
        <v>0</v>
      </c>
      <c r="H18" s="81" t="e">
        <f t="shared" si="0"/>
        <v>#VALUE!</v>
      </c>
      <c r="I18" s="82">
        <f>IF(A18="","",SUMIF('23 2026 SEVKİYAT'!$E$2:$E$501,A18,'23 2026 SEVKİYAT'!$H$2:$H$501))</f>
        <v>0</v>
      </c>
      <c r="J18" s="81">
        <f t="shared" si="1"/>
        <v>0</v>
      </c>
      <c r="K18" s="81" t="e">
        <f t="shared" si="2"/>
        <v>#VALUE!</v>
      </c>
      <c r="L18" s="58" t="e">
        <f t="shared" si="3"/>
        <v>#VALUE!</v>
      </c>
      <c r="M18" s="56" t="e">
        <f t="shared" si="4"/>
        <v>#VALUE!</v>
      </c>
    </row>
    <row r="19" spans="1:13" ht="15" customHeight="1" x14ac:dyDescent="0.2">
      <c r="A19" s="60">
        <f>'21 2026 ÜRETİM'!A19</f>
        <v>0</v>
      </c>
      <c r="B19" s="81" t="str">
        <f>IF(A19="","",'21 2026 ÜRETİM'!D19)</f>
        <v/>
      </c>
      <c r="C19" s="81">
        <f>IF(A19="","",'21 2026 ÜRETİM'!E19)</f>
        <v>0</v>
      </c>
      <c r="D19" s="82" t="str">
        <f>IF(A19="","",'21 2026 ÜRETİM'!F19)</f>
        <v/>
      </c>
      <c r="E19" s="81">
        <f>IF(A19="","",SUMIF('22 2026 PAKETLEME'!$B$2:$B$501,A19,'22 2026 PAKETLEME'!$E$2:$E$501))</f>
        <v>0</v>
      </c>
      <c r="F19" s="82">
        <f>IF(A19="","",SUMIF('22 2026 PAKETLEME'!$B$2:$B$501,A19,'22 2026 PAKETLEME'!$G$2:$G$501))</f>
        <v>0</v>
      </c>
      <c r="G19" s="81">
        <f>IF(A19="","",SUMIF('22 2026 PAKETLEME'!$B$2:$B$501,A19,'22 2026 PAKETLEME'!$H$2:$H$501))</f>
        <v>0</v>
      </c>
      <c r="H19" s="81" t="e">
        <f t="shared" si="0"/>
        <v>#VALUE!</v>
      </c>
      <c r="I19" s="82">
        <f>IF(A19="","",SUMIF('23 2026 SEVKİYAT'!$E$2:$E$501,A19,'23 2026 SEVKİYAT'!$H$2:$H$501))</f>
        <v>0</v>
      </c>
      <c r="J19" s="81">
        <f t="shared" si="1"/>
        <v>0</v>
      </c>
      <c r="K19" s="81" t="e">
        <f t="shared" si="2"/>
        <v>#VALUE!</v>
      </c>
      <c r="L19" s="58" t="e">
        <f t="shared" si="3"/>
        <v>#VALUE!</v>
      </c>
      <c r="M19" s="56" t="e">
        <f t="shared" si="4"/>
        <v>#VALUE!</v>
      </c>
    </row>
    <row r="20" spans="1:13" ht="15" customHeight="1" x14ac:dyDescent="0.2">
      <c r="A20" s="60">
        <f>'21 2026 ÜRETİM'!A20</f>
        <v>0</v>
      </c>
      <c r="B20" s="81" t="str">
        <f>IF(A20="","",'21 2026 ÜRETİM'!D20)</f>
        <v/>
      </c>
      <c r="C20" s="81">
        <f>IF(A20="","",'21 2026 ÜRETİM'!E20)</f>
        <v>0</v>
      </c>
      <c r="D20" s="82" t="str">
        <f>IF(A20="","",'21 2026 ÜRETİM'!F20)</f>
        <v/>
      </c>
      <c r="E20" s="81">
        <f>IF(A20="","",SUMIF('22 2026 PAKETLEME'!$B$2:$B$501,A20,'22 2026 PAKETLEME'!$E$2:$E$501))</f>
        <v>0</v>
      </c>
      <c r="F20" s="82">
        <f>IF(A20="","",SUMIF('22 2026 PAKETLEME'!$B$2:$B$501,A20,'22 2026 PAKETLEME'!$G$2:$G$501))</f>
        <v>0</v>
      </c>
      <c r="G20" s="81">
        <f>IF(A20="","",SUMIF('22 2026 PAKETLEME'!$B$2:$B$501,A20,'22 2026 PAKETLEME'!$H$2:$H$501))</f>
        <v>0</v>
      </c>
      <c r="H20" s="81" t="e">
        <f t="shared" si="0"/>
        <v>#VALUE!</v>
      </c>
      <c r="I20" s="82">
        <f>IF(A20="","",SUMIF('23 2026 SEVKİYAT'!$E$2:$E$501,A20,'23 2026 SEVKİYAT'!$H$2:$H$501))</f>
        <v>0</v>
      </c>
      <c r="J20" s="81">
        <f t="shared" si="1"/>
        <v>0</v>
      </c>
      <c r="K20" s="81" t="e">
        <f t="shared" si="2"/>
        <v>#VALUE!</v>
      </c>
      <c r="L20" s="58" t="e">
        <f t="shared" si="3"/>
        <v>#VALUE!</v>
      </c>
      <c r="M20" s="56" t="e">
        <f t="shared" si="4"/>
        <v>#VALUE!</v>
      </c>
    </row>
    <row r="21" spans="1:13" ht="15" customHeight="1" x14ac:dyDescent="0.2">
      <c r="A21" s="60">
        <f>'21 2026 ÜRETİM'!A21</f>
        <v>0</v>
      </c>
      <c r="B21" s="81" t="str">
        <f>IF(A21="","",'21 2026 ÜRETİM'!D21)</f>
        <v/>
      </c>
      <c r="C21" s="81">
        <f>IF(A21="","",'21 2026 ÜRETİM'!E21)</f>
        <v>0</v>
      </c>
      <c r="D21" s="82" t="str">
        <f>IF(A21="","",'21 2026 ÜRETİM'!F21)</f>
        <v/>
      </c>
      <c r="E21" s="81">
        <f>IF(A21="","",SUMIF('22 2026 PAKETLEME'!$B$2:$B$501,A21,'22 2026 PAKETLEME'!$E$2:$E$501))</f>
        <v>0</v>
      </c>
      <c r="F21" s="82">
        <f>IF(A21="","",SUMIF('22 2026 PAKETLEME'!$B$2:$B$501,A21,'22 2026 PAKETLEME'!$G$2:$G$501))</f>
        <v>0</v>
      </c>
      <c r="G21" s="81">
        <f>IF(A21="","",SUMIF('22 2026 PAKETLEME'!$B$2:$B$501,A21,'22 2026 PAKETLEME'!$H$2:$H$501))</f>
        <v>0</v>
      </c>
      <c r="H21" s="81" t="e">
        <f t="shared" si="0"/>
        <v>#VALUE!</v>
      </c>
      <c r="I21" s="82">
        <f>IF(A21="","",SUMIF('23 2026 SEVKİYAT'!$E$2:$E$501,A21,'23 2026 SEVKİYAT'!$H$2:$H$501))</f>
        <v>0</v>
      </c>
      <c r="J21" s="81">
        <f t="shared" si="1"/>
        <v>0</v>
      </c>
      <c r="K21" s="81" t="e">
        <f t="shared" si="2"/>
        <v>#VALUE!</v>
      </c>
      <c r="L21" s="58" t="e">
        <f t="shared" si="3"/>
        <v>#VALUE!</v>
      </c>
      <c r="M21" s="56" t="e">
        <f t="shared" si="4"/>
        <v>#VALUE!</v>
      </c>
    </row>
    <row r="22" spans="1:13" ht="15" customHeight="1" x14ac:dyDescent="0.2">
      <c r="A22" s="60">
        <f>'21 2026 ÜRETİM'!A22</f>
        <v>0</v>
      </c>
      <c r="B22" s="81" t="str">
        <f>IF(A22="","",'21 2026 ÜRETİM'!D22)</f>
        <v/>
      </c>
      <c r="C22" s="81">
        <f>IF(A22="","",'21 2026 ÜRETİM'!E22)</f>
        <v>0</v>
      </c>
      <c r="D22" s="82" t="str">
        <f>IF(A22="","",'21 2026 ÜRETİM'!F22)</f>
        <v/>
      </c>
      <c r="E22" s="81">
        <f>IF(A22="","",SUMIF('22 2026 PAKETLEME'!$B$2:$B$501,A22,'22 2026 PAKETLEME'!$E$2:$E$501))</f>
        <v>0</v>
      </c>
      <c r="F22" s="82">
        <f>IF(A22="","",SUMIF('22 2026 PAKETLEME'!$B$2:$B$501,A22,'22 2026 PAKETLEME'!$G$2:$G$501))</f>
        <v>0</v>
      </c>
      <c r="G22" s="81">
        <f>IF(A22="","",SUMIF('22 2026 PAKETLEME'!$B$2:$B$501,A22,'22 2026 PAKETLEME'!$H$2:$H$501))</f>
        <v>0</v>
      </c>
      <c r="H22" s="81" t="e">
        <f t="shared" si="0"/>
        <v>#VALUE!</v>
      </c>
      <c r="I22" s="82">
        <f>IF(A22="","",SUMIF('23 2026 SEVKİYAT'!$E$2:$E$501,A22,'23 2026 SEVKİYAT'!$H$2:$H$501))</f>
        <v>0</v>
      </c>
      <c r="J22" s="81">
        <f t="shared" si="1"/>
        <v>0</v>
      </c>
      <c r="K22" s="81" t="e">
        <f t="shared" si="2"/>
        <v>#VALUE!</v>
      </c>
      <c r="L22" s="58" t="e">
        <f t="shared" si="3"/>
        <v>#VALUE!</v>
      </c>
      <c r="M22" s="56" t="e">
        <f t="shared" si="4"/>
        <v>#VALUE!</v>
      </c>
    </row>
    <row r="23" spans="1:13" ht="15" customHeight="1" x14ac:dyDescent="0.2">
      <c r="A23" s="60">
        <f>'21 2026 ÜRETİM'!A23</f>
        <v>0</v>
      </c>
      <c r="B23" s="81" t="str">
        <f>IF(A23="","",'21 2026 ÜRETİM'!D23)</f>
        <v/>
      </c>
      <c r="C23" s="81">
        <f>IF(A23="","",'21 2026 ÜRETİM'!E23)</f>
        <v>0</v>
      </c>
      <c r="D23" s="82" t="str">
        <f>IF(A23="","",'21 2026 ÜRETİM'!F23)</f>
        <v/>
      </c>
      <c r="E23" s="81">
        <f>IF(A23="","",SUMIF('22 2026 PAKETLEME'!$B$2:$B$501,A23,'22 2026 PAKETLEME'!$E$2:$E$501))</f>
        <v>0</v>
      </c>
      <c r="F23" s="82">
        <f>IF(A23="","",SUMIF('22 2026 PAKETLEME'!$B$2:$B$501,A23,'22 2026 PAKETLEME'!$G$2:$G$501))</f>
        <v>0</v>
      </c>
      <c r="G23" s="81">
        <f>IF(A23="","",SUMIF('22 2026 PAKETLEME'!$B$2:$B$501,A23,'22 2026 PAKETLEME'!$H$2:$H$501))</f>
        <v>0</v>
      </c>
      <c r="H23" s="81" t="e">
        <f t="shared" si="0"/>
        <v>#VALUE!</v>
      </c>
      <c r="I23" s="82">
        <f>IF(A23="","",SUMIF('23 2026 SEVKİYAT'!$E$2:$E$501,A23,'23 2026 SEVKİYAT'!$H$2:$H$501))</f>
        <v>0</v>
      </c>
      <c r="J23" s="81">
        <f t="shared" si="1"/>
        <v>0</v>
      </c>
      <c r="K23" s="81" t="e">
        <f t="shared" si="2"/>
        <v>#VALUE!</v>
      </c>
      <c r="L23" s="58" t="e">
        <f t="shared" si="3"/>
        <v>#VALUE!</v>
      </c>
      <c r="M23" s="56" t="e">
        <f t="shared" si="4"/>
        <v>#VALUE!</v>
      </c>
    </row>
    <row r="24" spans="1:13" ht="15" customHeight="1" x14ac:dyDescent="0.2">
      <c r="A24" s="60">
        <f>'21 2026 ÜRETİM'!A24</f>
        <v>0</v>
      </c>
      <c r="B24" s="81" t="str">
        <f>IF(A24="","",'21 2026 ÜRETİM'!D24)</f>
        <v/>
      </c>
      <c r="C24" s="81">
        <f>IF(A24="","",'21 2026 ÜRETİM'!E24)</f>
        <v>0</v>
      </c>
      <c r="D24" s="82" t="str">
        <f>IF(A24="","",'21 2026 ÜRETİM'!F24)</f>
        <v/>
      </c>
      <c r="E24" s="81">
        <f>IF(A24="","",SUMIF('22 2026 PAKETLEME'!$B$2:$B$501,A24,'22 2026 PAKETLEME'!$E$2:$E$501))</f>
        <v>0</v>
      </c>
      <c r="F24" s="82">
        <f>IF(A24="","",SUMIF('22 2026 PAKETLEME'!$B$2:$B$501,A24,'22 2026 PAKETLEME'!$G$2:$G$501))</f>
        <v>0</v>
      </c>
      <c r="G24" s="81">
        <f>IF(A24="","",SUMIF('22 2026 PAKETLEME'!$B$2:$B$501,A24,'22 2026 PAKETLEME'!$H$2:$H$501))</f>
        <v>0</v>
      </c>
      <c r="H24" s="81" t="e">
        <f t="shared" si="0"/>
        <v>#VALUE!</v>
      </c>
      <c r="I24" s="82">
        <f>IF(A24="","",SUMIF('23 2026 SEVKİYAT'!$E$2:$E$501,A24,'23 2026 SEVKİYAT'!$H$2:$H$501))</f>
        <v>0</v>
      </c>
      <c r="J24" s="81">
        <f t="shared" si="1"/>
        <v>0</v>
      </c>
      <c r="K24" s="81" t="e">
        <f t="shared" si="2"/>
        <v>#VALUE!</v>
      </c>
      <c r="L24" s="58" t="e">
        <f t="shared" si="3"/>
        <v>#VALUE!</v>
      </c>
      <c r="M24" s="56" t="e">
        <f t="shared" si="4"/>
        <v>#VALUE!</v>
      </c>
    </row>
    <row r="25" spans="1:13" ht="15" customHeight="1" x14ac:dyDescent="0.2">
      <c r="A25" s="60">
        <f>'21 2026 ÜRETİM'!A25</f>
        <v>0</v>
      </c>
      <c r="B25" s="81" t="str">
        <f>IF(A25="","",'21 2026 ÜRETİM'!D25)</f>
        <v/>
      </c>
      <c r="C25" s="81">
        <f>IF(A25="","",'21 2026 ÜRETİM'!E25)</f>
        <v>0</v>
      </c>
      <c r="D25" s="82" t="str">
        <f>IF(A25="","",'21 2026 ÜRETİM'!F25)</f>
        <v/>
      </c>
      <c r="E25" s="81">
        <f>IF(A25="","",SUMIF('22 2026 PAKETLEME'!$B$2:$B$501,A25,'22 2026 PAKETLEME'!$E$2:$E$501))</f>
        <v>0</v>
      </c>
      <c r="F25" s="82">
        <f>IF(A25="","",SUMIF('22 2026 PAKETLEME'!$B$2:$B$501,A25,'22 2026 PAKETLEME'!$G$2:$G$501))</f>
        <v>0</v>
      </c>
      <c r="G25" s="81">
        <f>IF(A25="","",SUMIF('22 2026 PAKETLEME'!$B$2:$B$501,A25,'22 2026 PAKETLEME'!$H$2:$H$501))</f>
        <v>0</v>
      </c>
      <c r="H25" s="81" t="e">
        <f t="shared" si="0"/>
        <v>#VALUE!</v>
      </c>
      <c r="I25" s="82">
        <f>IF(A25="","",SUMIF('23 2026 SEVKİYAT'!$E$2:$E$501,A25,'23 2026 SEVKİYAT'!$H$2:$H$501))</f>
        <v>0</v>
      </c>
      <c r="J25" s="81">
        <f t="shared" si="1"/>
        <v>0</v>
      </c>
      <c r="K25" s="81" t="e">
        <f t="shared" si="2"/>
        <v>#VALUE!</v>
      </c>
      <c r="L25" s="58" t="e">
        <f t="shared" si="3"/>
        <v>#VALUE!</v>
      </c>
      <c r="M25" s="56" t="e">
        <f t="shared" si="4"/>
        <v>#VALUE!</v>
      </c>
    </row>
    <row r="26" spans="1:13" ht="15" customHeight="1" x14ac:dyDescent="0.2">
      <c r="A26" s="60">
        <f>'21 2026 ÜRETİM'!A26</f>
        <v>0</v>
      </c>
      <c r="B26" s="81" t="str">
        <f>IF(A26="","",'21 2026 ÜRETİM'!D26)</f>
        <v/>
      </c>
      <c r="C26" s="81">
        <f>IF(A26="","",'21 2026 ÜRETİM'!E26)</f>
        <v>0</v>
      </c>
      <c r="D26" s="82" t="str">
        <f>IF(A26="","",'21 2026 ÜRETİM'!F26)</f>
        <v/>
      </c>
      <c r="E26" s="81">
        <f>IF(A26="","",SUMIF('22 2026 PAKETLEME'!$B$2:$B$501,A26,'22 2026 PAKETLEME'!$E$2:$E$501))</f>
        <v>0</v>
      </c>
      <c r="F26" s="82">
        <f>IF(A26="","",SUMIF('22 2026 PAKETLEME'!$B$2:$B$501,A26,'22 2026 PAKETLEME'!$G$2:$G$501))</f>
        <v>0</v>
      </c>
      <c r="G26" s="81">
        <f>IF(A26="","",SUMIF('22 2026 PAKETLEME'!$B$2:$B$501,A26,'22 2026 PAKETLEME'!$H$2:$H$501))</f>
        <v>0</v>
      </c>
      <c r="H26" s="81" t="e">
        <f t="shared" si="0"/>
        <v>#VALUE!</v>
      </c>
      <c r="I26" s="82">
        <f>IF(A26="","",SUMIF('23 2026 SEVKİYAT'!$E$2:$E$501,A26,'23 2026 SEVKİYAT'!$H$2:$H$501))</f>
        <v>0</v>
      </c>
      <c r="J26" s="81">
        <f t="shared" si="1"/>
        <v>0</v>
      </c>
      <c r="K26" s="81" t="e">
        <f t="shared" si="2"/>
        <v>#VALUE!</v>
      </c>
      <c r="L26" s="58" t="e">
        <f t="shared" si="3"/>
        <v>#VALUE!</v>
      </c>
      <c r="M26" s="56" t="e">
        <f t="shared" si="4"/>
        <v>#VALUE!</v>
      </c>
    </row>
    <row r="27" spans="1:13" ht="15" customHeight="1" x14ac:dyDescent="0.2">
      <c r="A27" s="60">
        <f>'21 2026 ÜRETİM'!A27</f>
        <v>0</v>
      </c>
      <c r="B27" s="81" t="str">
        <f>IF(A27="","",'21 2026 ÜRETİM'!D27)</f>
        <v/>
      </c>
      <c r="C27" s="81">
        <f>IF(A27="","",'21 2026 ÜRETİM'!E27)</f>
        <v>0</v>
      </c>
      <c r="D27" s="82" t="str">
        <f>IF(A27="","",'21 2026 ÜRETİM'!F27)</f>
        <v/>
      </c>
      <c r="E27" s="81">
        <f>IF(A27="","",SUMIF('22 2026 PAKETLEME'!$B$2:$B$501,A27,'22 2026 PAKETLEME'!$E$2:$E$501))</f>
        <v>0</v>
      </c>
      <c r="F27" s="82">
        <f>IF(A27="","",SUMIF('22 2026 PAKETLEME'!$B$2:$B$501,A27,'22 2026 PAKETLEME'!$G$2:$G$501))</f>
        <v>0</v>
      </c>
      <c r="G27" s="81">
        <f>IF(A27="","",SUMIF('22 2026 PAKETLEME'!$B$2:$B$501,A27,'22 2026 PAKETLEME'!$H$2:$H$501))</f>
        <v>0</v>
      </c>
      <c r="H27" s="81" t="e">
        <f t="shared" si="0"/>
        <v>#VALUE!</v>
      </c>
      <c r="I27" s="82">
        <f>IF(A27="","",SUMIF('23 2026 SEVKİYAT'!$E$2:$E$501,A27,'23 2026 SEVKİYAT'!$H$2:$H$501))</f>
        <v>0</v>
      </c>
      <c r="J27" s="81">
        <f t="shared" si="1"/>
        <v>0</v>
      </c>
      <c r="K27" s="81" t="e">
        <f t="shared" si="2"/>
        <v>#VALUE!</v>
      </c>
      <c r="L27" s="58" t="e">
        <f t="shared" si="3"/>
        <v>#VALUE!</v>
      </c>
      <c r="M27" s="56" t="e">
        <f t="shared" si="4"/>
        <v>#VALUE!</v>
      </c>
    </row>
    <row r="28" spans="1:13" ht="15" customHeight="1" x14ac:dyDescent="0.2">
      <c r="A28" s="60">
        <f>'21 2026 ÜRETİM'!A28</f>
        <v>0</v>
      </c>
      <c r="B28" s="81" t="str">
        <f>IF(A28="","",'21 2026 ÜRETİM'!D28)</f>
        <v/>
      </c>
      <c r="C28" s="81">
        <f>IF(A28="","",'21 2026 ÜRETİM'!E28)</f>
        <v>0</v>
      </c>
      <c r="D28" s="82" t="str">
        <f>IF(A28="","",'21 2026 ÜRETİM'!F28)</f>
        <v/>
      </c>
      <c r="E28" s="81">
        <f>IF(A28="","",SUMIF('22 2026 PAKETLEME'!$B$2:$B$501,A28,'22 2026 PAKETLEME'!$E$2:$E$501))</f>
        <v>0</v>
      </c>
      <c r="F28" s="82">
        <f>IF(A28="","",SUMIF('22 2026 PAKETLEME'!$B$2:$B$501,A28,'22 2026 PAKETLEME'!$G$2:$G$501))</f>
        <v>0</v>
      </c>
      <c r="G28" s="81">
        <f>IF(A28="","",SUMIF('22 2026 PAKETLEME'!$B$2:$B$501,A28,'22 2026 PAKETLEME'!$H$2:$H$501))</f>
        <v>0</v>
      </c>
      <c r="H28" s="81" t="e">
        <f t="shared" si="0"/>
        <v>#VALUE!</v>
      </c>
      <c r="I28" s="82">
        <f>IF(A28="","",SUMIF('23 2026 SEVKİYAT'!$E$2:$E$501,A28,'23 2026 SEVKİYAT'!$H$2:$H$501))</f>
        <v>0</v>
      </c>
      <c r="J28" s="81">
        <f t="shared" si="1"/>
        <v>0</v>
      </c>
      <c r="K28" s="81" t="e">
        <f t="shared" si="2"/>
        <v>#VALUE!</v>
      </c>
      <c r="L28" s="58" t="e">
        <f t="shared" si="3"/>
        <v>#VALUE!</v>
      </c>
      <c r="M28" s="56" t="e">
        <f t="shared" si="4"/>
        <v>#VALUE!</v>
      </c>
    </row>
    <row r="29" spans="1:13" ht="15" customHeight="1" x14ac:dyDescent="0.2">
      <c r="A29" s="60">
        <f>'21 2026 ÜRETİM'!A29</f>
        <v>0</v>
      </c>
      <c r="B29" s="81" t="str">
        <f>IF(A29="","",'21 2026 ÜRETİM'!D29)</f>
        <v/>
      </c>
      <c r="C29" s="81">
        <f>IF(A29="","",'21 2026 ÜRETİM'!E29)</f>
        <v>0</v>
      </c>
      <c r="D29" s="82" t="str">
        <f>IF(A29="","",'21 2026 ÜRETİM'!F29)</f>
        <v/>
      </c>
      <c r="E29" s="81">
        <f>IF(A29="","",SUMIF('22 2026 PAKETLEME'!$B$2:$B$501,A29,'22 2026 PAKETLEME'!$E$2:$E$501))</f>
        <v>0</v>
      </c>
      <c r="F29" s="82">
        <f>IF(A29="","",SUMIF('22 2026 PAKETLEME'!$B$2:$B$501,A29,'22 2026 PAKETLEME'!$G$2:$G$501))</f>
        <v>0</v>
      </c>
      <c r="G29" s="81">
        <f>IF(A29="","",SUMIF('22 2026 PAKETLEME'!$B$2:$B$501,A29,'22 2026 PAKETLEME'!$H$2:$H$501))</f>
        <v>0</v>
      </c>
      <c r="H29" s="81" t="e">
        <f t="shared" si="0"/>
        <v>#VALUE!</v>
      </c>
      <c r="I29" s="82">
        <f>IF(A29="","",SUMIF('23 2026 SEVKİYAT'!$E$2:$E$501,A29,'23 2026 SEVKİYAT'!$H$2:$H$501))</f>
        <v>0</v>
      </c>
      <c r="J29" s="81">
        <f t="shared" si="1"/>
        <v>0</v>
      </c>
      <c r="K29" s="81" t="e">
        <f t="shared" si="2"/>
        <v>#VALUE!</v>
      </c>
      <c r="L29" s="58" t="e">
        <f t="shared" si="3"/>
        <v>#VALUE!</v>
      </c>
      <c r="M29" s="56" t="e">
        <f t="shared" si="4"/>
        <v>#VALUE!</v>
      </c>
    </row>
    <row r="30" spans="1:13" ht="15" customHeight="1" x14ac:dyDescent="0.2">
      <c r="A30" s="60">
        <f>'21 2026 ÜRETİM'!A30</f>
        <v>0</v>
      </c>
      <c r="B30" s="81" t="str">
        <f>IF(A30="","",'21 2026 ÜRETİM'!D30)</f>
        <v/>
      </c>
      <c r="C30" s="81">
        <f>IF(A30="","",'21 2026 ÜRETİM'!E30)</f>
        <v>0</v>
      </c>
      <c r="D30" s="82" t="str">
        <f>IF(A30="","",'21 2026 ÜRETİM'!F30)</f>
        <v/>
      </c>
      <c r="E30" s="81">
        <f>IF(A30="","",SUMIF('22 2026 PAKETLEME'!$B$2:$B$501,A30,'22 2026 PAKETLEME'!$E$2:$E$501))</f>
        <v>0</v>
      </c>
      <c r="F30" s="82">
        <f>IF(A30="","",SUMIF('22 2026 PAKETLEME'!$B$2:$B$501,A30,'22 2026 PAKETLEME'!$G$2:$G$501))</f>
        <v>0</v>
      </c>
      <c r="G30" s="81">
        <f>IF(A30="","",SUMIF('22 2026 PAKETLEME'!$B$2:$B$501,A30,'22 2026 PAKETLEME'!$H$2:$H$501))</f>
        <v>0</v>
      </c>
      <c r="H30" s="81" t="e">
        <f t="shared" si="0"/>
        <v>#VALUE!</v>
      </c>
      <c r="I30" s="82">
        <f>IF(A30="","",SUMIF('23 2026 SEVKİYAT'!$E$2:$E$501,A30,'23 2026 SEVKİYAT'!$H$2:$H$501))</f>
        <v>0</v>
      </c>
      <c r="J30" s="81">
        <f t="shared" si="1"/>
        <v>0</v>
      </c>
      <c r="K30" s="81" t="e">
        <f t="shared" si="2"/>
        <v>#VALUE!</v>
      </c>
      <c r="L30" s="58" t="e">
        <f t="shared" si="3"/>
        <v>#VALUE!</v>
      </c>
      <c r="M30" s="56" t="e">
        <f t="shared" si="4"/>
        <v>#VALUE!</v>
      </c>
    </row>
    <row r="31" spans="1:13" ht="15" customHeight="1" x14ac:dyDescent="0.2">
      <c r="A31" s="60">
        <f>'21 2026 ÜRETİM'!A31</f>
        <v>0</v>
      </c>
      <c r="B31" s="81" t="str">
        <f>IF(A31="","",'21 2026 ÜRETİM'!D31)</f>
        <v/>
      </c>
      <c r="C31" s="81">
        <f>IF(A31="","",'21 2026 ÜRETİM'!E31)</f>
        <v>0</v>
      </c>
      <c r="D31" s="82" t="str">
        <f>IF(A31="","",'21 2026 ÜRETİM'!F31)</f>
        <v/>
      </c>
      <c r="E31" s="81">
        <f>IF(A31="","",SUMIF('22 2026 PAKETLEME'!$B$2:$B$501,A31,'22 2026 PAKETLEME'!$E$2:$E$501))</f>
        <v>0</v>
      </c>
      <c r="F31" s="82">
        <f>IF(A31="","",SUMIF('22 2026 PAKETLEME'!$B$2:$B$501,A31,'22 2026 PAKETLEME'!$G$2:$G$501))</f>
        <v>0</v>
      </c>
      <c r="G31" s="81">
        <f>IF(A31="","",SUMIF('22 2026 PAKETLEME'!$B$2:$B$501,A31,'22 2026 PAKETLEME'!$H$2:$H$501))</f>
        <v>0</v>
      </c>
      <c r="H31" s="81" t="e">
        <f t="shared" si="0"/>
        <v>#VALUE!</v>
      </c>
      <c r="I31" s="82">
        <f>IF(A31="","",SUMIF('23 2026 SEVKİYAT'!$E$2:$E$501,A31,'23 2026 SEVKİYAT'!$H$2:$H$501))</f>
        <v>0</v>
      </c>
      <c r="J31" s="81">
        <f t="shared" si="1"/>
        <v>0</v>
      </c>
      <c r="K31" s="81" t="e">
        <f t="shared" si="2"/>
        <v>#VALUE!</v>
      </c>
      <c r="L31" s="58" t="e">
        <f t="shared" si="3"/>
        <v>#VALUE!</v>
      </c>
      <c r="M31" s="56" t="e">
        <f t="shared" si="4"/>
        <v>#VALUE!</v>
      </c>
    </row>
    <row r="32" spans="1:13" ht="15" customHeight="1" x14ac:dyDescent="0.2">
      <c r="A32" s="60">
        <f>'21 2026 ÜRETİM'!A32</f>
        <v>0</v>
      </c>
      <c r="B32" s="81" t="str">
        <f>IF(A32="","",'21 2026 ÜRETİM'!D32)</f>
        <v/>
      </c>
      <c r="C32" s="81">
        <f>IF(A32="","",'21 2026 ÜRETİM'!E32)</f>
        <v>0</v>
      </c>
      <c r="D32" s="82" t="str">
        <f>IF(A32="","",'21 2026 ÜRETİM'!F32)</f>
        <v/>
      </c>
      <c r="E32" s="81">
        <f>IF(A32="","",SUMIF('22 2026 PAKETLEME'!$B$2:$B$501,A32,'22 2026 PAKETLEME'!$E$2:$E$501))</f>
        <v>0</v>
      </c>
      <c r="F32" s="82">
        <f>IF(A32="","",SUMIF('22 2026 PAKETLEME'!$B$2:$B$501,A32,'22 2026 PAKETLEME'!$G$2:$G$501))</f>
        <v>0</v>
      </c>
      <c r="G32" s="81">
        <f>IF(A32="","",SUMIF('22 2026 PAKETLEME'!$B$2:$B$501,A32,'22 2026 PAKETLEME'!$H$2:$H$501))</f>
        <v>0</v>
      </c>
      <c r="H32" s="81" t="e">
        <f t="shared" si="0"/>
        <v>#VALUE!</v>
      </c>
      <c r="I32" s="82">
        <f>IF(A32="","",SUMIF('23 2026 SEVKİYAT'!$E$2:$E$501,A32,'23 2026 SEVKİYAT'!$H$2:$H$501))</f>
        <v>0</v>
      </c>
      <c r="J32" s="81">
        <f t="shared" si="1"/>
        <v>0</v>
      </c>
      <c r="K32" s="81" t="e">
        <f t="shared" si="2"/>
        <v>#VALUE!</v>
      </c>
      <c r="L32" s="58" t="e">
        <f t="shared" si="3"/>
        <v>#VALUE!</v>
      </c>
      <c r="M32" s="56" t="e">
        <f t="shared" si="4"/>
        <v>#VALUE!</v>
      </c>
    </row>
    <row r="33" spans="1:13" ht="15" customHeight="1" x14ac:dyDescent="0.2">
      <c r="A33" s="60">
        <f>'21 2026 ÜRETİM'!A33</f>
        <v>0</v>
      </c>
      <c r="B33" s="81" t="str">
        <f>IF(A33="","",'21 2026 ÜRETİM'!D33)</f>
        <v/>
      </c>
      <c r="C33" s="81">
        <f>IF(A33="","",'21 2026 ÜRETİM'!E33)</f>
        <v>0</v>
      </c>
      <c r="D33" s="82" t="str">
        <f>IF(A33="","",'21 2026 ÜRETİM'!F33)</f>
        <v/>
      </c>
      <c r="E33" s="81">
        <f>IF(A33="","",SUMIF('22 2026 PAKETLEME'!$B$2:$B$501,A33,'22 2026 PAKETLEME'!$E$2:$E$501))</f>
        <v>0</v>
      </c>
      <c r="F33" s="82">
        <f>IF(A33="","",SUMIF('22 2026 PAKETLEME'!$B$2:$B$501,A33,'22 2026 PAKETLEME'!$G$2:$G$501))</f>
        <v>0</v>
      </c>
      <c r="G33" s="81">
        <f>IF(A33="","",SUMIF('22 2026 PAKETLEME'!$B$2:$B$501,A33,'22 2026 PAKETLEME'!$H$2:$H$501))</f>
        <v>0</v>
      </c>
      <c r="H33" s="81" t="e">
        <f t="shared" si="0"/>
        <v>#VALUE!</v>
      </c>
      <c r="I33" s="82">
        <f>IF(A33="","",SUMIF('23 2026 SEVKİYAT'!$E$2:$E$501,A33,'23 2026 SEVKİYAT'!$H$2:$H$501))</f>
        <v>0</v>
      </c>
      <c r="J33" s="81">
        <f t="shared" si="1"/>
        <v>0</v>
      </c>
      <c r="K33" s="81" t="e">
        <f t="shared" si="2"/>
        <v>#VALUE!</v>
      </c>
      <c r="L33" s="58" t="e">
        <f t="shared" si="3"/>
        <v>#VALUE!</v>
      </c>
      <c r="M33" s="56" t="e">
        <f t="shared" si="4"/>
        <v>#VALUE!</v>
      </c>
    </row>
    <row r="34" spans="1:13" ht="15" customHeight="1" x14ac:dyDescent="0.2">
      <c r="A34" s="60">
        <f>'21 2026 ÜRETİM'!A34</f>
        <v>0</v>
      </c>
      <c r="B34" s="81" t="str">
        <f>IF(A34="","",'21 2026 ÜRETİM'!D34)</f>
        <v/>
      </c>
      <c r="C34" s="81">
        <f>IF(A34="","",'21 2026 ÜRETİM'!E34)</f>
        <v>0</v>
      </c>
      <c r="D34" s="82" t="str">
        <f>IF(A34="","",'21 2026 ÜRETİM'!F34)</f>
        <v/>
      </c>
      <c r="E34" s="81">
        <f>IF(A34="","",SUMIF('22 2026 PAKETLEME'!$B$2:$B$501,A34,'22 2026 PAKETLEME'!$E$2:$E$501))</f>
        <v>0</v>
      </c>
      <c r="F34" s="82">
        <f>IF(A34="","",SUMIF('22 2026 PAKETLEME'!$B$2:$B$501,A34,'22 2026 PAKETLEME'!$G$2:$G$501))</f>
        <v>0</v>
      </c>
      <c r="G34" s="81">
        <f>IF(A34="","",SUMIF('22 2026 PAKETLEME'!$B$2:$B$501,A34,'22 2026 PAKETLEME'!$H$2:$H$501))</f>
        <v>0</v>
      </c>
      <c r="H34" s="81" t="e">
        <f t="shared" si="0"/>
        <v>#VALUE!</v>
      </c>
      <c r="I34" s="82">
        <f>IF(A34="","",SUMIF('23 2026 SEVKİYAT'!$E$2:$E$501,A34,'23 2026 SEVKİYAT'!$H$2:$H$501))</f>
        <v>0</v>
      </c>
      <c r="J34" s="81">
        <f t="shared" si="1"/>
        <v>0</v>
      </c>
      <c r="K34" s="81" t="e">
        <f t="shared" si="2"/>
        <v>#VALUE!</v>
      </c>
      <c r="L34" s="58" t="e">
        <f t="shared" si="3"/>
        <v>#VALUE!</v>
      </c>
      <c r="M34" s="56" t="e">
        <f t="shared" si="4"/>
        <v>#VALUE!</v>
      </c>
    </row>
    <row r="35" spans="1:13" ht="15" customHeight="1" x14ac:dyDescent="0.2">
      <c r="A35" s="60">
        <f>'21 2026 ÜRETİM'!A35</f>
        <v>0</v>
      </c>
      <c r="B35" s="81" t="str">
        <f>IF(A35="","",'21 2026 ÜRETİM'!D35)</f>
        <v/>
      </c>
      <c r="C35" s="81">
        <f>IF(A35="","",'21 2026 ÜRETİM'!E35)</f>
        <v>0</v>
      </c>
      <c r="D35" s="82" t="str">
        <f>IF(A35="","",'21 2026 ÜRETİM'!F35)</f>
        <v/>
      </c>
      <c r="E35" s="81">
        <f>IF(A35="","",SUMIF('22 2026 PAKETLEME'!$B$2:$B$501,A35,'22 2026 PAKETLEME'!$E$2:$E$501))</f>
        <v>0</v>
      </c>
      <c r="F35" s="82">
        <f>IF(A35="","",SUMIF('22 2026 PAKETLEME'!$B$2:$B$501,A35,'22 2026 PAKETLEME'!$G$2:$G$501))</f>
        <v>0</v>
      </c>
      <c r="G35" s="81">
        <f>IF(A35="","",SUMIF('22 2026 PAKETLEME'!$B$2:$B$501,A35,'22 2026 PAKETLEME'!$H$2:$H$501))</f>
        <v>0</v>
      </c>
      <c r="H35" s="81" t="e">
        <f t="shared" si="0"/>
        <v>#VALUE!</v>
      </c>
      <c r="I35" s="82">
        <f>IF(A35="","",SUMIF('23 2026 SEVKİYAT'!$E$2:$E$501,A35,'23 2026 SEVKİYAT'!$H$2:$H$501))</f>
        <v>0</v>
      </c>
      <c r="J35" s="81">
        <f t="shared" si="1"/>
        <v>0</v>
      </c>
      <c r="K35" s="81" t="e">
        <f t="shared" si="2"/>
        <v>#VALUE!</v>
      </c>
      <c r="L35" s="58" t="e">
        <f t="shared" si="3"/>
        <v>#VALUE!</v>
      </c>
      <c r="M35" s="56" t="e">
        <f t="shared" si="4"/>
        <v>#VALUE!</v>
      </c>
    </row>
    <row r="36" spans="1:13" ht="15" customHeight="1" x14ac:dyDescent="0.2">
      <c r="A36" s="60">
        <f>'21 2026 ÜRETİM'!A36</f>
        <v>0</v>
      </c>
      <c r="B36" s="81" t="str">
        <f>IF(A36="","",'21 2026 ÜRETİM'!D36)</f>
        <v/>
      </c>
      <c r="C36" s="81">
        <f>IF(A36="","",'21 2026 ÜRETİM'!E36)</f>
        <v>0</v>
      </c>
      <c r="D36" s="82" t="str">
        <f>IF(A36="","",'21 2026 ÜRETİM'!F36)</f>
        <v/>
      </c>
      <c r="E36" s="81">
        <f>IF(A36="","",SUMIF('22 2026 PAKETLEME'!$B$2:$B$501,A36,'22 2026 PAKETLEME'!$E$2:$E$501))</f>
        <v>0</v>
      </c>
      <c r="F36" s="82">
        <f>IF(A36="","",SUMIF('22 2026 PAKETLEME'!$B$2:$B$501,A36,'22 2026 PAKETLEME'!$G$2:$G$501))</f>
        <v>0</v>
      </c>
      <c r="G36" s="81">
        <f>IF(A36="","",SUMIF('22 2026 PAKETLEME'!$B$2:$B$501,A36,'22 2026 PAKETLEME'!$H$2:$H$501))</f>
        <v>0</v>
      </c>
      <c r="H36" s="81" t="e">
        <f t="shared" si="0"/>
        <v>#VALUE!</v>
      </c>
      <c r="I36" s="82">
        <f>IF(A36="","",SUMIF('23 2026 SEVKİYAT'!$E$2:$E$501,A36,'23 2026 SEVKİYAT'!$H$2:$H$501))</f>
        <v>0</v>
      </c>
      <c r="J36" s="81">
        <f t="shared" si="1"/>
        <v>0</v>
      </c>
      <c r="K36" s="81" t="e">
        <f t="shared" si="2"/>
        <v>#VALUE!</v>
      </c>
      <c r="L36" s="58" t="e">
        <f t="shared" si="3"/>
        <v>#VALUE!</v>
      </c>
      <c r="M36" s="56" t="e">
        <f t="shared" si="4"/>
        <v>#VALUE!</v>
      </c>
    </row>
    <row r="37" spans="1:13" ht="15" customHeight="1" x14ac:dyDescent="0.2">
      <c r="A37" s="60">
        <f>'21 2026 ÜRETİM'!A37</f>
        <v>0</v>
      </c>
      <c r="B37" s="81" t="str">
        <f>IF(A37="","",'21 2026 ÜRETİM'!D37)</f>
        <v/>
      </c>
      <c r="C37" s="81">
        <f>IF(A37="","",'21 2026 ÜRETİM'!E37)</f>
        <v>0</v>
      </c>
      <c r="D37" s="82" t="str">
        <f>IF(A37="","",'21 2026 ÜRETİM'!F37)</f>
        <v/>
      </c>
      <c r="E37" s="81">
        <f>IF(A37="","",SUMIF('22 2026 PAKETLEME'!$B$2:$B$501,A37,'22 2026 PAKETLEME'!$E$2:$E$501))</f>
        <v>0</v>
      </c>
      <c r="F37" s="82">
        <f>IF(A37="","",SUMIF('22 2026 PAKETLEME'!$B$2:$B$501,A37,'22 2026 PAKETLEME'!$G$2:$G$501))</f>
        <v>0</v>
      </c>
      <c r="G37" s="81">
        <f>IF(A37="","",SUMIF('22 2026 PAKETLEME'!$B$2:$B$501,A37,'22 2026 PAKETLEME'!$H$2:$H$501))</f>
        <v>0</v>
      </c>
      <c r="H37" s="81" t="e">
        <f t="shared" si="0"/>
        <v>#VALUE!</v>
      </c>
      <c r="I37" s="82">
        <f>IF(A37="","",SUMIF('23 2026 SEVKİYAT'!$E$2:$E$501,A37,'23 2026 SEVKİYAT'!$H$2:$H$501))</f>
        <v>0</v>
      </c>
      <c r="J37" s="81">
        <f t="shared" si="1"/>
        <v>0</v>
      </c>
      <c r="K37" s="81" t="e">
        <f t="shared" si="2"/>
        <v>#VALUE!</v>
      </c>
      <c r="L37" s="58" t="e">
        <f t="shared" si="3"/>
        <v>#VALUE!</v>
      </c>
      <c r="M37" s="56" t="e">
        <f t="shared" si="4"/>
        <v>#VALUE!</v>
      </c>
    </row>
    <row r="38" spans="1:13" ht="15" customHeight="1" x14ac:dyDescent="0.2">
      <c r="A38" s="60">
        <f>'21 2026 ÜRETİM'!A38</f>
        <v>0</v>
      </c>
      <c r="B38" s="81" t="str">
        <f>IF(A38="","",'21 2026 ÜRETİM'!D38)</f>
        <v/>
      </c>
      <c r="C38" s="81">
        <f>IF(A38="","",'21 2026 ÜRETİM'!E38)</f>
        <v>0</v>
      </c>
      <c r="D38" s="82" t="str">
        <f>IF(A38="","",'21 2026 ÜRETİM'!F38)</f>
        <v/>
      </c>
      <c r="E38" s="81">
        <f>IF(A38="","",SUMIF('22 2026 PAKETLEME'!$B$2:$B$501,A38,'22 2026 PAKETLEME'!$E$2:$E$501))</f>
        <v>0</v>
      </c>
      <c r="F38" s="82">
        <f>IF(A38="","",SUMIF('22 2026 PAKETLEME'!$B$2:$B$501,A38,'22 2026 PAKETLEME'!$G$2:$G$501))</f>
        <v>0</v>
      </c>
      <c r="G38" s="81">
        <f>IF(A38="","",SUMIF('22 2026 PAKETLEME'!$B$2:$B$501,A38,'22 2026 PAKETLEME'!$H$2:$H$501))</f>
        <v>0</v>
      </c>
      <c r="H38" s="81" t="e">
        <f t="shared" si="0"/>
        <v>#VALUE!</v>
      </c>
      <c r="I38" s="82">
        <f>IF(A38="","",SUMIF('23 2026 SEVKİYAT'!$E$2:$E$501,A38,'23 2026 SEVKİYAT'!$H$2:$H$501))</f>
        <v>0</v>
      </c>
      <c r="J38" s="81">
        <f t="shared" si="1"/>
        <v>0</v>
      </c>
      <c r="K38" s="81" t="e">
        <f t="shared" si="2"/>
        <v>#VALUE!</v>
      </c>
      <c r="L38" s="58" t="e">
        <f t="shared" si="3"/>
        <v>#VALUE!</v>
      </c>
      <c r="M38" s="56" t="e">
        <f t="shared" si="4"/>
        <v>#VALUE!</v>
      </c>
    </row>
    <row r="39" spans="1:13" ht="15" customHeight="1" x14ac:dyDescent="0.2">
      <c r="A39" s="60">
        <f>'21 2026 ÜRETİM'!A39</f>
        <v>0</v>
      </c>
      <c r="B39" s="81" t="str">
        <f>IF(A39="","",'21 2026 ÜRETİM'!D39)</f>
        <v/>
      </c>
      <c r="C39" s="81">
        <f>IF(A39="","",'21 2026 ÜRETİM'!E39)</f>
        <v>0</v>
      </c>
      <c r="D39" s="82" t="str">
        <f>IF(A39="","",'21 2026 ÜRETİM'!F39)</f>
        <v/>
      </c>
      <c r="E39" s="81">
        <f>IF(A39="","",SUMIF('22 2026 PAKETLEME'!$B$2:$B$501,A39,'22 2026 PAKETLEME'!$E$2:$E$501))</f>
        <v>0</v>
      </c>
      <c r="F39" s="82">
        <f>IF(A39="","",SUMIF('22 2026 PAKETLEME'!$B$2:$B$501,A39,'22 2026 PAKETLEME'!$G$2:$G$501))</f>
        <v>0</v>
      </c>
      <c r="G39" s="81">
        <f>IF(A39="","",SUMIF('22 2026 PAKETLEME'!$B$2:$B$501,A39,'22 2026 PAKETLEME'!$H$2:$H$501))</f>
        <v>0</v>
      </c>
      <c r="H39" s="81" t="e">
        <f t="shared" si="0"/>
        <v>#VALUE!</v>
      </c>
      <c r="I39" s="82">
        <f>IF(A39="","",SUMIF('23 2026 SEVKİYAT'!$E$2:$E$501,A39,'23 2026 SEVKİYAT'!$H$2:$H$501))</f>
        <v>0</v>
      </c>
      <c r="J39" s="81">
        <f t="shared" si="1"/>
        <v>0</v>
      </c>
      <c r="K39" s="81" t="e">
        <f t="shared" si="2"/>
        <v>#VALUE!</v>
      </c>
      <c r="L39" s="58" t="e">
        <f t="shared" si="3"/>
        <v>#VALUE!</v>
      </c>
      <c r="M39" s="56" t="e">
        <f t="shared" si="4"/>
        <v>#VALUE!</v>
      </c>
    </row>
    <row r="40" spans="1:13" ht="15" customHeight="1" x14ac:dyDescent="0.2">
      <c r="A40" s="60">
        <f>'21 2026 ÜRETİM'!A40</f>
        <v>0</v>
      </c>
      <c r="B40" s="81" t="str">
        <f>IF(A40="","",'21 2026 ÜRETİM'!D40)</f>
        <v/>
      </c>
      <c r="C40" s="81">
        <f>IF(A40="","",'21 2026 ÜRETİM'!E40)</f>
        <v>0</v>
      </c>
      <c r="D40" s="82" t="str">
        <f>IF(A40="","",'21 2026 ÜRETİM'!F40)</f>
        <v/>
      </c>
      <c r="E40" s="81">
        <f>IF(A40="","",SUMIF('22 2026 PAKETLEME'!$B$2:$B$501,A40,'22 2026 PAKETLEME'!$E$2:$E$501))</f>
        <v>0</v>
      </c>
      <c r="F40" s="82">
        <f>IF(A40="","",SUMIF('22 2026 PAKETLEME'!$B$2:$B$501,A40,'22 2026 PAKETLEME'!$G$2:$G$501))</f>
        <v>0</v>
      </c>
      <c r="G40" s="81">
        <f>IF(A40="","",SUMIF('22 2026 PAKETLEME'!$B$2:$B$501,A40,'22 2026 PAKETLEME'!$H$2:$H$501))</f>
        <v>0</v>
      </c>
      <c r="H40" s="81" t="e">
        <f t="shared" si="0"/>
        <v>#VALUE!</v>
      </c>
      <c r="I40" s="82">
        <f>IF(A40="","",SUMIF('23 2026 SEVKİYAT'!$E$2:$E$501,A40,'23 2026 SEVKİYAT'!$H$2:$H$501))</f>
        <v>0</v>
      </c>
      <c r="J40" s="81">
        <f t="shared" si="1"/>
        <v>0</v>
      </c>
      <c r="K40" s="81" t="e">
        <f t="shared" si="2"/>
        <v>#VALUE!</v>
      </c>
      <c r="L40" s="58" t="e">
        <f t="shared" si="3"/>
        <v>#VALUE!</v>
      </c>
      <c r="M40" s="56" t="e">
        <f t="shared" si="4"/>
        <v>#VALUE!</v>
      </c>
    </row>
    <row r="41" spans="1:13" ht="15" customHeight="1" x14ac:dyDescent="0.2">
      <c r="A41" s="60">
        <f>'21 2026 ÜRETİM'!A41</f>
        <v>0</v>
      </c>
      <c r="B41" s="81" t="str">
        <f>IF(A41="","",'21 2026 ÜRETİM'!D41)</f>
        <v/>
      </c>
      <c r="C41" s="81">
        <f>IF(A41="","",'21 2026 ÜRETİM'!E41)</f>
        <v>0</v>
      </c>
      <c r="D41" s="82" t="str">
        <f>IF(A41="","",'21 2026 ÜRETİM'!F41)</f>
        <v/>
      </c>
      <c r="E41" s="81">
        <f>IF(A41="","",SUMIF('22 2026 PAKETLEME'!$B$2:$B$501,A41,'22 2026 PAKETLEME'!$E$2:$E$501))</f>
        <v>0</v>
      </c>
      <c r="F41" s="82">
        <f>IF(A41="","",SUMIF('22 2026 PAKETLEME'!$B$2:$B$501,A41,'22 2026 PAKETLEME'!$G$2:$G$501))</f>
        <v>0</v>
      </c>
      <c r="G41" s="81">
        <f>IF(A41="","",SUMIF('22 2026 PAKETLEME'!$B$2:$B$501,A41,'22 2026 PAKETLEME'!$H$2:$H$501))</f>
        <v>0</v>
      </c>
      <c r="H41" s="81" t="e">
        <f t="shared" si="0"/>
        <v>#VALUE!</v>
      </c>
      <c r="I41" s="82">
        <f>IF(A41="","",SUMIF('23 2026 SEVKİYAT'!$E$2:$E$501,A41,'23 2026 SEVKİYAT'!$H$2:$H$501))</f>
        <v>0</v>
      </c>
      <c r="J41" s="81">
        <f t="shared" si="1"/>
        <v>0</v>
      </c>
      <c r="K41" s="81" t="e">
        <f t="shared" si="2"/>
        <v>#VALUE!</v>
      </c>
      <c r="L41" s="58" t="e">
        <f t="shared" si="3"/>
        <v>#VALUE!</v>
      </c>
      <c r="M41" s="56" t="e">
        <f t="shared" si="4"/>
        <v>#VALUE!</v>
      </c>
    </row>
    <row r="42" spans="1:13" ht="15" customHeight="1" x14ac:dyDescent="0.2">
      <c r="A42" s="60">
        <f>'21 2026 ÜRETİM'!A42</f>
        <v>0</v>
      </c>
      <c r="B42" s="81" t="str">
        <f>IF(A42="","",'21 2026 ÜRETİM'!D42)</f>
        <v/>
      </c>
      <c r="C42" s="81">
        <f>IF(A42="","",'21 2026 ÜRETİM'!E42)</f>
        <v>0</v>
      </c>
      <c r="D42" s="82" t="str">
        <f>IF(A42="","",'21 2026 ÜRETİM'!F42)</f>
        <v/>
      </c>
      <c r="E42" s="81">
        <f>IF(A42="","",SUMIF('22 2026 PAKETLEME'!$B$2:$B$501,A42,'22 2026 PAKETLEME'!$E$2:$E$501))</f>
        <v>0</v>
      </c>
      <c r="F42" s="82">
        <f>IF(A42="","",SUMIF('22 2026 PAKETLEME'!$B$2:$B$501,A42,'22 2026 PAKETLEME'!$G$2:$G$501))</f>
        <v>0</v>
      </c>
      <c r="G42" s="81">
        <f>IF(A42="","",SUMIF('22 2026 PAKETLEME'!$B$2:$B$501,A42,'22 2026 PAKETLEME'!$H$2:$H$501))</f>
        <v>0</v>
      </c>
      <c r="H42" s="81" t="e">
        <f t="shared" si="0"/>
        <v>#VALUE!</v>
      </c>
      <c r="I42" s="82">
        <f>IF(A42="","",SUMIF('23 2026 SEVKİYAT'!$E$2:$E$501,A42,'23 2026 SEVKİYAT'!$H$2:$H$501))</f>
        <v>0</v>
      </c>
      <c r="J42" s="81">
        <f t="shared" si="1"/>
        <v>0</v>
      </c>
      <c r="K42" s="81" t="e">
        <f t="shared" si="2"/>
        <v>#VALUE!</v>
      </c>
      <c r="L42" s="58" t="e">
        <f t="shared" si="3"/>
        <v>#VALUE!</v>
      </c>
      <c r="M42" s="56" t="e">
        <f t="shared" si="4"/>
        <v>#VALUE!</v>
      </c>
    </row>
    <row r="43" spans="1:13" ht="15" customHeight="1" x14ac:dyDescent="0.2">
      <c r="A43" s="60">
        <f>'21 2026 ÜRETİM'!A43</f>
        <v>0</v>
      </c>
      <c r="B43" s="81" t="str">
        <f>IF(A43="","",'21 2026 ÜRETİM'!D43)</f>
        <v/>
      </c>
      <c r="C43" s="81">
        <f>IF(A43="","",'21 2026 ÜRETİM'!E43)</f>
        <v>0</v>
      </c>
      <c r="D43" s="82" t="str">
        <f>IF(A43="","",'21 2026 ÜRETİM'!F43)</f>
        <v/>
      </c>
      <c r="E43" s="81">
        <f>IF(A43="","",SUMIF('22 2026 PAKETLEME'!$B$2:$B$501,A43,'22 2026 PAKETLEME'!$E$2:$E$501))</f>
        <v>0</v>
      </c>
      <c r="F43" s="82">
        <f>IF(A43="","",SUMIF('22 2026 PAKETLEME'!$B$2:$B$501,A43,'22 2026 PAKETLEME'!$G$2:$G$501))</f>
        <v>0</v>
      </c>
      <c r="G43" s="81">
        <f>IF(A43="","",SUMIF('22 2026 PAKETLEME'!$B$2:$B$501,A43,'22 2026 PAKETLEME'!$H$2:$H$501))</f>
        <v>0</v>
      </c>
      <c r="H43" s="81" t="e">
        <f t="shared" si="0"/>
        <v>#VALUE!</v>
      </c>
      <c r="I43" s="82">
        <f>IF(A43="","",SUMIF('23 2026 SEVKİYAT'!$E$2:$E$501,A43,'23 2026 SEVKİYAT'!$H$2:$H$501))</f>
        <v>0</v>
      </c>
      <c r="J43" s="81">
        <f t="shared" si="1"/>
        <v>0</v>
      </c>
      <c r="K43" s="81" t="e">
        <f t="shared" si="2"/>
        <v>#VALUE!</v>
      </c>
      <c r="L43" s="58" t="e">
        <f t="shared" si="3"/>
        <v>#VALUE!</v>
      </c>
      <c r="M43" s="56" t="e">
        <f t="shared" si="4"/>
        <v>#VALUE!</v>
      </c>
    </row>
    <row r="44" spans="1:13" ht="15" customHeight="1" x14ac:dyDescent="0.2">
      <c r="A44" s="60">
        <f>'21 2026 ÜRETİM'!A44</f>
        <v>0</v>
      </c>
      <c r="B44" s="81" t="str">
        <f>IF(A44="","",'21 2026 ÜRETİM'!D44)</f>
        <v/>
      </c>
      <c r="C44" s="81">
        <f>IF(A44="","",'21 2026 ÜRETİM'!E44)</f>
        <v>0</v>
      </c>
      <c r="D44" s="82" t="str">
        <f>IF(A44="","",'21 2026 ÜRETİM'!F44)</f>
        <v/>
      </c>
      <c r="E44" s="81">
        <f>IF(A44="","",SUMIF('22 2026 PAKETLEME'!$B$2:$B$501,A44,'22 2026 PAKETLEME'!$E$2:$E$501))</f>
        <v>0</v>
      </c>
      <c r="F44" s="82">
        <f>IF(A44="","",SUMIF('22 2026 PAKETLEME'!$B$2:$B$501,A44,'22 2026 PAKETLEME'!$G$2:$G$501))</f>
        <v>0</v>
      </c>
      <c r="G44" s="81">
        <f>IF(A44="","",SUMIF('22 2026 PAKETLEME'!$B$2:$B$501,A44,'22 2026 PAKETLEME'!$H$2:$H$501))</f>
        <v>0</v>
      </c>
      <c r="H44" s="81" t="e">
        <f t="shared" si="0"/>
        <v>#VALUE!</v>
      </c>
      <c r="I44" s="82">
        <f>IF(A44="","",SUMIF('23 2026 SEVKİYAT'!$E$2:$E$501,A44,'23 2026 SEVKİYAT'!$H$2:$H$501))</f>
        <v>0</v>
      </c>
      <c r="J44" s="81">
        <f t="shared" si="1"/>
        <v>0</v>
      </c>
      <c r="K44" s="81" t="e">
        <f t="shared" si="2"/>
        <v>#VALUE!</v>
      </c>
      <c r="L44" s="58" t="e">
        <f t="shared" si="3"/>
        <v>#VALUE!</v>
      </c>
      <c r="M44" s="56" t="e">
        <f t="shared" si="4"/>
        <v>#VALUE!</v>
      </c>
    </row>
    <row r="45" spans="1:13" ht="15" customHeight="1" x14ac:dyDescent="0.2">
      <c r="A45" s="60">
        <f>'21 2026 ÜRETİM'!A45</f>
        <v>0</v>
      </c>
      <c r="B45" s="81" t="str">
        <f>IF(A45="","",'21 2026 ÜRETİM'!D45)</f>
        <v/>
      </c>
      <c r="C45" s="81">
        <f>IF(A45="","",'21 2026 ÜRETİM'!E45)</f>
        <v>0</v>
      </c>
      <c r="D45" s="82" t="str">
        <f>IF(A45="","",'21 2026 ÜRETİM'!F45)</f>
        <v/>
      </c>
      <c r="E45" s="81">
        <f>IF(A45="","",SUMIF('22 2026 PAKETLEME'!$B$2:$B$501,A45,'22 2026 PAKETLEME'!$E$2:$E$501))</f>
        <v>0</v>
      </c>
      <c r="F45" s="82">
        <f>IF(A45="","",SUMIF('22 2026 PAKETLEME'!$B$2:$B$501,A45,'22 2026 PAKETLEME'!$G$2:$G$501))</f>
        <v>0</v>
      </c>
      <c r="G45" s="81">
        <f>IF(A45="","",SUMIF('22 2026 PAKETLEME'!$B$2:$B$501,A45,'22 2026 PAKETLEME'!$H$2:$H$501))</f>
        <v>0</v>
      </c>
      <c r="H45" s="81" t="e">
        <f t="shared" si="0"/>
        <v>#VALUE!</v>
      </c>
      <c r="I45" s="82">
        <f>IF(A45="","",SUMIF('23 2026 SEVKİYAT'!$E$2:$E$501,A45,'23 2026 SEVKİYAT'!$H$2:$H$501))</f>
        <v>0</v>
      </c>
      <c r="J45" s="81">
        <f t="shared" si="1"/>
        <v>0</v>
      </c>
      <c r="K45" s="81" t="e">
        <f t="shared" si="2"/>
        <v>#VALUE!</v>
      </c>
      <c r="L45" s="58" t="e">
        <f t="shared" si="3"/>
        <v>#VALUE!</v>
      </c>
      <c r="M45" s="56" t="e">
        <f t="shared" si="4"/>
        <v>#VALUE!</v>
      </c>
    </row>
    <row r="46" spans="1:13" ht="15" customHeight="1" x14ac:dyDescent="0.2">
      <c r="A46" s="60">
        <f>'21 2026 ÜRETİM'!A46</f>
        <v>0</v>
      </c>
      <c r="B46" s="81" t="str">
        <f>IF(A46="","",'21 2026 ÜRETİM'!D46)</f>
        <v/>
      </c>
      <c r="C46" s="81">
        <f>IF(A46="","",'21 2026 ÜRETİM'!E46)</f>
        <v>0</v>
      </c>
      <c r="D46" s="82" t="str">
        <f>IF(A46="","",'21 2026 ÜRETİM'!F46)</f>
        <v/>
      </c>
      <c r="E46" s="81">
        <f>IF(A46="","",SUMIF('22 2026 PAKETLEME'!$B$2:$B$501,A46,'22 2026 PAKETLEME'!$E$2:$E$501))</f>
        <v>0</v>
      </c>
      <c r="F46" s="82">
        <f>IF(A46="","",SUMIF('22 2026 PAKETLEME'!$B$2:$B$501,A46,'22 2026 PAKETLEME'!$G$2:$G$501))</f>
        <v>0</v>
      </c>
      <c r="G46" s="81">
        <f>IF(A46="","",SUMIF('22 2026 PAKETLEME'!$B$2:$B$501,A46,'22 2026 PAKETLEME'!$H$2:$H$501))</f>
        <v>0</v>
      </c>
      <c r="H46" s="81" t="e">
        <f t="shared" si="0"/>
        <v>#VALUE!</v>
      </c>
      <c r="I46" s="82">
        <f>IF(A46="","",SUMIF('23 2026 SEVKİYAT'!$E$2:$E$501,A46,'23 2026 SEVKİYAT'!$H$2:$H$501))</f>
        <v>0</v>
      </c>
      <c r="J46" s="81">
        <f t="shared" si="1"/>
        <v>0</v>
      </c>
      <c r="K46" s="81" t="e">
        <f t="shared" si="2"/>
        <v>#VALUE!</v>
      </c>
      <c r="L46" s="58" t="e">
        <f t="shared" si="3"/>
        <v>#VALUE!</v>
      </c>
      <c r="M46" s="56" t="e">
        <f t="shared" si="4"/>
        <v>#VALUE!</v>
      </c>
    </row>
    <row r="47" spans="1:13" ht="15" customHeight="1" x14ac:dyDescent="0.2">
      <c r="A47" s="60">
        <f>'21 2026 ÜRETİM'!A47</f>
        <v>0</v>
      </c>
      <c r="B47" s="81" t="str">
        <f>IF(A47="","",'21 2026 ÜRETİM'!D47)</f>
        <v/>
      </c>
      <c r="C47" s="81">
        <f>IF(A47="","",'21 2026 ÜRETİM'!E47)</f>
        <v>0</v>
      </c>
      <c r="D47" s="82" t="str">
        <f>IF(A47="","",'21 2026 ÜRETİM'!F47)</f>
        <v/>
      </c>
      <c r="E47" s="81">
        <f>IF(A47="","",SUMIF('22 2026 PAKETLEME'!$B$2:$B$501,A47,'22 2026 PAKETLEME'!$E$2:$E$501))</f>
        <v>0</v>
      </c>
      <c r="F47" s="82">
        <f>IF(A47="","",SUMIF('22 2026 PAKETLEME'!$B$2:$B$501,A47,'22 2026 PAKETLEME'!$G$2:$G$501))</f>
        <v>0</v>
      </c>
      <c r="G47" s="81">
        <f>IF(A47="","",SUMIF('22 2026 PAKETLEME'!$B$2:$B$501,A47,'22 2026 PAKETLEME'!$H$2:$H$501))</f>
        <v>0</v>
      </c>
      <c r="H47" s="81" t="e">
        <f t="shared" si="0"/>
        <v>#VALUE!</v>
      </c>
      <c r="I47" s="82">
        <f>IF(A47="","",SUMIF('23 2026 SEVKİYAT'!$E$2:$E$501,A47,'23 2026 SEVKİYAT'!$H$2:$H$501))</f>
        <v>0</v>
      </c>
      <c r="J47" s="81">
        <f t="shared" si="1"/>
        <v>0</v>
      </c>
      <c r="K47" s="81" t="e">
        <f t="shared" si="2"/>
        <v>#VALUE!</v>
      </c>
      <c r="L47" s="58" t="e">
        <f t="shared" si="3"/>
        <v>#VALUE!</v>
      </c>
      <c r="M47" s="56" t="e">
        <f t="shared" si="4"/>
        <v>#VALUE!</v>
      </c>
    </row>
    <row r="48" spans="1:13" ht="15" customHeight="1" x14ac:dyDescent="0.2">
      <c r="A48" s="60">
        <f>'21 2026 ÜRETİM'!A48</f>
        <v>0</v>
      </c>
      <c r="B48" s="81" t="str">
        <f>IF(A48="","",'21 2026 ÜRETİM'!D48)</f>
        <v/>
      </c>
      <c r="C48" s="81">
        <f>IF(A48="","",'21 2026 ÜRETİM'!E48)</f>
        <v>0</v>
      </c>
      <c r="D48" s="82" t="str">
        <f>IF(A48="","",'21 2026 ÜRETİM'!F48)</f>
        <v/>
      </c>
      <c r="E48" s="81">
        <f>IF(A48="","",SUMIF('22 2026 PAKETLEME'!$B$2:$B$501,A48,'22 2026 PAKETLEME'!$E$2:$E$501))</f>
        <v>0</v>
      </c>
      <c r="F48" s="82">
        <f>IF(A48="","",SUMIF('22 2026 PAKETLEME'!$B$2:$B$501,A48,'22 2026 PAKETLEME'!$G$2:$G$501))</f>
        <v>0</v>
      </c>
      <c r="G48" s="81">
        <f>IF(A48="","",SUMIF('22 2026 PAKETLEME'!$B$2:$B$501,A48,'22 2026 PAKETLEME'!$H$2:$H$501))</f>
        <v>0</v>
      </c>
      <c r="H48" s="81" t="e">
        <f t="shared" si="0"/>
        <v>#VALUE!</v>
      </c>
      <c r="I48" s="82">
        <f>IF(A48="","",SUMIF('23 2026 SEVKİYAT'!$E$2:$E$501,A48,'23 2026 SEVKİYAT'!$H$2:$H$501))</f>
        <v>0</v>
      </c>
      <c r="J48" s="81">
        <f t="shared" si="1"/>
        <v>0</v>
      </c>
      <c r="K48" s="81" t="e">
        <f t="shared" si="2"/>
        <v>#VALUE!</v>
      </c>
      <c r="L48" s="58" t="e">
        <f t="shared" si="3"/>
        <v>#VALUE!</v>
      </c>
      <c r="M48" s="56" t="e">
        <f t="shared" si="4"/>
        <v>#VALUE!</v>
      </c>
    </row>
    <row r="49" spans="1:13" ht="15" customHeight="1" x14ac:dyDescent="0.2">
      <c r="A49" s="60">
        <f>'21 2026 ÜRETİM'!A49</f>
        <v>0</v>
      </c>
      <c r="B49" s="81" t="str">
        <f>IF(A49="","",'21 2026 ÜRETİM'!D49)</f>
        <v/>
      </c>
      <c r="C49" s="81">
        <f>IF(A49="","",'21 2026 ÜRETİM'!E49)</f>
        <v>0</v>
      </c>
      <c r="D49" s="82" t="str">
        <f>IF(A49="","",'21 2026 ÜRETİM'!F49)</f>
        <v/>
      </c>
      <c r="E49" s="81">
        <f>IF(A49="","",SUMIF('22 2026 PAKETLEME'!$B$2:$B$501,A49,'22 2026 PAKETLEME'!$E$2:$E$501))</f>
        <v>0</v>
      </c>
      <c r="F49" s="82">
        <f>IF(A49="","",SUMIF('22 2026 PAKETLEME'!$B$2:$B$501,A49,'22 2026 PAKETLEME'!$G$2:$G$501))</f>
        <v>0</v>
      </c>
      <c r="G49" s="81">
        <f>IF(A49="","",SUMIF('22 2026 PAKETLEME'!$B$2:$B$501,A49,'22 2026 PAKETLEME'!$H$2:$H$501))</f>
        <v>0</v>
      </c>
      <c r="H49" s="81" t="e">
        <f t="shared" si="0"/>
        <v>#VALUE!</v>
      </c>
      <c r="I49" s="82">
        <f>IF(A49="","",SUMIF('23 2026 SEVKİYAT'!$E$2:$E$501,A49,'23 2026 SEVKİYAT'!$H$2:$H$501))</f>
        <v>0</v>
      </c>
      <c r="J49" s="81">
        <f t="shared" si="1"/>
        <v>0</v>
      </c>
      <c r="K49" s="81" t="e">
        <f t="shared" si="2"/>
        <v>#VALUE!</v>
      </c>
      <c r="L49" s="58" t="e">
        <f t="shared" si="3"/>
        <v>#VALUE!</v>
      </c>
      <c r="M49" s="56" t="e">
        <f t="shared" si="4"/>
        <v>#VALUE!</v>
      </c>
    </row>
    <row r="50" spans="1:13" ht="15" customHeight="1" x14ac:dyDescent="0.2">
      <c r="A50" s="60">
        <f>'21 2026 ÜRETİM'!A50</f>
        <v>0</v>
      </c>
      <c r="B50" s="81" t="str">
        <f>IF(A50="","",'21 2026 ÜRETİM'!D50)</f>
        <v/>
      </c>
      <c r="C50" s="81">
        <f>IF(A50="","",'21 2026 ÜRETİM'!E50)</f>
        <v>0</v>
      </c>
      <c r="D50" s="82" t="str">
        <f>IF(A50="","",'21 2026 ÜRETİM'!F50)</f>
        <v/>
      </c>
      <c r="E50" s="81">
        <f>IF(A50="","",SUMIF('22 2026 PAKETLEME'!$B$2:$B$501,A50,'22 2026 PAKETLEME'!$E$2:$E$501))</f>
        <v>0</v>
      </c>
      <c r="F50" s="82">
        <f>IF(A50="","",SUMIF('22 2026 PAKETLEME'!$B$2:$B$501,A50,'22 2026 PAKETLEME'!$G$2:$G$501))</f>
        <v>0</v>
      </c>
      <c r="G50" s="81">
        <f>IF(A50="","",SUMIF('22 2026 PAKETLEME'!$B$2:$B$501,A50,'22 2026 PAKETLEME'!$H$2:$H$501))</f>
        <v>0</v>
      </c>
      <c r="H50" s="81" t="e">
        <f t="shared" si="0"/>
        <v>#VALUE!</v>
      </c>
      <c r="I50" s="82">
        <f>IF(A50="","",SUMIF('23 2026 SEVKİYAT'!$E$2:$E$501,A50,'23 2026 SEVKİYAT'!$H$2:$H$501))</f>
        <v>0</v>
      </c>
      <c r="J50" s="81">
        <f t="shared" si="1"/>
        <v>0</v>
      </c>
      <c r="K50" s="81" t="e">
        <f t="shared" si="2"/>
        <v>#VALUE!</v>
      </c>
      <c r="L50" s="58" t="e">
        <f t="shared" si="3"/>
        <v>#VALUE!</v>
      </c>
      <c r="M50" s="56" t="e">
        <f t="shared" si="4"/>
        <v>#VALUE!</v>
      </c>
    </row>
    <row r="51" spans="1:13" ht="15" customHeight="1" x14ac:dyDescent="0.2">
      <c r="A51" s="60">
        <f>'21 2026 ÜRETİM'!A51</f>
        <v>0</v>
      </c>
      <c r="B51" s="81" t="str">
        <f>IF(A51="","",'21 2026 ÜRETİM'!D51)</f>
        <v/>
      </c>
      <c r="C51" s="81">
        <f>IF(A51="","",'21 2026 ÜRETİM'!E51)</f>
        <v>0</v>
      </c>
      <c r="D51" s="82" t="str">
        <f>IF(A51="","",'21 2026 ÜRETİM'!F51)</f>
        <v/>
      </c>
      <c r="E51" s="81">
        <f>IF(A51="","",SUMIF('22 2026 PAKETLEME'!$B$2:$B$501,A51,'22 2026 PAKETLEME'!$E$2:$E$501))</f>
        <v>0</v>
      </c>
      <c r="F51" s="82">
        <f>IF(A51="","",SUMIF('22 2026 PAKETLEME'!$B$2:$B$501,A51,'22 2026 PAKETLEME'!$G$2:$G$501))</f>
        <v>0</v>
      </c>
      <c r="G51" s="81">
        <f>IF(A51="","",SUMIF('22 2026 PAKETLEME'!$B$2:$B$501,A51,'22 2026 PAKETLEME'!$H$2:$H$501))</f>
        <v>0</v>
      </c>
      <c r="H51" s="81" t="e">
        <f t="shared" si="0"/>
        <v>#VALUE!</v>
      </c>
      <c r="I51" s="82">
        <f>IF(A51="","",SUMIF('23 2026 SEVKİYAT'!$E$2:$E$501,A51,'23 2026 SEVKİYAT'!$H$2:$H$501))</f>
        <v>0</v>
      </c>
      <c r="J51" s="81">
        <f t="shared" si="1"/>
        <v>0</v>
      </c>
      <c r="K51" s="81" t="e">
        <f t="shared" si="2"/>
        <v>#VALUE!</v>
      </c>
      <c r="L51" s="58" t="e">
        <f t="shared" si="3"/>
        <v>#VALUE!</v>
      </c>
      <c r="M51" s="56" t="e">
        <f t="shared" si="4"/>
        <v>#VALUE!</v>
      </c>
    </row>
    <row r="52" spans="1:13" ht="15" customHeight="1" x14ac:dyDescent="0.2">
      <c r="A52" s="60">
        <f>'21 2026 ÜRETİM'!A52</f>
        <v>0</v>
      </c>
      <c r="B52" s="81" t="str">
        <f>IF(A52="","",'21 2026 ÜRETİM'!D52)</f>
        <v/>
      </c>
      <c r="C52" s="81">
        <f>IF(A52="","",'21 2026 ÜRETİM'!E52)</f>
        <v>0</v>
      </c>
      <c r="D52" s="82" t="str">
        <f>IF(A52="","",'21 2026 ÜRETİM'!F52)</f>
        <v/>
      </c>
      <c r="E52" s="81">
        <f>IF(A52="","",SUMIF('22 2026 PAKETLEME'!$B$2:$B$501,A52,'22 2026 PAKETLEME'!$E$2:$E$501))</f>
        <v>0</v>
      </c>
      <c r="F52" s="82">
        <f>IF(A52="","",SUMIF('22 2026 PAKETLEME'!$B$2:$B$501,A52,'22 2026 PAKETLEME'!$G$2:$G$501))</f>
        <v>0</v>
      </c>
      <c r="G52" s="81">
        <f>IF(A52="","",SUMIF('22 2026 PAKETLEME'!$B$2:$B$501,A52,'22 2026 PAKETLEME'!$H$2:$H$501))</f>
        <v>0</v>
      </c>
      <c r="H52" s="81" t="e">
        <f t="shared" si="0"/>
        <v>#VALUE!</v>
      </c>
      <c r="I52" s="82">
        <f>IF(A52="","",SUMIF('23 2026 SEVKİYAT'!$E$2:$E$501,A52,'23 2026 SEVKİYAT'!$H$2:$H$501))</f>
        <v>0</v>
      </c>
      <c r="J52" s="81">
        <f t="shared" si="1"/>
        <v>0</v>
      </c>
      <c r="K52" s="81" t="e">
        <f t="shared" si="2"/>
        <v>#VALUE!</v>
      </c>
      <c r="L52" s="58" t="e">
        <f t="shared" si="3"/>
        <v>#VALUE!</v>
      </c>
      <c r="M52" s="56" t="e">
        <f t="shared" si="4"/>
        <v>#VALUE!</v>
      </c>
    </row>
    <row r="53" spans="1:13" ht="15" customHeight="1" x14ac:dyDescent="0.2">
      <c r="A53" s="60">
        <f>'21 2026 ÜRETİM'!A53</f>
        <v>0</v>
      </c>
      <c r="B53" s="81" t="str">
        <f>IF(A53="","",'21 2026 ÜRETİM'!D53)</f>
        <v/>
      </c>
      <c r="C53" s="81">
        <f>IF(A53="","",'21 2026 ÜRETİM'!E53)</f>
        <v>0</v>
      </c>
      <c r="D53" s="82" t="str">
        <f>IF(A53="","",'21 2026 ÜRETİM'!F53)</f>
        <v/>
      </c>
      <c r="E53" s="81">
        <f>IF(A53="","",SUMIF('22 2026 PAKETLEME'!$B$2:$B$501,A53,'22 2026 PAKETLEME'!$E$2:$E$501))</f>
        <v>0</v>
      </c>
      <c r="F53" s="82">
        <f>IF(A53="","",SUMIF('22 2026 PAKETLEME'!$B$2:$B$501,A53,'22 2026 PAKETLEME'!$G$2:$G$501))</f>
        <v>0</v>
      </c>
      <c r="G53" s="81">
        <f>IF(A53="","",SUMIF('22 2026 PAKETLEME'!$B$2:$B$501,A53,'22 2026 PAKETLEME'!$H$2:$H$501))</f>
        <v>0</v>
      </c>
      <c r="H53" s="81" t="e">
        <f t="shared" si="0"/>
        <v>#VALUE!</v>
      </c>
      <c r="I53" s="82">
        <f>IF(A53="","",SUMIF('23 2026 SEVKİYAT'!$E$2:$E$501,A53,'23 2026 SEVKİYAT'!$H$2:$H$501))</f>
        <v>0</v>
      </c>
      <c r="J53" s="81">
        <f t="shared" si="1"/>
        <v>0</v>
      </c>
      <c r="K53" s="81" t="e">
        <f t="shared" si="2"/>
        <v>#VALUE!</v>
      </c>
      <c r="L53" s="58" t="e">
        <f t="shared" si="3"/>
        <v>#VALUE!</v>
      </c>
      <c r="M53" s="56" t="e">
        <f t="shared" si="4"/>
        <v>#VALUE!</v>
      </c>
    </row>
    <row r="54" spans="1:13" ht="15" customHeight="1" x14ac:dyDescent="0.2">
      <c r="A54" s="60">
        <f>'21 2026 ÜRETİM'!A54</f>
        <v>0</v>
      </c>
      <c r="B54" s="81" t="str">
        <f>IF(A54="","",'21 2026 ÜRETİM'!D54)</f>
        <v/>
      </c>
      <c r="C54" s="81">
        <f>IF(A54="","",'21 2026 ÜRETİM'!E54)</f>
        <v>0</v>
      </c>
      <c r="D54" s="82" t="str">
        <f>IF(A54="","",'21 2026 ÜRETİM'!F54)</f>
        <v/>
      </c>
      <c r="E54" s="81">
        <f>IF(A54="","",SUMIF('22 2026 PAKETLEME'!$B$2:$B$501,A54,'22 2026 PAKETLEME'!$E$2:$E$501))</f>
        <v>0</v>
      </c>
      <c r="F54" s="82">
        <f>IF(A54="","",SUMIF('22 2026 PAKETLEME'!$B$2:$B$501,A54,'22 2026 PAKETLEME'!$G$2:$G$501))</f>
        <v>0</v>
      </c>
      <c r="G54" s="81">
        <f>IF(A54="","",SUMIF('22 2026 PAKETLEME'!$B$2:$B$501,A54,'22 2026 PAKETLEME'!$H$2:$H$501))</f>
        <v>0</v>
      </c>
      <c r="H54" s="81" t="e">
        <f t="shared" si="0"/>
        <v>#VALUE!</v>
      </c>
      <c r="I54" s="82">
        <f>IF(A54="","",SUMIF('23 2026 SEVKİYAT'!$E$2:$E$501,A54,'23 2026 SEVKİYAT'!$H$2:$H$501))</f>
        <v>0</v>
      </c>
      <c r="J54" s="81">
        <f t="shared" si="1"/>
        <v>0</v>
      </c>
      <c r="K54" s="81" t="e">
        <f t="shared" si="2"/>
        <v>#VALUE!</v>
      </c>
      <c r="L54" s="58" t="e">
        <f t="shared" si="3"/>
        <v>#VALUE!</v>
      </c>
      <c r="M54" s="56" t="e">
        <f t="shared" si="4"/>
        <v>#VALUE!</v>
      </c>
    </row>
    <row r="55" spans="1:13" ht="15" customHeight="1" x14ac:dyDescent="0.2">
      <c r="A55" s="60">
        <f>'21 2026 ÜRETİM'!A55</f>
        <v>0</v>
      </c>
      <c r="B55" s="81" t="str">
        <f>IF(A55="","",'21 2026 ÜRETİM'!D55)</f>
        <v/>
      </c>
      <c r="C55" s="81">
        <f>IF(A55="","",'21 2026 ÜRETİM'!E55)</f>
        <v>0</v>
      </c>
      <c r="D55" s="82" t="str">
        <f>IF(A55="","",'21 2026 ÜRETİM'!F55)</f>
        <v/>
      </c>
      <c r="E55" s="81">
        <f>IF(A55="","",SUMIF('22 2026 PAKETLEME'!$B$2:$B$501,A55,'22 2026 PAKETLEME'!$E$2:$E$501))</f>
        <v>0</v>
      </c>
      <c r="F55" s="82">
        <f>IF(A55="","",SUMIF('22 2026 PAKETLEME'!$B$2:$B$501,A55,'22 2026 PAKETLEME'!$G$2:$G$501))</f>
        <v>0</v>
      </c>
      <c r="G55" s="81">
        <f>IF(A55="","",SUMIF('22 2026 PAKETLEME'!$B$2:$B$501,A55,'22 2026 PAKETLEME'!$H$2:$H$501))</f>
        <v>0</v>
      </c>
      <c r="H55" s="81" t="e">
        <f t="shared" si="0"/>
        <v>#VALUE!</v>
      </c>
      <c r="I55" s="82">
        <f>IF(A55="","",SUMIF('23 2026 SEVKİYAT'!$E$2:$E$501,A55,'23 2026 SEVKİYAT'!$H$2:$H$501))</f>
        <v>0</v>
      </c>
      <c r="J55" s="81">
        <f t="shared" si="1"/>
        <v>0</v>
      </c>
      <c r="K55" s="81" t="e">
        <f t="shared" si="2"/>
        <v>#VALUE!</v>
      </c>
      <c r="L55" s="58" t="e">
        <f t="shared" si="3"/>
        <v>#VALUE!</v>
      </c>
      <c r="M55" s="56" t="e">
        <f t="shared" si="4"/>
        <v>#VALUE!</v>
      </c>
    </row>
    <row r="56" spans="1:13" ht="15" customHeight="1" x14ac:dyDescent="0.2">
      <c r="A56" s="60">
        <f>'21 2026 ÜRETİM'!A56</f>
        <v>0</v>
      </c>
      <c r="B56" s="81" t="str">
        <f>IF(A56="","",'21 2026 ÜRETİM'!D56)</f>
        <v/>
      </c>
      <c r="C56" s="81">
        <f>IF(A56="","",'21 2026 ÜRETİM'!E56)</f>
        <v>0</v>
      </c>
      <c r="D56" s="82" t="str">
        <f>IF(A56="","",'21 2026 ÜRETİM'!F56)</f>
        <v/>
      </c>
      <c r="E56" s="81">
        <f>IF(A56="","",SUMIF('22 2026 PAKETLEME'!$B$2:$B$501,A56,'22 2026 PAKETLEME'!$E$2:$E$501))</f>
        <v>0</v>
      </c>
      <c r="F56" s="82">
        <f>IF(A56="","",SUMIF('22 2026 PAKETLEME'!$B$2:$B$501,A56,'22 2026 PAKETLEME'!$G$2:$G$501))</f>
        <v>0</v>
      </c>
      <c r="G56" s="81">
        <f>IF(A56="","",SUMIF('22 2026 PAKETLEME'!$B$2:$B$501,A56,'22 2026 PAKETLEME'!$H$2:$H$501))</f>
        <v>0</v>
      </c>
      <c r="H56" s="81" t="e">
        <f t="shared" si="0"/>
        <v>#VALUE!</v>
      </c>
      <c r="I56" s="82">
        <f>IF(A56="","",SUMIF('23 2026 SEVKİYAT'!$E$2:$E$501,A56,'23 2026 SEVKİYAT'!$H$2:$H$501))</f>
        <v>0</v>
      </c>
      <c r="J56" s="81">
        <f t="shared" si="1"/>
        <v>0</v>
      </c>
      <c r="K56" s="81" t="e">
        <f t="shared" si="2"/>
        <v>#VALUE!</v>
      </c>
      <c r="L56" s="58" t="e">
        <f t="shared" si="3"/>
        <v>#VALUE!</v>
      </c>
      <c r="M56" s="56" t="e">
        <f t="shared" si="4"/>
        <v>#VALUE!</v>
      </c>
    </row>
    <row r="57" spans="1:13" ht="15" customHeight="1" x14ac:dyDescent="0.2">
      <c r="A57" s="60">
        <f>'21 2026 ÜRETİM'!A57</f>
        <v>0</v>
      </c>
      <c r="B57" s="81" t="str">
        <f>IF(A57="","",'21 2026 ÜRETİM'!D57)</f>
        <v/>
      </c>
      <c r="C57" s="81">
        <f>IF(A57="","",'21 2026 ÜRETİM'!E57)</f>
        <v>0</v>
      </c>
      <c r="D57" s="82" t="str">
        <f>IF(A57="","",'21 2026 ÜRETİM'!F57)</f>
        <v/>
      </c>
      <c r="E57" s="81">
        <f>IF(A57="","",SUMIF('22 2026 PAKETLEME'!$B$2:$B$501,A57,'22 2026 PAKETLEME'!$E$2:$E$501))</f>
        <v>0</v>
      </c>
      <c r="F57" s="82">
        <f>IF(A57="","",SUMIF('22 2026 PAKETLEME'!$B$2:$B$501,A57,'22 2026 PAKETLEME'!$G$2:$G$501))</f>
        <v>0</v>
      </c>
      <c r="G57" s="81">
        <f>IF(A57="","",SUMIF('22 2026 PAKETLEME'!$B$2:$B$501,A57,'22 2026 PAKETLEME'!$H$2:$H$501))</f>
        <v>0</v>
      </c>
      <c r="H57" s="81" t="e">
        <f t="shared" si="0"/>
        <v>#VALUE!</v>
      </c>
      <c r="I57" s="82">
        <f>IF(A57="","",SUMIF('23 2026 SEVKİYAT'!$E$2:$E$501,A57,'23 2026 SEVKİYAT'!$H$2:$H$501))</f>
        <v>0</v>
      </c>
      <c r="J57" s="81">
        <f t="shared" si="1"/>
        <v>0</v>
      </c>
      <c r="K57" s="81" t="e">
        <f t="shared" si="2"/>
        <v>#VALUE!</v>
      </c>
      <c r="L57" s="58" t="e">
        <f t="shared" si="3"/>
        <v>#VALUE!</v>
      </c>
      <c r="M57" s="56" t="e">
        <f t="shared" si="4"/>
        <v>#VALUE!</v>
      </c>
    </row>
    <row r="58" spans="1:13" ht="15" customHeight="1" x14ac:dyDescent="0.2">
      <c r="A58" s="60">
        <f>'21 2026 ÜRETİM'!A58</f>
        <v>0</v>
      </c>
      <c r="B58" s="81" t="str">
        <f>IF(A58="","",'21 2026 ÜRETİM'!D58)</f>
        <v/>
      </c>
      <c r="C58" s="81">
        <f>IF(A58="","",'21 2026 ÜRETİM'!E58)</f>
        <v>0</v>
      </c>
      <c r="D58" s="82" t="str">
        <f>IF(A58="","",'21 2026 ÜRETİM'!F58)</f>
        <v/>
      </c>
      <c r="E58" s="81">
        <f>IF(A58="","",SUMIF('22 2026 PAKETLEME'!$B$2:$B$501,A58,'22 2026 PAKETLEME'!$E$2:$E$501))</f>
        <v>0</v>
      </c>
      <c r="F58" s="82">
        <f>IF(A58="","",SUMIF('22 2026 PAKETLEME'!$B$2:$B$501,A58,'22 2026 PAKETLEME'!$G$2:$G$501))</f>
        <v>0</v>
      </c>
      <c r="G58" s="81">
        <f>IF(A58="","",SUMIF('22 2026 PAKETLEME'!$B$2:$B$501,A58,'22 2026 PAKETLEME'!$H$2:$H$501))</f>
        <v>0</v>
      </c>
      <c r="H58" s="81" t="e">
        <f t="shared" si="0"/>
        <v>#VALUE!</v>
      </c>
      <c r="I58" s="82">
        <f>IF(A58="","",SUMIF('23 2026 SEVKİYAT'!$E$2:$E$501,A58,'23 2026 SEVKİYAT'!$H$2:$H$501))</f>
        <v>0</v>
      </c>
      <c r="J58" s="81">
        <f t="shared" si="1"/>
        <v>0</v>
      </c>
      <c r="K58" s="81" t="e">
        <f t="shared" si="2"/>
        <v>#VALUE!</v>
      </c>
      <c r="L58" s="58" t="e">
        <f t="shared" si="3"/>
        <v>#VALUE!</v>
      </c>
      <c r="M58" s="56" t="e">
        <f t="shared" si="4"/>
        <v>#VALUE!</v>
      </c>
    </row>
    <row r="59" spans="1:13" ht="15" customHeight="1" x14ac:dyDescent="0.2">
      <c r="A59" s="60">
        <f>'21 2026 ÜRETİM'!A59</f>
        <v>0</v>
      </c>
      <c r="B59" s="81" t="str">
        <f>IF(A59="","",'21 2026 ÜRETİM'!D59)</f>
        <v/>
      </c>
      <c r="C59" s="81">
        <f>IF(A59="","",'21 2026 ÜRETİM'!E59)</f>
        <v>0</v>
      </c>
      <c r="D59" s="82" t="str">
        <f>IF(A59="","",'21 2026 ÜRETİM'!F59)</f>
        <v/>
      </c>
      <c r="E59" s="81">
        <f>IF(A59="","",SUMIF('22 2026 PAKETLEME'!$B$2:$B$501,A59,'22 2026 PAKETLEME'!$E$2:$E$501))</f>
        <v>0</v>
      </c>
      <c r="F59" s="82">
        <f>IF(A59="","",SUMIF('22 2026 PAKETLEME'!$B$2:$B$501,A59,'22 2026 PAKETLEME'!$G$2:$G$501))</f>
        <v>0</v>
      </c>
      <c r="G59" s="81">
        <f>IF(A59="","",SUMIF('22 2026 PAKETLEME'!$B$2:$B$501,A59,'22 2026 PAKETLEME'!$H$2:$H$501))</f>
        <v>0</v>
      </c>
      <c r="H59" s="81" t="e">
        <f t="shared" si="0"/>
        <v>#VALUE!</v>
      </c>
      <c r="I59" s="82">
        <f>IF(A59="","",SUMIF('23 2026 SEVKİYAT'!$E$2:$E$501,A59,'23 2026 SEVKİYAT'!$H$2:$H$501))</f>
        <v>0</v>
      </c>
      <c r="J59" s="81">
        <f t="shared" si="1"/>
        <v>0</v>
      </c>
      <c r="K59" s="81" t="e">
        <f t="shared" si="2"/>
        <v>#VALUE!</v>
      </c>
      <c r="L59" s="58" t="e">
        <f t="shared" si="3"/>
        <v>#VALUE!</v>
      </c>
      <c r="M59" s="56" t="e">
        <f t="shared" si="4"/>
        <v>#VALUE!</v>
      </c>
    </row>
    <row r="60" spans="1:13" ht="15" customHeight="1" x14ac:dyDescent="0.2">
      <c r="A60" s="60">
        <f>'21 2026 ÜRETİM'!A60</f>
        <v>0</v>
      </c>
      <c r="B60" s="81" t="str">
        <f>IF(A60="","",'21 2026 ÜRETİM'!D60)</f>
        <v/>
      </c>
      <c r="C60" s="81">
        <f>IF(A60="","",'21 2026 ÜRETİM'!E60)</f>
        <v>0</v>
      </c>
      <c r="D60" s="82" t="str">
        <f>IF(A60="","",'21 2026 ÜRETİM'!F60)</f>
        <v/>
      </c>
      <c r="E60" s="81">
        <f>IF(A60="","",SUMIF('22 2026 PAKETLEME'!$B$2:$B$501,A60,'22 2026 PAKETLEME'!$E$2:$E$501))</f>
        <v>0</v>
      </c>
      <c r="F60" s="82">
        <f>IF(A60="","",SUMIF('22 2026 PAKETLEME'!$B$2:$B$501,A60,'22 2026 PAKETLEME'!$G$2:$G$501))</f>
        <v>0</v>
      </c>
      <c r="G60" s="81">
        <f>IF(A60="","",SUMIF('22 2026 PAKETLEME'!$B$2:$B$501,A60,'22 2026 PAKETLEME'!$H$2:$H$501))</f>
        <v>0</v>
      </c>
      <c r="H60" s="81" t="e">
        <f t="shared" si="0"/>
        <v>#VALUE!</v>
      </c>
      <c r="I60" s="82">
        <f>IF(A60="","",SUMIF('23 2026 SEVKİYAT'!$E$2:$E$501,A60,'23 2026 SEVKİYAT'!$H$2:$H$501))</f>
        <v>0</v>
      </c>
      <c r="J60" s="81">
        <f t="shared" si="1"/>
        <v>0</v>
      </c>
      <c r="K60" s="81" t="e">
        <f t="shared" si="2"/>
        <v>#VALUE!</v>
      </c>
      <c r="L60" s="58" t="e">
        <f t="shared" si="3"/>
        <v>#VALUE!</v>
      </c>
      <c r="M60" s="56" t="e">
        <f t="shared" si="4"/>
        <v>#VALUE!</v>
      </c>
    </row>
    <row r="61" spans="1:13" ht="15" customHeight="1" x14ac:dyDescent="0.2">
      <c r="A61" s="60">
        <f>'21 2026 ÜRETİM'!A61</f>
        <v>0</v>
      </c>
      <c r="B61" s="81" t="str">
        <f>IF(A61="","",'21 2026 ÜRETİM'!D61)</f>
        <v/>
      </c>
      <c r="C61" s="81">
        <f>IF(A61="","",'21 2026 ÜRETİM'!E61)</f>
        <v>0</v>
      </c>
      <c r="D61" s="82" t="str">
        <f>IF(A61="","",'21 2026 ÜRETİM'!F61)</f>
        <v/>
      </c>
      <c r="E61" s="81">
        <f>IF(A61="","",SUMIF('22 2026 PAKETLEME'!$B$2:$B$501,A61,'22 2026 PAKETLEME'!$E$2:$E$501))</f>
        <v>0</v>
      </c>
      <c r="F61" s="82">
        <f>IF(A61="","",SUMIF('22 2026 PAKETLEME'!$B$2:$B$501,A61,'22 2026 PAKETLEME'!$G$2:$G$501))</f>
        <v>0</v>
      </c>
      <c r="G61" s="81">
        <f>IF(A61="","",SUMIF('22 2026 PAKETLEME'!$B$2:$B$501,A61,'22 2026 PAKETLEME'!$H$2:$H$501))</f>
        <v>0</v>
      </c>
      <c r="H61" s="81" t="e">
        <f t="shared" si="0"/>
        <v>#VALUE!</v>
      </c>
      <c r="I61" s="82">
        <f>IF(A61="","",SUMIF('23 2026 SEVKİYAT'!$E$2:$E$501,A61,'23 2026 SEVKİYAT'!$H$2:$H$501))</f>
        <v>0</v>
      </c>
      <c r="J61" s="81">
        <f t="shared" si="1"/>
        <v>0</v>
      </c>
      <c r="K61" s="81" t="e">
        <f t="shared" si="2"/>
        <v>#VALUE!</v>
      </c>
      <c r="L61" s="58" t="e">
        <f t="shared" si="3"/>
        <v>#VALUE!</v>
      </c>
      <c r="M61" s="56" t="e">
        <f t="shared" si="4"/>
        <v>#VALUE!</v>
      </c>
    </row>
    <row r="62" spans="1:13" ht="15" customHeight="1" x14ac:dyDescent="0.2">
      <c r="A62" s="60">
        <f>'21 2026 ÜRETİM'!A62</f>
        <v>0</v>
      </c>
      <c r="B62" s="81" t="str">
        <f>IF(A62="","",'21 2026 ÜRETİM'!D62)</f>
        <v/>
      </c>
      <c r="C62" s="81">
        <f>IF(A62="","",'21 2026 ÜRETİM'!E62)</f>
        <v>0</v>
      </c>
      <c r="D62" s="82" t="str">
        <f>IF(A62="","",'21 2026 ÜRETİM'!F62)</f>
        <v/>
      </c>
      <c r="E62" s="81">
        <f>IF(A62="","",SUMIF('22 2026 PAKETLEME'!$B$2:$B$501,A62,'22 2026 PAKETLEME'!$E$2:$E$501))</f>
        <v>0</v>
      </c>
      <c r="F62" s="82">
        <f>IF(A62="","",SUMIF('22 2026 PAKETLEME'!$B$2:$B$501,A62,'22 2026 PAKETLEME'!$G$2:$G$501))</f>
        <v>0</v>
      </c>
      <c r="G62" s="81">
        <f>IF(A62="","",SUMIF('22 2026 PAKETLEME'!$B$2:$B$501,A62,'22 2026 PAKETLEME'!$H$2:$H$501))</f>
        <v>0</v>
      </c>
      <c r="H62" s="81" t="e">
        <f t="shared" si="0"/>
        <v>#VALUE!</v>
      </c>
      <c r="I62" s="82">
        <f>IF(A62="","",SUMIF('23 2026 SEVKİYAT'!$E$2:$E$501,A62,'23 2026 SEVKİYAT'!$H$2:$H$501))</f>
        <v>0</v>
      </c>
      <c r="J62" s="81">
        <f t="shared" si="1"/>
        <v>0</v>
      </c>
      <c r="K62" s="81" t="e">
        <f t="shared" si="2"/>
        <v>#VALUE!</v>
      </c>
      <c r="L62" s="58" t="e">
        <f t="shared" si="3"/>
        <v>#VALUE!</v>
      </c>
      <c r="M62" s="56" t="e">
        <f t="shared" si="4"/>
        <v>#VALUE!</v>
      </c>
    </row>
    <row r="63" spans="1:13" ht="15" customHeight="1" x14ac:dyDescent="0.2">
      <c r="A63" s="60">
        <f>'21 2026 ÜRETİM'!A63</f>
        <v>0</v>
      </c>
      <c r="B63" s="81" t="str">
        <f>IF(A63="","",'21 2026 ÜRETİM'!D63)</f>
        <v/>
      </c>
      <c r="C63" s="81">
        <f>IF(A63="","",'21 2026 ÜRETİM'!E63)</f>
        <v>0</v>
      </c>
      <c r="D63" s="82" t="str">
        <f>IF(A63="","",'21 2026 ÜRETİM'!F63)</f>
        <v/>
      </c>
      <c r="E63" s="81">
        <f>IF(A63="","",SUMIF('22 2026 PAKETLEME'!$B$2:$B$501,A63,'22 2026 PAKETLEME'!$E$2:$E$501))</f>
        <v>0</v>
      </c>
      <c r="F63" s="82">
        <f>IF(A63="","",SUMIF('22 2026 PAKETLEME'!$B$2:$B$501,A63,'22 2026 PAKETLEME'!$G$2:$G$501))</f>
        <v>0</v>
      </c>
      <c r="G63" s="81">
        <f>IF(A63="","",SUMIF('22 2026 PAKETLEME'!$B$2:$B$501,A63,'22 2026 PAKETLEME'!$H$2:$H$501))</f>
        <v>0</v>
      </c>
      <c r="H63" s="81" t="e">
        <f t="shared" si="0"/>
        <v>#VALUE!</v>
      </c>
      <c r="I63" s="82">
        <f>IF(A63="","",SUMIF('23 2026 SEVKİYAT'!$E$2:$E$501,A63,'23 2026 SEVKİYAT'!$H$2:$H$501))</f>
        <v>0</v>
      </c>
      <c r="J63" s="81">
        <f t="shared" si="1"/>
        <v>0</v>
      </c>
      <c r="K63" s="81" t="e">
        <f t="shared" si="2"/>
        <v>#VALUE!</v>
      </c>
      <c r="L63" s="58" t="e">
        <f t="shared" si="3"/>
        <v>#VALUE!</v>
      </c>
      <c r="M63" s="56" t="e">
        <f t="shared" si="4"/>
        <v>#VALUE!</v>
      </c>
    </row>
    <row r="64" spans="1:13" ht="15" customHeight="1" x14ac:dyDescent="0.2">
      <c r="A64" s="60">
        <f>'21 2026 ÜRETİM'!A64</f>
        <v>0</v>
      </c>
      <c r="B64" s="81" t="str">
        <f>IF(A64="","",'21 2026 ÜRETİM'!D64)</f>
        <v/>
      </c>
      <c r="C64" s="81">
        <f>IF(A64="","",'21 2026 ÜRETİM'!E64)</f>
        <v>0</v>
      </c>
      <c r="D64" s="82" t="str">
        <f>IF(A64="","",'21 2026 ÜRETİM'!F64)</f>
        <v/>
      </c>
      <c r="E64" s="81">
        <f>IF(A64="","",SUMIF('22 2026 PAKETLEME'!$B$2:$B$501,A64,'22 2026 PAKETLEME'!$E$2:$E$501))</f>
        <v>0</v>
      </c>
      <c r="F64" s="82">
        <f>IF(A64="","",SUMIF('22 2026 PAKETLEME'!$B$2:$B$501,A64,'22 2026 PAKETLEME'!$G$2:$G$501))</f>
        <v>0</v>
      </c>
      <c r="G64" s="81">
        <f>IF(A64="","",SUMIF('22 2026 PAKETLEME'!$B$2:$B$501,A64,'22 2026 PAKETLEME'!$H$2:$H$501))</f>
        <v>0</v>
      </c>
      <c r="H64" s="81" t="e">
        <f t="shared" si="0"/>
        <v>#VALUE!</v>
      </c>
      <c r="I64" s="82">
        <f>IF(A64="","",SUMIF('23 2026 SEVKİYAT'!$E$2:$E$501,A64,'23 2026 SEVKİYAT'!$H$2:$H$501))</f>
        <v>0</v>
      </c>
      <c r="J64" s="81">
        <f t="shared" si="1"/>
        <v>0</v>
      </c>
      <c r="K64" s="81" t="e">
        <f t="shared" si="2"/>
        <v>#VALUE!</v>
      </c>
      <c r="L64" s="58" t="e">
        <f t="shared" si="3"/>
        <v>#VALUE!</v>
      </c>
      <c r="M64" s="56" t="e">
        <f t="shared" si="4"/>
        <v>#VALUE!</v>
      </c>
    </row>
    <row r="65" spans="1:13" ht="15" customHeight="1" x14ac:dyDescent="0.2">
      <c r="A65" s="60">
        <f>'21 2026 ÜRETİM'!A65</f>
        <v>0</v>
      </c>
      <c r="B65" s="81" t="str">
        <f>IF(A65="","",'21 2026 ÜRETİM'!D65)</f>
        <v/>
      </c>
      <c r="C65" s="81">
        <f>IF(A65="","",'21 2026 ÜRETİM'!E65)</f>
        <v>0</v>
      </c>
      <c r="D65" s="82" t="str">
        <f>IF(A65="","",'21 2026 ÜRETİM'!F65)</f>
        <v/>
      </c>
      <c r="E65" s="81">
        <f>IF(A65="","",SUMIF('22 2026 PAKETLEME'!$B$2:$B$501,A65,'22 2026 PAKETLEME'!$E$2:$E$501))</f>
        <v>0</v>
      </c>
      <c r="F65" s="82">
        <f>IF(A65="","",SUMIF('22 2026 PAKETLEME'!$B$2:$B$501,A65,'22 2026 PAKETLEME'!$G$2:$G$501))</f>
        <v>0</v>
      </c>
      <c r="G65" s="81">
        <f>IF(A65="","",SUMIF('22 2026 PAKETLEME'!$B$2:$B$501,A65,'22 2026 PAKETLEME'!$H$2:$H$501))</f>
        <v>0</v>
      </c>
      <c r="H65" s="81" t="e">
        <f t="shared" si="0"/>
        <v>#VALUE!</v>
      </c>
      <c r="I65" s="82">
        <f>IF(A65="","",SUMIF('23 2026 SEVKİYAT'!$E$2:$E$501,A65,'23 2026 SEVKİYAT'!$H$2:$H$501))</f>
        <v>0</v>
      </c>
      <c r="J65" s="81">
        <f t="shared" si="1"/>
        <v>0</v>
      </c>
      <c r="K65" s="81" t="e">
        <f t="shared" si="2"/>
        <v>#VALUE!</v>
      </c>
      <c r="L65" s="58" t="e">
        <f t="shared" si="3"/>
        <v>#VALUE!</v>
      </c>
      <c r="M65" s="56" t="e">
        <f t="shared" si="4"/>
        <v>#VALUE!</v>
      </c>
    </row>
    <row r="66" spans="1:13" ht="15" customHeight="1" x14ac:dyDescent="0.2">
      <c r="A66" s="60">
        <f>'21 2026 ÜRETİM'!A66</f>
        <v>0</v>
      </c>
      <c r="B66" s="81" t="str">
        <f>IF(A66="","",'21 2026 ÜRETİM'!D66)</f>
        <v/>
      </c>
      <c r="C66" s="81">
        <f>IF(A66="","",'21 2026 ÜRETİM'!E66)</f>
        <v>0</v>
      </c>
      <c r="D66" s="82" t="str">
        <f>IF(A66="","",'21 2026 ÜRETİM'!F66)</f>
        <v/>
      </c>
      <c r="E66" s="81">
        <f>IF(A66="","",SUMIF('22 2026 PAKETLEME'!$B$2:$B$501,A66,'22 2026 PAKETLEME'!$E$2:$E$501))</f>
        <v>0</v>
      </c>
      <c r="F66" s="82">
        <f>IF(A66="","",SUMIF('22 2026 PAKETLEME'!$B$2:$B$501,A66,'22 2026 PAKETLEME'!$G$2:$G$501))</f>
        <v>0</v>
      </c>
      <c r="G66" s="81">
        <f>IF(A66="","",SUMIF('22 2026 PAKETLEME'!$B$2:$B$501,A66,'22 2026 PAKETLEME'!$H$2:$H$501))</f>
        <v>0</v>
      </c>
      <c r="H66" s="81" t="e">
        <f t="shared" ref="H66:H129" si="5">IF(A66="","",D66-E66-F66-G66)</f>
        <v>#VALUE!</v>
      </c>
      <c r="I66" s="82">
        <f>IF(A66="","",SUMIF('23 2026 SEVKİYAT'!$E$2:$E$501,A66,'23 2026 SEVKİYAT'!$H$2:$H$501))</f>
        <v>0</v>
      </c>
      <c r="J66" s="81">
        <f t="shared" ref="J66:J129" si="6">IF(A66="","",E66+F66-I66)</f>
        <v>0</v>
      </c>
      <c r="K66" s="81" t="e">
        <f t="shared" ref="K66:K129" si="7">IF(A66="","",D66-E66-F66-G66-H66)</f>
        <v>#VALUE!</v>
      </c>
      <c r="L66" s="58" t="e">
        <f t="shared" ref="L66:L129" si="8">IF(A66="","",IF(ABS(K66)&lt;0.001,"KAPALI","KONTROL"))</f>
        <v>#VALUE!</v>
      </c>
      <c r="M66" s="56" t="e">
        <f t="shared" ref="M66:M129" si="9">IF(A66="","",IF(J66&lt;0,"SEVK PAKETLEMEYİ AŞIYOR",IF(H66&lt;&gt;0,"PAKETLEME BAKİYESİ VAR","DENKLİK KAPALI")))</f>
        <v>#VALUE!</v>
      </c>
    </row>
    <row r="67" spans="1:13" ht="15" customHeight="1" x14ac:dyDescent="0.2">
      <c r="A67" s="60">
        <f>'21 2026 ÜRETİM'!A67</f>
        <v>0</v>
      </c>
      <c r="B67" s="81" t="str">
        <f>IF(A67="","",'21 2026 ÜRETİM'!D67)</f>
        <v/>
      </c>
      <c r="C67" s="81">
        <f>IF(A67="","",'21 2026 ÜRETİM'!E67)</f>
        <v>0</v>
      </c>
      <c r="D67" s="82" t="str">
        <f>IF(A67="","",'21 2026 ÜRETİM'!F67)</f>
        <v/>
      </c>
      <c r="E67" s="81">
        <f>IF(A67="","",SUMIF('22 2026 PAKETLEME'!$B$2:$B$501,A67,'22 2026 PAKETLEME'!$E$2:$E$501))</f>
        <v>0</v>
      </c>
      <c r="F67" s="82">
        <f>IF(A67="","",SUMIF('22 2026 PAKETLEME'!$B$2:$B$501,A67,'22 2026 PAKETLEME'!$G$2:$G$501))</f>
        <v>0</v>
      </c>
      <c r="G67" s="81">
        <f>IF(A67="","",SUMIF('22 2026 PAKETLEME'!$B$2:$B$501,A67,'22 2026 PAKETLEME'!$H$2:$H$501))</f>
        <v>0</v>
      </c>
      <c r="H67" s="81" t="e">
        <f t="shared" si="5"/>
        <v>#VALUE!</v>
      </c>
      <c r="I67" s="82">
        <f>IF(A67="","",SUMIF('23 2026 SEVKİYAT'!$E$2:$E$501,A67,'23 2026 SEVKİYAT'!$H$2:$H$501))</f>
        <v>0</v>
      </c>
      <c r="J67" s="81">
        <f t="shared" si="6"/>
        <v>0</v>
      </c>
      <c r="K67" s="81" t="e">
        <f t="shared" si="7"/>
        <v>#VALUE!</v>
      </c>
      <c r="L67" s="58" t="e">
        <f t="shared" si="8"/>
        <v>#VALUE!</v>
      </c>
      <c r="M67" s="56" t="e">
        <f t="shared" si="9"/>
        <v>#VALUE!</v>
      </c>
    </row>
    <row r="68" spans="1:13" ht="15" customHeight="1" x14ac:dyDescent="0.2">
      <c r="A68" s="60">
        <f>'21 2026 ÜRETİM'!A68</f>
        <v>0</v>
      </c>
      <c r="B68" s="81" t="str">
        <f>IF(A68="","",'21 2026 ÜRETİM'!D68)</f>
        <v/>
      </c>
      <c r="C68" s="81">
        <f>IF(A68="","",'21 2026 ÜRETİM'!E68)</f>
        <v>0</v>
      </c>
      <c r="D68" s="82" t="str">
        <f>IF(A68="","",'21 2026 ÜRETİM'!F68)</f>
        <v/>
      </c>
      <c r="E68" s="81">
        <f>IF(A68="","",SUMIF('22 2026 PAKETLEME'!$B$2:$B$501,A68,'22 2026 PAKETLEME'!$E$2:$E$501))</f>
        <v>0</v>
      </c>
      <c r="F68" s="82">
        <f>IF(A68="","",SUMIF('22 2026 PAKETLEME'!$B$2:$B$501,A68,'22 2026 PAKETLEME'!$G$2:$G$501))</f>
        <v>0</v>
      </c>
      <c r="G68" s="81">
        <f>IF(A68="","",SUMIF('22 2026 PAKETLEME'!$B$2:$B$501,A68,'22 2026 PAKETLEME'!$H$2:$H$501))</f>
        <v>0</v>
      </c>
      <c r="H68" s="81" t="e">
        <f t="shared" si="5"/>
        <v>#VALUE!</v>
      </c>
      <c r="I68" s="82">
        <f>IF(A68="","",SUMIF('23 2026 SEVKİYAT'!$E$2:$E$501,A68,'23 2026 SEVKİYAT'!$H$2:$H$501))</f>
        <v>0</v>
      </c>
      <c r="J68" s="81">
        <f t="shared" si="6"/>
        <v>0</v>
      </c>
      <c r="K68" s="81" t="e">
        <f t="shared" si="7"/>
        <v>#VALUE!</v>
      </c>
      <c r="L68" s="58" t="e">
        <f t="shared" si="8"/>
        <v>#VALUE!</v>
      </c>
      <c r="M68" s="56" t="e">
        <f t="shared" si="9"/>
        <v>#VALUE!</v>
      </c>
    </row>
    <row r="69" spans="1:13" ht="15" customHeight="1" x14ac:dyDescent="0.2">
      <c r="A69" s="60">
        <f>'21 2026 ÜRETİM'!A69</f>
        <v>0</v>
      </c>
      <c r="B69" s="81" t="str">
        <f>IF(A69="","",'21 2026 ÜRETİM'!D69)</f>
        <v/>
      </c>
      <c r="C69" s="81">
        <f>IF(A69="","",'21 2026 ÜRETİM'!E69)</f>
        <v>0</v>
      </c>
      <c r="D69" s="82" t="str">
        <f>IF(A69="","",'21 2026 ÜRETİM'!F69)</f>
        <v/>
      </c>
      <c r="E69" s="81">
        <f>IF(A69="","",SUMIF('22 2026 PAKETLEME'!$B$2:$B$501,A69,'22 2026 PAKETLEME'!$E$2:$E$501))</f>
        <v>0</v>
      </c>
      <c r="F69" s="82">
        <f>IF(A69="","",SUMIF('22 2026 PAKETLEME'!$B$2:$B$501,A69,'22 2026 PAKETLEME'!$G$2:$G$501))</f>
        <v>0</v>
      </c>
      <c r="G69" s="81">
        <f>IF(A69="","",SUMIF('22 2026 PAKETLEME'!$B$2:$B$501,A69,'22 2026 PAKETLEME'!$H$2:$H$501))</f>
        <v>0</v>
      </c>
      <c r="H69" s="81" t="e">
        <f t="shared" si="5"/>
        <v>#VALUE!</v>
      </c>
      <c r="I69" s="82">
        <f>IF(A69="","",SUMIF('23 2026 SEVKİYAT'!$E$2:$E$501,A69,'23 2026 SEVKİYAT'!$H$2:$H$501))</f>
        <v>0</v>
      </c>
      <c r="J69" s="81">
        <f t="shared" si="6"/>
        <v>0</v>
      </c>
      <c r="K69" s="81" t="e">
        <f t="shared" si="7"/>
        <v>#VALUE!</v>
      </c>
      <c r="L69" s="58" t="e">
        <f t="shared" si="8"/>
        <v>#VALUE!</v>
      </c>
      <c r="M69" s="56" t="e">
        <f t="shared" si="9"/>
        <v>#VALUE!</v>
      </c>
    </row>
    <row r="70" spans="1:13" ht="15" customHeight="1" x14ac:dyDescent="0.2">
      <c r="A70" s="60">
        <f>'21 2026 ÜRETİM'!A70</f>
        <v>0</v>
      </c>
      <c r="B70" s="81" t="str">
        <f>IF(A70="","",'21 2026 ÜRETİM'!D70)</f>
        <v/>
      </c>
      <c r="C70" s="81">
        <f>IF(A70="","",'21 2026 ÜRETİM'!E70)</f>
        <v>0</v>
      </c>
      <c r="D70" s="82" t="str">
        <f>IF(A70="","",'21 2026 ÜRETİM'!F70)</f>
        <v/>
      </c>
      <c r="E70" s="81">
        <f>IF(A70="","",SUMIF('22 2026 PAKETLEME'!$B$2:$B$501,A70,'22 2026 PAKETLEME'!$E$2:$E$501))</f>
        <v>0</v>
      </c>
      <c r="F70" s="82">
        <f>IF(A70="","",SUMIF('22 2026 PAKETLEME'!$B$2:$B$501,A70,'22 2026 PAKETLEME'!$G$2:$G$501))</f>
        <v>0</v>
      </c>
      <c r="G70" s="81">
        <f>IF(A70="","",SUMIF('22 2026 PAKETLEME'!$B$2:$B$501,A70,'22 2026 PAKETLEME'!$H$2:$H$501))</f>
        <v>0</v>
      </c>
      <c r="H70" s="81" t="e">
        <f t="shared" si="5"/>
        <v>#VALUE!</v>
      </c>
      <c r="I70" s="82">
        <f>IF(A70="","",SUMIF('23 2026 SEVKİYAT'!$E$2:$E$501,A70,'23 2026 SEVKİYAT'!$H$2:$H$501))</f>
        <v>0</v>
      </c>
      <c r="J70" s="81">
        <f t="shared" si="6"/>
        <v>0</v>
      </c>
      <c r="K70" s="81" t="e">
        <f t="shared" si="7"/>
        <v>#VALUE!</v>
      </c>
      <c r="L70" s="58" t="e">
        <f t="shared" si="8"/>
        <v>#VALUE!</v>
      </c>
      <c r="M70" s="56" t="e">
        <f t="shared" si="9"/>
        <v>#VALUE!</v>
      </c>
    </row>
    <row r="71" spans="1:13" ht="15" customHeight="1" x14ac:dyDescent="0.2">
      <c r="A71" s="60">
        <f>'21 2026 ÜRETİM'!A71</f>
        <v>0</v>
      </c>
      <c r="B71" s="81" t="str">
        <f>IF(A71="","",'21 2026 ÜRETİM'!D71)</f>
        <v/>
      </c>
      <c r="C71" s="81">
        <f>IF(A71="","",'21 2026 ÜRETİM'!E71)</f>
        <v>0</v>
      </c>
      <c r="D71" s="82" t="str">
        <f>IF(A71="","",'21 2026 ÜRETİM'!F71)</f>
        <v/>
      </c>
      <c r="E71" s="81">
        <f>IF(A71="","",SUMIF('22 2026 PAKETLEME'!$B$2:$B$501,A71,'22 2026 PAKETLEME'!$E$2:$E$501))</f>
        <v>0</v>
      </c>
      <c r="F71" s="82">
        <f>IF(A71="","",SUMIF('22 2026 PAKETLEME'!$B$2:$B$501,A71,'22 2026 PAKETLEME'!$G$2:$G$501))</f>
        <v>0</v>
      </c>
      <c r="G71" s="81">
        <f>IF(A71="","",SUMIF('22 2026 PAKETLEME'!$B$2:$B$501,A71,'22 2026 PAKETLEME'!$H$2:$H$501))</f>
        <v>0</v>
      </c>
      <c r="H71" s="81" t="e">
        <f t="shared" si="5"/>
        <v>#VALUE!</v>
      </c>
      <c r="I71" s="82">
        <f>IF(A71="","",SUMIF('23 2026 SEVKİYAT'!$E$2:$E$501,A71,'23 2026 SEVKİYAT'!$H$2:$H$501))</f>
        <v>0</v>
      </c>
      <c r="J71" s="81">
        <f t="shared" si="6"/>
        <v>0</v>
      </c>
      <c r="K71" s="81" t="e">
        <f t="shared" si="7"/>
        <v>#VALUE!</v>
      </c>
      <c r="L71" s="58" t="e">
        <f t="shared" si="8"/>
        <v>#VALUE!</v>
      </c>
      <c r="M71" s="56" t="e">
        <f t="shared" si="9"/>
        <v>#VALUE!</v>
      </c>
    </row>
    <row r="72" spans="1:13" ht="15" customHeight="1" x14ac:dyDescent="0.2">
      <c r="A72" s="60">
        <f>'21 2026 ÜRETİM'!A72</f>
        <v>0</v>
      </c>
      <c r="B72" s="81" t="str">
        <f>IF(A72="","",'21 2026 ÜRETİM'!D72)</f>
        <v/>
      </c>
      <c r="C72" s="81">
        <f>IF(A72="","",'21 2026 ÜRETİM'!E72)</f>
        <v>0</v>
      </c>
      <c r="D72" s="82" t="str">
        <f>IF(A72="","",'21 2026 ÜRETİM'!F72)</f>
        <v/>
      </c>
      <c r="E72" s="81">
        <f>IF(A72="","",SUMIF('22 2026 PAKETLEME'!$B$2:$B$501,A72,'22 2026 PAKETLEME'!$E$2:$E$501))</f>
        <v>0</v>
      </c>
      <c r="F72" s="82">
        <f>IF(A72="","",SUMIF('22 2026 PAKETLEME'!$B$2:$B$501,A72,'22 2026 PAKETLEME'!$G$2:$G$501))</f>
        <v>0</v>
      </c>
      <c r="G72" s="81">
        <f>IF(A72="","",SUMIF('22 2026 PAKETLEME'!$B$2:$B$501,A72,'22 2026 PAKETLEME'!$H$2:$H$501))</f>
        <v>0</v>
      </c>
      <c r="H72" s="81" t="e">
        <f t="shared" si="5"/>
        <v>#VALUE!</v>
      </c>
      <c r="I72" s="82">
        <f>IF(A72="","",SUMIF('23 2026 SEVKİYAT'!$E$2:$E$501,A72,'23 2026 SEVKİYAT'!$H$2:$H$501))</f>
        <v>0</v>
      </c>
      <c r="J72" s="81">
        <f t="shared" si="6"/>
        <v>0</v>
      </c>
      <c r="K72" s="81" t="e">
        <f t="shared" si="7"/>
        <v>#VALUE!</v>
      </c>
      <c r="L72" s="58" t="e">
        <f t="shared" si="8"/>
        <v>#VALUE!</v>
      </c>
      <c r="M72" s="56" t="e">
        <f t="shared" si="9"/>
        <v>#VALUE!</v>
      </c>
    </row>
    <row r="73" spans="1:13" ht="15" customHeight="1" x14ac:dyDescent="0.2">
      <c r="A73" s="60">
        <f>'21 2026 ÜRETİM'!A73</f>
        <v>0</v>
      </c>
      <c r="B73" s="81" t="str">
        <f>IF(A73="","",'21 2026 ÜRETİM'!D73)</f>
        <v/>
      </c>
      <c r="C73" s="81">
        <f>IF(A73="","",'21 2026 ÜRETİM'!E73)</f>
        <v>0</v>
      </c>
      <c r="D73" s="82" t="str">
        <f>IF(A73="","",'21 2026 ÜRETİM'!F73)</f>
        <v/>
      </c>
      <c r="E73" s="81">
        <f>IF(A73="","",SUMIF('22 2026 PAKETLEME'!$B$2:$B$501,A73,'22 2026 PAKETLEME'!$E$2:$E$501))</f>
        <v>0</v>
      </c>
      <c r="F73" s="82">
        <f>IF(A73="","",SUMIF('22 2026 PAKETLEME'!$B$2:$B$501,A73,'22 2026 PAKETLEME'!$G$2:$G$501))</f>
        <v>0</v>
      </c>
      <c r="G73" s="81">
        <f>IF(A73="","",SUMIF('22 2026 PAKETLEME'!$B$2:$B$501,A73,'22 2026 PAKETLEME'!$H$2:$H$501))</f>
        <v>0</v>
      </c>
      <c r="H73" s="81" t="e">
        <f t="shared" si="5"/>
        <v>#VALUE!</v>
      </c>
      <c r="I73" s="82">
        <f>IF(A73="","",SUMIF('23 2026 SEVKİYAT'!$E$2:$E$501,A73,'23 2026 SEVKİYAT'!$H$2:$H$501))</f>
        <v>0</v>
      </c>
      <c r="J73" s="81">
        <f t="shared" si="6"/>
        <v>0</v>
      </c>
      <c r="K73" s="81" t="e">
        <f t="shared" si="7"/>
        <v>#VALUE!</v>
      </c>
      <c r="L73" s="58" t="e">
        <f t="shared" si="8"/>
        <v>#VALUE!</v>
      </c>
      <c r="M73" s="56" t="e">
        <f t="shared" si="9"/>
        <v>#VALUE!</v>
      </c>
    </row>
    <row r="74" spans="1:13" ht="15" customHeight="1" x14ac:dyDescent="0.2">
      <c r="A74" s="60">
        <f>'21 2026 ÜRETİM'!A74</f>
        <v>0</v>
      </c>
      <c r="B74" s="81" t="str">
        <f>IF(A74="","",'21 2026 ÜRETİM'!D74)</f>
        <v/>
      </c>
      <c r="C74" s="81">
        <f>IF(A74="","",'21 2026 ÜRETİM'!E74)</f>
        <v>0</v>
      </c>
      <c r="D74" s="82" t="str">
        <f>IF(A74="","",'21 2026 ÜRETİM'!F74)</f>
        <v/>
      </c>
      <c r="E74" s="81">
        <f>IF(A74="","",SUMIF('22 2026 PAKETLEME'!$B$2:$B$501,A74,'22 2026 PAKETLEME'!$E$2:$E$501))</f>
        <v>0</v>
      </c>
      <c r="F74" s="82">
        <f>IF(A74="","",SUMIF('22 2026 PAKETLEME'!$B$2:$B$501,A74,'22 2026 PAKETLEME'!$G$2:$G$501))</f>
        <v>0</v>
      </c>
      <c r="G74" s="81">
        <f>IF(A74="","",SUMIF('22 2026 PAKETLEME'!$B$2:$B$501,A74,'22 2026 PAKETLEME'!$H$2:$H$501))</f>
        <v>0</v>
      </c>
      <c r="H74" s="81" t="e">
        <f t="shared" si="5"/>
        <v>#VALUE!</v>
      </c>
      <c r="I74" s="82">
        <f>IF(A74="","",SUMIF('23 2026 SEVKİYAT'!$E$2:$E$501,A74,'23 2026 SEVKİYAT'!$H$2:$H$501))</f>
        <v>0</v>
      </c>
      <c r="J74" s="81">
        <f t="shared" si="6"/>
        <v>0</v>
      </c>
      <c r="K74" s="81" t="e">
        <f t="shared" si="7"/>
        <v>#VALUE!</v>
      </c>
      <c r="L74" s="58" t="e">
        <f t="shared" si="8"/>
        <v>#VALUE!</v>
      </c>
      <c r="M74" s="56" t="e">
        <f t="shared" si="9"/>
        <v>#VALUE!</v>
      </c>
    </row>
    <row r="75" spans="1:13" ht="15" customHeight="1" x14ac:dyDescent="0.2">
      <c r="A75" s="60">
        <f>'21 2026 ÜRETİM'!A75</f>
        <v>0</v>
      </c>
      <c r="B75" s="81" t="str">
        <f>IF(A75="","",'21 2026 ÜRETİM'!D75)</f>
        <v/>
      </c>
      <c r="C75" s="81">
        <f>IF(A75="","",'21 2026 ÜRETİM'!E75)</f>
        <v>0</v>
      </c>
      <c r="D75" s="82" t="str">
        <f>IF(A75="","",'21 2026 ÜRETİM'!F75)</f>
        <v/>
      </c>
      <c r="E75" s="81">
        <f>IF(A75="","",SUMIF('22 2026 PAKETLEME'!$B$2:$B$501,A75,'22 2026 PAKETLEME'!$E$2:$E$501))</f>
        <v>0</v>
      </c>
      <c r="F75" s="82">
        <f>IF(A75="","",SUMIF('22 2026 PAKETLEME'!$B$2:$B$501,A75,'22 2026 PAKETLEME'!$G$2:$G$501))</f>
        <v>0</v>
      </c>
      <c r="G75" s="81">
        <f>IF(A75="","",SUMIF('22 2026 PAKETLEME'!$B$2:$B$501,A75,'22 2026 PAKETLEME'!$H$2:$H$501))</f>
        <v>0</v>
      </c>
      <c r="H75" s="81" t="e">
        <f t="shared" si="5"/>
        <v>#VALUE!</v>
      </c>
      <c r="I75" s="82">
        <f>IF(A75="","",SUMIF('23 2026 SEVKİYAT'!$E$2:$E$501,A75,'23 2026 SEVKİYAT'!$H$2:$H$501))</f>
        <v>0</v>
      </c>
      <c r="J75" s="81">
        <f t="shared" si="6"/>
        <v>0</v>
      </c>
      <c r="K75" s="81" t="e">
        <f t="shared" si="7"/>
        <v>#VALUE!</v>
      </c>
      <c r="L75" s="58" t="e">
        <f t="shared" si="8"/>
        <v>#VALUE!</v>
      </c>
      <c r="M75" s="56" t="e">
        <f t="shared" si="9"/>
        <v>#VALUE!</v>
      </c>
    </row>
    <row r="76" spans="1:13" ht="15" customHeight="1" x14ac:dyDescent="0.2">
      <c r="A76" s="60">
        <f>'21 2026 ÜRETİM'!A76</f>
        <v>0</v>
      </c>
      <c r="B76" s="81" t="str">
        <f>IF(A76="","",'21 2026 ÜRETİM'!D76)</f>
        <v/>
      </c>
      <c r="C76" s="81">
        <f>IF(A76="","",'21 2026 ÜRETİM'!E76)</f>
        <v>0</v>
      </c>
      <c r="D76" s="82" t="str">
        <f>IF(A76="","",'21 2026 ÜRETİM'!F76)</f>
        <v/>
      </c>
      <c r="E76" s="81">
        <f>IF(A76="","",SUMIF('22 2026 PAKETLEME'!$B$2:$B$501,A76,'22 2026 PAKETLEME'!$E$2:$E$501))</f>
        <v>0</v>
      </c>
      <c r="F76" s="82">
        <f>IF(A76="","",SUMIF('22 2026 PAKETLEME'!$B$2:$B$501,A76,'22 2026 PAKETLEME'!$G$2:$G$501))</f>
        <v>0</v>
      </c>
      <c r="G76" s="81">
        <f>IF(A76="","",SUMIF('22 2026 PAKETLEME'!$B$2:$B$501,A76,'22 2026 PAKETLEME'!$H$2:$H$501))</f>
        <v>0</v>
      </c>
      <c r="H76" s="81" t="e">
        <f t="shared" si="5"/>
        <v>#VALUE!</v>
      </c>
      <c r="I76" s="82">
        <f>IF(A76="","",SUMIF('23 2026 SEVKİYAT'!$E$2:$E$501,A76,'23 2026 SEVKİYAT'!$H$2:$H$501))</f>
        <v>0</v>
      </c>
      <c r="J76" s="81">
        <f t="shared" si="6"/>
        <v>0</v>
      </c>
      <c r="K76" s="81" t="e">
        <f t="shared" si="7"/>
        <v>#VALUE!</v>
      </c>
      <c r="L76" s="58" t="e">
        <f t="shared" si="8"/>
        <v>#VALUE!</v>
      </c>
      <c r="M76" s="56" t="e">
        <f t="shared" si="9"/>
        <v>#VALUE!</v>
      </c>
    </row>
    <row r="77" spans="1:13" ht="15" customHeight="1" x14ac:dyDescent="0.2">
      <c r="A77" s="60">
        <f>'21 2026 ÜRETİM'!A77</f>
        <v>0</v>
      </c>
      <c r="B77" s="81" t="str">
        <f>IF(A77="","",'21 2026 ÜRETİM'!D77)</f>
        <v/>
      </c>
      <c r="C77" s="81">
        <f>IF(A77="","",'21 2026 ÜRETİM'!E77)</f>
        <v>0</v>
      </c>
      <c r="D77" s="82" t="str">
        <f>IF(A77="","",'21 2026 ÜRETİM'!F77)</f>
        <v/>
      </c>
      <c r="E77" s="81">
        <f>IF(A77="","",SUMIF('22 2026 PAKETLEME'!$B$2:$B$501,A77,'22 2026 PAKETLEME'!$E$2:$E$501))</f>
        <v>0</v>
      </c>
      <c r="F77" s="82">
        <f>IF(A77="","",SUMIF('22 2026 PAKETLEME'!$B$2:$B$501,A77,'22 2026 PAKETLEME'!$G$2:$G$501))</f>
        <v>0</v>
      </c>
      <c r="G77" s="81">
        <f>IF(A77="","",SUMIF('22 2026 PAKETLEME'!$B$2:$B$501,A77,'22 2026 PAKETLEME'!$H$2:$H$501))</f>
        <v>0</v>
      </c>
      <c r="H77" s="81" t="e">
        <f t="shared" si="5"/>
        <v>#VALUE!</v>
      </c>
      <c r="I77" s="82">
        <f>IF(A77="","",SUMIF('23 2026 SEVKİYAT'!$E$2:$E$501,A77,'23 2026 SEVKİYAT'!$H$2:$H$501))</f>
        <v>0</v>
      </c>
      <c r="J77" s="81">
        <f t="shared" si="6"/>
        <v>0</v>
      </c>
      <c r="K77" s="81" t="e">
        <f t="shared" si="7"/>
        <v>#VALUE!</v>
      </c>
      <c r="L77" s="58" t="e">
        <f t="shared" si="8"/>
        <v>#VALUE!</v>
      </c>
      <c r="M77" s="56" t="e">
        <f t="shared" si="9"/>
        <v>#VALUE!</v>
      </c>
    </row>
    <row r="78" spans="1:13" ht="15" customHeight="1" x14ac:dyDescent="0.2">
      <c r="A78" s="60">
        <f>'21 2026 ÜRETİM'!A78</f>
        <v>0</v>
      </c>
      <c r="B78" s="81" t="str">
        <f>IF(A78="","",'21 2026 ÜRETİM'!D78)</f>
        <v/>
      </c>
      <c r="C78" s="81">
        <f>IF(A78="","",'21 2026 ÜRETİM'!E78)</f>
        <v>0</v>
      </c>
      <c r="D78" s="82" t="str">
        <f>IF(A78="","",'21 2026 ÜRETİM'!F78)</f>
        <v/>
      </c>
      <c r="E78" s="81">
        <f>IF(A78="","",SUMIF('22 2026 PAKETLEME'!$B$2:$B$501,A78,'22 2026 PAKETLEME'!$E$2:$E$501))</f>
        <v>0</v>
      </c>
      <c r="F78" s="82">
        <f>IF(A78="","",SUMIF('22 2026 PAKETLEME'!$B$2:$B$501,A78,'22 2026 PAKETLEME'!$G$2:$G$501))</f>
        <v>0</v>
      </c>
      <c r="G78" s="81">
        <f>IF(A78="","",SUMIF('22 2026 PAKETLEME'!$B$2:$B$501,A78,'22 2026 PAKETLEME'!$H$2:$H$501))</f>
        <v>0</v>
      </c>
      <c r="H78" s="81" t="e">
        <f t="shared" si="5"/>
        <v>#VALUE!</v>
      </c>
      <c r="I78" s="82">
        <f>IF(A78="","",SUMIF('23 2026 SEVKİYAT'!$E$2:$E$501,A78,'23 2026 SEVKİYAT'!$H$2:$H$501))</f>
        <v>0</v>
      </c>
      <c r="J78" s="81">
        <f t="shared" si="6"/>
        <v>0</v>
      </c>
      <c r="K78" s="81" t="e">
        <f t="shared" si="7"/>
        <v>#VALUE!</v>
      </c>
      <c r="L78" s="58" t="e">
        <f t="shared" si="8"/>
        <v>#VALUE!</v>
      </c>
      <c r="M78" s="56" t="e">
        <f t="shared" si="9"/>
        <v>#VALUE!</v>
      </c>
    </row>
    <row r="79" spans="1:13" ht="15" customHeight="1" x14ac:dyDescent="0.2">
      <c r="A79" s="60">
        <f>'21 2026 ÜRETİM'!A79</f>
        <v>0</v>
      </c>
      <c r="B79" s="81" t="str">
        <f>IF(A79="","",'21 2026 ÜRETİM'!D79)</f>
        <v/>
      </c>
      <c r="C79" s="81">
        <f>IF(A79="","",'21 2026 ÜRETİM'!E79)</f>
        <v>0</v>
      </c>
      <c r="D79" s="82" t="str">
        <f>IF(A79="","",'21 2026 ÜRETİM'!F79)</f>
        <v/>
      </c>
      <c r="E79" s="81">
        <f>IF(A79="","",SUMIF('22 2026 PAKETLEME'!$B$2:$B$501,A79,'22 2026 PAKETLEME'!$E$2:$E$501))</f>
        <v>0</v>
      </c>
      <c r="F79" s="82">
        <f>IF(A79="","",SUMIF('22 2026 PAKETLEME'!$B$2:$B$501,A79,'22 2026 PAKETLEME'!$G$2:$G$501))</f>
        <v>0</v>
      </c>
      <c r="G79" s="81">
        <f>IF(A79="","",SUMIF('22 2026 PAKETLEME'!$B$2:$B$501,A79,'22 2026 PAKETLEME'!$H$2:$H$501))</f>
        <v>0</v>
      </c>
      <c r="H79" s="81" t="e">
        <f t="shared" si="5"/>
        <v>#VALUE!</v>
      </c>
      <c r="I79" s="82">
        <f>IF(A79="","",SUMIF('23 2026 SEVKİYAT'!$E$2:$E$501,A79,'23 2026 SEVKİYAT'!$H$2:$H$501))</f>
        <v>0</v>
      </c>
      <c r="J79" s="81">
        <f t="shared" si="6"/>
        <v>0</v>
      </c>
      <c r="K79" s="81" t="e">
        <f t="shared" si="7"/>
        <v>#VALUE!</v>
      </c>
      <c r="L79" s="58" t="e">
        <f t="shared" si="8"/>
        <v>#VALUE!</v>
      </c>
      <c r="M79" s="56" t="e">
        <f t="shared" si="9"/>
        <v>#VALUE!</v>
      </c>
    </row>
    <row r="80" spans="1:13" ht="15" customHeight="1" x14ac:dyDescent="0.2">
      <c r="A80" s="60">
        <f>'21 2026 ÜRETİM'!A80</f>
        <v>0</v>
      </c>
      <c r="B80" s="81" t="str">
        <f>IF(A80="","",'21 2026 ÜRETİM'!D80)</f>
        <v/>
      </c>
      <c r="C80" s="81">
        <f>IF(A80="","",'21 2026 ÜRETİM'!E80)</f>
        <v>0</v>
      </c>
      <c r="D80" s="82" t="str">
        <f>IF(A80="","",'21 2026 ÜRETİM'!F80)</f>
        <v/>
      </c>
      <c r="E80" s="81">
        <f>IF(A80="","",SUMIF('22 2026 PAKETLEME'!$B$2:$B$501,A80,'22 2026 PAKETLEME'!$E$2:$E$501))</f>
        <v>0</v>
      </c>
      <c r="F80" s="82">
        <f>IF(A80="","",SUMIF('22 2026 PAKETLEME'!$B$2:$B$501,A80,'22 2026 PAKETLEME'!$G$2:$G$501))</f>
        <v>0</v>
      </c>
      <c r="G80" s="81">
        <f>IF(A80="","",SUMIF('22 2026 PAKETLEME'!$B$2:$B$501,A80,'22 2026 PAKETLEME'!$H$2:$H$501))</f>
        <v>0</v>
      </c>
      <c r="H80" s="81" t="e">
        <f t="shared" si="5"/>
        <v>#VALUE!</v>
      </c>
      <c r="I80" s="82">
        <f>IF(A80="","",SUMIF('23 2026 SEVKİYAT'!$E$2:$E$501,A80,'23 2026 SEVKİYAT'!$H$2:$H$501))</f>
        <v>0</v>
      </c>
      <c r="J80" s="81">
        <f t="shared" si="6"/>
        <v>0</v>
      </c>
      <c r="K80" s="81" t="e">
        <f t="shared" si="7"/>
        <v>#VALUE!</v>
      </c>
      <c r="L80" s="58" t="e">
        <f t="shared" si="8"/>
        <v>#VALUE!</v>
      </c>
      <c r="M80" s="56" t="e">
        <f t="shared" si="9"/>
        <v>#VALUE!</v>
      </c>
    </row>
    <row r="81" spans="1:13" ht="15" customHeight="1" x14ac:dyDescent="0.2">
      <c r="A81" s="60">
        <f>'21 2026 ÜRETİM'!A81</f>
        <v>0</v>
      </c>
      <c r="B81" s="81" t="str">
        <f>IF(A81="","",'21 2026 ÜRETİM'!D81)</f>
        <v/>
      </c>
      <c r="C81" s="81">
        <f>IF(A81="","",'21 2026 ÜRETİM'!E81)</f>
        <v>0</v>
      </c>
      <c r="D81" s="82" t="str">
        <f>IF(A81="","",'21 2026 ÜRETİM'!F81)</f>
        <v/>
      </c>
      <c r="E81" s="81">
        <f>IF(A81="","",SUMIF('22 2026 PAKETLEME'!$B$2:$B$501,A81,'22 2026 PAKETLEME'!$E$2:$E$501))</f>
        <v>0</v>
      </c>
      <c r="F81" s="82">
        <f>IF(A81="","",SUMIF('22 2026 PAKETLEME'!$B$2:$B$501,A81,'22 2026 PAKETLEME'!$G$2:$G$501))</f>
        <v>0</v>
      </c>
      <c r="G81" s="81">
        <f>IF(A81="","",SUMIF('22 2026 PAKETLEME'!$B$2:$B$501,A81,'22 2026 PAKETLEME'!$H$2:$H$501))</f>
        <v>0</v>
      </c>
      <c r="H81" s="81" t="e">
        <f t="shared" si="5"/>
        <v>#VALUE!</v>
      </c>
      <c r="I81" s="82">
        <f>IF(A81="","",SUMIF('23 2026 SEVKİYAT'!$E$2:$E$501,A81,'23 2026 SEVKİYAT'!$H$2:$H$501))</f>
        <v>0</v>
      </c>
      <c r="J81" s="81">
        <f t="shared" si="6"/>
        <v>0</v>
      </c>
      <c r="K81" s="81" t="e">
        <f t="shared" si="7"/>
        <v>#VALUE!</v>
      </c>
      <c r="L81" s="58" t="e">
        <f t="shared" si="8"/>
        <v>#VALUE!</v>
      </c>
      <c r="M81" s="56" t="e">
        <f t="shared" si="9"/>
        <v>#VALUE!</v>
      </c>
    </row>
    <row r="82" spans="1:13" ht="15" customHeight="1" x14ac:dyDescent="0.2">
      <c r="A82" s="60">
        <f>'21 2026 ÜRETİM'!A82</f>
        <v>0</v>
      </c>
      <c r="B82" s="81" t="str">
        <f>IF(A82="","",'21 2026 ÜRETİM'!D82)</f>
        <v/>
      </c>
      <c r="C82" s="81">
        <f>IF(A82="","",'21 2026 ÜRETİM'!E82)</f>
        <v>0</v>
      </c>
      <c r="D82" s="82" t="str">
        <f>IF(A82="","",'21 2026 ÜRETİM'!F82)</f>
        <v/>
      </c>
      <c r="E82" s="81">
        <f>IF(A82="","",SUMIF('22 2026 PAKETLEME'!$B$2:$B$501,A82,'22 2026 PAKETLEME'!$E$2:$E$501))</f>
        <v>0</v>
      </c>
      <c r="F82" s="82">
        <f>IF(A82="","",SUMIF('22 2026 PAKETLEME'!$B$2:$B$501,A82,'22 2026 PAKETLEME'!$G$2:$G$501))</f>
        <v>0</v>
      </c>
      <c r="G82" s="81">
        <f>IF(A82="","",SUMIF('22 2026 PAKETLEME'!$B$2:$B$501,A82,'22 2026 PAKETLEME'!$H$2:$H$501))</f>
        <v>0</v>
      </c>
      <c r="H82" s="81" t="e">
        <f t="shared" si="5"/>
        <v>#VALUE!</v>
      </c>
      <c r="I82" s="82">
        <f>IF(A82="","",SUMIF('23 2026 SEVKİYAT'!$E$2:$E$501,A82,'23 2026 SEVKİYAT'!$H$2:$H$501))</f>
        <v>0</v>
      </c>
      <c r="J82" s="81">
        <f t="shared" si="6"/>
        <v>0</v>
      </c>
      <c r="K82" s="81" t="e">
        <f t="shared" si="7"/>
        <v>#VALUE!</v>
      </c>
      <c r="L82" s="58" t="e">
        <f t="shared" si="8"/>
        <v>#VALUE!</v>
      </c>
      <c r="M82" s="56" t="e">
        <f t="shared" si="9"/>
        <v>#VALUE!</v>
      </c>
    </row>
    <row r="83" spans="1:13" ht="15" customHeight="1" x14ac:dyDescent="0.2">
      <c r="A83" s="60">
        <f>'21 2026 ÜRETİM'!A83</f>
        <v>0</v>
      </c>
      <c r="B83" s="81" t="str">
        <f>IF(A83="","",'21 2026 ÜRETİM'!D83)</f>
        <v/>
      </c>
      <c r="C83" s="81">
        <f>IF(A83="","",'21 2026 ÜRETİM'!E83)</f>
        <v>0</v>
      </c>
      <c r="D83" s="82" t="str">
        <f>IF(A83="","",'21 2026 ÜRETİM'!F83)</f>
        <v/>
      </c>
      <c r="E83" s="81">
        <f>IF(A83="","",SUMIF('22 2026 PAKETLEME'!$B$2:$B$501,A83,'22 2026 PAKETLEME'!$E$2:$E$501))</f>
        <v>0</v>
      </c>
      <c r="F83" s="82">
        <f>IF(A83="","",SUMIF('22 2026 PAKETLEME'!$B$2:$B$501,A83,'22 2026 PAKETLEME'!$G$2:$G$501))</f>
        <v>0</v>
      </c>
      <c r="G83" s="81">
        <f>IF(A83="","",SUMIF('22 2026 PAKETLEME'!$B$2:$B$501,A83,'22 2026 PAKETLEME'!$H$2:$H$501))</f>
        <v>0</v>
      </c>
      <c r="H83" s="81" t="e">
        <f t="shared" si="5"/>
        <v>#VALUE!</v>
      </c>
      <c r="I83" s="82">
        <f>IF(A83="","",SUMIF('23 2026 SEVKİYAT'!$E$2:$E$501,A83,'23 2026 SEVKİYAT'!$H$2:$H$501))</f>
        <v>0</v>
      </c>
      <c r="J83" s="81">
        <f t="shared" si="6"/>
        <v>0</v>
      </c>
      <c r="K83" s="81" t="e">
        <f t="shared" si="7"/>
        <v>#VALUE!</v>
      </c>
      <c r="L83" s="58" t="e">
        <f t="shared" si="8"/>
        <v>#VALUE!</v>
      </c>
      <c r="M83" s="56" t="e">
        <f t="shared" si="9"/>
        <v>#VALUE!</v>
      </c>
    </row>
    <row r="84" spans="1:13" ht="15" customHeight="1" x14ac:dyDescent="0.2">
      <c r="A84" s="60">
        <f>'21 2026 ÜRETİM'!A84</f>
        <v>0</v>
      </c>
      <c r="B84" s="81" t="str">
        <f>IF(A84="","",'21 2026 ÜRETİM'!D84)</f>
        <v/>
      </c>
      <c r="C84" s="81">
        <f>IF(A84="","",'21 2026 ÜRETİM'!E84)</f>
        <v>0</v>
      </c>
      <c r="D84" s="82" t="str">
        <f>IF(A84="","",'21 2026 ÜRETİM'!F84)</f>
        <v/>
      </c>
      <c r="E84" s="81">
        <f>IF(A84="","",SUMIF('22 2026 PAKETLEME'!$B$2:$B$501,A84,'22 2026 PAKETLEME'!$E$2:$E$501))</f>
        <v>0</v>
      </c>
      <c r="F84" s="82">
        <f>IF(A84="","",SUMIF('22 2026 PAKETLEME'!$B$2:$B$501,A84,'22 2026 PAKETLEME'!$G$2:$G$501))</f>
        <v>0</v>
      </c>
      <c r="G84" s="81">
        <f>IF(A84="","",SUMIF('22 2026 PAKETLEME'!$B$2:$B$501,A84,'22 2026 PAKETLEME'!$H$2:$H$501))</f>
        <v>0</v>
      </c>
      <c r="H84" s="81" t="e">
        <f t="shared" si="5"/>
        <v>#VALUE!</v>
      </c>
      <c r="I84" s="82">
        <f>IF(A84="","",SUMIF('23 2026 SEVKİYAT'!$E$2:$E$501,A84,'23 2026 SEVKİYAT'!$H$2:$H$501))</f>
        <v>0</v>
      </c>
      <c r="J84" s="81">
        <f t="shared" si="6"/>
        <v>0</v>
      </c>
      <c r="K84" s="81" t="e">
        <f t="shared" si="7"/>
        <v>#VALUE!</v>
      </c>
      <c r="L84" s="58" t="e">
        <f t="shared" si="8"/>
        <v>#VALUE!</v>
      </c>
      <c r="M84" s="56" t="e">
        <f t="shared" si="9"/>
        <v>#VALUE!</v>
      </c>
    </row>
    <row r="85" spans="1:13" ht="15" customHeight="1" x14ac:dyDescent="0.2">
      <c r="A85" s="60">
        <f>'21 2026 ÜRETİM'!A85</f>
        <v>0</v>
      </c>
      <c r="B85" s="81" t="str">
        <f>IF(A85="","",'21 2026 ÜRETİM'!D85)</f>
        <v/>
      </c>
      <c r="C85" s="81">
        <f>IF(A85="","",'21 2026 ÜRETİM'!E85)</f>
        <v>0</v>
      </c>
      <c r="D85" s="82" t="str">
        <f>IF(A85="","",'21 2026 ÜRETİM'!F85)</f>
        <v/>
      </c>
      <c r="E85" s="81">
        <f>IF(A85="","",SUMIF('22 2026 PAKETLEME'!$B$2:$B$501,A85,'22 2026 PAKETLEME'!$E$2:$E$501))</f>
        <v>0</v>
      </c>
      <c r="F85" s="82">
        <f>IF(A85="","",SUMIF('22 2026 PAKETLEME'!$B$2:$B$501,A85,'22 2026 PAKETLEME'!$G$2:$G$501))</f>
        <v>0</v>
      </c>
      <c r="G85" s="81">
        <f>IF(A85="","",SUMIF('22 2026 PAKETLEME'!$B$2:$B$501,A85,'22 2026 PAKETLEME'!$H$2:$H$501))</f>
        <v>0</v>
      </c>
      <c r="H85" s="81" t="e">
        <f t="shared" si="5"/>
        <v>#VALUE!</v>
      </c>
      <c r="I85" s="82">
        <f>IF(A85="","",SUMIF('23 2026 SEVKİYAT'!$E$2:$E$501,A85,'23 2026 SEVKİYAT'!$H$2:$H$501))</f>
        <v>0</v>
      </c>
      <c r="J85" s="81">
        <f t="shared" si="6"/>
        <v>0</v>
      </c>
      <c r="K85" s="81" t="e">
        <f t="shared" si="7"/>
        <v>#VALUE!</v>
      </c>
      <c r="L85" s="58" t="e">
        <f t="shared" si="8"/>
        <v>#VALUE!</v>
      </c>
      <c r="M85" s="56" t="e">
        <f t="shared" si="9"/>
        <v>#VALUE!</v>
      </c>
    </row>
    <row r="86" spans="1:13" ht="15" customHeight="1" x14ac:dyDescent="0.2">
      <c r="A86" s="60">
        <f>'21 2026 ÜRETİM'!A86</f>
        <v>0</v>
      </c>
      <c r="B86" s="81" t="str">
        <f>IF(A86="","",'21 2026 ÜRETİM'!D86)</f>
        <v/>
      </c>
      <c r="C86" s="81">
        <f>IF(A86="","",'21 2026 ÜRETİM'!E86)</f>
        <v>0</v>
      </c>
      <c r="D86" s="82" t="str">
        <f>IF(A86="","",'21 2026 ÜRETİM'!F86)</f>
        <v/>
      </c>
      <c r="E86" s="81">
        <f>IF(A86="","",SUMIF('22 2026 PAKETLEME'!$B$2:$B$501,A86,'22 2026 PAKETLEME'!$E$2:$E$501))</f>
        <v>0</v>
      </c>
      <c r="F86" s="82">
        <f>IF(A86="","",SUMIF('22 2026 PAKETLEME'!$B$2:$B$501,A86,'22 2026 PAKETLEME'!$G$2:$G$501))</f>
        <v>0</v>
      </c>
      <c r="G86" s="81">
        <f>IF(A86="","",SUMIF('22 2026 PAKETLEME'!$B$2:$B$501,A86,'22 2026 PAKETLEME'!$H$2:$H$501))</f>
        <v>0</v>
      </c>
      <c r="H86" s="81" t="e">
        <f t="shared" si="5"/>
        <v>#VALUE!</v>
      </c>
      <c r="I86" s="82">
        <f>IF(A86="","",SUMIF('23 2026 SEVKİYAT'!$E$2:$E$501,A86,'23 2026 SEVKİYAT'!$H$2:$H$501))</f>
        <v>0</v>
      </c>
      <c r="J86" s="81">
        <f t="shared" si="6"/>
        <v>0</v>
      </c>
      <c r="K86" s="81" t="e">
        <f t="shared" si="7"/>
        <v>#VALUE!</v>
      </c>
      <c r="L86" s="58" t="e">
        <f t="shared" si="8"/>
        <v>#VALUE!</v>
      </c>
      <c r="M86" s="56" t="e">
        <f t="shared" si="9"/>
        <v>#VALUE!</v>
      </c>
    </row>
    <row r="87" spans="1:13" ht="15" customHeight="1" x14ac:dyDescent="0.2">
      <c r="A87" s="60">
        <f>'21 2026 ÜRETİM'!A87</f>
        <v>0</v>
      </c>
      <c r="B87" s="81" t="str">
        <f>IF(A87="","",'21 2026 ÜRETİM'!D87)</f>
        <v/>
      </c>
      <c r="C87" s="81">
        <f>IF(A87="","",'21 2026 ÜRETİM'!E87)</f>
        <v>0</v>
      </c>
      <c r="D87" s="82" t="str">
        <f>IF(A87="","",'21 2026 ÜRETİM'!F87)</f>
        <v/>
      </c>
      <c r="E87" s="81">
        <f>IF(A87="","",SUMIF('22 2026 PAKETLEME'!$B$2:$B$501,A87,'22 2026 PAKETLEME'!$E$2:$E$501))</f>
        <v>0</v>
      </c>
      <c r="F87" s="82">
        <f>IF(A87="","",SUMIF('22 2026 PAKETLEME'!$B$2:$B$501,A87,'22 2026 PAKETLEME'!$G$2:$G$501))</f>
        <v>0</v>
      </c>
      <c r="G87" s="81">
        <f>IF(A87="","",SUMIF('22 2026 PAKETLEME'!$B$2:$B$501,A87,'22 2026 PAKETLEME'!$H$2:$H$501))</f>
        <v>0</v>
      </c>
      <c r="H87" s="81" t="e">
        <f t="shared" si="5"/>
        <v>#VALUE!</v>
      </c>
      <c r="I87" s="82">
        <f>IF(A87="","",SUMIF('23 2026 SEVKİYAT'!$E$2:$E$501,A87,'23 2026 SEVKİYAT'!$H$2:$H$501))</f>
        <v>0</v>
      </c>
      <c r="J87" s="81">
        <f t="shared" si="6"/>
        <v>0</v>
      </c>
      <c r="K87" s="81" t="e">
        <f t="shared" si="7"/>
        <v>#VALUE!</v>
      </c>
      <c r="L87" s="58" t="e">
        <f t="shared" si="8"/>
        <v>#VALUE!</v>
      </c>
      <c r="M87" s="56" t="e">
        <f t="shared" si="9"/>
        <v>#VALUE!</v>
      </c>
    </row>
    <row r="88" spans="1:13" ht="15" customHeight="1" x14ac:dyDescent="0.2">
      <c r="A88" s="60">
        <f>'21 2026 ÜRETİM'!A88</f>
        <v>0</v>
      </c>
      <c r="B88" s="81" t="str">
        <f>IF(A88="","",'21 2026 ÜRETİM'!D88)</f>
        <v/>
      </c>
      <c r="C88" s="81">
        <f>IF(A88="","",'21 2026 ÜRETİM'!E88)</f>
        <v>0</v>
      </c>
      <c r="D88" s="82" t="str">
        <f>IF(A88="","",'21 2026 ÜRETİM'!F88)</f>
        <v/>
      </c>
      <c r="E88" s="81">
        <f>IF(A88="","",SUMIF('22 2026 PAKETLEME'!$B$2:$B$501,A88,'22 2026 PAKETLEME'!$E$2:$E$501))</f>
        <v>0</v>
      </c>
      <c r="F88" s="82">
        <f>IF(A88="","",SUMIF('22 2026 PAKETLEME'!$B$2:$B$501,A88,'22 2026 PAKETLEME'!$G$2:$G$501))</f>
        <v>0</v>
      </c>
      <c r="G88" s="81">
        <f>IF(A88="","",SUMIF('22 2026 PAKETLEME'!$B$2:$B$501,A88,'22 2026 PAKETLEME'!$H$2:$H$501))</f>
        <v>0</v>
      </c>
      <c r="H88" s="81" t="e">
        <f t="shared" si="5"/>
        <v>#VALUE!</v>
      </c>
      <c r="I88" s="82">
        <f>IF(A88="","",SUMIF('23 2026 SEVKİYAT'!$E$2:$E$501,A88,'23 2026 SEVKİYAT'!$H$2:$H$501))</f>
        <v>0</v>
      </c>
      <c r="J88" s="81">
        <f t="shared" si="6"/>
        <v>0</v>
      </c>
      <c r="K88" s="81" t="e">
        <f t="shared" si="7"/>
        <v>#VALUE!</v>
      </c>
      <c r="L88" s="58" t="e">
        <f t="shared" si="8"/>
        <v>#VALUE!</v>
      </c>
      <c r="M88" s="56" t="e">
        <f t="shared" si="9"/>
        <v>#VALUE!</v>
      </c>
    </row>
    <row r="89" spans="1:13" ht="15" customHeight="1" x14ac:dyDescent="0.2">
      <c r="A89" s="60">
        <f>'21 2026 ÜRETİM'!A89</f>
        <v>0</v>
      </c>
      <c r="B89" s="81" t="str">
        <f>IF(A89="","",'21 2026 ÜRETİM'!D89)</f>
        <v/>
      </c>
      <c r="C89" s="81">
        <f>IF(A89="","",'21 2026 ÜRETİM'!E89)</f>
        <v>0</v>
      </c>
      <c r="D89" s="82" t="str">
        <f>IF(A89="","",'21 2026 ÜRETİM'!F89)</f>
        <v/>
      </c>
      <c r="E89" s="81">
        <f>IF(A89="","",SUMIF('22 2026 PAKETLEME'!$B$2:$B$501,A89,'22 2026 PAKETLEME'!$E$2:$E$501))</f>
        <v>0</v>
      </c>
      <c r="F89" s="82">
        <f>IF(A89="","",SUMIF('22 2026 PAKETLEME'!$B$2:$B$501,A89,'22 2026 PAKETLEME'!$G$2:$G$501))</f>
        <v>0</v>
      </c>
      <c r="G89" s="81">
        <f>IF(A89="","",SUMIF('22 2026 PAKETLEME'!$B$2:$B$501,A89,'22 2026 PAKETLEME'!$H$2:$H$501))</f>
        <v>0</v>
      </c>
      <c r="H89" s="81" t="e">
        <f t="shared" si="5"/>
        <v>#VALUE!</v>
      </c>
      <c r="I89" s="82">
        <f>IF(A89="","",SUMIF('23 2026 SEVKİYAT'!$E$2:$E$501,A89,'23 2026 SEVKİYAT'!$H$2:$H$501))</f>
        <v>0</v>
      </c>
      <c r="J89" s="81">
        <f t="shared" si="6"/>
        <v>0</v>
      </c>
      <c r="K89" s="81" t="e">
        <f t="shared" si="7"/>
        <v>#VALUE!</v>
      </c>
      <c r="L89" s="58" t="e">
        <f t="shared" si="8"/>
        <v>#VALUE!</v>
      </c>
      <c r="M89" s="56" t="e">
        <f t="shared" si="9"/>
        <v>#VALUE!</v>
      </c>
    </row>
    <row r="90" spans="1:13" ht="15" customHeight="1" x14ac:dyDescent="0.2">
      <c r="A90" s="60">
        <f>'21 2026 ÜRETİM'!A90</f>
        <v>0</v>
      </c>
      <c r="B90" s="81" t="str">
        <f>IF(A90="","",'21 2026 ÜRETİM'!D90)</f>
        <v/>
      </c>
      <c r="C90" s="81">
        <f>IF(A90="","",'21 2026 ÜRETİM'!E90)</f>
        <v>0</v>
      </c>
      <c r="D90" s="82" t="str">
        <f>IF(A90="","",'21 2026 ÜRETİM'!F90)</f>
        <v/>
      </c>
      <c r="E90" s="81">
        <f>IF(A90="","",SUMIF('22 2026 PAKETLEME'!$B$2:$B$501,A90,'22 2026 PAKETLEME'!$E$2:$E$501))</f>
        <v>0</v>
      </c>
      <c r="F90" s="82">
        <f>IF(A90="","",SUMIF('22 2026 PAKETLEME'!$B$2:$B$501,A90,'22 2026 PAKETLEME'!$G$2:$G$501))</f>
        <v>0</v>
      </c>
      <c r="G90" s="81">
        <f>IF(A90="","",SUMIF('22 2026 PAKETLEME'!$B$2:$B$501,A90,'22 2026 PAKETLEME'!$H$2:$H$501))</f>
        <v>0</v>
      </c>
      <c r="H90" s="81" t="e">
        <f t="shared" si="5"/>
        <v>#VALUE!</v>
      </c>
      <c r="I90" s="82">
        <f>IF(A90="","",SUMIF('23 2026 SEVKİYAT'!$E$2:$E$501,A90,'23 2026 SEVKİYAT'!$H$2:$H$501))</f>
        <v>0</v>
      </c>
      <c r="J90" s="81">
        <f t="shared" si="6"/>
        <v>0</v>
      </c>
      <c r="K90" s="81" t="e">
        <f t="shared" si="7"/>
        <v>#VALUE!</v>
      </c>
      <c r="L90" s="58" t="e">
        <f t="shared" si="8"/>
        <v>#VALUE!</v>
      </c>
      <c r="M90" s="56" t="e">
        <f t="shared" si="9"/>
        <v>#VALUE!</v>
      </c>
    </row>
    <row r="91" spans="1:13" ht="15" customHeight="1" x14ac:dyDescent="0.2">
      <c r="A91" s="60">
        <f>'21 2026 ÜRETİM'!A91</f>
        <v>0</v>
      </c>
      <c r="B91" s="81" t="str">
        <f>IF(A91="","",'21 2026 ÜRETİM'!D91)</f>
        <v/>
      </c>
      <c r="C91" s="81">
        <f>IF(A91="","",'21 2026 ÜRETİM'!E91)</f>
        <v>0</v>
      </c>
      <c r="D91" s="82" t="str">
        <f>IF(A91="","",'21 2026 ÜRETİM'!F91)</f>
        <v/>
      </c>
      <c r="E91" s="81">
        <f>IF(A91="","",SUMIF('22 2026 PAKETLEME'!$B$2:$B$501,A91,'22 2026 PAKETLEME'!$E$2:$E$501))</f>
        <v>0</v>
      </c>
      <c r="F91" s="82">
        <f>IF(A91="","",SUMIF('22 2026 PAKETLEME'!$B$2:$B$501,A91,'22 2026 PAKETLEME'!$G$2:$G$501))</f>
        <v>0</v>
      </c>
      <c r="G91" s="81">
        <f>IF(A91="","",SUMIF('22 2026 PAKETLEME'!$B$2:$B$501,A91,'22 2026 PAKETLEME'!$H$2:$H$501))</f>
        <v>0</v>
      </c>
      <c r="H91" s="81" t="e">
        <f t="shared" si="5"/>
        <v>#VALUE!</v>
      </c>
      <c r="I91" s="82">
        <f>IF(A91="","",SUMIF('23 2026 SEVKİYAT'!$E$2:$E$501,A91,'23 2026 SEVKİYAT'!$H$2:$H$501))</f>
        <v>0</v>
      </c>
      <c r="J91" s="81">
        <f t="shared" si="6"/>
        <v>0</v>
      </c>
      <c r="K91" s="81" t="e">
        <f t="shared" si="7"/>
        <v>#VALUE!</v>
      </c>
      <c r="L91" s="58" t="e">
        <f t="shared" si="8"/>
        <v>#VALUE!</v>
      </c>
      <c r="M91" s="56" t="e">
        <f t="shared" si="9"/>
        <v>#VALUE!</v>
      </c>
    </row>
    <row r="92" spans="1:13" ht="15" customHeight="1" x14ac:dyDescent="0.2">
      <c r="A92" s="60">
        <f>'21 2026 ÜRETİM'!A92</f>
        <v>0</v>
      </c>
      <c r="B92" s="81" t="str">
        <f>IF(A92="","",'21 2026 ÜRETİM'!D92)</f>
        <v/>
      </c>
      <c r="C92" s="81">
        <f>IF(A92="","",'21 2026 ÜRETİM'!E92)</f>
        <v>0</v>
      </c>
      <c r="D92" s="82" t="str">
        <f>IF(A92="","",'21 2026 ÜRETİM'!F92)</f>
        <v/>
      </c>
      <c r="E92" s="81">
        <f>IF(A92="","",SUMIF('22 2026 PAKETLEME'!$B$2:$B$501,A92,'22 2026 PAKETLEME'!$E$2:$E$501))</f>
        <v>0</v>
      </c>
      <c r="F92" s="82">
        <f>IF(A92="","",SUMIF('22 2026 PAKETLEME'!$B$2:$B$501,A92,'22 2026 PAKETLEME'!$G$2:$G$501))</f>
        <v>0</v>
      </c>
      <c r="G92" s="81">
        <f>IF(A92="","",SUMIF('22 2026 PAKETLEME'!$B$2:$B$501,A92,'22 2026 PAKETLEME'!$H$2:$H$501))</f>
        <v>0</v>
      </c>
      <c r="H92" s="81" t="e">
        <f t="shared" si="5"/>
        <v>#VALUE!</v>
      </c>
      <c r="I92" s="82">
        <f>IF(A92="","",SUMIF('23 2026 SEVKİYAT'!$E$2:$E$501,A92,'23 2026 SEVKİYAT'!$H$2:$H$501))</f>
        <v>0</v>
      </c>
      <c r="J92" s="81">
        <f t="shared" si="6"/>
        <v>0</v>
      </c>
      <c r="K92" s="81" t="e">
        <f t="shared" si="7"/>
        <v>#VALUE!</v>
      </c>
      <c r="L92" s="58" t="e">
        <f t="shared" si="8"/>
        <v>#VALUE!</v>
      </c>
      <c r="M92" s="56" t="e">
        <f t="shared" si="9"/>
        <v>#VALUE!</v>
      </c>
    </row>
    <row r="93" spans="1:13" ht="15" customHeight="1" x14ac:dyDescent="0.2">
      <c r="A93" s="60">
        <f>'21 2026 ÜRETİM'!A93</f>
        <v>0</v>
      </c>
      <c r="B93" s="81" t="str">
        <f>IF(A93="","",'21 2026 ÜRETİM'!D93)</f>
        <v/>
      </c>
      <c r="C93" s="81">
        <f>IF(A93="","",'21 2026 ÜRETİM'!E93)</f>
        <v>0</v>
      </c>
      <c r="D93" s="82" t="str">
        <f>IF(A93="","",'21 2026 ÜRETİM'!F93)</f>
        <v/>
      </c>
      <c r="E93" s="81">
        <f>IF(A93="","",SUMIF('22 2026 PAKETLEME'!$B$2:$B$501,A93,'22 2026 PAKETLEME'!$E$2:$E$501))</f>
        <v>0</v>
      </c>
      <c r="F93" s="82">
        <f>IF(A93="","",SUMIF('22 2026 PAKETLEME'!$B$2:$B$501,A93,'22 2026 PAKETLEME'!$G$2:$G$501))</f>
        <v>0</v>
      </c>
      <c r="G93" s="81">
        <f>IF(A93="","",SUMIF('22 2026 PAKETLEME'!$B$2:$B$501,A93,'22 2026 PAKETLEME'!$H$2:$H$501))</f>
        <v>0</v>
      </c>
      <c r="H93" s="81" t="e">
        <f t="shared" si="5"/>
        <v>#VALUE!</v>
      </c>
      <c r="I93" s="82">
        <f>IF(A93="","",SUMIF('23 2026 SEVKİYAT'!$E$2:$E$501,A93,'23 2026 SEVKİYAT'!$H$2:$H$501))</f>
        <v>0</v>
      </c>
      <c r="J93" s="81">
        <f t="shared" si="6"/>
        <v>0</v>
      </c>
      <c r="K93" s="81" t="e">
        <f t="shared" si="7"/>
        <v>#VALUE!</v>
      </c>
      <c r="L93" s="58" t="e">
        <f t="shared" si="8"/>
        <v>#VALUE!</v>
      </c>
      <c r="M93" s="56" t="e">
        <f t="shared" si="9"/>
        <v>#VALUE!</v>
      </c>
    </row>
    <row r="94" spans="1:13" ht="15" customHeight="1" x14ac:dyDescent="0.2">
      <c r="A94" s="60">
        <f>'21 2026 ÜRETİM'!A94</f>
        <v>0</v>
      </c>
      <c r="B94" s="81" t="str">
        <f>IF(A94="","",'21 2026 ÜRETİM'!D94)</f>
        <v/>
      </c>
      <c r="C94" s="81">
        <f>IF(A94="","",'21 2026 ÜRETİM'!E94)</f>
        <v>0</v>
      </c>
      <c r="D94" s="82" t="str">
        <f>IF(A94="","",'21 2026 ÜRETİM'!F94)</f>
        <v/>
      </c>
      <c r="E94" s="81">
        <f>IF(A94="","",SUMIF('22 2026 PAKETLEME'!$B$2:$B$501,A94,'22 2026 PAKETLEME'!$E$2:$E$501))</f>
        <v>0</v>
      </c>
      <c r="F94" s="82">
        <f>IF(A94="","",SUMIF('22 2026 PAKETLEME'!$B$2:$B$501,A94,'22 2026 PAKETLEME'!$G$2:$G$501))</f>
        <v>0</v>
      </c>
      <c r="G94" s="81">
        <f>IF(A94="","",SUMIF('22 2026 PAKETLEME'!$B$2:$B$501,A94,'22 2026 PAKETLEME'!$H$2:$H$501))</f>
        <v>0</v>
      </c>
      <c r="H94" s="81" t="e">
        <f t="shared" si="5"/>
        <v>#VALUE!</v>
      </c>
      <c r="I94" s="82">
        <f>IF(A94="","",SUMIF('23 2026 SEVKİYAT'!$E$2:$E$501,A94,'23 2026 SEVKİYAT'!$H$2:$H$501))</f>
        <v>0</v>
      </c>
      <c r="J94" s="81">
        <f t="shared" si="6"/>
        <v>0</v>
      </c>
      <c r="K94" s="81" t="e">
        <f t="shared" si="7"/>
        <v>#VALUE!</v>
      </c>
      <c r="L94" s="58" t="e">
        <f t="shared" si="8"/>
        <v>#VALUE!</v>
      </c>
      <c r="M94" s="56" t="e">
        <f t="shared" si="9"/>
        <v>#VALUE!</v>
      </c>
    </row>
    <row r="95" spans="1:13" ht="15" customHeight="1" x14ac:dyDescent="0.2">
      <c r="A95" s="60">
        <f>'21 2026 ÜRETİM'!A95</f>
        <v>0</v>
      </c>
      <c r="B95" s="81" t="str">
        <f>IF(A95="","",'21 2026 ÜRETİM'!D95)</f>
        <v/>
      </c>
      <c r="C95" s="81">
        <f>IF(A95="","",'21 2026 ÜRETİM'!E95)</f>
        <v>0</v>
      </c>
      <c r="D95" s="82" t="str">
        <f>IF(A95="","",'21 2026 ÜRETİM'!F95)</f>
        <v/>
      </c>
      <c r="E95" s="81">
        <f>IF(A95="","",SUMIF('22 2026 PAKETLEME'!$B$2:$B$501,A95,'22 2026 PAKETLEME'!$E$2:$E$501))</f>
        <v>0</v>
      </c>
      <c r="F95" s="82">
        <f>IF(A95="","",SUMIF('22 2026 PAKETLEME'!$B$2:$B$501,A95,'22 2026 PAKETLEME'!$G$2:$G$501))</f>
        <v>0</v>
      </c>
      <c r="G95" s="81">
        <f>IF(A95="","",SUMIF('22 2026 PAKETLEME'!$B$2:$B$501,A95,'22 2026 PAKETLEME'!$H$2:$H$501))</f>
        <v>0</v>
      </c>
      <c r="H95" s="81" t="e">
        <f t="shared" si="5"/>
        <v>#VALUE!</v>
      </c>
      <c r="I95" s="82">
        <f>IF(A95="","",SUMIF('23 2026 SEVKİYAT'!$E$2:$E$501,A95,'23 2026 SEVKİYAT'!$H$2:$H$501))</f>
        <v>0</v>
      </c>
      <c r="J95" s="81">
        <f t="shared" si="6"/>
        <v>0</v>
      </c>
      <c r="K95" s="81" t="e">
        <f t="shared" si="7"/>
        <v>#VALUE!</v>
      </c>
      <c r="L95" s="58" t="e">
        <f t="shared" si="8"/>
        <v>#VALUE!</v>
      </c>
      <c r="M95" s="56" t="e">
        <f t="shared" si="9"/>
        <v>#VALUE!</v>
      </c>
    </row>
    <row r="96" spans="1:13" ht="15" customHeight="1" x14ac:dyDescent="0.2">
      <c r="A96" s="60">
        <f>'21 2026 ÜRETİM'!A96</f>
        <v>0</v>
      </c>
      <c r="B96" s="81" t="str">
        <f>IF(A96="","",'21 2026 ÜRETİM'!D96)</f>
        <v/>
      </c>
      <c r="C96" s="81">
        <f>IF(A96="","",'21 2026 ÜRETİM'!E96)</f>
        <v>0</v>
      </c>
      <c r="D96" s="82" t="str">
        <f>IF(A96="","",'21 2026 ÜRETİM'!F96)</f>
        <v/>
      </c>
      <c r="E96" s="81">
        <f>IF(A96="","",SUMIF('22 2026 PAKETLEME'!$B$2:$B$501,A96,'22 2026 PAKETLEME'!$E$2:$E$501))</f>
        <v>0</v>
      </c>
      <c r="F96" s="82">
        <f>IF(A96="","",SUMIF('22 2026 PAKETLEME'!$B$2:$B$501,A96,'22 2026 PAKETLEME'!$G$2:$G$501))</f>
        <v>0</v>
      </c>
      <c r="G96" s="81">
        <f>IF(A96="","",SUMIF('22 2026 PAKETLEME'!$B$2:$B$501,A96,'22 2026 PAKETLEME'!$H$2:$H$501))</f>
        <v>0</v>
      </c>
      <c r="H96" s="81" t="e">
        <f t="shared" si="5"/>
        <v>#VALUE!</v>
      </c>
      <c r="I96" s="82">
        <f>IF(A96="","",SUMIF('23 2026 SEVKİYAT'!$E$2:$E$501,A96,'23 2026 SEVKİYAT'!$H$2:$H$501))</f>
        <v>0</v>
      </c>
      <c r="J96" s="81">
        <f t="shared" si="6"/>
        <v>0</v>
      </c>
      <c r="K96" s="81" t="e">
        <f t="shared" si="7"/>
        <v>#VALUE!</v>
      </c>
      <c r="L96" s="58" t="e">
        <f t="shared" si="8"/>
        <v>#VALUE!</v>
      </c>
      <c r="M96" s="56" t="e">
        <f t="shared" si="9"/>
        <v>#VALUE!</v>
      </c>
    </row>
    <row r="97" spans="1:13" ht="15" customHeight="1" x14ac:dyDescent="0.2">
      <c r="A97" s="60">
        <f>'21 2026 ÜRETİM'!A97</f>
        <v>0</v>
      </c>
      <c r="B97" s="81" t="str">
        <f>IF(A97="","",'21 2026 ÜRETİM'!D97)</f>
        <v/>
      </c>
      <c r="C97" s="81">
        <f>IF(A97="","",'21 2026 ÜRETİM'!E97)</f>
        <v>0</v>
      </c>
      <c r="D97" s="82" t="str">
        <f>IF(A97="","",'21 2026 ÜRETİM'!F97)</f>
        <v/>
      </c>
      <c r="E97" s="81">
        <f>IF(A97="","",SUMIF('22 2026 PAKETLEME'!$B$2:$B$501,A97,'22 2026 PAKETLEME'!$E$2:$E$501))</f>
        <v>0</v>
      </c>
      <c r="F97" s="82">
        <f>IF(A97="","",SUMIF('22 2026 PAKETLEME'!$B$2:$B$501,A97,'22 2026 PAKETLEME'!$G$2:$G$501))</f>
        <v>0</v>
      </c>
      <c r="G97" s="81">
        <f>IF(A97="","",SUMIF('22 2026 PAKETLEME'!$B$2:$B$501,A97,'22 2026 PAKETLEME'!$H$2:$H$501))</f>
        <v>0</v>
      </c>
      <c r="H97" s="81" t="e">
        <f t="shared" si="5"/>
        <v>#VALUE!</v>
      </c>
      <c r="I97" s="82">
        <f>IF(A97="","",SUMIF('23 2026 SEVKİYAT'!$E$2:$E$501,A97,'23 2026 SEVKİYAT'!$H$2:$H$501))</f>
        <v>0</v>
      </c>
      <c r="J97" s="81">
        <f t="shared" si="6"/>
        <v>0</v>
      </c>
      <c r="K97" s="81" t="e">
        <f t="shared" si="7"/>
        <v>#VALUE!</v>
      </c>
      <c r="L97" s="58" t="e">
        <f t="shared" si="8"/>
        <v>#VALUE!</v>
      </c>
      <c r="M97" s="56" t="e">
        <f t="shared" si="9"/>
        <v>#VALUE!</v>
      </c>
    </row>
    <row r="98" spans="1:13" ht="15" customHeight="1" x14ac:dyDescent="0.2">
      <c r="A98" s="60">
        <f>'21 2026 ÜRETİM'!A98</f>
        <v>0</v>
      </c>
      <c r="B98" s="81" t="str">
        <f>IF(A98="","",'21 2026 ÜRETİM'!D98)</f>
        <v/>
      </c>
      <c r="C98" s="81">
        <f>IF(A98="","",'21 2026 ÜRETİM'!E98)</f>
        <v>0</v>
      </c>
      <c r="D98" s="82" t="str">
        <f>IF(A98="","",'21 2026 ÜRETİM'!F98)</f>
        <v/>
      </c>
      <c r="E98" s="81">
        <f>IF(A98="","",SUMIF('22 2026 PAKETLEME'!$B$2:$B$501,A98,'22 2026 PAKETLEME'!$E$2:$E$501))</f>
        <v>0</v>
      </c>
      <c r="F98" s="82">
        <f>IF(A98="","",SUMIF('22 2026 PAKETLEME'!$B$2:$B$501,A98,'22 2026 PAKETLEME'!$G$2:$G$501))</f>
        <v>0</v>
      </c>
      <c r="G98" s="81">
        <f>IF(A98="","",SUMIF('22 2026 PAKETLEME'!$B$2:$B$501,A98,'22 2026 PAKETLEME'!$H$2:$H$501))</f>
        <v>0</v>
      </c>
      <c r="H98" s="81" t="e">
        <f t="shared" si="5"/>
        <v>#VALUE!</v>
      </c>
      <c r="I98" s="82">
        <f>IF(A98="","",SUMIF('23 2026 SEVKİYAT'!$E$2:$E$501,A98,'23 2026 SEVKİYAT'!$H$2:$H$501))</f>
        <v>0</v>
      </c>
      <c r="J98" s="81">
        <f t="shared" si="6"/>
        <v>0</v>
      </c>
      <c r="K98" s="81" t="e">
        <f t="shared" si="7"/>
        <v>#VALUE!</v>
      </c>
      <c r="L98" s="58" t="e">
        <f t="shared" si="8"/>
        <v>#VALUE!</v>
      </c>
      <c r="M98" s="56" t="e">
        <f t="shared" si="9"/>
        <v>#VALUE!</v>
      </c>
    </row>
    <row r="99" spans="1:13" ht="15" customHeight="1" x14ac:dyDescent="0.2">
      <c r="A99" s="60">
        <f>'21 2026 ÜRETİM'!A99</f>
        <v>0</v>
      </c>
      <c r="B99" s="81" t="str">
        <f>IF(A99="","",'21 2026 ÜRETİM'!D99)</f>
        <v/>
      </c>
      <c r="C99" s="81">
        <f>IF(A99="","",'21 2026 ÜRETİM'!E99)</f>
        <v>0</v>
      </c>
      <c r="D99" s="82" t="str">
        <f>IF(A99="","",'21 2026 ÜRETİM'!F99)</f>
        <v/>
      </c>
      <c r="E99" s="81">
        <f>IF(A99="","",SUMIF('22 2026 PAKETLEME'!$B$2:$B$501,A99,'22 2026 PAKETLEME'!$E$2:$E$501))</f>
        <v>0</v>
      </c>
      <c r="F99" s="82">
        <f>IF(A99="","",SUMIF('22 2026 PAKETLEME'!$B$2:$B$501,A99,'22 2026 PAKETLEME'!$G$2:$G$501))</f>
        <v>0</v>
      </c>
      <c r="G99" s="81">
        <f>IF(A99="","",SUMIF('22 2026 PAKETLEME'!$B$2:$B$501,A99,'22 2026 PAKETLEME'!$H$2:$H$501))</f>
        <v>0</v>
      </c>
      <c r="H99" s="81" t="e">
        <f t="shared" si="5"/>
        <v>#VALUE!</v>
      </c>
      <c r="I99" s="82">
        <f>IF(A99="","",SUMIF('23 2026 SEVKİYAT'!$E$2:$E$501,A99,'23 2026 SEVKİYAT'!$H$2:$H$501))</f>
        <v>0</v>
      </c>
      <c r="J99" s="81">
        <f t="shared" si="6"/>
        <v>0</v>
      </c>
      <c r="K99" s="81" t="e">
        <f t="shared" si="7"/>
        <v>#VALUE!</v>
      </c>
      <c r="L99" s="58" t="e">
        <f t="shared" si="8"/>
        <v>#VALUE!</v>
      </c>
      <c r="M99" s="56" t="e">
        <f t="shared" si="9"/>
        <v>#VALUE!</v>
      </c>
    </row>
    <row r="100" spans="1:13" ht="15" customHeight="1" x14ac:dyDescent="0.2">
      <c r="A100" s="60">
        <f>'21 2026 ÜRETİM'!A100</f>
        <v>0</v>
      </c>
      <c r="B100" s="81" t="str">
        <f>IF(A100="","",'21 2026 ÜRETİM'!D100)</f>
        <v/>
      </c>
      <c r="C100" s="81">
        <f>IF(A100="","",'21 2026 ÜRETİM'!E100)</f>
        <v>0</v>
      </c>
      <c r="D100" s="82" t="str">
        <f>IF(A100="","",'21 2026 ÜRETİM'!F100)</f>
        <v/>
      </c>
      <c r="E100" s="81">
        <f>IF(A100="","",SUMIF('22 2026 PAKETLEME'!$B$2:$B$501,A100,'22 2026 PAKETLEME'!$E$2:$E$501))</f>
        <v>0</v>
      </c>
      <c r="F100" s="82">
        <f>IF(A100="","",SUMIF('22 2026 PAKETLEME'!$B$2:$B$501,A100,'22 2026 PAKETLEME'!$G$2:$G$501))</f>
        <v>0</v>
      </c>
      <c r="G100" s="81">
        <f>IF(A100="","",SUMIF('22 2026 PAKETLEME'!$B$2:$B$501,A100,'22 2026 PAKETLEME'!$H$2:$H$501))</f>
        <v>0</v>
      </c>
      <c r="H100" s="81" t="e">
        <f t="shared" si="5"/>
        <v>#VALUE!</v>
      </c>
      <c r="I100" s="82">
        <f>IF(A100="","",SUMIF('23 2026 SEVKİYAT'!$E$2:$E$501,A100,'23 2026 SEVKİYAT'!$H$2:$H$501))</f>
        <v>0</v>
      </c>
      <c r="J100" s="81">
        <f t="shared" si="6"/>
        <v>0</v>
      </c>
      <c r="K100" s="81" t="e">
        <f t="shared" si="7"/>
        <v>#VALUE!</v>
      </c>
      <c r="L100" s="58" t="e">
        <f t="shared" si="8"/>
        <v>#VALUE!</v>
      </c>
      <c r="M100" s="56" t="e">
        <f t="shared" si="9"/>
        <v>#VALUE!</v>
      </c>
    </row>
    <row r="101" spans="1:13" ht="15" customHeight="1" x14ac:dyDescent="0.2">
      <c r="A101" s="60">
        <f>'21 2026 ÜRETİM'!A101</f>
        <v>0</v>
      </c>
      <c r="B101" s="81" t="str">
        <f>IF(A101="","",'21 2026 ÜRETİM'!D101)</f>
        <v/>
      </c>
      <c r="C101" s="81">
        <f>IF(A101="","",'21 2026 ÜRETİM'!E101)</f>
        <v>0</v>
      </c>
      <c r="D101" s="82" t="str">
        <f>IF(A101="","",'21 2026 ÜRETİM'!F101)</f>
        <v/>
      </c>
      <c r="E101" s="81">
        <f>IF(A101="","",SUMIF('22 2026 PAKETLEME'!$B$2:$B$501,A101,'22 2026 PAKETLEME'!$E$2:$E$501))</f>
        <v>0</v>
      </c>
      <c r="F101" s="82">
        <f>IF(A101="","",SUMIF('22 2026 PAKETLEME'!$B$2:$B$501,A101,'22 2026 PAKETLEME'!$G$2:$G$501))</f>
        <v>0</v>
      </c>
      <c r="G101" s="81">
        <f>IF(A101="","",SUMIF('22 2026 PAKETLEME'!$B$2:$B$501,A101,'22 2026 PAKETLEME'!$H$2:$H$501))</f>
        <v>0</v>
      </c>
      <c r="H101" s="81" t="e">
        <f t="shared" si="5"/>
        <v>#VALUE!</v>
      </c>
      <c r="I101" s="82">
        <f>IF(A101="","",SUMIF('23 2026 SEVKİYAT'!$E$2:$E$501,A101,'23 2026 SEVKİYAT'!$H$2:$H$501))</f>
        <v>0</v>
      </c>
      <c r="J101" s="81">
        <f t="shared" si="6"/>
        <v>0</v>
      </c>
      <c r="K101" s="81" t="e">
        <f t="shared" si="7"/>
        <v>#VALUE!</v>
      </c>
      <c r="L101" s="58" t="e">
        <f t="shared" si="8"/>
        <v>#VALUE!</v>
      </c>
      <c r="M101" s="56" t="e">
        <f t="shared" si="9"/>
        <v>#VALUE!</v>
      </c>
    </row>
    <row r="102" spans="1:13" ht="15" customHeight="1" x14ac:dyDescent="0.2">
      <c r="A102" s="60">
        <f>'21 2026 ÜRETİM'!A102</f>
        <v>0</v>
      </c>
      <c r="B102" s="81" t="str">
        <f>IF(A102="","",'21 2026 ÜRETİM'!D102)</f>
        <v/>
      </c>
      <c r="C102" s="81">
        <f>IF(A102="","",'21 2026 ÜRETİM'!E102)</f>
        <v>0</v>
      </c>
      <c r="D102" s="82" t="str">
        <f>IF(A102="","",'21 2026 ÜRETİM'!F102)</f>
        <v/>
      </c>
      <c r="E102" s="81">
        <f>IF(A102="","",SUMIF('22 2026 PAKETLEME'!$B$2:$B$501,A102,'22 2026 PAKETLEME'!$E$2:$E$501))</f>
        <v>0</v>
      </c>
      <c r="F102" s="82">
        <f>IF(A102="","",SUMIF('22 2026 PAKETLEME'!$B$2:$B$501,A102,'22 2026 PAKETLEME'!$G$2:$G$501))</f>
        <v>0</v>
      </c>
      <c r="G102" s="81">
        <f>IF(A102="","",SUMIF('22 2026 PAKETLEME'!$B$2:$B$501,A102,'22 2026 PAKETLEME'!$H$2:$H$501))</f>
        <v>0</v>
      </c>
      <c r="H102" s="81" t="e">
        <f t="shared" si="5"/>
        <v>#VALUE!</v>
      </c>
      <c r="I102" s="82">
        <f>IF(A102="","",SUMIF('23 2026 SEVKİYAT'!$E$2:$E$501,A102,'23 2026 SEVKİYAT'!$H$2:$H$501))</f>
        <v>0</v>
      </c>
      <c r="J102" s="81">
        <f t="shared" si="6"/>
        <v>0</v>
      </c>
      <c r="K102" s="81" t="e">
        <f t="shared" si="7"/>
        <v>#VALUE!</v>
      </c>
      <c r="L102" s="58" t="e">
        <f t="shared" si="8"/>
        <v>#VALUE!</v>
      </c>
      <c r="M102" s="56" t="e">
        <f t="shared" si="9"/>
        <v>#VALUE!</v>
      </c>
    </row>
    <row r="103" spans="1:13" ht="15" customHeight="1" x14ac:dyDescent="0.2">
      <c r="A103" s="60">
        <f>'21 2026 ÜRETİM'!A103</f>
        <v>0</v>
      </c>
      <c r="B103" s="81" t="str">
        <f>IF(A103="","",'21 2026 ÜRETİM'!D103)</f>
        <v/>
      </c>
      <c r="C103" s="81">
        <f>IF(A103="","",'21 2026 ÜRETİM'!E103)</f>
        <v>0</v>
      </c>
      <c r="D103" s="82" t="str">
        <f>IF(A103="","",'21 2026 ÜRETİM'!F103)</f>
        <v/>
      </c>
      <c r="E103" s="81">
        <f>IF(A103="","",SUMIF('22 2026 PAKETLEME'!$B$2:$B$501,A103,'22 2026 PAKETLEME'!$E$2:$E$501))</f>
        <v>0</v>
      </c>
      <c r="F103" s="82">
        <f>IF(A103="","",SUMIF('22 2026 PAKETLEME'!$B$2:$B$501,A103,'22 2026 PAKETLEME'!$G$2:$G$501))</f>
        <v>0</v>
      </c>
      <c r="G103" s="81">
        <f>IF(A103="","",SUMIF('22 2026 PAKETLEME'!$B$2:$B$501,A103,'22 2026 PAKETLEME'!$H$2:$H$501))</f>
        <v>0</v>
      </c>
      <c r="H103" s="81" t="e">
        <f t="shared" si="5"/>
        <v>#VALUE!</v>
      </c>
      <c r="I103" s="82">
        <f>IF(A103="","",SUMIF('23 2026 SEVKİYAT'!$E$2:$E$501,A103,'23 2026 SEVKİYAT'!$H$2:$H$501))</f>
        <v>0</v>
      </c>
      <c r="J103" s="81">
        <f t="shared" si="6"/>
        <v>0</v>
      </c>
      <c r="K103" s="81" t="e">
        <f t="shared" si="7"/>
        <v>#VALUE!</v>
      </c>
      <c r="L103" s="58" t="e">
        <f t="shared" si="8"/>
        <v>#VALUE!</v>
      </c>
      <c r="M103" s="56" t="e">
        <f t="shared" si="9"/>
        <v>#VALUE!</v>
      </c>
    </row>
    <row r="104" spans="1:13" ht="15" customHeight="1" x14ac:dyDescent="0.2">
      <c r="A104" s="60">
        <f>'21 2026 ÜRETİM'!A104</f>
        <v>0</v>
      </c>
      <c r="B104" s="81" t="str">
        <f>IF(A104="","",'21 2026 ÜRETİM'!D104)</f>
        <v/>
      </c>
      <c r="C104" s="81">
        <f>IF(A104="","",'21 2026 ÜRETİM'!E104)</f>
        <v>0</v>
      </c>
      <c r="D104" s="82" t="str">
        <f>IF(A104="","",'21 2026 ÜRETİM'!F104)</f>
        <v/>
      </c>
      <c r="E104" s="81">
        <f>IF(A104="","",SUMIF('22 2026 PAKETLEME'!$B$2:$B$501,A104,'22 2026 PAKETLEME'!$E$2:$E$501))</f>
        <v>0</v>
      </c>
      <c r="F104" s="82">
        <f>IF(A104="","",SUMIF('22 2026 PAKETLEME'!$B$2:$B$501,A104,'22 2026 PAKETLEME'!$G$2:$G$501))</f>
        <v>0</v>
      </c>
      <c r="G104" s="81">
        <f>IF(A104="","",SUMIF('22 2026 PAKETLEME'!$B$2:$B$501,A104,'22 2026 PAKETLEME'!$H$2:$H$501))</f>
        <v>0</v>
      </c>
      <c r="H104" s="81" t="e">
        <f t="shared" si="5"/>
        <v>#VALUE!</v>
      </c>
      <c r="I104" s="82">
        <f>IF(A104="","",SUMIF('23 2026 SEVKİYAT'!$E$2:$E$501,A104,'23 2026 SEVKİYAT'!$H$2:$H$501))</f>
        <v>0</v>
      </c>
      <c r="J104" s="81">
        <f t="shared" si="6"/>
        <v>0</v>
      </c>
      <c r="K104" s="81" t="e">
        <f t="shared" si="7"/>
        <v>#VALUE!</v>
      </c>
      <c r="L104" s="58" t="e">
        <f t="shared" si="8"/>
        <v>#VALUE!</v>
      </c>
      <c r="M104" s="56" t="e">
        <f t="shared" si="9"/>
        <v>#VALUE!</v>
      </c>
    </row>
    <row r="105" spans="1:13" ht="15" customHeight="1" x14ac:dyDescent="0.2">
      <c r="A105" s="60">
        <f>'21 2026 ÜRETİM'!A105</f>
        <v>0</v>
      </c>
      <c r="B105" s="81" t="str">
        <f>IF(A105="","",'21 2026 ÜRETİM'!D105)</f>
        <v/>
      </c>
      <c r="C105" s="81">
        <f>IF(A105="","",'21 2026 ÜRETİM'!E105)</f>
        <v>0</v>
      </c>
      <c r="D105" s="82" t="str">
        <f>IF(A105="","",'21 2026 ÜRETİM'!F105)</f>
        <v/>
      </c>
      <c r="E105" s="81">
        <f>IF(A105="","",SUMIF('22 2026 PAKETLEME'!$B$2:$B$501,A105,'22 2026 PAKETLEME'!$E$2:$E$501))</f>
        <v>0</v>
      </c>
      <c r="F105" s="82">
        <f>IF(A105="","",SUMIF('22 2026 PAKETLEME'!$B$2:$B$501,A105,'22 2026 PAKETLEME'!$G$2:$G$501))</f>
        <v>0</v>
      </c>
      <c r="G105" s="81">
        <f>IF(A105="","",SUMIF('22 2026 PAKETLEME'!$B$2:$B$501,A105,'22 2026 PAKETLEME'!$H$2:$H$501))</f>
        <v>0</v>
      </c>
      <c r="H105" s="81" t="e">
        <f t="shared" si="5"/>
        <v>#VALUE!</v>
      </c>
      <c r="I105" s="82">
        <f>IF(A105="","",SUMIF('23 2026 SEVKİYAT'!$E$2:$E$501,A105,'23 2026 SEVKİYAT'!$H$2:$H$501))</f>
        <v>0</v>
      </c>
      <c r="J105" s="81">
        <f t="shared" si="6"/>
        <v>0</v>
      </c>
      <c r="K105" s="81" t="e">
        <f t="shared" si="7"/>
        <v>#VALUE!</v>
      </c>
      <c r="L105" s="58" t="e">
        <f t="shared" si="8"/>
        <v>#VALUE!</v>
      </c>
      <c r="M105" s="56" t="e">
        <f t="shared" si="9"/>
        <v>#VALUE!</v>
      </c>
    </row>
    <row r="106" spans="1:13" ht="15" customHeight="1" x14ac:dyDescent="0.2">
      <c r="A106" s="60">
        <f>'21 2026 ÜRETİM'!A106</f>
        <v>0</v>
      </c>
      <c r="B106" s="81" t="str">
        <f>IF(A106="","",'21 2026 ÜRETİM'!D106)</f>
        <v/>
      </c>
      <c r="C106" s="81">
        <f>IF(A106="","",'21 2026 ÜRETİM'!E106)</f>
        <v>0</v>
      </c>
      <c r="D106" s="82" t="str">
        <f>IF(A106="","",'21 2026 ÜRETİM'!F106)</f>
        <v/>
      </c>
      <c r="E106" s="81">
        <f>IF(A106="","",SUMIF('22 2026 PAKETLEME'!$B$2:$B$501,A106,'22 2026 PAKETLEME'!$E$2:$E$501))</f>
        <v>0</v>
      </c>
      <c r="F106" s="82">
        <f>IF(A106="","",SUMIF('22 2026 PAKETLEME'!$B$2:$B$501,A106,'22 2026 PAKETLEME'!$G$2:$G$501))</f>
        <v>0</v>
      </c>
      <c r="G106" s="81">
        <f>IF(A106="","",SUMIF('22 2026 PAKETLEME'!$B$2:$B$501,A106,'22 2026 PAKETLEME'!$H$2:$H$501))</f>
        <v>0</v>
      </c>
      <c r="H106" s="81" t="e">
        <f t="shared" si="5"/>
        <v>#VALUE!</v>
      </c>
      <c r="I106" s="82">
        <f>IF(A106="","",SUMIF('23 2026 SEVKİYAT'!$E$2:$E$501,A106,'23 2026 SEVKİYAT'!$H$2:$H$501))</f>
        <v>0</v>
      </c>
      <c r="J106" s="81">
        <f t="shared" si="6"/>
        <v>0</v>
      </c>
      <c r="K106" s="81" t="e">
        <f t="shared" si="7"/>
        <v>#VALUE!</v>
      </c>
      <c r="L106" s="58" t="e">
        <f t="shared" si="8"/>
        <v>#VALUE!</v>
      </c>
      <c r="M106" s="56" t="e">
        <f t="shared" si="9"/>
        <v>#VALUE!</v>
      </c>
    </row>
    <row r="107" spans="1:13" ht="15" customHeight="1" x14ac:dyDescent="0.2">
      <c r="A107" s="60">
        <f>'21 2026 ÜRETİM'!A107</f>
        <v>0</v>
      </c>
      <c r="B107" s="81" t="str">
        <f>IF(A107="","",'21 2026 ÜRETİM'!D107)</f>
        <v/>
      </c>
      <c r="C107" s="81">
        <f>IF(A107="","",'21 2026 ÜRETİM'!E107)</f>
        <v>0</v>
      </c>
      <c r="D107" s="82" t="str">
        <f>IF(A107="","",'21 2026 ÜRETİM'!F107)</f>
        <v/>
      </c>
      <c r="E107" s="81">
        <f>IF(A107="","",SUMIF('22 2026 PAKETLEME'!$B$2:$B$501,A107,'22 2026 PAKETLEME'!$E$2:$E$501))</f>
        <v>0</v>
      </c>
      <c r="F107" s="82">
        <f>IF(A107="","",SUMIF('22 2026 PAKETLEME'!$B$2:$B$501,A107,'22 2026 PAKETLEME'!$G$2:$G$501))</f>
        <v>0</v>
      </c>
      <c r="G107" s="81">
        <f>IF(A107="","",SUMIF('22 2026 PAKETLEME'!$B$2:$B$501,A107,'22 2026 PAKETLEME'!$H$2:$H$501))</f>
        <v>0</v>
      </c>
      <c r="H107" s="81" t="e">
        <f t="shared" si="5"/>
        <v>#VALUE!</v>
      </c>
      <c r="I107" s="82">
        <f>IF(A107="","",SUMIF('23 2026 SEVKİYAT'!$E$2:$E$501,A107,'23 2026 SEVKİYAT'!$H$2:$H$501))</f>
        <v>0</v>
      </c>
      <c r="J107" s="81">
        <f t="shared" si="6"/>
        <v>0</v>
      </c>
      <c r="K107" s="81" t="e">
        <f t="shared" si="7"/>
        <v>#VALUE!</v>
      </c>
      <c r="L107" s="58" t="e">
        <f t="shared" si="8"/>
        <v>#VALUE!</v>
      </c>
      <c r="M107" s="56" t="e">
        <f t="shared" si="9"/>
        <v>#VALUE!</v>
      </c>
    </row>
    <row r="108" spans="1:13" ht="15" customHeight="1" x14ac:dyDescent="0.2">
      <c r="A108" s="60">
        <f>'21 2026 ÜRETİM'!A108</f>
        <v>0</v>
      </c>
      <c r="B108" s="81" t="str">
        <f>IF(A108="","",'21 2026 ÜRETİM'!D108)</f>
        <v/>
      </c>
      <c r="C108" s="81">
        <f>IF(A108="","",'21 2026 ÜRETİM'!E108)</f>
        <v>0</v>
      </c>
      <c r="D108" s="82" t="str">
        <f>IF(A108="","",'21 2026 ÜRETİM'!F108)</f>
        <v/>
      </c>
      <c r="E108" s="81">
        <f>IF(A108="","",SUMIF('22 2026 PAKETLEME'!$B$2:$B$501,A108,'22 2026 PAKETLEME'!$E$2:$E$501))</f>
        <v>0</v>
      </c>
      <c r="F108" s="82">
        <f>IF(A108="","",SUMIF('22 2026 PAKETLEME'!$B$2:$B$501,A108,'22 2026 PAKETLEME'!$G$2:$G$501))</f>
        <v>0</v>
      </c>
      <c r="G108" s="81">
        <f>IF(A108="","",SUMIF('22 2026 PAKETLEME'!$B$2:$B$501,A108,'22 2026 PAKETLEME'!$H$2:$H$501))</f>
        <v>0</v>
      </c>
      <c r="H108" s="81" t="e">
        <f t="shared" si="5"/>
        <v>#VALUE!</v>
      </c>
      <c r="I108" s="82">
        <f>IF(A108="","",SUMIF('23 2026 SEVKİYAT'!$E$2:$E$501,A108,'23 2026 SEVKİYAT'!$H$2:$H$501))</f>
        <v>0</v>
      </c>
      <c r="J108" s="81">
        <f t="shared" si="6"/>
        <v>0</v>
      </c>
      <c r="K108" s="81" t="e">
        <f t="shared" si="7"/>
        <v>#VALUE!</v>
      </c>
      <c r="L108" s="58" t="e">
        <f t="shared" si="8"/>
        <v>#VALUE!</v>
      </c>
      <c r="M108" s="56" t="e">
        <f t="shared" si="9"/>
        <v>#VALUE!</v>
      </c>
    </row>
    <row r="109" spans="1:13" ht="15" customHeight="1" x14ac:dyDescent="0.2">
      <c r="A109" s="60">
        <f>'21 2026 ÜRETİM'!A109</f>
        <v>0</v>
      </c>
      <c r="B109" s="81" t="str">
        <f>IF(A109="","",'21 2026 ÜRETİM'!D109)</f>
        <v/>
      </c>
      <c r="C109" s="81">
        <f>IF(A109="","",'21 2026 ÜRETİM'!E109)</f>
        <v>0</v>
      </c>
      <c r="D109" s="82" t="str">
        <f>IF(A109="","",'21 2026 ÜRETİM'!F109)</f>
        <v/>
      </c>
      <c r="E109" s="81">
        <f>IF(A109="","",SUMIF('22 2026 PAKETLEME'!$B$2:$B$501,A109,'22 2026 PAKETLEME'!$E$2:$E$501))</f>
        <v>0</v>
      </c>
      <c r="F109" s="82">
        <f>IF(A109="","",SUMIF('22 2026 PAKETLEME'!$B$2:$B$501,A109,'22 2026 PAKETLEME'!$G$2:$G$501))</f>
        <v>0</v>
      </c>
      <c r="G109" s="81">
        <f>IF(A109="","",SUMIF('22 2026 PAKETLEME'!$B$2:$B$501,A109,'22 2026 PAKETLEME'!$H$2:$H$501))</f>
        <v>0</v>
      </c>
      <c r="H109" s="81" t="e">
        <f t="shared" si="5"/>
        <v>#VALUE!</v>
      </c>
      <c r="I109" s="82">
        <f>IF(A109="","",SUMIF('23 2026 SEVKİYAT'!$E$2:$E$501,A109,'23 2026 SEVKİYAT'!$H$2:$H$501))</f>
        <v>0</v>
      </c>
      <c r="J109" s="81">
        <f t="shared" si="6"/>
        <v>0</v>
      </c>
      <c r="K109" s="81" t="e">
        <f t="shared" si="7"/>
        <v>#VALUE!</v>
      </c>
      <c r="L109" s="58" t="e">
        <f t="shared" si="8"/>
        <v>#VALUE!</v>
      </c>
      <c r="M109" s="56" t="e">
        <f t="shared" si="9"/>
        <v>#VALUE!</v>
      </c>
    </row>
    <row r="110" spans="1:13" ht="15" customHeight="1" x14ac:dyDescent="0.2">
      <c r="A110" s="60">
        <f>'21 2026 ÜRETİM'!A110</f>
        <v>0</v>
      </c>
      <c r="B110" s="81" t="str">
        <f>IF(A110="","",'21 2026 ÜRETİM'!D110)</f>
        <v/>
      </c>
      <c r="C110" s="81">
        <f>IF(A110="","",'21 2026 ÜRETİM'!E110)</f>
        <v>0</v>
      </c>
      <c r="D110" s="82" t="str">
        <f>IF(A110="","",'21 2026 ÜRETİM'!F110)</f>
        <v/>
      </c>
      <c r="E110" s="81">
        <f>IF(A110="","",SUMIF('22 2026 PAKETLEME'!$B$2:$B$501,A110,'22 2026 PAKETLEME'!$E$2:$E$501))</f>
        <v>0</v>
      </c>
      <c r="F110" s="82">
        <f>IF(A110="","",SUMIF('22 2026 PAKETLEME'!$B$2:$B$501,A110,'22 2026 PAKETLEME'!$G$2:$G$501))</f>
        <v>0</v>
      </c>
      <c r="G110" s="81">
        <f>IF(A110="","",SUMIF('22 2026 PAKETLEME'!$B$2:$B$501,A110,'22 2026 PAKETLEME'!$H$2:$H$501))</f>
        <v>0</v>
      </c>
      <c r="H110" s="81" t="e">
        <f t="shared" si="5"/>
        <v>#VALUE!</v>
      </c>
      <c r="I110" s="82">
        <f>IF(A110="","",SUMIF('23 2026 SEVKİYAT'!$E$2:$E$501,A110,'23 2026 SEVKİYAT'!$H$2:$H$501))</f>
        <v>0</v>
      </c>
      <c r="J110" s="81">
        <f t="shared" si="6"/>
        <v>0</v>
      </c>
      <c r="K110" s="81" t="e">
        <f t="shared" si="7"/>
        <v>#VALUE!</v>
      </c>
      <c r="L110" s="58" t="e">
        <f t="shared" si="8"/>
        <v>#VALUE!</v>
      </c>
      <c r="M110" s="56" t="e">
        <f t="shared" si="9"/>
        <v>#VALUE!</v>
      </c>
    </row>
    <row r="111" spans="1:13" ht="15" customHeight="1" x14ac:dyDescent="0.2">
      <c r="A111" s="60">
        <f>'21 2026 ÜRETİM'!A111</f>
        <v>0</v>
      </c>
      <c r="B111" s="81" t="str">
        <f>IF(A111="","",'21 2026 ÜRETİM'!D111)</f>
        <v/>
      </c>
      <c r="C111" s="81">
        <f>IF(A111="","",'21 2026 ÜRETİM'!E111)</f>
        <v>0</v>
      </c>
      <c r="D111" s="82" t="str">
        <f>IF(A111="","",'21 2026 ÜRETİM'!F111)</f>
        <v/>
      </c>
      <c r="E111" s="81">
        <f>IF(A111="","",SUMIF('22 2026 PAKETLEME'!$B$2:$B$501,A111,'22 2026 PAKETLEME'!$E$2:$E$501))</f>
        <v>0</v>
      </c>
      <c r="F111" s="82">
        <f>IF(A111="","",SUMIF('22 2026 PAKETLEME'!$B$2:$B$501,A111,'22 2026 PAKETLEME'!$G$2:$G$501))</f>
        <v>0</v>
      </c>
      <c r="G111" s="81">
        <f>IF(A111="","",SUMIF('22 2026 PAKETLEME'!$B$2:$B$501,A111,'22 2026 PAKETLEME'!$H$2:$H$501))</f>
        <v>0</v>
      </c>
      <c r="H111" s="81" t="e">
        <f t="shared" si="5"/>
        <v>#VALUE!</v>
      </c>
      <c r="I111" s="82">
        <f>IF(A111="","",SUMIF('23 2026 SEVKİYAT'!$E$2:$E$501,A111,'23 2026 SEVKİYAT'!$H$2:$H$501))</f>
        <v>0</v>
      </c>
      <c r="J111" s="81">
        <f t="shared" si="6"/>
        <v>0</v>
      </c>
      <c r="K111" s="81" t="e">
        <f t="shared" si="7"/>
        <v>#VALUE!</v>
      </c>
      <c r="L111" s="58" t="e">
        <f t="shared" si="8"/>
        <v>#VALUE!</v>
      </c>
      <c r="M111" s="56" t="e">
        <f t="shared" si="9"/>
        <v>#VALUE!</v>
      </c>
    </row>
    <row r="112" spans="1:13" ht="15" customHeight="1" x14ac:dyDescent="0.2">
      <c r="A112" s="60">
        <f>'21 2026 ÜRETİM'!A112</f>
        <v>0</v>
      </c>
      <c r="B112" s="81" t="str">
        <f>IF(A112="","",'21 2026 ÜRETİM'!D112)</f>
        <v/>
      </c>
      <c r="C112" s="81">
        <f>IF(A112="","",'21 2026 ÜRETİM'!E112)</f>
        <v>0</v>
      </c>
      <c r="D112" s="82" t="str">
        <f>IF(A112="","",'21 2026 ÜRETİM'!F112)</f>
        <v/>
      </c>
      <c r="E112" s="81">
        <f>IF(A112="","",SUMIF('22 2026 PAKETLEME'!$B$2:$B$501,A112,'22 2026 PAKETLEME'!$E$2:$E$501))</f>
        <v>0</v>
      </c>
      <c r="F112" s="82">
        <f>IF(A112="","",SUMIF('22 2026 PAKETLEME'!$B$2:$B$501,A112,'22 2026 PAKETLEME'!$G$2:$G$501))</f>
        <v>0</v>
      </c>
      <c r="G112" s="81">
        <f>IF(A112="","",SUMIF('22 2026 PAKETLEME'!$B$2:$B$501,A112,'22 2026 PAKETLEME'!$H$2:$H$501))</f>
        <v>0</v>
      </c>
      <c r="H112" s="81" t="e">
        <f t="shared" si="5"/>
        <v>#VALUE!</v>
      </c>
      <c r="I112" s="82">
        <f>IF(A112="","",SUMIF('23 2026 SEVKİYAT'!$E$2:$E$501,A112,'23 2026 SEVKİYAT'!$H$2:$H$501))</f>
        <v>0</v>
      </c>
      <c r="J112" s="81">
        <f t="shared" si="6"/>
        <v>0</v>
      </c>
      <c r="K112" s="81" t="e">
        <f t="shared" si="7"/>
        <v>#VALUE!</v>
      </c>
      <c r="L112" s="58" t="e">
        <f t="shared" si="8"/>
        <v>#VALUE!</v>
      </c>
      <c r="M112" s="56" t="e">
        <f t="shared" si="9"/>
        <v>#VALUE!</v>
      </c>
    </row>
    <row r="113" spans="1:13" ht="15" customHeight="1" x14ac:dyDescent="0.2">
      <c r="A113" s="60">
        <f>'21 2026 ÜRETİM'!A113</f>
        <v>0</v>
      </c>
      <c r="B113" s="81" t="str">
        <f>IF(A113="","",'21 2026 ÜRETİM'!D113)</f>
        <v/>
      </c>
      <c r="C113" s="81">
        <f>IF(A113="","",'21 2026 ÜRETİM'!E113)</f>
        <v>0</v>
      </c>
      <c r="D113" s="82" t="str">
        <f>IF(A113="","",'21 2026 ÜRETİM'!F113)</f>
        <v/>
      </c>
      <c r="E113" s="81">
        <f>IF(A113="","",SUMIF('22 2026 PAKETLEME'!$B$2:$B$501,A113,'22 2026 PAKETLEME'!$E$2:$E$501))</f>
        <v>0</v>
      </c>
      <c r="F113" s="82">
        <f>IF(A113="","",SUMIF('22 2026 PAKETLEME'!$B$2:$B$501,A113,'22 2026 PAKETLEME'!$G$2:$G$501))</f>
        <v>0</v>
      </c>
      <c r="G113" s="81">
        <f>IF(A113="","",SUMIF('22 2026 PAKETLEME'!$B$2:$B$501,A113,'22 2026 PAKETLEME'!$H$2:$H$501))</f>
        <v>0</v>
      </c>
      <c r="H113" s="81" t="e">
        <f t="shared" si="5"/>
        <v>#VALUE!</v>
      </c>
      <c r="I113" s="82">
        <f>IF(A113="","",SUMIF('23 2026 SEVKİYAT'!$E$2:$E$501,A113,'23 2026 SEVKİYAT'!$H$2:$H$501))</f>
        <v>0</v>
      </c>
      <c r="J113" s="81">
        <f t="shared" si="6"/>
        <v>0</v>
      </c>
      <c r="K113" s="81" t="e">
        <f t="shared" si="7"/>
        <v>#VALUE!</v>
      </c>
      <c r="L113" s="58" t="e">
        <f t="shared" si="8"/>
        <v>#VALUE!</v>
      </c>
      <c r="M113" s="56" t="e">
        <f t="shared" si="9"/>
        <v>#VALUE!</v>
      </c>
    </row>
    <row r="114" spans="1:13" ht="15" customHeight="1" x14ac:dyDescent="0.2">
      <c r="A114" s="60">
        <f>'21 2026 ÜRETİM'!A114</f>
        <v>0</v>
      </c>
      <c r="B114" s="81" t="str">
        <f>IF(A114="","",'21 2026 ÜRETİM'!D114)</f>
        <v/>
      </c>
      <c r="C114" s="81">
        <f>IF(A114="","",'21 2026 ÜRETİM'!E114)</f>
        <v>0</v>
      </c>
      <c r="D114" s="82" t="str">
        <f>IF(A114="","",'21 2026 ÜRETİM'!F114)</f>
        <v/>
      </c>
      <c r="E114" s="81">
        <f>IF(A114="","",SUMIF('22 2026 PAKETLEME'!$B$2:$B$501,A114,'22 2026 PAKETLEME'!$E$2:$E$501))</f>
        <v>0</v>
      </c>
      <c r="F114" s="82">
        <f>IF(A114="","",SUMIF('22 2026 PAKETLEME'!$B$2:$B$501,A114,'22 2026 PAKETLEME'!$G$2:$G$501))</f>
        <v>0</v>
      </c>
      <c r="G114" s="81">
        <f>IF(A114="","",SUMIF('22 2026 PAKETLEME'!$B$2:$B$501,A114,'22 2026 PAKETLEME'!$H$2:$H$501))</f>
        <v>0</v>
      </c>
      <c r="H114" s="81" t="e">
        <f t="shared" si="5"/>
        <v>#VALUE!</v>
      </c>
      <c r="I114" s="82">
        <f>IF(A114="","",SUMIF('23 2026 SEVKİYAT'!$E$2:$E$501,A114,'23 2026 SEVKİYAT'!$H$2:$H$501))</f>
        <v>0</v>
      </c>
      <c r="J114" s="81">
        <f t="shared" si="6"/>
        <v>0</v>
      </c>
      <c r="K114" s="81" t="e">
        <f t="shared" si="7"/>
        <v>#VALUE!</v>
      </c>
      <c r="L114" s="58" t="e">
        <f t="shared" si="8"/>
        <v>#VALUE!</v>
      </c>
      <c r="M114" s="56" t="e">
        <f t="shared" si="9"/>
        <v>#VALUE!</v>
      </c>
    </row>
    <row r="115" spans="1:13" ht="15" customHeight="1" x14ac:dyDescent="0.2">
      <c r="A115" s="60">
        <f>'21 2026 ÜRETİM'!A115</f>
        <v>0</v>
      </c>
      <c r="B115" s="81" t="str">
        <f>IF(A115="","",'21 2026 ÜRETİM'!D115)</f>
        <v/>
      </c>
      <c r="C115" s="81">
        <f>IF(A115="","",'21 2026 ÜRETİM'!E115)</f>
        <v>0</v>
      </c>
      <c r="D115" s="82" t="str">
        <f>IF(A115="","",'21 2026 ÜRETİM'!F115)</f>
        <v/>
      </c>
      <c r="E115" s="81">
        <f>IF(A115="","",SUMIF('22 2026 PAKETLEME'!$B$2:$B$501,A115,'22 2026 PAKETLEME'!$E$2:$E$501))</f>
        <v>0</v>
      </c>
      <c r="F115" s="82">
        <f>IF(A115="","",SUMIF('22 2026 PAKETLEME'!$B$2:$B$501,A115,'22 2026 PAKETLEME'!$G$2:$G$501))</f>
        <v>0</v>
      </c>
      <c r="G115" s="81">
        <f>IF(A115="","",SUMIF('22 2026 PAKETLEME'!$B$2:$B$501,A115,'22 2026 PAKETLEME'!$H$2:$H$501))</f>
        <v>0</v>
      </c>
      <c r="H115" s="81" t="e">
        <f t="shared" si="5"/>
        <v>#VALUE!</v>
      </c>
      <c r="I115" s="82">
        <f>IF(A115="","",SUMIF('23 2026 SEVKİYAT'!$E$2:$E$501,A115,'23 2026 SEVKİYAT'!$H$2:$H$501))</f>
        <v>0</v>
      </c>
      <c r="J115" s="81">
        <f t="shared" si="6"/>
        <v>0</v>
      </c>
      <c r="K115" s="81" t="e">
        <f t="shared" si="7"/>
        <v>#VALUE!</v>
      </c>
      <c r="L115" s="58" t="e">
        <f t="shared" si="8"/>
        <v>#VALUE!</v>
      </c>
      <c r="M115" s="56" t="e">
        <f t="shared" si="9"/>
        <v>#VALUE!</v>
      </c>
    </row>
    <row r="116" spans="1:13" ht="15" customHeight="1" x14ac:dyDescent="0.2">
      <c r="A116" s="60">
        <f>'21 2026 ÜRETİM'!A116</f>
        <v>0</v>
      </c>
      <c r="B116" s="81" t="str">
        <f>IF(A116="","",'21 2026 ÜRETİM'!D116)</f>
        <v/>
      </c>
      <c r="C116" s="81">
        <f>IF(A116="","",'21 2026 ÜRETİM'!E116)</f>
        <v>0</v>
      </c>
      <c r="D116" s="82" t="str">
        <f>IF(A116="","",'21 2026 ÜRETİM'!F116)</f>
        <v/>
      </c>
      <c r="E116" s="81">
        <f>IF(A116="","",SUMIF('22 2026 PAKETLEME'!$B$2:$B$501,A116,'22 2026 PAKETLEME'!$E$2:$E$501))</f>
        <v>0</v>
      </c>
      <c r="F116" s="82">
        <f>IF(A116="","",SUMIF('22 2026 PAKETLEME'!$B$2:$B$501,A116,'22 2026 PAKETLEME'!$G$2:$G$501))</f>
        <v>0</v>
      </c>
      <c r="G116" s="81">
        <f>IF(A116="","",SUMIF('22 2026 PAKETLEME'!$B$2:$B$501,A116,'22 2026 PAKETLEME'!$H$2:$H$501))</f>
        <v>0</v>
      </c>
      <c r="H116" s="81" t="e">
        <f t="shared" si="5"/>
        <v>#VALUE!</v>
      </c>
      <c r="I116" s="82">
        <f>IF(A116="","",SUMIF('23 2026 SEVKİYAT'!$E$2:$E$501,A116,'23 2026 SEVKİYAT'!$H$2:$H$501))</f>
        <v>0</v>
      </c>
      <c r="J116" s="81">
        <f t="shared" si="6"/>
        <v>0</v>
      </c>
      <c r="K116" s="81" t="e">
        <f t="shared" si="7"/>
        <v>#VALUE!</v>
      </c>
      <c r="L116" s="58" t="e">
        <f t="shared" si="8"/>
        <v>#VALUE!</v>
      </c>
      <c r="M116" s="56" t="e">
        <f t="shared" si="9"/>
        <v>#VALUE!</v>
      </c>
    </row>
    <row r="117" spans="1:13" ht="15" customHeight="1" x14ac:dyDescent="0.2">
      <c r="A117" s="60">
        <f>'21 2026 ÜRETİM'!A117</f>
        <v>0</v>
      </c>
      <c r="B117" s="81" t="str">
        <f>IF(A117="","",'21 2026 ÜRETİM'!D117)</f>
        <v/>
      </c>
      <c r="C117" s="81">
        <f>IF(A117="","",'21 2026 ÜRETİM'!E117)</f>
        <v>0</v>
      </c>
      <c r="D117" s="82" t="str">
        <f>IF(A117="","",'21 2026 ÜRETİM'!F117)</f>
        <v/>
      </c>
      <c r="E117" s="81">
        <f>IF(A117="","",SUMIF('22 2026 PAKETLEME'!$B$2:$B$501,A117,'22 2026 PAKETLEME'!$E$2:$E$501))</f>
        <v>0</v>
      </c>
      <c r="F117" s="82">
        <f>IF(A117="","",SUMIF('22 2026 PAKETLEME'!$B$2:$B$501,A117,'22 2026 PAKETLEME'!$G$2:$G$501))</f>
        <v>0</v>
      </c>
      <c r="G117" s="81">
        <f>IF(A117="","",SUMIF('22 2026 PAKETLEME'!$B$2:$B$501,A117,'22 2026 PAKETLEME'!$H$2:$H$501))</f>
        <v>0</v>
      </c>
      <c r="H117" s="81" t="e">
        <f t="shared" si="5"/>
        <v>#VALUE!</v>
      </c>
      <c r="I117" s="82">
        <f>IF(A117="","",SUMIF('23 2026 SEVKİYAT'!$E$2:$E$501,A117,'23 2026 SEVKİYAT'!$H$2:$H$501))</f>
        <v>0</v>
      </c>
      <c r="J117" s="81">
        <f t="shared" si="6"/>
        <v>0</v>
      </c>
      <c r="K117" s="81" t="e">
        <f t="shared" si="7"/>
        <v>#VALUE!</v>
      </c>
      <c r="L117" s="58" t="e">
        <f t="shared" si="8"/>
        <v>#VALUE!</v>
      </c>
      <c r="M117" s="56" t="e">
        <f t="shared" si="9"/>
        <v>#VALUE!</v>
      </c>
    </row>
    <row r="118" spans="1:13" ht="15" customHeight="1" x14ac:dyDescent="0.2">
      <c r="A118" s="60">
        <f>'21 2026 ÜRETİM'!A118</f>
        <v>0</v>
      </c>
      <c r="B118" s="81" t="str">
        <f>IF(A118="","",'21 2026 ÜRETİM'!D118)</f>
        <v/>
      </c>
      <c r="C118" s="81">
        <f>IF(A118="","",'21 2026 ÜRETİM'!E118)</f>
        <v>0</v>
      </c>
      <c r="D118" s="82" t="str">
        <f>IF(A118="","",'21 2026 ÜRETİM'!F118)</f>
        <v/>
      </c>
      <c r="E118" s="81">
        <f>IF(A118="","",SUMIF('22 2026 PAKETLEME'!$B$2:$B$501,A118,'22 2026 PAKETLEME'!$E$2:$E$501))</f>
        <v>0</v>
      </c>
      <c r="F118" s="82">
        <f>IF(A118="","",SUMIF('22 2026 PAKETLEME'!$B$2:$B$501,A118,'22 2026 PAKETLEME'!$G$2:$G$501))</f>
        <v>0</v>
      </c>
      <c r="G118" s="81">
        <f>IF(A118="","",SUMIF('22 2026 PAKETLEME'!$B$2:$B$501,A118,'22 2026 PAKETLEME'!$H$2:$H$501))</f>
        <v>0</v>
      </c>
      <c r="H118" s="81" t="e">
        <f t="shared" si="5"/>
        <v>#VALUE!</v>
      </c>
      <c r="I118" s="82">
        <f>IF(A118="","",SUMIF('23 2026 SEVKİYAT'!$E$2:$E$501,A118,'23 2026 SEVKİYAT'!$H$2:$H$501))</f>
        <v>0</v>
      </c>
      <c r="J118" s="81">
        <f t="shared" si="6"/>
        <v>0</v>
      </c>
      <c r="K118" s="81" t="e">
        <f t="shared" si="7"/>
        <v>#VALUE!</v>
      </c>
      <c r="L118" s="58" t="e">
        <f t="shared" si="8"/>
        <v>#VALUE!</v>
      </c>
      <c r="M118" s="56" t="e">
        <f t="shared" si="9"/>
        <v>#VALUE!</v>
      </c>
    </row>
    <row r="119" spans="1:13" ht="15" customHeight="1" x14ac:dyDescent="0.2">
      <c r="A119" s="60">
        <f>'21 2026 ÜRETİM'!A119</f>
        <v>0</v>
      </c>
      <c r="B119" s="81" t="str">
        <f>IF(A119="","",'21 2026 ÜRETİM'!D119)</f>
        <v/>
      </c>
      <c r="C119" s="81">
        <f>IF(A119="","",'21 2026 ÜRETİM'!E119)</f>
        <v>0</v>
      </c>
      <c r="D119" s="82" t="str">
        <f>IF(A119="","",'21 2026 ÜRETİM'!F119)</f>
        <v/>
      </c>
      <c r="E119" s="81">
        <f>IF(A119="","",SUMIF('22 2026 PAKETLEME'!$B$2:$B$501,A119,'22 2026 PAKETLEME'!$E$2:$E$501))</f>
        <v>0</v>
      </c>
      <c r="F119" s="82">
        <f>IF(A119="","",SUMIF('22 2026 PAKETLEME'!$B$2:$B$501,A119,'22 2026 PAKETLEME'!$G$2:$G$501))</f>
        <v>0</v>
      </c>
      <c r="G119" s="81">
        <f>IF(A119="","",SUMIF('22 2026 PAKETLEME'!$B$2:$B$501,A119,'22 2026 PAKETLEME'!$H$2:$H$501))</f>
        <v>0</v>
      </c>
      <c r="H119" s="81" t="e">
        <f t="shared" si="5"/>
        <v>#VALUE!</v>
      </c>
      <c r="I119" s="82">
        <f>IF(A119="","",SUMIF('23 2026 SEVKİYAT'!$E$2:$E$501,A119,'23 2026 SEVKİYAT'!$H$2:$H$501))</f>
        <v>0</v>
      </c>
      <c r="J119" s="81">
        <f t="shared" si="6"/>
        <v>0</v>
      </c>
      <c r="K119" s="81" t="e">
        <f t="shared" si="7"/>
        <v>#VALUE!</v>
      </c>
      <c r="L119" s="58" t="e">
        <f t="shared" si="8"/>
        <v>#VALUE!</v>
      </c>
      <c r="M119" s="56" t="e">
        <f t="shared" si="9"/>
        <v>#VALUE!</v>
      </c>
    </row>
    <row r="120" spans="1:13" ht="15" customHeight="1" x14ac:dyDescent="0.2">
      <c r="A120" s="60">
        <f>'21 2026 ÜRETİM'!A120</f>
        <v>0</v>
      </c>
      <c r="B120" s="81" t="str">
        <f>IF(A120="","",'21 2026 ÜRETİM'!D120)</f>
        <v/>
      </c>
      <c r="C120" s="81">
        <f>IF(A120="","",'21 2026 ÜRETİM'!E120)</f>
        <v>0</v>
      </c>
      <c r="D120" s="82" t="str">
        <f>IF(A120="","",'21 2026 ÜRETİM'!F120)</f>
        <v/>
      </c>
      <c r="E120" s="81">
        <f>IF(A120="","",SUMIF('22 2026 PAKETLEME'!$B$2:$B$501,A120,'22 2026 PAKETLEME'!$E$2:$E$501))</f>
        <v>0</v>
      </c>
      <c r="F120" s="82">
        <f>IF(A120="","",SUMIF('22 2026 PAKETLEME'!$B$2:$B$501,A120,'22 2026 PAKETLEME'!$G$2:$G$501))</f>
        <v>0</v>
      </c>
      <c r="G120" s="81">
        <f>IF(A120="","",SUMIF('22 2026 PAKETLEME'!$B$2:$B$501,A120,'22 2026 PAKETLEME'!$H$2:$H$501))</f>
        <v>0</v>
      </c>
      <c r="H120" s="81" t="e">
        <f t="shared" si="5"/>
        <v>#VALUE!</v>
      </c>
      <c r="I120" s="82">
        <f>IF(A120="","",SUMIF('23 2026 SEVKİYAT'!$E$2:$E$501,A120,'23 2026 SEVKİYAT'!$H$2:$H$501))</f>
        <v>0</v>
      </c>
      <c r="J120" s="81">
        <f t="shared" si="6"/>
        <v>0</v>
      </c>
      <c r="K120" s="81" t="e">
        <f t="shared" si="7"/>
        <v>#VALUE!</v>
      </c>
      <c r="L120" s="58" t="e">
        <f t="shared" si="8"/>
        <v>#VALUE!</v>
      </c>
      <c r="M120" s="56" t="e">
        <f t="shared" si="9"/>
        <v>#VALUE!</v>
      </c>
    </row>
    <row r="121" spans="1:13" ht="15" customHeight="1" x14ac:dyDescent="0.2">
      <c r="A121" s="60">
        <f>'21 2026 ÜRETİM'!A121</f>
        <v>0</v>
      </c>
      <c r="B121" s="81" t="str">
        <f>IF(A121="","",'21 2026 ÜRETİM'!D121)</f>
        <v/>
      </c>
      <c r="C121" s="81">
        <f>IF(A121="","",'21 2026 ÜRETİM'!E121)</f>
        <v>0</v>
      </c>
      <c r="D121" s="82" t="str">
        <f>IF(A121="","",'21 2026 ÜRETİM'!F121)</f>
        <v/>
      </c>
      <c r="E121" s="81">
        <f>IF(A121="","",SUMIF('22 2026 PAKETLEME'!$B$2:$B$501,A121,'22 2026 PAKETLEME'!$E$2:$E$501))</f>
        <v>0</v>
      </c>
      <c r="F121" s="82">
        <f>IF(A121="","",SUMIF('22 2026 PAKETLEME'!$B$2:$B$501,A121,'22 2026 PAKETLEME'!$G$2:$G$501))</f>
        <v>0</v>
      </c>
      <c r="G121" s="81">
        <f>IF(A121="","",SUMIF('22 2026 PAKETLEME'!$B$2:$B$501,A121,'22 2026 PAKETLEME'!$H$2:$H$501))</f>
        <v>0</v>
      </c>
      <c r="H121" s="81" t="e">
        <f t="shared" si="5"/>
        <v>#VALUE!</v>
      </c>
      <c r="I121" s="82">
        <f>IF(A121="","",SUMIF('23 2026 SEVKİYAT'!$E$2:$E$501,A121,'23 2026 SEVKİYAT'!$H$2:$H$501))</f>
        <v>0</v>
      </c>
      <c r="J121" s="81">
        <f t="shared" si="6"/>
        <v>0</v>
      </c>
      <c r="K121" s="81" t="e">
        <f t="shared" si="7"/>
        <v>#VALUE!</v>
      </c>
      <c r="L121" s="58" t="e">
        <f t="shared" si="8"/>
        <v>#VALUE!</v>
      </c>
      <c r="M121" s="56" t="e">
        <f t="shared" si="9"/>
        <v>#VALUE!</v>
      </c>
    </row>
    <row r="122" spans="1:13" ht="15" customHeight="1" x14ac:dyDescent="0.2">
      <c r="A122" s="60">
        <f>'21 2026 ÜRETİM'!A122</f>
        <v>0</v>
      </c>
      <c r="B122" s="81" t="str">
        <f>IF(A122="","",'21 2026 ÜRETİM'!D122)</f>
        <v/>
      </c>
      <c r="C122" s="81">
        <f>IF(A122="","",'21 2026 ÜRETİM'!E122)</f>
        <v>0</v>
      </c>
      <c r="D122" s="82" t="str">
        <f>IF(A122="","",'21 2026 ÜRETİM'!F122)</f>
        <v/>
      </c>
      <c r="E122" s="81">
        <f>IF(A122="","",SUMIF('22 2026 PAKETLEME'!$B$2:$B$501,A122,'22 2026 PAKETLEME'!$E$2:$E$501))</f>
        <v>0</v>
      </c>
      <c r="F122" s="82">
        <f>IF(A122="","",SUMIF('22 2026 PAKETLEME'!$B$2:$B$501,A122,'22 2026 PAKETLEME'!$G$2:$G$501))</f>
        <v>0</v>
      </c>
      <c r="G122" s="81">
        <f>IF(A122="","",SUMIF('22 2026 PAKETLEME'!$B$2:$B$501,A122,'22 2026 PAKETLEME'!$H$2:$H$501))</f>
        <v>0</v>
      </c>
      <c r="H122" s="81" t="e">
        <f t="shared" si="5"/>
        <v>#VALUE!</v>
      </c>
      <c r="I122" s="82">
        <f>IF(A122="","",SUMIF('23 2026 SEVKİYAT'!$E$2:$E$501,A122,'23 2026 SEVKİYAT'!$H$2:$H$501))</f>
        <v>0</v>
      </c>
      <c r="J122" s="81">
        <f t="shared" si="6"/>
        <v>0</v>
      </c>
      <c r="K122" s="81" t="e">
        <f t="shared" si="7"/>
        <v>#VALUE!</v>
      </c>
      <c r="L122" s="58" t="e">
        <f t="shared" si="8"/>
        <v>#VALUE!</v>
      </c>
      <c r="M122" s="56" t="e">
        <f t="shared" si="9"/>
        <v>#VALUE!</v>
      </c>
    </row>
    <row r="123" spans="1:13" ht="15" customHeight="1" x14ac:dyDescent="0.2">
      <c r="A123" s="60">
        <f>'21 2026 ÜRETİM'!A123</f>
        <v>0</v>
      </c>
      <c r="B123" s="81" t="str">
        <f>IF(A123="","",'21 2026 ÜRETİM'!D123)</f>
        <v/>
      </c>
      <c r="C123" s="81">
        <f>IF(A123="","",'21 2026 ÜRETİM'!E123)</f>
        <v>0</v>
      </c>
      <c r="D123" s="82" t="str">
        <f>IF(A123="","",'21 2026 ÜRETİM'!F123)</f>
        <v/>
      </c>
      <c r="E123" s="81">
        <f>IF(A123="","",SUMIF('22 2026 PAKETLEME'!$B$2:$B$501,A123,'22 2026 PAKETLEME'!$E$2:$E$501))</f>
        <v>0</v>
      </c>
      <c r="F123" s="82">
        <f>IF(A123="","",SUMIF('22 2026 PAKETLEME'!$B$2:$B$501,A123,'22 2026 PAKETLEME'!$G$2:$G$501))</f>
        <v>0</v>
      </c>
      <c r="G123" s="81">
        <f>IF(A123="","",SUMIF('22 2026 PAKETLEME'!$B$2:$B$501,A123,'22 2026 PAKETLEME'!$H$2:$H$501))</f>
        <v>0</v>
      </c>
      <c r="H123" s="81" t="e">
        <f t="shared" si="5"/>
        <v>#VALUE!</v>
      </c>
      <c r="I123" s="82">
        <f>IF(A123="","",SUMIF('23 2026 SEVKİYAT'!$E$2:$E$501,A123,'23 2026 SEVKİYAT'!$H$2:$H$501))</f>
        <v>0</v>
      </c>
      <c r="J123" s="81">
        <f t="shared" si="6"/>
        <v>0</v>
      </c>
      <c r="K123" s="81" t="e">
        <f t="shared" si="7"/>
        <v>#VALUE!</v>
      </c>
      <c r="L123" s="58" t="e">
        <f t="shared" si="8"/>
        <v>#VALUE!</v>
      </c>
      <c r="M123" s="56" t="e">
        <f t="shared" si="9"/>
        <v>#VALUE!</v>
      </c>
    </row>
    <row r="124" spans="1:13" ht="15" customHeight="1" x14ac:dyDescent="0.2">
      <c r="A124" s="60">
        <f>'21 2026 ÜRETİM'!A124</f>
        <v>0</v>
      </c>
      <c r="B124" s="81" t="str">
        <f>IF(A124="","",'21 2026 ÜRETİM'!D124)</f>
        <v/>
      </c>
      <c r="C124" s="81">
        <f>IF(A124="","",'21 2026 ÜRETİM'!E124)</f>
        <v>0</v>
      </c>
      <c r="D124" s="82" t="str">
        <f>IF(A124="","",'21 2026 ÜRETİM'!F124)</f>
        <v/>
      </c>
      <c r="E124" s="81">
        <f>IF(A124="","",SUMIF('22 2026 PAKETLEME'!$B$2:$B$501,A124,'22 2026 PAKETLEME'!$E$2:$E$501))</f>
        <v>0</v>
      </c>
      <c r="F124" s="82">
        <f>IF(A124="","",SUMIF('22 2026 PAKETLEME'!$B$2:$B$501,A124,'22 2026 PAKETLEME'!$G$2:$G$501))</f>
        <v>0</v>
      </c>
      <c r="G124" s="81">
        <f>IF(A124="","",SUMIF('22 2026 PAKETLEME'!$B$2:$B$501,A124,'22 2026 PAKETLEME'!$H$2:$H$501))</f>
        <v>0</v>
      </c>
      <c r="H124" s="81" t="e">
        <f t="shared" si="5"/>
        <v>#VALUE!</v>
      </c>
      <c r="I124" s="82">
        <f>IF(A124="","",SUMIF('23 2026 SEVKİYAT'!$E$2:$E$501,A124,'23 2026 SEVKİYAT'!$H$2:$H$501))</f>
        <v>0</v>
      </c>
      <c r="J124" s="81">
        <f t="shared" si="6"/>
        <v>0</v>
      </c>
      <c r="K124" s="81" t="e">
        <f t="shared" si="7"/>
        <v>#VALUE!</v>
      </c>
      <c r="L124" s="58" t="e">
        <f t="shared" si="8"/>
        <v>#VALUE!</v>
      </c>
      <c r="M124" s="56" t="e">
        <f t="shared" si="9"/>
        <v>#VALUE!</v>
      </c>
    </row>
    <row r="125" spans="1:13" ht="15" customHeight="1" x14ac:dyDescent="0.2">
      <c r="A125" s="60">
        <f>'21 2026 ÜRETİM'!A125</f>
        <v>0</v>
      </c>
      <c r="B125" s="81" t="str">
        <f>IF(A125="","",'21 2026 ÜRETİM'!D125)</f>
        <v/>
      </c>
      <c r="C125" s="81">
        <f>IF(A125="","",'21 2026 ÜRETİM'!E125)</f>
        <v>0</v>
      </c>
      <c r="D125" s="82" t="str">
        <f>IF(A125="","",'21 2026 ÜRETİM'!F125)</f>
        <v/>
      </c>
      <c r="E125" s="81">
        <f>IF(A125="","",SUMIF('22 2026 PAKETLEME'!$B$2:$B$501,A125,'22 2026 PAKETLEME'!$E$2:$E$501))</f>
        <v>0</v>
      </c>
      <c r="F125" s="82">
        <f>IF(A125="","",SUMIF('22 2026 PAKETLEME'!$B$2:$B$501,A125,'22 2026 PAKETLEME'!$G$2:$G$501))</f>
        <v>0</v>
      </c>
      <c r="G125" s="81">
        <f>IF(A125="","",SUMIF('22 2026 PAKETLEME'!$B$2:$B$501,A125,'22 2026 PAKETLEME'!$H$2:$H$501))</f>
        <v>0</v>
      </c>
      <c r="H125" s="81" t="e">
        <f t="shared" si="5"/>
        <v>#VALUE!</v>
      </c>
      <c r="I125" s="82">
        <f>IF(A125="","",SUMIF('23 2026 SEVKİYAT'!$E$2:$E$501,A125,'23 2026 SEVKİYAT'!$H$2:$H$501))</f>
        <v>0</v>
      </c>
      <c r="J125" s="81">
        <f t="shared" si="6"/>
        <v>0</v>
      </c>
      <c r="K125" s="81" t="e">
        <f t="shared" si="7"/>
        <v>#VALUE!</v>
      </c>
      <c r="L125" s="58" t="e">
        <f t="shared" si="8"/>
        <v>#VALUE!</v>
      </c>
      <c r="M125" s="56" t="e">
        <f t="shared" si="9"/>
        <v>#VALUE!</v>
      </c>
    </row>
    <row r="126" spans="1:13" ht="15" customHeight="1" x14ac:dyDescent="0.2">
      <c r="A126" s="60">
        <f>'21 2026 ÜRETİM'!A126</f>
        <v>0</v>
      </c>
      <c r="B126" s="81" t="str">
        <f>IF(A126="","",'21 2026 ÜRETİM'!D126)</f>
        <v/>
      </c>
      <c r="C126" s="81">
        <f>IF(A126="","",'21 2026 ÜRETİM'!E126)</f>
        <v>0</v>
      </c>
      <c r="D126" s="82" t="str">
        <f>IF(A126="","",'21 2026 ÜRETİM'!F126)</f>
        <v/>
      </c>
      <c r="E126" s="81">
        <f>IF(A126="","",SUMIF('22 2026 PAKETLEME'!$B$2:$B$501,A126,'22 2026 PAKETLEME'!$E$2:$E$501))</f>
        <v>0</v>
      </c>
      <c r="F126" s="82">
        <f>IF(A126="","",SUMIF('22 2026 PAKETLEME'!$B$2:$B$501,A126,'22 2026 PAKETLEME'!$G$2:$G$501))</f>
        <v>0</v>
      </c>
      <c r="G126" s="81">
        <f>IF(A126="","",SUMIF('22 2026 PAKETLEME'!$B$2:$B$501,A126,'22 2026 PAKETLEME'!$H$2:$H$501))</f>
        <v>0</v>
      </c>
      <c r="H126" s="81" t="e">
        <f t="shared" si="5"/>
        <v>#VALUE!</v>
      </c>
      <c r="I126" s="82">
        <f>IF(A126="","",SUMIF('23 2026 SEVKİYAT'!$E$2:$E$501,A126,'23 2026 SEVKİYAT'!$H$2:$H$501))</f>
        <v>0</v>
      </c>
      <c r="J126" s="81">
        <f t="shared" si="6"/>
        <v>0</v>
      </c>
      <c r="K126" s="81" t="e">
        <f t="shared" si="7"/>
        <v>#VALUE!</v>
      </c>
      <c r="L126" s="58" t="e">
        <f t="shared" si="8"/>
        <v>#VALUE!</v>
      </c>
      <c r="M126" s="56" t="e">
        <f t="shared" si="9"/>
        <v>#VALUE!</v>
      </c>
    </row>
    <row r="127" spans="1:13" ht="15" customHeight="1" x14ac:dyDescent="0.2">
      <c r="A127" s="60">
        <f>'21 2026 ÜRETİM'!A127</f>
        <v>0</v>
      </c>
      <c r="B127" s="81" t="str">
        <f>IF(A127="","",'21 2026 ÜRETİM'!D127)</f>
        <v/>
      </c>
      <c r="C127" s="81">
        <f>IF(A127="","",'21 2026 ÜRETİM'!E127)</f>
        <v>0</v>
      </c>
      <c r="D127" s="82" t="str">
        <f>IF(A127="","",'21 2026 ÜRETİM'!F127)</f>
        <v/>
      </c>
      <c r="E127" s="81">
        <f>IF(A127="","",SUMIF('22 2026 PAKETLEME'!$B$2:$B$501,A127,'22 2026 PAKETLEME'!$E$2:$E$501))</f>
        <v>0</v>
      </c>
      <c r="F127" s="82">
        <f>IF(A127="","",SUMIF('22 2026 PAKETLEME'!$B$2:$B$501,A127,'22 2026 PAKETLEME'!$G$2:$G$501))</f>
        <v>0</v>
      </c>
      <c r="G127" s="81">
        <f>IF(A127="","",SUMIF('22 2026 PAKETLEME'!$B$2:$B$501,A127,'22 2026 PAKETLEME'!$H$2:$H$501))</f>
        <v>0</v>
      </c>
      <c r="H127" s="81" t="e">
        <f t="shared" si="5"/>
        <v>#VALUE!</v>
      </c>
      <c r="I127" s="82">
        <f>IF(A127="","",SUMIF('23 2026 SEVKİYAT'!$E$2:$E$501,A127,'23 2026 SEVKİYAT'!$H$2:$H$501))</f>
        <v>0</v>
      </c>
      <c r="J127" s="81">
        <f t="shared" si="6"/>
        <v>0</v>
      </c>
      <c r="K127" s="81" t="e">
        <f t="shared" si="7"/>
        <v>#VALUE!</v>
      </c>
      <c r="L127" s="58" t="e">
        <f t="shared" si="8"/>
        <v>#VALUE!</v>
      </c>
      <c r="M127" s="56" t="e">
        <f t="shared" si="9"/>
        <v>#VALUE!</v>
      </c>
    </row>
    <row r="128" spans="1:13" ht="15" customHeight="1" x14ac:dyDescent="0.2">
      <c r="A128" s="60">
        <f>'21 2026 ÜRETİM'!A128</f>
        <v>0</v>
      </c>
      <c r="B128" s="81" t="str">
        <f>IF(A128="","",'21 2026 ÜRETİM'!D128)</f>
        <v/>
      </c>
      <c r="C128" s="81">
        <f>IF(A128="","",'21 2026 ÜRETİM'!E128)</f>
        <v>0</v>
      </c>
      <c r="D128" s="82" t="str">
        <f>IF(A128="","",'21 2026 ÜRETİM'!F128)</f>
        <v/>
      </c>
      <c r="E128" s="81">
        <f>IF(A128="","",SUMIF('22 2026 PAKETLEME'!$B$2:$B$501,A128,'22 2026 PAKETLEME'!$E$2:$E$501))</f>
        <v>0</v>
      </c>
      <c r="F128" s="82">
        <f>IF(A128="","",SUMIF('22 2026 PAKETLEME'!$B$2:$B$501,A128,'22 2026 PAKETLEME'!$G$2:$G$501))</f>
        <v>0</v>
      </c>
      <c r="G128" s="81">
        <f>IF(A128="","",SUMIF('22 2026 PAKETLEME'!$B$2:$B$501,A128,'22 2026 PAKETLEME'!$H$2:$H$501))</f>
        <v>0</v>
      </c>
      <c r="H128" s="81" t="e">
        <f t="shared" si="5"/>
        <v>#VALUE!</v>
      </c>
      <c r="I128" s="82">
        <f>IF(A128="","",SUMIF('23 2026 SEVKİYAT'!$E$2:$E$501,A128,'23 2026 SEVKİYAT'!$H$2:$H$501))</f>
        <v>0</v>
      </c>
      <c r="J128" s="81">
        <f t="shared" si="6"/>
        <v>0</v>
      </c>
      <c r="K128" s="81" t="e">
        <f t="shared" si="7"/>
        <v>#VALUE!</v>
      </c>
      <c r="L128" s="58" t="e">
        <f t="shared" si="8"/>
        <v>#VALUE!</v>
      </c>
      <c r="M128" s="56" t="e">
        <f t="shared" si="9"/>
        <v>#VALUE!</v>
      </c>
    </row>
    <row r="129" spans="1:13" ht="15" customHeight="1" x14ac:dyDescent="0.2">
      <c r="A129" s="60">
        <f>'21 2026 ÜRETİM'!A129</f>
        <v>0</v>
      </c>
      <c r="B129" s="81" t="str">
        <f>IF(A129="","",'21 2026 ÜRETİM'!D129)</f>
        <v/>
      </c>
      <c r="C129" s="81">
        <f>IF(A129="","",'21 2026 ÜRETİM'!E129)</f>
        <v>0</v>
      </c>
      <c r="D129" s="82" t="str">
        <f>IF(A129="","",'21 2026 ÜRETİM'!F129)</f>
        <v/>
      </c>
      <c r="E129" s="81">
        <f>IF(A129="","",SUMIF('22 2026 PAKETLEME'!$B$2:$B$501,A129,'22 2026 PAKETLEME'!$E$2:$E$501))</f>
        <v>0</v>
      </c>
      <c r="F129" s="82">
        <f>IF(A129="","",SUMIF('22 2026 PAKETLEME'!$B$2:$B$501,A129,'22 2026 PAKETLEME'!$G$2:$G$501))</f>
        <v>0</v>
      </c>
      <c r="G129" s="81">
        <f>IF(A129="","",SUMIF('22 2026 PAKETLEME'!$B$2:$B$501,A129,'22 2026 PAKETLEME'!$H$2:$H$501))</f>
        <v>0</v>
      </c>
      <c r="H129" s="81" t="e">
        <f t="shared" si="5"/>
        <v>#VALUE!</v>
      </c>
      <c r="I129" s="82">
        <f>IF(A129="","",SUMIF('23 2026 SEVKİYAT'!$E$2:$E$501,A129,'23 2026 SEVKİYAT'!$H$2:$H$501))</f>
        <v>0</v>
      </c>
      <c r="J129" s="81">
        <f t="shared" si="6"/>
        <v>0</v>
      </c>
      <c r="K129" s="81" t="e">
        <f t="shared" si="7"/>
        <v>#VALUE!</v>
      </c>
      <c r="L129" s="58" t="e">
        <f t="shared" si="8"/>
        <v>#VALUE!</v>
      </c>
      <c r="M129" s="56" t="e">
        <f t="shared" si="9"/>
        <v>#VALUE!</v>
      </c>
    </row>
    <row r="130" spans="1:13" ht="15" customHeight="1" x14ac:dyDescent="0.2">
      <c r="A130" s="60">
        <f>'21 2026 ÜRETİM'!A130</f>
        <v>0</v>
      </c>
      <c r="B130" s="81" t="str">
        <f>IF(A130="","",'21 2026 ÜRETİM'!D130)</f>
        <v/>
      </c>
      <c r="C130" s="81">
        <f>IF(A130="","",'21 2026 ÜRETİM'!E130)</f>
        <v>0</v>
      </c>
      <c r="D130" s="82" t="str">
        <f>IF(A130="","",'21 2026 ÜRETİM'!F130)</f>
        <v/>
      </c>
      <c r="E130" s="81">
        <f>IF(A130="","",SUMIF('22 2026 PAKETLEME'!$B$2:$B$501,A130,'22 2026 PAKETLEME'!$E$2:$E$501))</f>
        <v>0</v>
      </c>
      <c r="F130" s="82">
        <f>IF(A130="","",SUMIF('22 2026 PAKETLEME'!$B$2:$B$501,A130,'22 2026 PAKETLEME'!$G$2:$G$501))</f>
        <v>0</v>
      </c>
      <c r="G130" s="81">
        <f>IF(A130="","",SUMIF('22 2026 PAKETLEME'!$B$2:$B$501,A130,'22 2026 PAKETLEME'!$H$2:$H$501))</f>
        <v>0</v>
      </c>
      <c r="H130" s="81" t="e">
        <f t="shared" ref="H130:H193" si="10">IF(A130="","",D130-E130-F130-G130)</f>
        <v>#VALUE!</v>
      </c>
      <c r="I130" s="82">
        <f>IF(A130="","",SUMIF('23 2026 SEVKİYAT'!$E$2:$E$501,A130,'23 2026 SEVKİYAT'!$H$2:$H$501))</f>
        <v>0</v>
      </c>
      <c r="J130" s="81">
        <f t="shared" ref="J130:J193" si="11">IF(A130="","",E130+F130-I130)</f>
        <v>0</v>
      </c>
      <c r="K130" s="81" t="e">
        <f t="shared" ref="K130:K193" si="12">IF(A130="","",D130-E130-F130-G130-H130)</f>
        <v>#VALUE!</v>
      </c>
      <c r="L130" s="58" t="e">
        <f t="shared" ref="L130:L193" si="13">IF(A130="","",IF(ABS(K130)&lt;0.001,"KAPALI","KONTROL"))</f>
        <v>#VALUE!</v>
      </c>
      <c r="M130" s="56" t="e">
        <f t="shared" ref="M130:M193" si="14">IF(A130="","",IF(J130&lt;0,"SEVK PAKETLEMEYİ AŞIYOR",IF(H130&lt;&gt;0,"PAKETLEME BAKİYESİ VAR","DENKLİK KAPALI")))</f>
        <v>#VALUE!</v>
      </c>
    </row>
    <row r="131" spans="1:13" ht="15" customHeight="1" x14ac:dyDescent="0.2">
      <c r="A131" s="60">
        <f>'21 2026 ÜRETİM'!A131</f>
        <v>0</v>
      </c>
      <c r="B131" s="81" t="str">
        <f>IF(A131="","",'21 2026 ÜRETİM'!D131)</f>
        <v/>
      </c>
      <c r="C131" s="81">
        <f>IF(A131="","",'21 2026 ÜRETİM'!E131)</f>
        <v>0</v>
      </c>
      <c r="D131" s="82" t="str">
        <f>IF(A131="","",'21 2026 ÜRETİM'!F131)</f>
        <v/>
      </c>
      <c r="E131" s="81">
        <f>IF(A131="","",SUMIF('22 2026 PAKETLEME'!$B$2:$B$501,A131,'22 2026 PAKETLEME'!$E$2:$E$501))</f>
        <v>0</v>
      </c>
      <c r="F131" s="82">
        <f>IF(A131="","",SUMIF('22 2026 PAKETLEME'!$B$2:$B$501,A131,'22 2026 PAKETLEME'!$G$2:$G$501))</f>
        <v>0</v>
      </c>
      <c r="G131" s="81">
        <f>IF(A131="","",SUMIF('22 2026 PAKETLEME'!$B$2:$B$501,A131,'22 2026 PAKETLEME'!$H$2:$H$501))</f>
        <v>0</v>
      </c>
      <c r="H131" s="81" t="e">
        <f t="shared" si="10"/>
        <v>#VALUE!</v>
      </c>
      <c r="I131" s="82">
        <f>IF(A131="","",SUMIF('23 2026 SEVKİYAT'!$E$2:$E$501,A131,'23 2026 SEVKİYAT'!$H$2:$H$501))</f>
        <v>0</v>
      </c>
      <c r="J131" s="81">
        <f t="shared" si="11"/>
        <v>0</v>
      </c>
      <c r="K131" s="81" t="e">
        <f t="shared" si="12"/>
        <v>#VALUE!</v>
      </c>
      <c r="L131" s="58" t="e">
        <f t="shared" si="13"/>
        <v>#VALUE!</v>
      </c>
      <c r="M131" s="56" t="e">
        <f t="shared" si="14"/>
        <v>#VALUE!</v>
      </c>
    </row>
    <row r="132" spans="1:13" ht="15" customHeight="1" x14ac:dyDescent="0.2">
      <c r="A132" s="60">
        <f>'21 2026 ÜRETİM'!A132</f>
        <v>0</v>
      </c>
      <c r="B132" s="81" t="str">
        <f>IF(A132="","",'21 2026 ÜRETİM'!D132)</f>
        <v/>
      </c>
      <c r="C132" s="81">
        <f>IF(A132="","",'21 2026 ÜRETİM'!E132)</f>
        <v>0</v>
      </c>
      <c r="D132" s="82" t="str">
        <f>IF(A132="","",'21 2026 ÜRETİM'!F132)</f>
        <v/>
      </c>
      <c r="E132" s="81">
        <f>IF(A132="","",SUMIF('22 2026 PAKETLEME'!$B$2:$B$501,A132,'22 2026 PAKETLEME'!$E$2:$E$501))</f>
        <v>0</v>
      </c>
      <c r="F132" s="82">
        <f>IF(A132="","",SUMIF('22 2026 PAKETLEME'!$B$2:$B$501,A132,'22 2026 PAKETLEME'!$G$2:$G$501))</f>
        <v>0</v>
      </c>
      <c r="G132" s="81">
        <f>IF(A132="","",SUMIF('22 2026 PAKETLEME'!$B$2:$B$501,A132,'22 2026 PAKETLEME'!$H$2:$H$501))</f>
        <v>0</v>
      </c>
      <c r="H132" s="81" t="e">
        <f t="shared" si="10"/>
        <v>#VALUE!</v>
      </c>
      <c r="I132" s="82">
        <f>IF(A132="","",SUMIF('23 2026 SEVKİYAT'!$E$2:$E$501,A132,'23 2026 SEVKİYAT'!$H$2:$H$501))</f>
        <v>0</v>
      </c>
      <c r="J132" s="81">
        <f t="shared" si="11"/>
        <v>0</v>
      </c>
      <c r="K132" s="81" t="e">
        <f t="shared" si="12"/>
        <v>#VALUE!</v>
      </c>
      <c r="L132" s="58" t="e">
        <f t="shared" si="13"/>
        <v>#VALUE!</v>
      </c>
      <c r="M132" s="56" t="e">
        <f t="shared" si="14"/>
        <v>#VALUE!</v>
      </c>
    </row>
    <row r="133" spans="1:13" ht="15" customHeight="1" x14ac:dyDescent="0.2">
      <c r="A133" s="60">
        <f>'21 2026 ÜRETİM'!A133</f>
        <v>0</v>
      </c>
      <c r="B133" s="81" t="str">
        <f>IF(A133="","",'21 2026 ÜRETİM'!D133)</f>
        <v/>
      </c>
      <c r="C133" s="81">
        <f>IF(A133="","",'21 2026 ÜRETİM'!E133)</f>
        <v>0</v>
      </c>
      <c r="D133" s="82" t="str">
        <f>IF(A133="","",'21 2026 ÜRETİM'!F133)</f>
        <v/>
      </c>
      <c r="E133" s="81">
        <f>IF(A133="","",SUMIF('22 2026 PAKETLEME'!$B$2:$B$501,A133,'22 2026 PAKETLEME'!$E$2:$E$501))</f>
        <v>0</v>
      </c>
      <c r="F133" s="82">
        <f>IF(A133="","",SUMIF('22 2026 PAKETLEME'!$B$2:$B$501,A133,'22 2026 PAKETLEME'!$G$2:$G$501))</f>
        <v>0</v>
      </c>
      <c r="G133" s="81">
        <f>IF(A133="","",SUMIF('22 2026 PAKETLEME'!$B$2:$B$501,A133,'22 2026 PAKETLEME'!$H$2:$H$501))</f>
        <v>0</v>
      </c>
      <c r="H133" s="81" t="e">
        <f t="shared" si="10"/>
        <v>#VALUE!</v>
      </c>
      <c r="I133" s="82">
        <f>IF(A133="","",SUMIF('23 2026 SEVKİYAT'!$E$2:$E$501,A133,'23 2026 SEVKİYAT'!$H$2:$H$501))</f>
        <v>0</v>
      </c>
      <c r="J133" s="81">
        <f t="shared" si="11"/>
        <v>0</v>
      </c>
      <c r="K133" s="81" t="e">
        <f t="shared" si="12"/>
        <v>#VALUE!</v>
      </c>
      <c r="L133" s="58" t="e">
        <f t="shared" si="13"/>
        <v>#VALUE!</v>
      </c>
      <c r="M133" s="56" t="e">
        <f t="shared" si="14"/>
        <v>#VALUE!</v>
      </c>
    </row>
    <row r="134" spans="1:13" ht="15" customHeight="1" x14ac:dyDescent="0.2">
      <c r="A134" s="60">
        <f>'21 2026 ÜRETİM'!A134</f>
        <v>0</v>
      </c>
      <c r="B134" s="81" t="str">
        <f>IF(A134="","",'21 2026 ÜRETİM'!D134)</f>
        <v/>
      </c>
      <c r="C134" s="81">
        <f>IF(A134="","",'21 2026 ÜRETİM'!E134)</f>
        <v>0</v>
      </c>
      <c r="D134" s="82" t="str">
        <f>IF(A134="","",'21 2026 ÜRETİM'!F134)</f>
        <v/>
      </c>
      <c r="E134" s="81">
        <f>IF(A134="","",SUMIF('22 2026 PAKETLEME'!$B$2:$B$501,A134,'22 2026 PAKETLEME'!$E$2:$E$501))</f>
        <v>0</v>
      </c>
      <c r="F134" s="82">
        <f>IF(A134="","",SUMIF('22 2026 PAKETLEME'!$B$2:$B$501,A134,'22 2026 PAKETLEME'!$G$2:$G$501))</f>
        <v>0</v>
      </c>
      <c r="G134" s="81">
        <f>IF(A134="","",SUMIF('22 2026 PAKETLEME'!$B$2:$B$501,A134,'22 2026 PAKETLEME'!$H$2:$H$501))</f>
        <v>0</v>
      </c>
      <c r="H134" s="81" t="e">
        <f t="shared" si="10"/>
        <v>#VALUE!</v>
      </c>
      <c r="I134" s="82">
        <f>IF(A134="","",SUMIF('23 2026 SEVKİYAT'!$E$2:$E$501,A134,'23 2026 SEVKİYAT'!$H$2:$H$501))</f>
        <v>0</v>
      </c>
      <c r="J134" s="81">
        <f t="shared" si="11"/>
        <v>0</v>
      </c>
      <c r="K134" s="81" t="e">
        <f t="shared" si="12"/>
        <v>#VALUE!</v>
      </c>
      <c r="L134" s="58" t="e">
        <f t="shared" si="13"/>
        <v>#VALUE!</v>
      </c>
      <c r="M134" s="56" t="e">
        <f t="shared" si="14"/>
        <v>#VALUE!</v>
      </c>
    </row>
    <row r="135" spans="1:13" ht="15" customHeight="1" x14ac:dyDescent="0.2">
      <c r="A135" s="60">
        <f>'21 2026 ÜRETİM'!A135</f>
        <v>0</v>
      </c>
      <c r="B135" s="81" t="str">
        <f>IF(A135="","",'21 2026 ÜRETİM'!D135)</f>
        <v/>
      </c>
      <c r="C135" s="81">
        <f>IF(A135="","",'21 2026 ÜRETİM'!E135)</f>
        <v>0</v>
      </c>
      <c r="D135" s="82" t="str">
        <f>IF(A135="","",'21 2026 ÜRETİM'!F135)</f>
        <v/>
      </c>
      <c r="E135" s="81">
        <f>IF(A135="","",SUMIF('22 2026 PAKETLEME'!$B$2:$B$501,A135,'22 2026 PAKETLEME'!$E$2:$E$501))</f>
        <v>0</v>
      </c>
      <c r="F135" s="82">
        <f>IF(A135="","",SUMIF('22 2026 PAKETLEME'!$B$2:$B$501,A135,'22 2026 PAKETLEME'!$G$2:$G$501))</f>
        <v>0</v>
      </c>
      <c r="G135" s="81">
        <f>IF(A135="","",SUMIF('22 2026 PAKETLEME'!$B$2:$B$501,A135,'22 2026 PAKETLEME'!$H$2:$H$501))</f>
        <v>0</v>
      </c>
      <c r="H135" s="81" t="e">
        <f t="shared" si="10"/>
        <v>#VALUE!</v>
      </c>
      <c r="I135" s="82">
        <f>IF(A135="","",SUMIF('23 2026 SEVKİYAT'!$E$2:$E$501,A135,'23 2026 SEVKİYAT'!$H$2:$H$501))</f>
        <v>0</v>
      </c>
      <c r="J135" s="81">
        <f t="shared" si="11"/>
        <v>0</v>
      </c>
      <c r="K135" s="81" t="e">
        <f t="shared" si="12"/>
        <v>#VALUE!</v>
      </c>
      <c r="L135" s="58" t="e">
        <f t="shared" si="13"/>
        <v>#VALUE!</v>
      </c>
      <c r="M135" s="56" t="e">
        <f t="shared" si="14"/>
        <v>#VALUE!</v>
      </c>
    </row>
    <row r="136" spans="1:13" ht="15" customHeight="1" x14ac:dyDescent="0.2">
      <c r="A136" s="60">
        <f>'21 2026 ÜRETİM'!A136</f>
        <v>0</v>
      </c>
      <c r="B136" s="81" t="str">
        <f>IF(A136="","",'21 2026 ÜRETİM'!D136)</f>
        <v/>
      </c>
      <c r="C136" s="81">
        <f>IF(A136="","",'21 2026 ÜRETİM'!E136)</f>
        <v>0</v>
      </c>
      <c r="D136" s="82" t="str">
        <f>IF(A136="","",'21 2026 ÜRETİM'!F136)</f>
        <v/>
      </c>
      <c r="E136" s="81">
        <f>IF(A136="","",SUMIF('22 2026 PAKETLEME'!$B$2:$B$501,A136,'22 2026 PAKETLEME'!$E$2:$E$501))</f>
        <v>0</v>
      </c>
      <c r="F136" s="82">
        <f>IF(A136="","",SUMIF('22 2026 PAKETLEME'!$B$2:$B$501,A136,'22 2026 PAKETLEME'!$G$2:$G$501))</f>
        <v>0</v>
      </c>
      <c r="G136" s="81">
        <f>IF(A136="","",SUMIF('22 2026 PAKETLEME'!$B$2:$B$501,A136,'22 2026 PAKETLEME'!$H$2:$H$501))</f>
        <v>0</v>
      </c>
      <c r="H136" s="81" t="e">
        <f t="shared" si="10"/>
        <v>#VALUE!</v>
      </c>
      <c r="I136" s="82">
        <f>IF(A136="","",SUMIF('23 2026 SEVKİYAT'!$E$2:$E$501,A136,'23 2026 SEVKİYAT'!$H$2:$H$501))</f>
        <v>0</v>
      </c>
      <c r="J136" s="81">
        <f t="shared" si="11"/>
        <v>0</v>
      </c>
      <c r="K136" s="81" t="e">
        <f t="shared" si="12"/>
        <v>#VALUE!</v>
      </c>
      <c r="L136" s="58" t="e">
        <f t="shared" si="13"/>
        <v>#VALUE!</v>
      </c>
      <c r="M136" s="56" t="e">
        <f t="shared" si="14"/>
        <v>#VALUE!</v>
      </c>
    </row>
    <row r="137" spans="1:13" ht="15" customHeight="1" x14ac:dyDescent="0.2">
      <c r="A137" s="60">
        <f>'21 2026 ÜRETİM'!A137</f>
        <v>0</v>
      </c>
      <c r="B137" s="81" t="str">
        <f>IF(A137="","",'21 2026 ÜRETİM'!D137)</f>
        <v/>
      </c>
      <c r="C137" s="81">
        <f>IF(A137="","",'21 2026 ÜRETİM'!E137)</f>
        <v>0</v>
      </c>
      <c r="D137" s="82" t="str">
        <f>IF(A137="","",'21 2026 ÜRETİM'!F137)</f>
        <v/>
      </c>
      <c r="E137" s="81">
        <f>IF(A137="","",SUMIF('22 2026 PAKETLEME'!$B$2:$B$501,A137,'22 2026 PAKETLEME'!$E$2:$E$501))</f>
        <v>0</v>
      </c>
      <c r="F137" s="82">
        <f>IF(A137="","",SUMIF('22 2026 PAKETLEME'!$B$2:$B$501,A137,'22 2026 PAKETLEME'!$G$2:$G$501))</f>
        <v>0</v>
      </c>
      <c r="G137" s="81">
        <f>IF(A137="","",SUMIF('22 2026 PAKETLEME'!$B$2:$B$501,A137,'22 2026 PAKETLEME'!$H$2:$H$501))</f>
        <v>0</v>
      </c>
      <c r="H137" s="81" t="e">
        <f t="shared" si="10"/>
        <v>#VALUE!</v>
      </c>
      <c r="I137" s="82">
        <f>IF(A137="","",SUMIF('23 2026 SEVKİYAT'!$E$2:$E$501,A137,'23 2026 SEVKİYAT'!$H$2:$H$501))</f>
        <v>0</v>
      </c>
      <c r="J137" s="81">
        <f t="shared" si="11"/>
        <v>0</v>
      </c>
      <c r="K137" s="81" t="e">
        <f t="shared" si="12"/>
        <v>#VALUE!</v>
      </c>
      <c r="L137" s="58" t="e">
        <f t="shared" si="13"/>
        <v>#VALUE!</v>
      </c>
      <c r="M137" s="56" t="e">
        <f t="shared" si="14"/>
        <v>#VALUE!</v>
      </c>
    </row>
    <row r="138" spans="1:13" ht="15" customHeight="1" x14ac:dyDescent="0.2">
      <c r="A138" s="60">
        <f>'21 2026 ÜRETİM'!A138</f>
        <v>0</v>
      </c>
      <c r="B138" s="81" t="str">
        <f>IF(A138="","",'21 2026 ÜRETİM'!D138)</f>
        <v/>
      </c>
      <c r="C138" s="81">
        <f>IF(A138="","",'21 2026 ÜRETİM'!E138)</f>
        <v>0</v>
      </c>
      <c r="D138" s="82" t="str">
        <f>IF(A138="","",'21 2026 ÜRETİM'!F138)</f>
        <v/>
      </c>
      <c r="E138" s="81">
        <f>IF(A138="","",SUMIF('22 2026 PAKETLEME'!$B$2:$B$501,A138,'22 2026 PAKETLEME'!$E$2:$E$501))</f>
        <v>0</v>
      </c>
      <c r="F138" s="82">
        <f>IF(A138="","",SUMIF('22 2026 PAKETLEME'!$B$2:$B$501,A138,'22 2026 PAKETLEME'!$G$2:$G$501))</f>
        <v>0</v>
      </c>
      <c r="G138" s="81">
        <f>IF(A138="","",SUMIF('22 2026 PAKETLEME'!$B$2:$B$501,A138,'22 2026 PAKETLEME'!$H$2:$H$501))</f>
        <v>0</v>
      </c>
      <c r="H138" s="81" t="e">
        <f t="shared" si="10"/>
        <v>#VALUE!</v>
      </c>
      <c r="I138" s="82">
        <f>IF(A138="","",SUMIF('23 2026 SEVKİYAT'!$E$2:$E$501,A138,'23 2026 SEVKİYAT'!$H$2:$H$501))</f>
        <v>0</v>
      </c>
      <c r="J138" s="81">
        <f t="shared" si="11"/>
        <v>0</v>
      </c>
      <c r="K138" s="81" t="e">
        <f t="shared" si="12"/>
        <v>#VALUE!</v>
      </c>
      <c r="L138" s="58" t="e">
        <f t="shared" si="13"/>
        <v>#VALUE!</v>
      </c>
      <c r="M138" s="56" t="e">
        <f t="shared" si="14"/>
        <v>#VALUE!</v>
      </c>
    </row>
    <row r="139" spans="1:13" ht="15" customHeight="1" x14ac:dyDescent="0.2">
      <c r="A139" s="60">
        <f>'21 2026 ÜRETİM'!A139</f>
        <v>0</v>
      </c>
      <c r="B139" s="81" t="str">
        <f>IF(A139="","",'21 2026 ÜRETİM'!D139)</f>
        <v/>
      </c>
      <c r="C139" s="81">
        <f>IF(A139="","",'21 2026 ÜRETİM'!E139)</f>
        <v>0</v>
      </c>
      <c r="D139" s="82" t="str">
        <f>IF(A139="","",'21 2026 ÜRETİM'!F139)</f>
        <v/>
      </c>
      <c r="E139" s="81">
        <f>IF(A139="","",SUMIF('22 2026 PAKETLEME'!$B$2:$B$501,A139,'22 2026 PAKETLEME'!$E$2:$E$501))</f>
        <v>0</v>
      </c>
      <c r="F139" s="82">
        <f>IF(A139="","",SUMIF('22 2026 PAKETLEME'!$B$2:$B$501,A139,'22 2026 PAKETLEME'!$G$2:$G$501))</f>
        <v>0</v>
      </c>
      <c r="G139" s="81">
        <f>IF(A139="","",SUMIF('22 2026 PAKETLEME'!$B$2:$B$501,A139,'22 2026 PAKETLEME'!$H$2:$H$501))</f>
        <v>0</v>
      </c>
      <c r="H139" s="81" t="e">
        <f t="shared" si="10"/>
        <v>#VALUE!</v>
      </c>
      <c r="I139" s="82">
        <f>IF(A139="","",SUMIF('23 2026 SEVKİYAT'!$E$2:$E$501,A139,'23 2026 SEVKİYAT'!$H$2:$H$501))</f>
        <v>0</v>
      </c>
      <c r="J139" s="81">
        <f t="shared" si="11"/>
        <v>0</v>
      </c>
      <c r="K139" s="81" t="e">
        <f t="shared" si="12"/>
        <v>#VALUE!</v>
      </c>
      <c r="L139" s="58" t="e">
        <f t="shared" si="13"/>
        <v>#VALUE!</v>
      </c>
      <c r="M139" s="56" t="e">
        <f t="shared" si="14"/>
        <v>#VALUE!</v>
      </c>
    </row>
    <row r="140" spans="1:13" ht="15" customHeight="1" x14ac:dyDescent="0.2">
      <c r="A140" s="60">
        <f>'21 2026 ÜRETİM'!A140</f>
        <v>0</v>
      </c>
      <c r="B140" s="81" t="str">
        <f>IF(A140="","",'21 2026 ÜRETİM'!D140)</f>
        <v/>
      </c>
      <c r="C140" s="81">
        <f>IF(A140="","",'21 2026 ÜRETİM'!E140)</f>
        <v>0</v>
      </c>
      <c r="D140" s="82" t="str">
        <f>IF(A140="","",'21 2026 ÜRETİM'!F140)</f>
        <v/>
      </c>
      <c r="E140" s="81">
        <f>IF(A140="","",SUMIF('22 2026 PAKETLEME'!$B$2:$B$501,A140,'22 2026 PAKETLEME'!$E$2:$E$501))</f>
        <v>0</v>
      </c>
      <c r="F140" s="82">
        <f>IF(A140="","",SUMIF('22 2026 PAKETLEME'!$B$2:$B$501,A140,'22 2026 PAKETLEME'!$G$2:$G$501))</f>
        <v>0</v>
      </c>
      <c r="G140" s="81">
        <f>IF(A140="","",SUMIF('22 2026 PAKETLEME'!$B$2:$B$501,A140,'22 2026 PAKETLEME'!$H$2:$H$501))</f>
        <v>0</v>
      </c>
      <c r="H140" s="81" t="e">
        <f t="shared" si="10"/>
        <v>#VALUE!</v>
      </c>
      <c r="I140" s="82">
        <f>IF(A140="","",SUMIF('23 2026 SEVKİYAT'!$E$2:$E$501,A140,'23 2026 SEVKİYAT'!$H$2:$H$501))</f>
        <v>0</v>
      </c>
      <c r="J140" s="81">
        <f t="shared" si="11"/>
        <v>0</v>
      </c>
      <c r="K140" s="81" t="e">
        <f t="shared" si="12"/>
        <v>#VALUE!</v>
      </c>
      <c r="L140" s="58" t="e">
        <f t="shared" si="13"/>
        <v>#VALUE!</v>
      </c>
      <c r="M140" s="56" t="e">
        <f t="shared" si="14"/>
        <v>#VALUE!</v>
      </c>
    </row>
    <row r="141" spans="1:13" ht="15" customHeight="1" x14ac:dyDescent="0.2">
      <c r="A141" s="60">
        <f>'21 2026 ÜRETİM'!A141</f>
        <v>0</v>
      </c>
      <c r="B141" s="81" t="str">
        <f>IF(A141="","",'21 2026 ÜRETİM'!D141)</f>
        <v/>
      </c>
      <c r="C141" s="81">
        <f>IF(A141="","",'21 2026 ÜRETİM'!E141)</f>
        <v>0</v>
      </c>
      <c r="D141" s="82" t="str">
        <f>IF(A141="","",'21 2026 ÜRETİM'!F141)</f>
        <v/>
      </c>
      <c r="E141" s="81">
        <f>IF(A141="","",SUMIF('22 2026 PAKETLEME'!$B$2:$B$501,A141,'22 2026 PAKETLEME'!$E$2:$E$501))</f>
        <v>0</v>
      </c>
      <c r="F141" s="82">
        <f>IF(A141="","",SUMIF('22 2026 PAKETLEME'!$B$2:$B$501,A141,'22 2026 PAKETLEME'!$G$2:$G$501))</f>
        <v>0</v>
      </c>
      <c r="G141" s="81">
        <f>IF(A141="","",SUMIF('22 2026 PAKETLEME'!$B$2:$B$501,A141,'22 2026 PAKETLEME'!$H$2:$H$501))</f>
        <v>0</v>
      </c>
      <c r="H141" s="81" t="e">
        <f t="shared" si="10"/>
        <v>#VALUE!</v>
      </c>
      <c r="I141" s="82">
        <f>IF(A141="","",SUMIF('23 2026 SEVKİYAT'!$E$2:$E$501,A141,'23 2026 SEVKİYAT'!$H$2:$H$501))</f>
        <v>0</v>
      </c>
      <c r="J141" s="81">
        <f t="shared" si="11"/>
        <v>0</v>
      </c>
      <c r="K141" s="81" t="e">
        <f t="shared" si="12"/>
        <v>#VALUE!</v>
      </c>
      <c r="L141" s="58" t="e">
        <f t="shared" si="13"/>
        <v>#VALUE!</v>
      </c>
      <c r="M141" s="56" t="e">
        <f t="shared" si="14"/>
        <v>#VALUE!</v>
      </c>
    </row>
    <row r="142" spans="1:13" ht="15" customHeight="1" x14ac:dyDescent="0.2">
      <c r="A142" s="60">
        <f>'21 2026 ÜRETİM'!A142</f>
        <v>0</v>
      </c>
      <c r="B142" s="81" t="str">
        <f>IF(A142="","",'21 2026 ÜRETİM'!D142)</f>
        <v/>
      </c>
      <c r="C142" s="81">
        <f>IF(A142="","",'21 2026 ÜRETİM'!E142)</f>
        <v>0</v>
      </c>
      <c r="D142" s="82" t="str">
        <f>IF(A142="","",'21 2026 ÜRETİM'!F142)</f>
        <v/>
      </c>
      <c r="E142" s="81">
        <f>IF(A142="","",SUMIF('22 2026 PAKETLEME'!$B$2:$B$501,A142,'22 2026 PAKETLEME'!$E$2:$E$501))</f>
        <v>0</v>
      </c>
      <c r="F142" s="82">
        <f>IF(A142="","",SUMIF('22 2026 PAKETLEME'!$B$2:$B$501,A142,'22 2026 PAKETLEME'!$G$2:$G$501))</f>
        <v>0</v>
      </c>
      <c r="G142" s="81">
        <f>IF(A142="","",SUMIF('22 2026 PAKETLEME'!$B$2:$B$501,A142,'22 2026 PAKETLEME'!$H$2:$H$501))</f>
        <v>0</v>
      </c>
      <c r="H142" s="81" t="e">
        <f t="shared" si="10"/>
        <v>#VALUE!</v>
      </c>
      <c r="I142" s="82">
        <f>IF(A142="","",SUMIF('23 2026 SEVKİYAT'!$E$2:$E$501,A142,'23 2026 SEVKİYAT'!$H$2:$H$501))</f>
        <v>0</v>
      </c>
      <c r="J142" s="81">
        <f t="shared" si="11"/>
        <v>0</v>
      </c>
      <c r="K142" s="81" t="e">
        <f t="shared" si="12"/>
        <v>#VALUE!</v>
      </c>
      <c r="L142" s="58" t="e">
        <f t="shared" si="13"/>
        <v>#VALUE!</v>
      </c>
      <c r="M142" s="56" t="e">
        <f t="shared" si="14"/>
        <v>#VALUE!</v>
      </c>
    </row>
    <row r="143" spans="1:13" ht="15" customHeight="1" x14ac:dyDescent="0.2">
      <c r="A143" s="60">
        <f>'21 2026 ÜRETİM'!A143</f>
        <v>0</v>
      </c>
      <c r="B143" s="81" t="str">
        <f>IF(A143="","",'21 2026 ÜRETİM'!D143)</f>
        <v/>
      </c>
      <c r="C143" s="81">
        <f>IF(A143="","",'21 2026 ÜRETİM'!E143)</f>
        <v>0</v>
      </c>
      <c r="D143" s="82" t="str">
        <f>IF(A143="","",'21 2026 ÜRETİM'!F143)</f>
        <v/>
      </c>
      <c r="E143" s="81">
        <f>IF(A143="","",SUMIF('22 2026 PAKETLEME'!$B$2:$B$501,A143,'22 2026 PAKETLEME'!$E$2:$E$501))</f>
        <v>0</v>
      </c>
      <c r="F143" s="82">
        <f>IF(A143="","",SUMIF('22 2026 PAKETLEME'!$B$2:$B$501,A143,'22 2026 PAKETLEME'!$G$2:$G$501))</f>
        <v>0</v>
      </c>
      <c r="G143" s="81">
        <f>IF(A143="","",SUMIF('22 2026 PAKETLEME'!$B$2:$B$501,A143,'22 2026 PAKETLEME'!$H$2:$H$501))</f>
        <v>0</v>
      </c>
      <c r="H143" s="81" t="e">
        <f t="shared" si="10"/>
        <v>#VALUE!</v>
      </c>
      <c r="I143" s="82">
        <f>IF(A143="","",SUMIF('23 2026 SEVKİYAT'!$E$2:$E$501,A143,'23 2026 SEVKİYAT'!$H$2:$H$501))</f>
        <v>0</v>
      </c>
      <c r="J143" s="81">
        <f t="shared" si="11"/>
        <v>0</v>
      </c>
      <c r="K143" s="81" t="e">
        <f t="shared" si="12"/>
        <v>#VALUE!</v>
      </c>
      <c r="L143" s="58" t="e">
        <f t="shared" si="13"/>
        <v>#VALUE!</v>
      </c>
      <c r="M143" s="56" t="e">
        <f t="shared" si="14"/>
        <v>#VALUE!</v>
      </c>
    </row>
    <row r="144" spans="1:13" ht="15" customHeight="1" x14ac:dyDescent="0.2">
      <c r="A144" s="60">
        <f>'21 2026 ÜRETİM'!A144</f>
        <v>0</v>
      </c>
      <c r="B144" s="81" t="str">
        <f>IF(A144="","",'21 2026 ÜRETİM'!D144)</f>
        <v/>
      </c>
      <c r="C144" s="81">
        <f>IF(A144="","",'21 2026 ÜRETİM'!E144)</f>
        <v>0</v>
      </c>
      <c r="D144" s="82" t="str">
        <f>IF(A144="","",'21 2026 ÜRETİM'!F144)</f>
        <v/>
      </c>
      <c r="E144" s="81">
        <f>IF(A144="","",SUMIF('22 2026 PAKETLEME'!$B$2:$B$501,A144,'22 2026 PAKETLEME'!$E$2:$E$501))</f>
        <v>0</v>
      </c>
      <c r="F144" s="82">
        <f>IF(A144="","",SUMIF('22 2026 PAKETLEME'!$B$2:$B$501,A144,'22 2026 PAKETLEME'!$G$2:$G$501))</f>
        <v>0</v>
      </c>
      <c r="G144" s="81">
        <f>IF(A144="","",SUMIF('22 2026 PAKETLEME'!$B$2:$B$501,A144,'22 2026 PAKETLEME'!$H$2:$H$501))</f>
        <v>0</v>
      </c>
      <c r="H144" s="81" t="e">
        <f t="shared" si="10"/>
        <v>#VALUE!</v>
      </c>
      <c r="I144" s="82">
        <f>IF(A144="","",SUMIF('23 2026 SEVKİYAT'!$E$2:$E$501,A144,'23 2026 SEVKİYAT'!$H$2:$H$501))</f>
        <v>0</v>
      </c>
      <c r="J144" s="81">
        <f t="shared" si="11"/>
        <v>0</v>
      </c>
      <c r="K144" s="81" t="e">
        <f t="shared" si="12"/>
        <v>#VALUE!</v>
      </c>
      <c r="L144" s="58" t="e">
        <f t="shared" si="13"/>
        <v>#VALUE!</v>
      </c>
      <c r="M144" s="56" t="e">
        <f t="shared" si="14"/>
        <v>#VALUE!</v>
      </c>
    </row>
    <row r="145" spans="1:13" ht="15" customHeight="1" x14ac:dyDescent="0.2">
      <c r="A145" s="60">
        <f>'21 2026 ÜRETİM'!A145</f>
        <v>0</v>
      </c>
      <c r="B145" s="81" t="str">
        <f>IF(A145="","",'21 2026 ÜRETİM'!D145)</f>
        <v/>
      </c>
      <c r="C145" s="81">
        <f>IF(A145="","",'21 2026 ÜRETİM'!E145)</f>
        <v>0</v>
      </c>
      <c r="D145" s="82" t="str">
        <f>IF(A145="","",'21 2026 ÜRETİM'!F145)</f>
        <v/>
      </c>
      <c r="E145" s="81">
        <f>IF(A145="","",SUMIF('22 2026 PAKETLEME'!$B$2:$B$501,A145,'22 2026 PAKETLEME'!$E$2:$E$501))</f>
        <v>0</v>
      </c>
      <c r="F145" s="82">
        <f>IF(A145="","",SUMIF('22 2026 PAKETLEME'!$B$2:$B$501,A145,'22 2026 PAKETLEME'!$G$2:$G$501))</f>
        <v>0</v>
      </c>
      <c r="G145" s="81">
        <f>IF(A145="","",SUMIF('22 2026 PAKETLEME'!$B$2:$B$501,A145,'22 2026 PAKETLEME'!$H$2:$H$501))</f>
        <v>0</v>
      </c>
      <c r="H145" s="81" t="e">
        <f t="shared" si="10"/>
        <v>#VALUE!</v>
      </c>
      <c r="I145" s="82">
        <f>IF(A145="","",SUMIF('23 2026 SEVKİYAT'!$E$2:$E$501,A145,'23 2026 SEVKİYAT'!$H$2:$H$501))</f>
        <v>0</v>
      </c>
      <c r="J145" s="81">
        <f t="shared" si="11"/>
        <v>0</v>
      </c>
      <c r="K145" s="81" t="e">
        <f t="shared" si="12"/>
        <v>#VALUE!</v>
      </c>
      <c r="L145" s="58" t="e">
        <f t="shared" si="13"/>
        <v>#VALUE!</v>
      </c>
      <c r="M145" s="56" t="e">
        <f t="shared" si="14"/>
        <v>#VALUE!</v>
      </c>
    </row>
    <row r="146" spans="1:13" ht="15" customHeight="1" x14ac:dyDescent="0.2">
      <c r="A146" s="60">
        <f>'21 2026 ÜRETİM'!A146</f>
        <v>0</v>
      </c>
      <c r="B146" s="81" t="str">
        <f>IF(A146="","",'21 2026 ÜRETİM'!D146)</f>
        <v/>
      </c>
      <c r="C146" s="81">
        <f>IF(A146="","",'21 2026 ÜRETİM'!E146)</f>
        <v>0</v>
      </c>
      <c r="D146" s="82" t="str">
        <f>IF(A146="","",'21 2026 ÜRETİM'!F146)</f>
        <v/>
      </c>
      <c r="E146" s="81">
        <f>IF(A146="","",SUMIF('22 2026 PAKETLEME'!$B$2:$B$501,A146,'22 2026 PAKETLEME'!$E$2:$E$501))</f>
        <v>0</v>
      </c>
      <c r="F146" s="82">
        <f>IF(A146="","",SUMIF('22 2026 PAKETLEME'!$B$2:$B$501,A146,'22 2026 PAKETLEME'!$G$2:$G$501))</f>
        <v>0</v>
      </c>
      <c r="G146" s="81">
        <f>IF(A146="","",SUMIF('22 2026 PAKETLEME'!$B$2:$B$501,A146,'22 2026 PAKETLEME'!$H$2:$H$501))</f>
        <v>0</v>
      </c>
      <c r="H146" s="81" t="e">
        <f t="shared" si="10"/>
        <v>#VALUE!</v>
      </c>
      <c r="I146" s="82">
        <f>IF(A146="","",SUMIF('23 2026 SEVKİYAT'!$E$2:$E$501,A146,'23 2026 SEVKİYAT'!$H$2:$H$501))</f>
        <v>0</v>
      </c>
      <c r="J146" s="81">
        <f t="shared" si="11"/>
        <v>0</v>
      </c>
      <c r="K146" s="81" t="e">
        <f t="shared" si="12"/>
        <v>#VALUE!</v>
      </c>
      <c r="L146" s="58" t="e">
        <f t="shared" si="13"/>
        <v>#VALUE!</v>
      </c>
      <c r="M146" s="56" t="e">
        <f t="shared" si="14"/>
        <v>#VALUE!</v>
      </c>
    </row>
    <row r="147" spans="1:13" ht="15" customHeight="1" x14ac:dyDescent="0.2">
      <c r="A147" s="60">
        <f>'21 2026 ÜRETİM'!A147</f>
        <v>0</v>
      </c>
      <c r="B147" s="81" t="str">
        <f>IF(A147="","",'21 2026 ÜRETİM'!D147)</f>
        <v/>
      </c>
      <c r="C147" s="81">
        <f>IF(A147="","",'21 2026 ÜRETİM'!E147)</f>
        <v>0</v>
      </c>
      <c r="D147" s="82" t="str">
        <f>IF(A147="","",'21 2026 ÜRETİM'!F147)</f>
        <v/>
      </c>
      <c r="E147" s="81">
        <f>IF(A147="","",SUMIF('22 2026 PAKETLEME'!$B$2:$B$501,A147,'22 2026 PAKETLEME'!$E$2:$E$501))</f>
        <v>0</v>
      </c>
      <c r="F147" s="82">
        <f>IF(A147="","",SUMIF('22 2026 PAKETLEME'!$B$2:$B$501,A147,'22 2026 PAKETLEME'!$G$2:$G$501))</f>
        <v>0</v>
      </c>
      <c r="G147" s="81">
        <f>IF(A147="","",SUMIF('22 2026 PAKETLEME'!$B$2:$B$501,A147,'22 2026 PAKETLEME'!$H$2:$H$501))</f>
        <v>0</v>
      </c>
      <c r="H147" s="81" t="e">
        <f t="shared" si="10"/>
        <v>#VALUE!</v>
      </c>
      <c r="I147" s="82">
        <f>IF(A147="","",SUMIF('23 2026 SEVKİYAT'!$E$2:$E$501,A147,'23 2026 SEVKİYAT'!$H$2:$H$501))</f>
        <v>0</v>
      </c>
      <c r="J147" s="81">
        <f t="shared" si="11"/>
        <v>0</v>
      </c>
      <c r="K147" s="81" t="e">
        <f t="shared" si="12"/>
        <v>#VALUE!</v>
      </c>
      <c r="L147" s="58" t="e">
        <f t="shared" si="13"/>
        <v>#VALUE!</v>
      </c>
      <c r="M147" s="56" t="e">
        <f t="shared" si="14"/>
        <v>#VALUE!</v>
      </c>
    </row>
    <row r="148" spans="1:13" ht="15" customHeight="1" x14ac:dyDescent="0.2">
      <c r="A148" s="60">
        <f>'21 2026 ÜRETİM'!A148</f>
        <v>0</v>
      </c>
      <c r="B148" s="81" t="str">
        <f>IF(A148="","",'21 2026 ÜRETİM'!D148)</f>
        <v/>
      </c>
      <c r="C148" s="81">
        <f>IF(A148="","",'21 2026 ÜRETİM'!E148)</f>
        <v>0</v>
      </c>
      <c r="D148" s="82" t="str">
        <f>IF(A148="","",'21 2026 ÜRETİM'!F148)</f>
        <v/>
      </c>
      <c r="E148" s="81">
        <f>IF(A148="","",SUMIF('22 2026 PAKETLEME'!$B$2:$B$501,A148,'22 2026 PAKETLEME'!$E$2:$E$501))</f>
        <v>0</v>
      </c>
      <c r="F148" s="82">
        <f>IF(A148="","",SUMIF('22 2026 PAKETLEME'!$B$2:$B$501,A148,'22 2026 PAKETLEME'!$G$2:$G$501))</f>
        <v>0</v>
      </c>
      <c r="G148" s="81">
        <f>IF(A148="","",SUMIF('22 2026 PAKETLEME'!$B$2:$B$501,A148,'22 2026 PAKETLEME'!$H$2:$H$501))</f>
        <v>0</v>
      </c>
      <c r="H148" s="81" t="e">
        <f t="shared" si="10"/>
        <v>#VALUE!</v>
      </c>
      <c r="I148" s="82">
        <f>IF(A148="","",SUMIF('23 2026 SEVKİYAT'!$E$2:$E$501,A148,'23 2026 SEVKİYAT'!$H$2:$H$501))</f>
        <v>0</v>
      </c>
      <c r="J148" s="81">
        <f t="shared" si="11"/>
        <v>0</v>
      </c>
      <c r="K148" s="81" t="e">
        <f t="shared" si="12"/>
        <v>#VALUE!</v>
      </c>
      <c r="L148" s="58" t="e">
        <f t="shared" si="13"/>
        <v>#VALUE!</v>
      </c>
      <c r="M148" s="56" t="e">
        <f t="shared" si="14"/>
        <v>#VALUE!</v>
      </c>
    </row>
    <row r="149" spans="1:13" ht="15" customHeight="1" x14ac:dyDescent="0.2">
      <c r="A149" s="60">
        <f>'21 2026 ÜRETİM'!A149</f>
        <v>0</v>
      </c>
      <c r="B149" s="81" t="str">
        <f>IF(A149="","",'21 2026 ÜRETİM'!D149)</f>
        <v/>
      </c>
      <c r="C149" s="81">
        <f>IF(A149="","",'21 2026 ÜRETİM'!E149)</f>
        <v>0</v>
      </c>
      <c r="D149" s="82" t="str">
        <f>IF(A149="","",'21 2026 ÜRETİM'!F149)</f>
        <v/>
      </c>
      <c r="E149" s="81">
        <f>IF(A149="","",SUMIF('22 2026 PAKETLEME'!$B$2:$B$501,A149,'22 2026 PAKETLEME'!$E$2:$E$501))</f>
        <v>0</v>
      </c>
      <c r="F149" s="82">
        <f>IF(A149="","",SUMIF('22 2026 PAKETLEME'!$B$2:$B$501,A149,'22 2026 PAKETLEME'!$G$2:$G$501))</f>
        <v>0</v>
      </c>
      <c r="G149" s="81">
        <f>IF(A149="","",SUMIF('22 2026 PAKETLEME'!$B$2:$B$501,A149,'22 2026 PAKETLEME'!$H$2:$H$501))</f>
        <v>0</v>
      </c>
      <c r="H149" s="81" t="e">
        <f t="shared" si="10"/>
        <v>#VALUE!</v>
      </c>
      <c r="I149" s="82">
        <f>IF(A149="","",SUMIF('23 2026 SEVKİYAT'!$E$2:$E$501,A149,'23 2026 SEVKİYAT'!$H$2:$H$501))</f>
        <v>0</v>
      </c>
      <c r="J149" s="81">
        <f t="shared" si="11"/>
        <v>0</v>
      </c>
      <c r="K149" s="81" t="e">
        <f t="shared" si="12"/>
        <v>#VALUE!</v>
      </c>
      <c r="L149" s="58" t="e">
        <f t="shared" si="13"/>
        <v>#VALUE!</v>
      </c>
      <c r="M149" s="56" t="e">
        <f t="shared" si="14"/>
        <v>#VALUE!</v>
      </c>
    </row>
    <row r="150" spans="1:13" ht="15" customHeight="1" x14ac:dyDescent="0.2">
      <c r="A150" s="60">
        <f>'21 2026 ÜRETİM'!A150</f>
        <v>0</v>
      </c>
      <c r="B150" s="81" t="str">
        <f>IF(A150="","",'21 2026 ÜRETİM'!D150)</f>
        <v/>
      </c>
      <c r="C150" s="81">
        <f>IF(A150="","",'21 2026 ÜRETİM'!E150)</f>
        <v>0</v>
      </c>
      <c r="D150" s="82" t="str">
        <f>IF(A150="","",'21 2026 ÜRETİM'!F150)</f>
        <v/>
      </c>
      <c r="E150" s="81">
        <f>IF(A150="","",SUMIF('22 2026 PAKETLEME'!$B$2:$B$501,A150,'22 2026 PAKETLEME'!$E$2:$E$501))</f>
        <v>0</v>
      </c>
      <c r="F150" s="82">
        <f>IF(A150="","",SUMIF('22 2026 PAKETLEME'!$B$2:$B$501,A150,'22 2026 PAKETLEME'!$G$2:$G$501))</f>
        <v>0</v>
      </c>
      <c r="G150" s="81">
        <f>IF(A150="","",SUMIF('22 2026 PAKETLEME'!$B$2:$B$501,A150,'22 2026 PAKETLEME'!$H$2:$H$501))</f>
        <v>0</v>
      </c>
      <c r="H150" s="81" t="e">
        <f t="shared" si="10"/>
        <v>#VALUE!</v>
      </c>
      <c r="I150" s="82">
        <f>IF(A150="","",SUMIF('23 2026 SEVKİYAT'!$E$2:$E$501,A150,'23 2026 SEVKİYAT'!$H$2:$H$501))</f>
        <v>0</v>
      </c>
      <c r="J150" s="81">
        <f t="shared" si="11"/>
        <v>0</v>
      </c>
      <c r="K150" s="81" t="e">
        <f t="shared" si="12"/>
        <v>#VALUE!</v>
      </c>
      <c r="L150" s="58" t="e">
        <f t="shared" si="13"/>
        <v>#VALUE!</v>
      </c>
      <c r="M150" s="56" t="e">
        <f t="shared" si="14"/>
        <v>#VALUE!</v>
      </c>
    </row>
    <row r="151" spans="1:13" ht="15" customHeight="1" x14ac:dyDescent="0.2">
      <c r="A151" s="60">
        <f>'21 2026 ÜRETİM'!A151</f>
        <v>0</v>
      </c>
      <c r="B151" s="81" t="str">
        <f>IF(A151="","",'21 2026 ÜRETİM'!D151)</f>
        <v/>
      </c>
      <c r="C151" s="81">
        <f>IF(A151="","",'21 2026 ÜRETİM'!E151)</f>
        <v>0</v>
      </c>
      <c r="D151" s="82" t="str">
        <f>IF(A151="","",'21 2026 ÜRETİM'!F151)</f>
        <v/>
      </c>
      <c r="E151" s="81">
        <f>IF(A151="","",SUMIF('22 2026 PAKETLEME'!$B$2:$B$501,A151,'22 2026 PAKETLEME'!$E$2:$E$501))</f>
        <v>0</v>
      </c>
      <c r="F151" s="82">
        <f>IF(A151="","",SUMIF('22 2026 PAKETLEME'!$B$2:$B$501,A151,'22 2026 PAKETLEME'!$G$2:$G$501))</f>
        <v>0</v>
      </c>
      <c r="G151" s="81">
        <f>IF(A151="","",SUMIF('22 2026 PAKETLEME'!$B$2:$B$501,A151,'22 2026 PAKETLEME'!$H$2:$H$501))</f>
        <v>0</v>
      </c>
      <c r="H151" s="81" t="e">
        <f t="shared" si="10"/>
        <v>#VALUE!</v>
      </c>
      <c r="I151" s="82">
        <f>IF(A151="","",SUMIF('23 2026 SEVKİYAT'!$E$2:$E$501,A151,'23 2026 SEVKİYAT'!$H$2:$H$501))</f>
        <v>0</v>
      </c>
      <c r="J151" s="81">
        <f t="shared" si="11"/>
        <v>0</v>
      </c>
      <c r="K151" s="81" t="e">
        <f t="shared" si="12"/>
        <v>#VALUE!</v>
      </c>
      <c r="L151" s="58" t="e">
        <f t="shared" si="13"/>
        <v>#VALUE!</v>
      </c>
      <c r="M151" s="56" t="e">
        <f t="shared" si="14"/>
        <v>#VALUE!</v>
      </c>
    </row>
    <row r="152" spans="1:13" ht="15" customHeight="1" x14ac:dyDescent="0.2">
      <c r="A152" s="60">
        <f>'21 2026 ÜRETİM'!A152</f>
        <v>0</v>
      </c>
      <c r="B152" s="81" t="str">
        <f>IF(A152="","",'21 2026 ÜRETİM'!D152)</f>
        <v/>
      </c>
      <c r="C152" s="81">
        <f>IF(A152="","",'21 2026 ÜRETİM'!E152)</f>
        <v>0</v>
      </c>
      <c r="D152" s="82" t="str">
        <f>IF(A152="","",'21 2026 ÜRETİM'!F152)</f>
        <v/>
      </c>
      <c r="E152" s="81">
        <f>IF(A152="","",SUMIF('22 2026 PAKETLEME'!$B$2:$B$501,A152,'22 2026 PAKETLEME'!$E$2:$E$501))</f>
        <v>0</v>
      </c>
      <c r="F152" s="82">
        <f>IF(A152="","",SUMIF('22 2026 PAKETLEME'!$B$2:$B$501,A152,'22 2026 PAKETLEME'!$G$2:$G$501))</f>
        <v>0</v>
      </c>
      <c r="G152" s="81">
        <f>IF(A152="","",SUMIF('22 2026 PAKETLEME'!$B$2:$B$501,A152,'22 2026 PAKETLEME'!$H$2:$H$501))</f>
        <v>0</v>
      </c>
      <c r="H152" s="81" t="e">
        <f t="shared" si="10"/>
        <v>#VALUE!</v>
      </c>
      <c r="I152" s="82">
        <f>IF(A152="","",SUMIF('23 2026 SEVKİYAT'!$E$2:$E$501,A152,'23 2026 SEVKİYAT'!$H$2:$H$501))</f>
        <v>0</v>
      </c>
      <c r="J152" s="81">
        <f t="shared" si="11"/>
        <v>0</v>
      </c>
      <c r="K152" s="81" t="e">
        <f t="shared" si="12"/>
        <v>#VALUE!</v>
      </c>
      <c r="L152" s="58" t="e">
        <f t="shared" si="13"/>
        <v>#VALUE!</v>
      </c>
      <c r="M152" s="56" t="e">
        <f t="shared" si="14"/>
        <v>#VALUE!</v>
      </c>
    </row>
    <row r="153" spans="1:13" ht="15" customHeight="1" x14ac:dyDescent="0.2">
      <c r="A153" s="60">
        <f>'21 2026 ÜRETİM'!A153</f>
        <v>0</v>
      </c>
      <c r="B153" s="81" t="str">
        <f>IF(A153="","",'21 2026 ÜRETİM'!D153)</f>
        <v/>
      </c>
      <c r="C153" s="81">
        <f>IF(A153="","",'21 2026 ÜRETİM'!E153)</f>
        <v>0</v>
      </c>
      <c r="D153" s="82" t="str">
        <f>IF(A153="","",'21 2026 ÜRETİM'!F153)</f>
        <v/>
      </c>
      <c r="E153" s="81">
        <f>IF(A153="","",SUMIF('22 2026 PAKETLEME'!$B$2:$B$501,A153,'22 2026 PAKETLEME'!$E$2:$E$501))</f>
        <v>0</v>
      </c>
      <c r="F153" s="82">
        <f>IF(A153="","",SUMIF('22 2026 PAKETLEME'!$B$2:$B$501,A153,'22 2026 PAKETLEME'!$G$2:$G$501))</f>
        <v>0</v>
      </c>
      <c r="G153" s="81">
        <f>IF(A153="","",SUMIF('22 2026 PAKETLEME'!$B$2:$B$501,A153,'22 2026 PAKETLEME'!$H$2:$H$501))</f>
        <v>0</v>
      </c>
      <c r="H153" s="81" t="e">
        <f t="shared" si="10"/>
        <v>#VALUE!</v>
      </c>
      <c r="I153" s="82">
        <f>IF(A153="","",SUMIF('23 2026 SEVKİYAT'!$E$2:$E$501,A153,'23 2026 SEVKİYAT'!$H$2:$H$501))</f>
        <v>0</v>
      </c>
      <c r="J153" s="81">
        <f t="shared" si="11"/>
        <v>0</v>
      </c>
      <c r="K153" s="81" t="e">
        <f t="shared" si="12"/>
        <v>#VALUE!</v>
      </c>
      <c r="L153" s="58" t="e">
        <f t="shared" si="13"/>
        <v>#VALUE!</v>
      </c>
      <c r="M153" s="56" t="e">
        <f t="shared" si="14"/>
        <v>#VALUE!</v>
      </c>
    </row>
    <row r="154" spans="1:13" ht="15" customHeight="1" x14ac:dyDescent="0.2">
      <c r="A154" s="60">
        <f>'21 2026 ÜRETİM'!A154</f>
        <v>0</v>
      </c>
      <c r="B154" s="81" t="str">
        <f>IF(A154="","",'21 2026 ÜRETİM'!D154)</f>
        <v/>
      </c>
      <c r="C154" s="81">
        <f>IF(A154="","",'21 2026 ÜRETİM'!E154)</f>
        <v>0</v>
      </c>
      <c r="D154" s="82" t="str">
        <f>IF(A154="","",'21 2026 ÜRETİM'!F154)</f>
        <v/>
      </c>
      <c r="E154" s="81">
        <f>IF(A154="","",SUMIF('22 2026 PAKETLEME'!$B$2:$B$501,A154,'22 2026 PAKETLEME'!$E$2:$E$501))</f>
        <v>0</v>
      </c>
      <c r="F154" s="82">
        <f>IF(A154="","",SUMIF('22 2026 PAKETLEME'!$B$2:$B$501,A154,'22 2026 PAKETLEME'!$G$2:$G$501))</f>
        <v>0</v>
      </c>
      <c r="G154" s="81">
        <f>IF(A154="","",SUMIF('22 2026 PAKETLEME'!$B$2:$B$501,A154,'22 2026 PAKETLEME'!$H$2:$H$501))</f>
        <v>0</v>
      </c>
      <c r="H154" s="81" t="e">
        <f t="shared" si="10"/>
        <v>#VALUE!</v>
      </c>
      <c r="I154" s="82">
        <f>IF(A154="","",SUMIF('23 2026 SEVKİYAT'!$E$2:$E$501,A154,'23 2026 SEVKİYAT'!$H$2:$H$501))</f>
        <v>0</v>
      </c>
      <c r="J154" s="81">
        <f t="shared" si="11"/>
        <v>0</v>
      </c>
      <c r="K154" s="81" t="e">
        <f t="shared" si="12"/>
        <v>#VALUE!</v>
      </c>
      <c r="L154" s="58" t="e">
        <f t="shared" si="13"/>
        <v>#VALUE!</v>
      </c>
      <c r="M154" s="56" t="e">
        <f t="shared" si="14"/>
        <v>#VALUE!</v>
      </c>
    </row>
    <row r="155" spans="1:13" ht="15" customHeight="1" x14ac:dyDescent="0.2">
      <c r="A155" s="60">
        <f>'21 2026 ÜRETİM'!A155</f>
        <v>0</v>
      </c>
      <c r="B155" s="81" t="str">
        <f>IF(A155="","",'21 2026 ÜRETİM'!D155)</f>
        <v/>
      </c>
      <c r="C155" s="81">
        <f>IF(A155="","",'21 2026 ÜRETİM'!E155)</f>
        <v>0</v>
      </c>
      <c r="D155" s="82" t="str">
        <f>IF(A155="","",'21 2026 ÜRETİM'!F155)</f>
        <v/>
      </c>
      <c r="E155" s="81">
        <f>IF(A155="","",SUMIF('22 2026 PAKETLEME'!$B$2:$B$501,A155,'22 2026 PAKETLEME'!$E$2:$E$501))</f>
        <v>0</v>
      </c>
      <c r="F155" s="82">
        <f>IF(A155="","",SUMIF('22 2026 PAKETLEME'!$B$2:$B$501,A155,'22 2026 PAKETLEME'!$G$2:$G$501))</f>
        <v>0</v>
      </c>
      <c r="G155" s="81">
        <f>IF(A155="","",SUMIF('22 2026 PAKETLEME'!$B$2:$B$501,A155,'22 2026 PAKETLEME'!$H$2:$H$501))</f>
        <v>0</v>
      </c>
      <c r="H155" s="81" t="e">
        <f t="shared" si="10"/>
        <v>#VALUE!</v>
      </c>
      <c r="I155" s="82">
        <f>IF(A155="","",SUMIF('23 2026 SEVKİYAT'!$E$2:$E$501,A155,'23 2026 SEVKİYAT'!$H$2:$H$501))</f>
        <v>0</v>
      </c>
      <c r="J155" s="81">
        <f t="shared" si="11"/>
        <v>0</v>
      </c>
      <c r="K155" s="81" t="e">
        <f t="shared" si="12"/>
        <v>#VALUE!</v>
      </c>
      <c r="L155" s="58" t="e">
        <f t="shared" si="13"/>
        <v>#VALUE!</v>
      </c>
      <c r="M155" s="56" t="e">
        <f t="shared" si="14"/>
        <v>#VALUE!</v>
      </c>
    </row>
    <row r="156" spans="1:13" ht="15" customHeight="1" x14ac:dyDescent="0.2">
      <c r="A156" s="60">
        <f>'21 2026 ÜRETİM'!A156</f>
        <v>0</v>
      </c>
      <c r="B156" s="81" t="str">
        <f>IF(A156="","",'21 2026 ÜRETİM'!D156)</f>
        <v/>
      </c>
      <c r="C156" s="81">
        <f>IF(A156="","",'21 2026 ÜRETİM'!E156)</f>
        <v>0</v>
      </c>
      <c r="D156" s="82" t="str">
        <f>IF(A156="","",'21 2026 ÜRETİM'!F156)</f>
        <v/>
      </c>
      <c r="E156" s="81">
        <f>IF(A156="","",SUMIF('22 2026 PAKETLEME'!$B$2:$B$501,A156,'22 2026 PAKETLEME'!$E$2:$E$501))</f>
        <v>0</v>
      </c>
      <c r="F156" s="82">
        <f>IF(A156="","",SUMIF('22 2026 PAKETLEME'!$B$2:$B$501,A156,'22 2026 PAKETLEME'!$G$2:$G$501))</f>
        <v>0</v>
      </c>
      <c r="G156" s="81">
        <f>IF(A156="","",SUMIF('22 2026 PAKETLEME'!$B$2:$B$501,A156,'22 2026 PAKETLEME'!$H$2:$H$501))</f>
        <v>0</v>
      </c>
      <c r="H156" s="81" t="e">
        <f t="shared" si="10"/>
        <v>#VALUE!</v>
      </c>
      <c r="I156" s="82">
        <f>IF(A156="","",SUMIF('23 2026 SEVKİYAT'!$E$2:$E$501,A156,'23 2026 SEVKİYAT'!$H$2:$H$501))</f>
        <v>0</v>
      </c>
      <c r="J156" s="81">
        <f t="shared" si="11"/>
        <v>0</v>
      </c>
      <c r="K156" s="81" t="e">
        <f t="shared" si="12"/>
        <v>#VALUE!</v>
      </c>
      <c r="L156" s="58" t="e">
        <f t="shared" si="13"/>
        <v>#VALUE!</v>
      </c>
      <c r="M156" s="56" t="e">
        <f t="shared" si="14"/>
        <v>#VALUE!</v>
      </c>
    </row>
    <row r="157" spans="1:13" ht="15" customHeight="1" x14ac:dyDescent="0.2">
      <c r="A157" s="60">
        <f>'21 2026 ÜRETİM'!A157</f>
        <v>0</v>
      </c>
      <c r="B157" s="81" t="str">
        <f>IF(A157="","",'21 2026 ÜRETİM'!D157)</f>
        <v/>
      </c>
      <c r="C157" s="81">
        <f>IF(A157="","",'21 2026 ÜRETİM'!E157)</f>
        <v>0</v>
      </c>
      <c r="D157" s="82" t="str">
        <f>IF(A157="","",'21 2026 ÜRETİM'!F157)</f>
        <v/>
      </c>
      <c r="E157" s="81">
        <f>IF(A157="","",SUMIF('22 2026 PAKETLEME'!$B$2:$B$501,A157,'22 2026 PAKETLEME'!$E$2:$E$501))</f>
        <v>0</v>
      </c>
      <c r="F157" s="82">
        <f>IF(A157="","",SUMIF('22 2026 PAKETLEME'!$B$2:$B$501,A157,'22 2026 PAKETLEME'!$G$2:$G$501))</f>
        <v>0</v>
      </c>
      <c r="G157" s="81">
        <f>IF(A157="","",SUMIF('22 2026 PAKETLEME'!$B$2:$B$501,A157,'22 2026 PAKETLEME'!$H$2:$H$501))</f>
        <v>0</v>
      </c>
      <c r="H157" s="81" t="e">
        <f t="shared" si="10"/>
        <v>#VALUE!</v>
      </c>
      <c r="I157" s="82">
        <f>IF(A157="","",SUMIF('23 2026 SEVKİYAT'!$E$2:$E$501,A157,'23 2026 SEVKİYAT'!$H$2:$H$501))</f>
        <v>0</v>
      </c>
      <c r="J157" s="81">
        <f t="shared" si="11"/>
        <v>0</v>
      </c>
      <c r="K157" s="81" t="e">
        <f t="shared" si="12"/>
        <v>#VALUE!</v>
      </c>
      <c r="L157" s="58" t="e">
        <f t="shared" si="13"/>
        <v>#VALUE!</v>
      </c>
      <c r="M157" s="56" t="e">
        <f t="shared" si="14"/>
        <v>#VALUE!</v>
      </c>
    </row>
    <row r="158" spans="1:13" ht="15" customHeight="1" x14ac:dyDescent="0.2">
      <c r="A158" s="60">
        <f>'21 2026 ÜRETİM'!A158</f>
        <v>0</v>
      </c>
      <c r="B158" s="81" t="str">
        <f>IF(A158="","",'21 2026 ÜRETİM'!D158)</f>
        <v/>
      </c>
      <c r="C158" s="81">
        <f>IF(A158="","",'21 2026 ÜRETİM'!E158)</f>
        <v>0</v>
      </c>
      <c r="D158" s="82" t="str">
        <f>IF(A158="","",'21 2026 ÜRETİM'!F158)</f>
        <v/>
      </c>
      <c r="E158" s="81">
        <f>IF(A158="","",SUMIF('22 2026 PAKETLEME'!$B$2:$B$501,A158,'22 2026 PAKETLEME'!$E$2:$E$501))</f>
        <v>0</v>
      </c>
      <c r="F158" s="82">
        <f>IF(A158="","",SUMIF('22 2026 PAKETLEME'!$B$2:$B$501,A158,'22 2026 PAKETLEME'!$G$2:$G$501))</f>
        <v>0</v>
      </c>
      <c r="G158" s="81">
        <f>IF(A158="","",SUMIF('22 2026 PAKETLEME'!$B$2:$B$501,A158,'22 2026 PAKETLEME'!$H$2:$H$501))</f>
        <v>0</v>
      </c>
      <c r="H158" s="81" t="e">
        <f t="shared" si="10"/>
        <v>#VALUE!</v>
      </c>
      <c r="I158" s="82">
        <f>IF(A158="","",SUMIF('23 2026 SEVKİYAT'!$E$2:$E$501,A158,'23 2026 SEVKİYAT'!$H$2:$H$501))</f>
        <v>0</v>
      </c>
      <c r="J158" s="81">
        <f t="shared" si="11"/>
        <v>0</v>
      </c>
      <c r="K158" s="81" t="e">
        <f t="shared" si="12"/>
        <v>#VALUE!</v>
      </c>
      <c r="L158" s="58" t="e">
        <f t="shared" si="13"/>
        <v>#VALUE!</v>
      </c>
      <c r="M158" s="56" t="e">
        <f t="shared" si="14"/>
        <v>#VALUE!</v>
      </c>
    </row>
    <row r="159" spans="1:13" ht="15" customHeight="1" x14ac:dyDescent="0.2">
      <c r="A159" s="60">
        <f>'21 2026 ÜRETİM'!A159</f>
        <v>0</v>
      </c>
      <c r="B159" s="81" t="str">
        <f>IF(A159="","",'21 2026 ÜRETİM'!D159)</f>
        <v/>
      </c>
      <c r="C159" s="81">
        <f>IF(A159="","",'21 2026 ÜRETİM'!E159)</f>
        <v>0</v>
      </c>
      <c r="D159" s="82" t="str">
        <f>IF(A159="","",'21 2026 ÜRETİM'!F159)</f>
        <v/>
      </c>
      <c r="E159" s="81">
        <f>IF(A159="","",SUMIF('22 2026 PAKETLEME'!$B$2:$B$501,A159,'22 2026 PAKETLEME'!$E$2:$E$501))</f>
        <v>0</v>
      </c>
      <c r="F159" s="82">
        <f>IF(A159="","",SUMIF('22 2026 PAKETLEME'!$B$2:$B$501,A159,'22 2026 PAKETLEME'!$G$2:$G$501))</f>
        <v>0</v>
      </c>
      <c r="G159" s="81">
        <f>IF(A159="","",SUMIF('22 2026 PAKETLEME'!$B$2:$B$501,A159,'22 2026 PAKETLEME'!$H$2:$H$501))</f>
        <v>0</v>
      </c>
      <c r="H159" s="81" t="e">
        <f t="shared" si="10"/>
        <v>#VALUE!</v>
      </c>
      <c r="I159" s="82">
        <f>IF(A159="","",SUMIF('23 2026 SEVKİYAT'!$E$2:$E$501,A159,'23 2026 SEVKİYAT'!$H$2:$H$501))</f>
        <v>0</v>
      </c>
      <c r="J159" s="81">
        <f t="shared" si="11"/>
        <v>0</v>
      </c>
      <c r="K159" s="81" t="e">
        <f t="shared" si="12"/>
        <v>#VALUE!</v>
      </c>
      <c r="L159" s="58" t="e">
        <f t="shared" si="13"/>
        <v>#VALUE!</v>
      </c>
      <c r="M159" s="56" t="e">
        <f t="shared" si="14"/>
        <v>#VALUE!</v>
      </c>
    </row>
    <row r="160" spans="1:13" ht="15" customHeight="1" x14ac:dyDescent="0.2">
      <c r="A160" s="60">
        <f>'21 2026 ÜRETİM'!A160</f>
        <v>0</v>
      </c>
      <c r="B160" s="81" t="str">
        <f>IF(A160="","",'21 2026 ÜRETİM'!D160)</f>
        <v/>
      </c>
      <c r="C160" s="81">
        <f>IF(A160="","",'21 2026 ÜRETİM'!E160)</f>
        <v>0</v>
      </c>
      <c r="D160" s="82" t="str">
        <f>IF(A160="","",'21 2026 ÜRETİM'!F160)</f>
        <v/>
      </c>
      <c r="E160" s="81">
        <f>IF(A160="","",SUMIF('22 2026 PAKETLEME'!$B$2:$B$501,A160,'22 2026 PAKETLEME'!$E$2:$E$501))</f>
        <v>0</v>
      </c>
      <c r="F160" s="82">
        <f>IF(A160="","",SUMIF('22 2026 PAKETLEME'!$B$2:$B$501,A160,'22 2026 PAKETLEME'!$G$2:$G$501))</f>
        <v>0</v>
      </c>
      <c r="G160" s="81">
        <f>IF(A160="","",SUMIF('22 2026 PAKETLEME'!$B$2:$B$501,A160,'22 2026 PAKETLEME'!$H$2:$H$501))</f>
        <v>0</v>
      </c>
      <c r="H160" s="81" t="e">
        <f t="shared" si="10"/>
        <v>#VALUE!</v>
      </c>
      <c r="I160" s="82">
        <f>IF(A160="","",SUMIF('23 2026 SEVKİYAT'!$E$2:$E$501,A160,'23 2026 SEVKİYAT'!$H$2:$H$501))</f>
        <v>0</v>
      </c>
      <c r="J160" s="81">
        <f t="shared" si="11"/>
        <v>0</v>
      </c>
      <c r="K160" s="81" t="e">
        <f t="shared" si="12"/>
        <v>#VALUE!</v>
      </c>
      <c r="L160" s="58" t="e">
        <f t="shared" si="13"/>
        <v>#VALUE!</v>
      </c>
      <c r="M160" s="56" t="e">
        <f t="shared" si="14"/>
        <v>#VALUE!</v>
      </c>
    </row>
    <row r="161" spans="1:13" ht="15" customHeight="1" x14ac:dyDescent="0.2">
      <c r="A161" s="60">
        <f>'21 2026 ÜRETİM'!A161</f>
        <v>0</v>
      </c>
      <c r="B161" s="81" t="str">
        <f>IF(A161="","",'21 2026 ÜRETİM'!D161)</f>
        <v/>
      </c>
      <c r="C161" s="81">
        <f>IF(A161="","",'21 2026 ÜRETİM'!E161)</f>
        <v>0</v>
      </c>
      <c r="D161" s="82" t="str">
        <f>IF(A161="","",'21 2026 ÜRETİM'!F161)</f>
        <v/>
      </c>
      <c r="E161" s="81">
        <f>IF(A161="","",SUMIF('22 2026 PAKETLEME'!$B$2:$B$501,A161,'22 2026 PAKETLEME'!$E$2:$E$501))</f>
        <v>0</v>
      </c>
      <c r="F161" s="82">
        <f>IF(A161="","",SUMIF('22 2026 PAKETLEME'!$B$2:$B$501,A161,'22 2026 PAKETLEME'!$G$2:$G$501))</f>
        <v>0</v>
      </c>
      <c r="G161" s="81">
        <f>IF(A161="","",SUMIF('22 2026 PAKETLEME'!$B$2:$B$501,A161,'22 2026 PAKETLEME'!$H$2:$H$501))</f>
        <v>0</v>
      </c>
      <c r="H161" s="81" t="e">
        <f t="shared" si="10"/>
        <v>#VALUE!</v>
      </c>
      <c r="I161" s="82">
        <f>IF(A161="","",SUMIF('23 2026 SEVKİYAT'!$E$2:$E$501,A161,'23 2026 SEVKİYAT'!$H$2:$H$501))</f>
        <v>0</v>
      </c>
      <c r="J161" s="81">
        <f t="shared" si="11"/>
        <v>0</v>
      </c>
      <c r="K161" s="81" t="e">
        <f t="shared" si="12"/>
        <v>#VALUE!</v>
      </c>
      <c r="L161" s="58" t="e">
        <f t="shared" si="13"/>
        <v>#VALUE!</v>
      </c>
      <c r="M161" s="56" t="e">
        <f t="shared" si="14"/>
        <v>#VALUE!</v>
      </c>
    </row>
    <row r="162" spans="1:13" ht="15" customHeight="1" x14ac:dyDescent="0.2">
      <c r="A162" s="60">
        <f>'21 2026 ÜRETİM'!A162</f>
        <v>0</v>
      </c>
      <c r="B162" s="81" t="str">
        <f>IF(A162="","",'21 2026 ÜRETİM'!D162)</f>
        <v/>
      </c>
      <c r="C162" s="81">
        <f>IF(A162="","",'21 2026 ÜRETİM'!E162)</f>
        <v>0</v>
      </c>
      <c r="D162" s="82" t="str">
        <f>IF(A162="","",'21 2026 ÜRETİM'!F162)</f>
        <v/>
      </c>
      <c r="E162" s="81">
        <f>IF(A162="","",SUMIF('22 2026 PAKETLEME'!$B$2:$B$501,A162,'22 2026 PAKETLEME'!$E$2:$E$501))</f>
        <v>0</v>
      </c>
      <c r="F162" s="82">
        <f>IF(A162="","",SUMIF('22 2026 PAKETLEME'!$B$2:$B$501,A162,'22 2026 PAKETLEME'!$G$2:$G$501))</f>
        <v>0</v>
      </c>
      <c r="G162" s="81">
        <f>IF(A162="","",SUMIF('22 2026 PAKETLEME'!$B$2:$B$501,A162,'22 2026 PAKETLEME'!$H$2:$H$501))</f>
        <v>0</v>
      </c>
      <c r="H162" s="81" t="e">
        <f t="shared" si="10"/>
        <v>#VALUE!</v>
      </c>
      <c r="I162" s="82">
        <f>IF(A162="","",SUMIF('23 2026 SEVKİYAT'!$E$2:$E$501,A162,'23 2026 SEVKİYAT'!$H$2:$H$501))</f>
        <v>0</v>
      </c>
      <c r="J162" s="81">
        <f t="shared" si="11"/>
        <v>0</v>
      </c>
      <c r="K162" s="81" t="e">
        <f t="shared" si="12"/>
        <v>#VALUE!</v>
      </c>
      <c r="L162" s="58" t="e">
        <f t="shared" si="13"/>
        <v>#VALUE!</v>
      </c>
      <c r="M162" s="56" t="e">
        <f t="shared" si="14"/>
        <v>#VALUE!</v>
      </c>
    </row>
    <row r="163" spans="1:13" ht="15" customHeight="1" x14ac:dyDescent="0.2">
      <c r="A163" s="60">
        <f>'21 2026 ÜRETİM'!A163</f>
        <v>0</v>
      </c>
      <c r="B163" s="81" t="str">
        <f>IF(A163="","",'21 2026 ÜRETİM'!D163)</f>
        <v/>
      </c>
      <c r="C163" s="81">
        <f>IF(A163="","",'21 2026 ÜRETİM'!E163)</f>
        <v>0</v>
      </c>
      <c r="D163" s="82" t="str">
        <f>IF(A163="","",'21 2026 ÜRETİM'!F163)</f>
        <v/>
      </c>
      <c r="E163" s="81">
        <f>IF(A163="","",SUMIF('22 2026 PAKETLEME'!$B$2:$B$501,A163,'22 2026 PAKETLEME'!$E$2:$E$501))</f>
        <v>0</v>
      </c>
      <c r="F163" s="82">
        <f>IF(A163="","",SUMIF('22 2026 PAKETLEME'!$B$2:$B$501,A163,'22 2026 PAKETLEME'!$G$2:$G$501))</f>
        <v>0</v>
      </c>
      <c r="G163" s="81">
        <f>IF(A163="","",SUMIF('22 2026 PAKETLEME'!$B$2:$B$501,A163,'22 2026 PAKETLEME'!$H$2:$H$501))</f>
        <v>0</v>
      </c>
      <c r="H163" s="81" t="e">
        <f t="shared" si="10"/>
        <v>#VALUE!</v>
      </c>
      <c r="I163" s="82">
        <f>IF(A163="","",SUMIF('23 2026 SEVKİYAT'!$E$2:$E$501,A163,'23 2026 SEVKİYAT'!$H$2:$H$501))</f>
        <v>0</v>
      </c>
      <c r="J163" s="81">
        <f t="shared" si="11"/>
        <v>0</v>
      </c>
      <c r="K163" s="81" t="e">
        <f t="shared" si="12"/>
        <v>#VALUE!</v>
      </c>
      <c r="L163" s="58" t="e">
        <f t="shared" si="13"/>
        <v>#VALUE!</v>
      </c>
      <c r="M163" s="56" t="e">
        <f t="shared" si="14"/>
        <v>#VALUE!</v>
      </c>
    </row>
    <row r="164" spans="1:13" ht="15" customHeight="1" x14ac:dyDescent="0.2">
      <c r="A164" s="60">
        <f>'21 2026 ÜRETİM'!A164</f>
        <v>0</v>
      </c>
      <c r="B164" s="81" t="str">
        <f>IF(A164="","",'21 2026 ÜRETİM'!D164)</f>
        <v/>
      </c>
      <c r="C164" s="81">
        <f>IF(A164="","",'21 2026 ÜRETİM'!E164)</f>
        <v>0</v>
      </c>
      <c r="D164" s="82" t="str">
        <f>IF(A164="","",'21 2026 ÜRETİM'!F164)</f>
        <v/>
      </c>
      <c r="E164" s="81">
        <f>IF(A164="","",SUMIF('22 2026 PAKETLEME'!$B$2:$B$501,A164,'22 2026 PAKETLEME'!$E$2:$E$501))</f>
        <v>0</v>
      </c>
      <c r="F164" s="82">
        <f>IF(A164="","",SUMIF('22 2026 PAKETLEME'!$B$2:$B$501,A164,'22 2026 PAKETLEME'!$G$2:$G$501))</f>
        <v>0</v>
      </c>
      <c r="G164" s="81">
        <f>IF(A164="","",SUMIF('22 2026 PAKETLEME'!$B$2:$B$501,A164,'22 2026 PAKETLEME'!$H$2:$H$501))</f>
        <v>0</v>
      </c>
      <c r="H164" s="81" t="e">
        <f t="shared" si="10"/>
        <v>#VALUE!</v>
      </c>
      <c r="I164" s="82">
        <f>IF(A164="","",SUMIF('23 2026 SEVKİYAT'!$E$2:$E$501,A164,'23 2026 SEVKİYAT'!$H$2:$H$501))</f>
        <v>0</v>
      </c>
      <c r="J164" s="81">
        <f t="shared" si="11"/>
        <v>0</v>
      </c>
      <c r="K164" s="81" t="e">
        <f t="shared" si="12"/>
        <v>#VALUE!</v>
      </c>
      <c r="L164" s="58" t="e">
        <f t="shared" si="13"/>
        <v>#VALUE!</v>
      </c>
      <c r="M164" s="56" t="e">
        <f t="shared" si="14"/>
        <v>#VALUE!</v>
      </c>
    </row>
    <row r="165" spans="1:13" ht="15" customHeight="1" x14ac:dyDescent="0.2">
      <c r="A165" s="60">
        <f>'21 2026 ÜRETİM'!A165</f>
        <v>0</v>
      </c>
      <c r="B165" s="81" t="str">
        <f>IF(A165="","",'21 2026 ÜRETİM'!D165)</f>
        <v/>
      </c>
      <c r="C165" s="81">
        <f>IF(A165="","",'21 2026 ÜRETİM'!E165)</f>
        <v>0</v>
      </c>
      <c r="D165" s="82" t="str">
        <f>IF(A165="","",'21 2026 ÜRETİM'!F165)</f>
        <v/>
      </c>
      <c r="E165" s="81">
        <f>IF(A165="","",SUMIF('22 2026 PAKETLEME'!$B$2:$B$501,A165,'22 2026 PAKETLEME'!$E$2:$E$501))</f>
        <v>0</v>
      </c>
      <c r="F165" s="82">
        <f>IF(A165="","",SUMIF('22 2026 PAKETLEME'!$B$2:$B$501,A165,'22 2026 PAKETLEME'!$G$2:$G$501))</f>
        <v>0</v>
      </c>
      <c r="G165" s="81">
        <f>IF(A165="","",SUMIF('22 2026 PAKETLEME'!$B$2:$B$501,A165,'22 2026 PAKETLEME'!$H$2:$H$501))</f>
        <v>0</v>
      </c>
      <c r="H165" s="81" t="e">
        <f t="shared" si="10"/>
        <v>#VALUE!</v>
      </c>
      <c r="I165" s="82">
        <f>IF(A165="","",SUMIF('23 2026 SEVKİYAT'!$E$2:$E$501,A165,'23 2026 SEVKİYAT'!$H$2:$H$501))</f>
        <v>0</v>
      </c>
      <c r="J165" s="81">
        <f t="shared" si="11"/>
        <v>0</v>
      </c>
      <c r="K165" s="81" t="e">
        <f t="shared" si="12"/>
        <v>#VALUE!</v>
      </c>
      <c r="L165" s="58" t="e">
        <f t="shared" si="13"/>
        <v>#VALUE!</v>
      </c>
      <c r="M165" s="56" t="e">
        <f t="shared" si="14"/>
        <v>#VALUE!</v>
      </c>
    </row>
    <row r="166" spans="1:13" ht="15" customHeight="1" x14ac:dyDescent="0.2">
      <c r="A166" s="60">
        <f>'21 2026 ÜRETİM'!A166</f>
        <v>0</v>
      </c>
      <c r="B166" s="81" t="str">
        <f>IF(A166="","",'21 2026 ÜRETİM'!D166)</f>
        <v/>
      </c>
      <c r="C166" s="81">
        <f>IF(A166="","",'21 2026 ÜRETİM'!E166)</f>
        <v>0</v>
      </c>
      <c r="D166" s="82" t="str">
        <f>IF(A166="","",'21 2026 ÜRETİM'!F166)</f>
        <v/>
      </c>
      <c r="E166" s="81">
        <f>IF(A166="","",SUMIF('22 2026 PAKETLEME'!$B$2:$B$501,A166,'22 2026 PAKETLEME'!$E$2:$E$501))</f>
        <v>0</v>
      </c>
      <c r="F166" s="82">
        <f>IF(A166="","",SUMIF('22 2026 PAKETLEME'!$B$2:$B$501,A166,'22 2026 PAKETLEME'!$G$2:$G$501))</f>
        <v>0</v>
      </c>
      <c r="G166" s="81">
        <f>IF(A166="","",SUMIF('22 2026 PAKETLEME'!$B$2:$B$501,A166,'22 2026 PAKETLEME'!$H$2:$H$501))</f>
        <v>0</v>
      </c>
      <c r="H166" s="81" t="e">
        <f t="shared" si="10"/>
        <v>#VALUE!</v>
      </c>
      <c r="I166" s="82">
        <f>IF(A166="","",SUMIF('23 2026 SEVKİYAT'!$E$2:$E$501,A166,'23 2026 SEVKİYAT'!$H$2:$H$501))</f>
        <v>0</v>
      </c>
      <c r="J166" s="81">
        <f t="shared" si="11"/>
        <v>0</v>
      </c>
      <c r="K166" s="81" t="e">
        <f t="shared" si="12"/>
        <v>#VALUE!</v>
      </c>
      <c r="L166" s="58" t="e">
        <f t="shared" si="13"/>
        <v>#VALUE!</v>
      </c>
      <c r="M166" s="56" t="e">
        <f t="shared" si="14"/>
        <v>#VALUE!</v>
      </c>
    </row>
    <row r="167" spans="1:13" ht="15" customHeight="1" x14ac:dyDescent="0.2">
      <c r="A167" s="60">
        <f>'21 2026 ÜRETİM'!A167</f>
        <v>0</v>
      </c>
      <c r="B167" s="81" t="str">
        <f>IF(A167="","",'21 2026 ÜRETİM'!D167)</f>
        <v/>
      </c>
      <c r="C167" s="81">
        <f>IF(A167="","",'21 2026 ÜRETİM'!E167)</f>
        <v>0</v>
      </c>
      <c r="D167" s="82" t="str">
        <f>IF(A167="","",'21 2026 ÜRETİM'!F167)</f>
        <v/>
      </c>
      <c r="E167" s="81">
        <f>IF(A167="","",SUMIF('22 2026 PAKETLEME'!$B$2:$B$501,A167,'22 2026 PAKETLEME'!$E$2:$E$501))</f>
        <v>0</v>
      </c>
      <c r="F167" s="82">
        <f>IF(A167="","",SUMIF('22 2026 PAKETLEME'!$B$2:$B$501,A167,'22 2026 PAKETLEME'!$G$2:$G$501))</f>
        <v>0</v>
      </c>
      <c r="G167" s="81">
        <f>IF(A167="","",SUMIF('22 2026 PAKETLEME'!$B$2:$B$501,A167,'22 2026 PAKETLEME'!$H$2:$H$501))</f>
        <v>0</v>
      </c>
      <c r="H167" s="81" t="e">
        <f t="shared" si="10"/>
        <v>#VALUE!</v>
      </c>
      <c r="I167" s="82">
        <f>IF(A167="","",SUMIF('23 2026 SEVKİYAT'!$E$2:$E$501,A167,'23 2026 SEVKİYAT'!$H$2:$H$501))</f>
        <v>0</v>
      </c>
      <c r="J167" s="81">
        <f t="shared" si="11"/>
        <v>0</v>
      </c>
      <c r="K167" s="81" t="e">
        <f t="shared" si="12"/>
        <v>#VALUE!</v>
      </c>
      <c r="L167" s="58" t="e">
        <f t="shared" si="13"/>
        <v>#VALUE!</v>
      </c>
      <c r="M167" s="56" t="e">
        <f t="shared" si="14"/>
        <v>#VALUE!</v>
      </c>
    </row>
    <row r="168" spans="1:13" ht="15" customHeight="1" x14ac:dyDescent="0.2">
      <c r="A168" s="60">
        <f>'21 2026 ÜRETİM'!A168</f>
        <v>0</v>
      </c>
      <c r="B168" s="81" t="str">
        <f>IF(A168="","",'21 2026 ÜRETİM'!D168)</f>
        <v/>
      </c>
      <c r="C168" s="81">
        <f>IF(A168="","",'21 2026 ÜRETİM'!E168)</f>
        <v>0</v>
      </c>
      <c r="D168" s="82" t="str">
        <f>IF(A168="","",'21 2026 ÜRETİM'!F168)</f>
        <v/>
      </c>
      <c r="E168" s="81">
        <f>IF(A168="","",SUMIF('22 2026 PAKETLEME'!$B$2:$B$501,A168,'22 2026 PAKETLEME'!$E$2:$E$501))</f>
        <v>0</v>
      </c>
      <c r="F168" s="82">
        <f>IF(A168="","",SUMIF('22 2026 PAKETLEME'!$B$2:$B$501,A168,'22 2026 PAKETLEME'!$G$2:$G$501))</f>
        <v>0</v>
      </c>
      <c r="G168" s="81">
        <f>IF(A168="","",SUMIF('22 2026 PAKETLEME'!$B$2:$B$501,A168,'22 2026 PAKETLEME'!$H$2:$H$501))</f>
        <v>0</v>
      </c>
      <c r="H168" s="81" t="e">
        <f t="shared" si="10"/>
        <v>#VALUE!</v>
      </c>
      <c r="I168" s="82">
        <f>IF(A168="","",SUMIF('23 2026 SEVKİYAT'!$E$2:$E$501,A168,'23 2026 SEVKİYAT'!$H$2:$H$501))</f>
        <v>0</v>
      </c>
      <c r="J168" s="81">
        <f t="shared" si="11"/>
        <v>0</v>
      </c>
      <c r="K168" s="81" t="e">
        <f t="shared" si="12"/>
        <v>#VALUE!</v>
      </c>
      <c r="L168" s="58" t="e">
        <f t="shared" si="13"/>
        <v>#VALUE!</v>
      </c>
      <c r="M168" s="56" t="e">
        <f t="shared" si="14"/>
        <v>#VALUE!</v>
      </c>
    </row>
    <row r="169" spans="1:13" ht="15" customHeight="1" x14ac:dyDescent="0.2">
      <c r="A169" s="60">
        <f>'21 2026 ÜRETİM'!A169</f>
        <v>0</v>
      </c>
      <c r="B169" s="81" t="str">
        <f>IF(A169="","",'21 2026 ÜRETİM'!D169)</f>
        <v/>
      </c>
      <c r="C169" s="81">
        <f>IF(A169="","",'21 2026 ÜRETİM'!E169)</f>
        <v>0</v>
      </c>
      <c r="D169" s="82" t="str">
        <f>IF(A169="","",'21 2026 ÜRETİM'!F169)</f>
        <v/>
      </c>
      <c r="E169" s="81">
        <f>IF(A169="","",SUMIF('22 2026 PAKETLEME'!$B$2:$B$501,A169,'22 2026 PAKETLEME'!$E$2:$E$501))</f>
        <v>0</v>
      </c>
      <c r="F169" s="82">
        <f>IF(A169="","",SUMIF('22 2026 PAKETLEME'!$B$2:$B$501,A169,'22 2026 PAKETLEME'!$G$2:$G$501))</f>
        <v>0</v>
      </c>
      <c r="G169" s="81">
        <f>IF(A169="","",SUMIF('22 2026 PAKETLEME'!$B$2:$B$501,A169,'22 2026 PAKETLEME'!$H$2:$H$501))</f>
        <v>0</v>
      </c>
      <c r="H169" s="81" t="e">
        <f t="shared" si="10"/>
        <v>#VALUE!</v>
      </c>
      <c r="I169" s="82">
        <f>IF(A169="","",SUMIF('23 2026 SEVKİYAT'!$E$2:$E$501,A169,'23 2026 SEVKİYAT'!$H$2:$H$501))</f>
        <v>0</v>
      </c>
      <c r="J169" s="81">
        <f t="shared" si="11"/>
        <v>0</v>
      </c>
      <c r="K169" s="81" t="e">
        <f t="shared" si="12"/>
        <v>#VALUE!</v>
      </c>
      <c r="L169" s="58" t="e">
        <f t="shared" si="13"/>
        <v>#VALUE!</v>
      </c>
      <c r="M169" s="56" t="e">
        <f t="shared" si="14"/>
        <v>#VALUE!</v>
      </c>
    </row>
    <row r="170" spans="1:13" ht="15" customHeight="1" x14ac:dyDescent="0.2">
      <c r="A170" s="60">
        <f>'21 2026 ÜRETİM'!A170</f>
        <v>0</v>
      </c>
      <c r="B170" s="81" t="str">
        <f>IF(A170="","",'21 2026 ÜRETİM'!D170)</f>
        <v/>
      </c>
      <c r="C170" s="81">
        <f>IF(A170="","",'21 2026 ÜRETİM'!E170)</f>
        <v>0</v>
      </c>
      <c r="D170" s="82" t="str">
        <f>IF(A170="","",'21 2026 ÜRETİM'!F170)</f>
        <v/>
      </c>
      <c r="E170" s="81">
        <f>IF(A170="","",SUMIF('22 2026 PAKETLEME'!$B$2:$B$501,A170,'22 2026 PAKETLEME'!$E$2:$E$501))</f>
        <v>0</v>
      </c>
      <c r="F170" s="82">
        <f>IF(A170="","",SUMIF('22 2026 PAKETLEME'!$B$2:$B$501,A170,'22 2026 PAKETLEME'!$G$2:$G$501))</f>
        <v>0</v>
      </c>
      <c r="G170" s="81">
        <f>IF(A170="","",SUMIF('22 2026 PAKETLEME'!$B$2:$B$501,A170,'22 2026 PAKETLEME'!$H$2:$H$501))</f>
        <v>0</v>
      </c>
      <c r="H170" s="81" t="e">
        <f t="shared" si="10"/>
        <v>#VALUE!</v>
      </c>
      <c r="I170" s="82">
        <f>IF(A170="","",SUMIF('23 2026 SEVKİYAT'!$E$2:$E$501,A170,'23 2026 SEVKİYAT'!$H$2:$H$501))</f>
        <v>0</v>
      </c>
      <c r="J170" s="81">
        <f t="shared" si="11"/>
        <v>0</v>
      </c>
      <c r="K170" s="81" t="e">
        <f t="shared" si="12"/>
        <v>#VALUE!</v>
      </c>
      <c r="L170" s="58" t="e">
        <f t="shared" si="13"/>
        <v>#VALUE!</v>
      </c>
      <c r="M170" s="56" t="e">
        <f t="shared" si="14"/>
        <v>#VALUE!</v>
      </c>
    </row>
    <row r="171" spans="1:13" ht="15" customHeight="1" x14ac:dyDescent="0.2">
      <c r="A171" s="60">
        <f>'21 2026 ÜRETİM'!A171</f>
        <v>0</v>
      </c>
      <c r="B171" s="81" t="str">
        <f>IF(A171="","",'21 2026 ÜRETİM'!D171)</f>
        <v/>
      </c>
      <c r="C171" s="81">
        <f>IF(A171="","",'21 2026 ÜRETİM'!E171)</f>
        <v>0</v>
      </c>
      <c r="D171" s="82" t="str">
        <f>IF(A171="","",'21 2026 ÜRETİM'!F171)</f>
        <v/>
      </c>
      <c r="E171" s="81">
        <f>IF(A171="","",SUMIF('22 2026 PAKETLEME'!$B$2:$B$501,A171,'22 2026 PAKETLEME'!$E$2:$E$501))</f>
        <v>0</v>
      </c>
      <c r="F171" s="82">
        <f>IF(A171="","",SUMIF('22 2026 PAKETLEME'!$B$2:$B$501,A171,'22 2026 PAKETLEME'!$G$2:$G$501))</f>
        <v>0</v>
      </c>
      <c r="G171" s="81">
        <f>IF(A171="","",SUMIF('22 2026 PAKETLEME'!$B$2:$B$501,A171,'22 2026 PAKETLEME'!$H$2:$H$501))</f>
        <v>0</v>
      </c>
      <c r="H171" s="81" t="e">
        <f t="shared" si="10"/>
        <v>#VALUE!</v>
      </c>
      <c r="I171" s="82">
        <f>IF(A171="","",SUMIF('23 2026 SEVKİYAT'!$E$2:$E$501,A171,'23 2026 SEVKİYAT'!$H$2:$H$501))</f>
        <v>0</v>
      </c>
      <c r="J171" s="81">
        <f t="shared" si="11"/>
        <v>0</v>
      </c>
      <c r="K171" s="81" t="e">
        <f t="shared" si="12"/>
        <v>#VALUE!</v>
      </c>
      <c r="L171" s="58" t="e">
        <f t="shared" si="13"/>
        <v>#VALUE!</v>
      </c>
      <c r="M171" s="56" t="e">
        <f t="shared" si="14"/>
        <v>#VALUE!</v>
      </c>
    </row>
    <row r="172" spans="1:13" ht="15" customHeight="1" x14ac:dyDescent="0.2">
      <c r="A172" s="60">
        <f>'21 2026 ÜRETİM'!A172</f>
        <v>0</v>
      </c>
      <c r="B172" s="81" t="str">
        <f>IF(A172="","",'21 2026 ÜRETİM'!D172)</f>
        <v/>
      </c>
      <c r="C172" s="81">
        <f>IF(A172="","",'21 2026 ÜRETİM'!E172)</f>
        <v>0</v>
      </c>
      <c r="D172" s="82" t="str">
        <f>IF(A172="","",'21 2026 ÜRETİM'!F172)</f>
        <v/>
      </c>
      <c r="E172" s="81">
        <f>IF(A172="","",SUMIF('22 2026 PAKETLEME'!$B$2:$B$501,A172,'22 2026 PAKETLEME'!$E$2:$E$501))</f>
        <v>0</v>
      </c>
      <c r="F172" s="82">
        <f>IF(A172="","",SUMIF('22 2026 PAKETLEME'!$B$2:$B$501,A172,'22 2026 PAKETLEME'!$G$2:$G$501))</f>
        <v>0</v>
      </c>
      <c r="G172" s="81">
        <f>IF(A172="","",SUMIF('22 2026 PAKETLEME'!$B$2:$B$501,A172,'22 2026 PAKETLEME'!$H$2:$H$501))</f>
        <v>0</v>
      </c>
      <c r="H172" s="81" t="e">
        <f t="shared" si="10"/>
        <v>#VALUE!</v>
      </c>
      <c r="I172" s="82">
        <f>IF(A172="","",SUMIF('23 2026 SEVKİYAT'!$E$2:$E$501,A172,'23 2026 SEVKİYAT'!$H$2:$H$501))</f>
        <v>0</v>
      </c>
      <c r="J172" s="81">
        <f t="shared" si="11"/>
        <v>0</v>
      </c>
      <c r="K172" s="81" t="e">
        <f t="shared" si="12"/>
        <v>#VALUE!</v>
      </c>
      <c r="L172" s="58" t="e">
        <f t="shared" si="13"/>
        <v>#VALUE!</v>
      </c>
      <c r="M172" s="56" t="e">
        <f t="shared" si="14"/>
        <v>#VALUE!</v>
      </c>
    </row>
    <row r="173" spans="1:13" ht="15" customHeight="1" x14ac:dyDescent="0.2">
      <c r="A173" s="60">
        <f>'21 2026 ÜRETİM'!A173</f>
        <v>0</v>
      </c>
      <c r="B173" s="81" t="str">
        <f>IF(A173="","",'21 2026 ÜRETİM'!D173)</f>
        <v/>
      </c>
      <c r="C173" s="81">
        <f>IF(A173="","",'21 2026 ÜRETİM'!E173)</f>
        <v>0</v>
      </c>
      <c r="D173" s="82" t="str">
        <f>IF(A173="","",'21 2026 ÜRETİM'!F173)</f>
        <v/>
      </c>
      <c r="E173" s="81">
        <f>IF(A173="","",SUMIF('22 2026 PAKETLEME'!$B$2:$B$501,A173,'22 2026 PAKETLEME'!$E$2:$E$501))</f>
        <v>0</v>
      </c>
      <c r="F173" s="82">
        <f>IF(A173="","",SUMIF('22 2026 PAKETLEME'!$B$2:$B$501,A173,'22 2026 PAKETLEME'!$G$2:$G$501))</f>
        <v>0</v>
      </c>
      <c r="G173" s="81">
        <f>IF(A173="","",SUMIF('22 2026 PAKETLEME'!$B$2:$B$501,A173,'22 2026 PAKETLEME'!$H$2:$H$501))</f>
        <v>0</v>
      </c>
      <c r="H173" s="81" t="e">
        <f t="shared" si="10"/>
        <v>#VALUE!</v>
      </c>
      <c r="I173" s="82">
        <f>IF(A173="","",SUMIF('23 2026 SEVKİYAT'!$E$2:$E$501,A173,'23 2026 SEVKİYAT'!$H$2:$H$501))</f>
        <v>0</v>
      </c>
      <c r="J173" s="81">
        <f t="shared" si="11"/>
        <v>0</v>
      </c>
      <c r="K173" s="81" t="e">
        <f t="shared" si="12"/>
        <v>#VALUE!</v>
      </c>
      <c r="L173" s="58" t="e">
        <f t="shared" si="13"/>
        <v>#VALUE!</v>
      </c>
      <c r="M173" s="56" t="e">
        <f t="shared" si="14"/>
        <v>#VALUE!</v>
      </c>
    </row>
    <row r="174" spans="1:13" ht="15" customHeight="1" x14ac:dyDescent="0.2">
      <c r="A174" s="60">
        <f>'21 2026 ÜRETİM'!A174</f>
        <v>0</v>
      </c>
      <c r="B174" s="81" t="str">
        <f>IF(A174="","",'21 2026 ÜRETİM'!D174)</f>
        <v/>
      </c>
      <c r="C174" s="81">
        <f>IF(A174="","",'21 2026 ÜRETİM'!E174)</f>
        <v>0</v>
      </c>
      <c r="D174" s="82" t="str">
        <f>IF(A174="","",'21 2026 ÜRETİM'!F174)</f>
        <v/>
      </c>
      <c r="E174" s="81">
        <f>IF(A174="","",SUMIF('22 2026 PAKETLEME'!$B$2:$B$501,A174,'22 2026 PAKETLEME'!$E$2:$E$501))</f>
        <v>0</v>
      </c>
      <c r="F174" s="82">
        <f>IF(A174="","",SUMIF('22 2026 PAKETLEME'!$B$2:$B$501,A174,'22 2026 PAKETLEME'!$G$2:$G$501))</f>
        <v>0</v>
      </c>
      <c r="G174" s="81">
        <f>IF(A174="","",SUMIF('22 2026 PAKETLEME'!$B$2:$B$501,A174,'22 2026 PAKETLEME'!$H$2:$H$501))</f>
        <v>0</v>
      </c>
      <c r="H174" s="81" t="e">
        <f t="shared" si="10"/>
        <v>#VALUE!</v>
      </c>
      <c r="I174" s="82">
        <f>IF(A174="","",SUMIF('23 2026 SEVKİYAT'!$E$2:$E$501,A174,'23 2026 SEVKİYAT'!$H$2:$H$501))</f>
        <v>0</v>
      </c>
      <c r="J174" s="81">
        <f t="shared" si="11"/>
        <v>0</v>
      </c>
      <c r="K174" s="81" t="e">
        <f t="shared" si="12"/>
        <v>#VALUE!</v>
      </c>
      <c r="L174" s="58" t="e">
        <f t="shared" si="13"/>
        <v>#VALUE!</v>
      </c>
      <c r="M174" s="56" t="e">
        <f t="shared" si="14"/>
        <v>#VALUE!</v>
      </c>
    </row>
    <row r="175" spans="1:13" ht="15" customHeight="1" x14ac:dyDescent="0.2">
      <c r="A175" s="60">
        <f>'21 2026 ÜRETİM'!A175</f>
        <v>0</v>
      </c>
      <c r="B175" s="81" t="str">
        <f>IF(A175="","",'21 2026 ÜRETİM'!D175)</f>
        <v/>
      </c>
      <c r="C175" s="81">
        <f>IF(A175="","",'21 2026 ÜRETİM'!E175)</f>
        <v>0</v>
      </c>
      <c r="D175" s="82" t="str">
        <f>IF(A175="","",'21 2026 ÜRETİM'!F175)</f>
        <v/>
      </c>
      <c r="E175" s="81">
        <f>IF(A175="","",SUMIF('22 2026 PAKETLEME'!$B$2:$B$501,A175,'22 2026 PAKETLEME'!$E$2:$E$501))</f>
        <v>0</v>
      </c>
      <c r="F175" s="82">
        <f>IF(A175="","",SUMIF('22 2026 PAKETLEME'!$B$2:$B$501,A175,'22 2026 PAKETLEME'!$G$2:$G$501))</f>
        <v>0</v>
      </c>
      <c r="G175" s="81">
        <f>IF(A175="","",SUMIF('22 2026 PAKETLEME'!$B$2:$B$501,A175,'22 2026 PAKETLEME'!$H$2:$H$501))</f>
        <v>0</v>
      </c>
      <c r="H175" s="81" t="e">
        <f t="shared" si="10"/>
        <v>#VALUE!</v>
      </c>
      <c r="I175" s="82">
        <f>IF(A175="","",SUMIF('23 2026 SEVKİYAT'!$E$2:$E$501,A175,'23 2026 SEVKİYAT'!$H$2:$H$501))</f>
        <v>0</v>
      </c>
      <c r="J175" s="81">
        <f t="shared" si="11"/>
        <v>0</v>
      </c>
      <c r="K175" s="81" t="e">
        <f t="shared" si="12"/>
        <v>#VALUE!</v>
      </c>
      <c r="L175" s="58" t="e">
        <f t="shared" si="13"/>
        <v>#VALUE!</v>
      </c>
      <c r="M175" s="56" t="e">
        <f t="shared" si="14"/>
        <v>#VALUE!</v>
      </c>
    </row>
    <row r="176" spans="1:13" ht="15" customHeight="1" x14ac:dyDescent="0.2">
      <c r="A176" s="60">
        <f>'21 2026 ÜRETİM'!A176</f>
        <v>0</v>
      </c>
      <c r="B176" s="81" t="str">
        <f>IF(A176="","",'21 2026 ÜRETİM'!D176)</f>
        <v/>
      </c>
      <c r="C176" s="81">
        <f>IF(A176="","",'21 2026 ÜRETİM'!E176)</f>
        <v>0</v>
      </c>
      <c r="D176" s="82" t="str">
        <f>IF(A176="","",'21 2026 ÜRETİM'!F176)</f>
        <v/>
      </c>
      <c r="E176" s="81">
        <f>IF(A176="","",SUMIF('22 2026 PAKETLEME'!$B$2:$B$501,A176,'22 2026 PAKETLEME'!$E$2:$E$501))</f>
        <v>0</v>
      </c>
      <c r="F176" s="82">
        <f>IF(A176="","",SUMIF('22 2026 PAKETLEME'!$B$2:$B$501,A176,'22 2026 PAKETLEME'!$G$2:$G$501))</f>
        <v>0</v>
      </c>
      <c r="G176" s="81">
        <f>IF(A176="","",SUMIF('22 2026 PAKETLEME'!$B$2:$B$501,A176,'22 2026 PAKETLEME'!$H$2:$H$501))</f>
        <v>0</v>
      </c>
      <c r="H176" s="81" t="e">
        <f t="shared" si="10"/>
        <v>#VALUE!</v>
      </c>
      <c r="I176" s="82">
        <f>IF(A176="","",SUMIF('23 2026 SEVKİYAT'!$E$2:$E$501,A176,'23 2026 SEVKİYAT'!$H$2:$H$501))</f>
        <v>0</v>
      </c>
      <c r="J176" s="81">
        <f t="shared" si="11"/>
        <v>0</v>
      </c>
      <c r="K176" s="81" t="e">
        <f t="shared" si="12"/>
        <v>#VALUE!</v>
      </c>
      <c r="L176" s="58" t="e">
        <f t="shared" si="13"/>
        <v>#VALUE!</v>
      </c>
      <c r="M176" s="56" t="e">
        <f t="shared" si="14"/>
        <v>#VALUE!</v>
      </c>
    </row>
    <row r="177" spans="1:13" ht="15" customHeight="1" x14ac:dyDescent="0.2">
      <c r="A177" s="60">
        <f>'21 2026 ÜRETİM'!A177</f>
        <v>0</v>
      </c>
      <c r="B177" s="81" t="str">
        <f>IF(A177="","",'21 2026 ÜRETİM'!D177)</f>
        <v/>
      </c>
      <c r="C177" s="81">
        <f>IF(A177="","",'21 2026 ÜRETİM'!E177)</f>
        <v>0</v>
      </c>
      <c r="D177" s="82" t="str">
        <f>IF(A177="","",'21 2026 ÜRETİM'!F177)</f>
        <v/>
      </c>
      <c r="E177" s="81">
        <f>IF(A177="","",SUMIF('22 2026 PAKETLEME'!$B$2:$B$501,A177,'22 2026 PAKETLEME'!$E$2:$E$501))</f>
        <v>0</v>
      </c>
      <c r="F177" s="82">
        <f>IF(A177="","",SUMIF('22 2026 PAKETLEME'!$B$2:$B$501,A177,'22 2026 PAKETLEME'!$G$2:$G$501))</f>
        <v>0</v>
      </c>
      <c r="G177" s="81">
        <f>IF(A177="","",SUMIF('22 2026 PAKETLEME'!$B$2:$B$501,A177,'22 2026 PAKETLEME'!$H$2:$H$501))</f>
        <v>0</v>
      </c>
      <c r="H177" s="81" t="e">
        <f t="shared" si="10"/>
        <v>#VALUE!</v>
      </c>
      <c r="I177" s="82">
        <f>IF(A177="","",SUMIF('23 2026 SEVKİYAT'!$E$2:$E$501,A177,'23 2026 SEVKİYAT'!$H$2:$H$501))</f>
        <v>0</v>
      </c>
      <c r="J177" s="81">
        <f t="shared" si="11"/>
        <v>0</v>
      </c>
      <c r="K177" s="81" t="e">
        <f t="shared" si="12"/>
        <v>#VALUE!</v>
      </c>
      <c r="L177" s="58" t="e">
        <f t="shared" si="13"/>
        <v>#VALUE!</v>
      </c>
      <c r="M177" s="56" t="e">
        <f t="shared" si="14"/>
        <v>#VALUE!</v>
      </c>
    </row>
    <row r="178" spans="1:13" ht="15" customHeight="1" x14ac:dyDescent="0.2">
      <c r="A178" s="60">
        <f>'21 2026 ÜRETİM'!A178</f>
        <v>0</v>
      </c>
      <c r="B178" s="81" t="str">
        <f>IF(A178="","",'21 2026 ÜRETİM'!D178)</f>
        <v/>
      </c>
      <c r="C178" s="81">
        <f>IF(A178="","",'21 2026 ÜRETİM'!E178)</f>
        <v>0</v>
      </c>
      <c r="D178" s="82" t="str">
        <f>IF(A178="","",'21 2026 ÜRETİM'!F178)</f>
        <v/>
      </c>
      <c r="E178" s="81">
        <f>IF(A178="","",SUMIF('22 2026 PAKETLEME'!$B$2:$B$501,A178,'22 2026 PAKETLEME'!$E$2:$E$501))</f>
        <v>0</v>
      </c>
      <c r="F178" s="82">
        <f>IF(A178="","",SUMIF('22 2026 PAKETLEME'!$B$2:$B$501,A178,'22 2026 PAKETLEME'!$G$2:$G$501))</f>
        <v>0</v>
      </c>
      <c r="G178" s="81">
        <f>IF(A178="","",SUMIF('22 2026 PAKETLEME'!$B$2:$B$501,A178,'22 2026 PAKETLEME'!$H$2:$H$501))</f>
        <v>0</v>
      </c>
      <c r="H178" s="81" t="e">
        <f t="shared" si="10"/>
        <v>#VALUE!</v>
      </c>
      <c r="I178" s="82">
        <f>IF(A178="","",SUMIF('23 2026 SEVKİYAT'!$E$2:$E$501,A178,'23 2026 SEVKİYAT'!$H$2:$H$501))</f>
        <v>0</v>
      </c>
      <c r="J178" s="81">
        <f t="shared" si="11"/>
        <v>0</v>
      </c>
      <c r="K178" s="81" t="e">
        <f t="shared" si="12"/>
        <v>#VALUE!</v>
      </c>
      <c r="L178" s="58" t="e">
        <f t="shared" si="13"/>
        <v>#VALUE!</v>
      </c>
      <c r="M178" s="56" t="e">
        <f t="shared" si="14"/>
        <v>#VALUE!</v>
      </c>
    </row>
    <row r="179" spans="1:13" ht="15" customHeight="1" x14ac:dyDescent="0.2">
      <c r="A179" s="60">
        <f>'21 2026 ÜRETİM'!A179</f>
        <v>0</v>
      </c>
      <c r="B179" s="81" t="str">
        <f>IF(A179="","",'21 2026 ÜRETİM'!D179)</f>
        <v/>
      </c>
      <c r="C179" s="81">
        <f>IF(A179="","",'21 2026 ÜRETİM'!E179)</f>
        <v>0</v>
      </c>
      <c r="D179" s="82" t="str">
        <f>IF(A179="","",'21 2026 ÜRETİM'!F179)</f>
        <v/>
      </c>
      <c r="E179" s="81">
        <f>IF(A179="","",SUMIF('22 2026 PAKETLEME'!$B$2:$B$501,A179,'22 2026 PAKETLEME'!$E$2:$E$501))</f>
        <v>0</v>
      </c>
      <c r="F179" s="82">
        <f>IF(A179="","",SUMIF('22 2026 PAKETLEME'!$B$2:$B$501,A179,'22 2026 PAKETLEME'!$G$2:$G$501))</f>
        <v>0</v>
      </c>
      <c r="G179" s="81">
        <f>IF(A179="","",SUMIF('22 2026 PAKETLEME'!$B$2:$B$501,A179,'22 2026 PAKETLEME'!$H$2:$H$501))</f>
        <v>0</v>
      </c>
      <c r="H179" s="81" t="e">
        <f t="shared" si="10"/>
        <v>#VALUE!</v>
      </c>
      <c r="I179" s="82">
        <f>IF(A179="","",SUMIF('23 2026 SEVKİYAT'!$E$2:$E$501,A179,'23 2026 SEVKİYAT'!$H$2:$H$501))</f>
        <v>0</v>
      </c>
      <c r="J179" s="81">
        <f t="shared" si="11"/>
        <v>0</v>
      </c>
      <c r="K179" s="81" t="e">
        <f t="shared" si="12"/>
        <v>#VALUE!</v>
      </c>
      <c r="L179" s="58" t="e">
        <f t="shared" si="13"/>
        <v>#VALUE!</v>
      </c>
      <c r="M179" s="56" t="e">
        <f t="shared" si="14"/>
        <v>#VALUE!</v>
      </c>
    </row>
    <row r="180" spans="1:13" ht="15" customHeight="1" x14ac:dyDescent="0.2">
      <c r="A180" s="60">
        <f>'21 2026 ÜRETİM'!A180</f>
        <v>0</v>
      </c>
      <c r="B180" s="81" t="str">
        <f>IF(A180="","",'21 2026 ÜRETİM'!D180)</f>
        <v/>
      </c>
      <c r="C180" s="81">
        <f>IF(A180="","",'21 2026 ÜRETİM'!E180)</f>
        <v>0</v>
      </c>
      <c r="D180" s="82" t="str">
        <f>IF(A180="","",'21 2026 ÜRETİM'!F180)</f>
        <v/>
      </c>
      <c r="E180" s="81">
        <f>IF(A180="","",SUMIF('22 2026 PAKETLEME'!$B$2:$B$501,A180,'22 2026 PAKETLEME'!$E$2:$E$501))</f>
        <v>0</v>
      </c>
      <c r="F180" s="82">
        <f>IF(A180="","",SUMIF('22 2026 PAKETLEME'!$B$2:$B$501,A180,'22 2026 PAKETLEME'!$G$2:$G$501))</f>
        <v>0</v>
      </c>
      <c r="G180" s="81">
        <f>IF(A180="","",SUMIF('22 2026 PAKETLEME'!$B$2:$B$501,A180,'22 2026 PAKETLEME'!$H$2:$H$501))</f>
        <v>0</v>
      </c>
      <c r="H180" s="81" t="e">
        <f t="shared" si="10"/>
        <v>#VALUE!</v>
      </c>
      <c r="I180" s="82">
        <f>IF(A180="","",SUMIF('23 2026 SEVKİYAT'!$E$2:$E$501,A180,'23 2026 SEVKİYAT'!$H$2:$H$501))</f>
        <v>0</v>
      </c>
      <c r="J180" s="81">
        <f t="shared" si="11"/>
        <v>0</v>
      </c>
      <c r="K180" s="81" t="e">
        <f t="shared" si="12"/>
        <v>#VALUE!</v>
      </c>
      <c r="L180" s="58" t="e">
        <f t="shared" si="13"/>
        <v>#VALUE!</v>
      </c>
      <c r="M180" s="56" t="e">
        <f t="shared" si="14"/>
        <v>#VALUE!</v>
      </c>
    </row>
    <row r="181" spans="1:13" ht="15" customHeight="1" x14ac:dyDescent="0.2">
      <c r="A181" s="60">
        <f>'21 2026 ÜRETİM'!A181</f>
        <v>0</v>
      </c>
      <c r="B181" s="81" t="str">
        <f>IF(A181="","",'21 2026 ÜRETİM'!D181)</f>
        <v/>
      </c>
      <c r="C181" s="81">
        <f>IF(A181="","",'21 2026 ÜRETİM'!E181)</f>
        <v>0</v>
      </c>
      <c r="D181" s="82" t="str">
        <f>IF(A181="","",'21 2026 ÜRETİM'!F181)</f>
        <v/>
      </c>
      <c r="E181" s="81">
        <f>IF(A181="","",SUMIF('22 2026 PAKETLEME'!$B$2:$B$501,A181,'22 2026 PAKETLEME'!$E$2:$E$501))</f>
        <v>0</v>
      </c>
      <c r="F181" s="82">
        <f>IF(A181="","",SUMIF('22 2026 PAKETLEME'!$B$2:$B$501,A181,'22 2026 PAKETLEME'!$G$2:$G$501))</f>
        <v>0</v>
      </c>
      <c r="G181" s="81">
        <f>IF(A181="","",SUMIF('22 2026 PAKETLEME'!$B$2:$B$501,A181,'22 2026 PAKETLEME'!$H$2:$H$501))</f>
        <v>0</v>
      </c>
      <c r="H181" s="81" t="e">
        <f t="shared" si="10"/>
        <v>#VALUE!</v>
      </c>
      <c r="I181" s="82">
        <f>IF(A181="","",SUMIF('23 2026 SEVKİYAT'!$E$2:$E$501,A181,'23 2026 SEVKİYAT'!$H$2:$H$501))</f>
        <v>0</v>
      </c>
      <c r="J181" s="81">
        <f t="shared" si="11"/>
        <v>0</v>
      </c>
      <c r="K181" s="81" t="e">
        <f t="shared" si="12"/>
        <v>#VALUE!</v>
      </c>
      <c r="L181" s="58" t="e">
        <f t="shared" si="13"/>
        <v>#VALUE!</v>
      </c>
      <c r="M181" s="56" t="e">
        <f t="shared" si="14"/>
        <v>#VALUE!</v>
      </c>
    </row>
    <row r="182" spans="1:13" ht="15" customHeight="1" x14ac:dyDescent="0.2">
      <c r="A182" s="60">
        <f>'21 2026 ÜRETİM'!A182</f>
        <v>0</v>
      </c>
      <c r="B182" s="81" t="str">
        <f>IF(A182="","",'21 2026 ÜRETİM'!D182)</f>
        <v/>
      </c>
      <c r="C182" s="81">
        <f>IF(A182="","",'21 2026 ÜRETİM'!E182)</f>
        <v>0</v>
      </c>
      <c r="D182" s="82" t="str">
        <f>IF(A182="","",'21 2026 ÜRETİM'!F182)</f>
        <v/>
      </c>
      <c r="E182" s="81">
        <f>IF(A182="","",SUMIF('22 2026 PAKETLEME'!$B$2:$B$501,A182,'22 2026 PAKETLEME'!$E$2:$E$501))</f>
        <v>0</v>
      </c>
      <c r="F182" s="82">
        <f>IF(A182="","",SUMIF('22 2026 PAKETLEME'!$B$2:$B$501,A182,'22 2026 PAKETLEME'!$G$2:$G$501))</f>
        <v>0</v>
      </c>
      <c r="G182" s="81">
        <f>IF(A182="","",SUMIF('22 2026 PAKETLEME'!$B$2:$B$501,A182,'22 2026 PAKETLEME'!$H$2:$H$501))</f>
        <v>0</v>
      </c>
      <c r="H182" s="81" t="e">
        <f t="shared" si="10"/>
        <v>#VALUE!</v>
      </c>
      <c r="I182" s="82">
        <f>IF(A182="","",SUMIF('23 2026 SEVKİYAT'!$E$2:$E$501,A182,'23 2026 SEVKİYAT'!$H$2:$H$501))</f>
        <v>0</v>
      </c>
      <c r="J182" s="81">
        <f t="shared" si="11"/>
        <v>0</v>
      </c>
      <c r="K182" s="81" t="e">
        <f t="shared" si="12"/>
        <v>#VALUE!</v>
      </c>
      <c r="L182" s="58" t="e">
        <f t="shared" si="13"/>
        <v>#VALUE!</v>
      </c>
      <c r="M182" s="56" t="e">
        <f t="shared" si="14"/>
        <v>#VALUE!</v>
      </c>
    </row>
    <row r="183" spans="1:13" ht="15" customHeight="1" x14ac:dyDescent="0.2">
      <c r="A183" s="60">
        <f>'21 2026 ÜRETİM'!A183</f>
        <v>0</v>
      </c>
      <c r="B183" s="81" t="str">
        <f>IF(A183="","",'21 2026 ÜRETİM'!D183)</f>
        <v/>
      </c>
      <c r="C183" s="81">
        <f>IF(A183="","",'21 2026 ÜRETİM'!E183)</f>
        <v>0</v>
      </c>
      <c r="D183" s="82" t="str">
        <f>IF(A183="","",'21 2026 ÜRETİM'!F183)</f>
        <v/>
      </c>
      <c r="E183" s="81">
        <f>IF(A183="","",SUMIF('22 2026 PAKETLEME'!$B$2:$B$501,A183,'22 2026 PAKETLEME'!$E$2:$E$501))</f>
        <v>0</v>
      </c>
      <c r="F183" s="82">
        <f>IF(A183="","",SUMIF('22 2026 PAKETLEME'!$B$2:$B$501,A183,'22 2026 PAKETLEME'!$G$2:$G$501))</f>
        <v>0</v>
      </c>
      <c r="G183" s="81">
        <f>IF(A183="","",SUMIF('22 2026 PAKETLEME'!$B$2:$B$501,A183,'22 2026 PAKETLEME'!$H$2:$H$501))</f>
        <v>0</v>
      </c>
      <c r="H183" s="81" t="e">
        <f t="shared" si="10"/>
        <v>#VALUE!</v>
      </c>
      <c r="I183" s="82">
        <f>IF(A183="","",SUMIF('23 2026 SEVKİYAT'!$E$2:$E$501,A183,'23 2026 SEVKİYAT'!$H$2:$H$501))</f>
        <v>0</v>
      </c>
      <c r="J183" s="81">
        <f t="shared" si="11"/>
        <v>0</v>
      </c>
      <c r="K183" s="81" t="e">
        <f t="shared" si="12"/>
        <v>#VALUE!</v>
      </c>
      <c r="L183" s="58" t="e">
        <f t="shared" si="13"/>
        <v>#VALUE!</v>
      </c>
      <c r="M183" s="56" t="e">
        <f t="shared" si="14"/>
        <v>#VALUE!</v>
      </c>
    </row>
    <row r="184" spans="1:13" ht="15" customHeight="1" x14ac:dyDescent="0.2">
      <c r="A184" s="60">
        <f>'21 2026 ÜRETİM'!A184</f>
        <v>0</v>
      </c>
      <c r="B184" s="81" t="str">
        <f>IF(A184="","",'21 2026 ÜRETİM'!D184)</f>
        <v/>
      </c>
      <c r="C184" s="81">
        <f>IF(A184="","",'21 2026 ÜRETİM'!E184)</f>
        <v>0</v>
      </c>
      <c r="D184" s="82" t="str">
        <f>IF(A184="","",'21 2026 ÜRETİM'!F184)</f>
        <v/>
      </c>
      <c r="E184" s="81">
        <f>IF(A184="","",SUMIF('22 2026 PAKETLEME'!$B$2:$B$501,A184,'22 2026 PAKETLEME'!$E$2:$E$501))</f>
        <v>0</v>
      </c>
      <c r="F184" s="82">
        <f>IF(A184="","",SUMIF('22 2026 PAKETLEME'!$B$2:$B$501,A184,'22 2026 PAKETLEME'!$G$2:$G$501))</f>
        <v>0</v>
      </c>
      <c r="G184" s="81">
        <f>IF(A184="","",SUMIF('22 2026 PAKETLEME'!$B$2:$B$501,A184,'22 2026 PAKETLEME'!$H$2:$H$501))</f>
        <v>0</v>
      </c>
      <c r="H184" s="81" t="e">
        <f t="shared" si="10"/>
        <v>#VALUE!</v>
      </c>
      <c r="I184" s="82">
        <f>IF(A184="","",SUMIF('23 2026 SEVKİYAT'!$E$2:$E$501,A184,'23 2026 SEVKİYAT'!$H$2:$H$501))</f>
        <v>0</v>
      </c>
      <c r="J184" s="81">
        <f t="shared" si="11"/>
        <v>0</v>
      </c>
      <c r="K184" s="81" t="e">
        <f t="shared" si="12"/>
        <v>#VALUE!</v>
      </c>
      <c r="L184" s="58" t="e">
        <f t="shared" si="13"/>
        <v>#VALUE!</v>
      </c>
      <c r="M184" s="56" t="e">
        <f t="shared" si="14"/>
        <v>#VALUE!</v>
      </c>
    </row>
    <row r="185" spans="1:13" ht="15" customHeight="1" x14ac:dyDescent="0.2">
      <c r="A185" s="60">
        <f>'21 2026 ÜRETİM'!A185</f>
        <v>0</v>
      </c>
      <c r="B185" s="81" t="str">
        <f>IF(A185="","",'21 2026 ÜRETİM'!D185)</f>
        <v/>
      </c>
      <c r="C185" s="81">
        <f>IF(A185="","",'21 2026 ÜRETİM'!E185)</f>
        <v>0</v>
      </c>
      <c r="D185" s="82" t="str">
        <f>IF(A185="","",'21 2026 ÜRETİM'!F185)</f>
        <v/>
      </c>
      <c r="E185" s="81">
        <f>IF(A185="","",SUMIF('22 2026 PAKETLEME'!$B$2:$B$501,A185,'22 2026 PAKETLEME'!$E$2:$E$501))</f>
        <v>0</v>
      </c>
      <c r="F185" s="82">
        <f>IF(A185="","",SUMIF('22 2026 PAKETLEME'!$B$2:$B$501,A185,'22 2026 PAKETLEME'!$G$2:$G$501))</f>
        <v>0</v>
      </c>
      <c r="G185" s="81">
        <f>IF(A185="","",SUMIF('22 2026 PAKETLEME'!$B$2:$B$501,A185,'22 2026 PAKETLEME'!$H$2:$H$501))</f>
        <v>0</v>
      </c>
      <c r="H185" s="81" t="e">
        <f t="shared" si="10"/>
        <v>#VALUE!</v>
      </c>
      <c r="I185" s="82">
        <f>IF(A185="","",SUMIF('23 2026 SEVKİYAT'!$E$2:$E$501,A185,'23 2026 SEVKİYAT'!$H$2:$H$501))</f>
        <v>0</v>
      </c>
      <c r="J185" s="81">
        <f t="shared" si="11"/>
        <v>0</v>
      </c>
      <c r="K185" s="81" t="e">
        <f t="shared" si="12"/>
        <v>#VALUE!</v>
      </c>
      <c r="L185" s="58" t="e">
        <f t="shared" si="13"/>
        <v>#VALUE!</v>
      </c>
      <c r="M185" s="56" t="e">
        <f t="shared" si="14"/>
        <v>#VALUE!</v>
      </c>
    </row>
    <row r="186" spans="1:13" ht="15" customHeight="1" x14ac:dyDescent="0.2">
      <c r="A186" s="60">
        <f>'21 2026 ÜRETİM'!A186</f>
        <v>0</v>
      </c>
      <c r="B186" s="81" t="str">
        <f>IF(A186="","",'21 2026 ÜRETİM'!D186)</f>
        <v/>
      </c>
      <c r="C186" s="81">
        <f>IF(A186="","",'21 2026 ÜRETİM'!E186)</f>
        <v>0</v>
      </c>
      <c r="D186" s="82" t="str">
        <f>IF(A186="","",'21 2026 ÜRETİM'!F186)</f>
        <v/>
      </c>
      <c r="E186" s="81">
        <f>IF(A186="","",SUMIF('22 2026 PAKETLEME'!$B$2:$B$501,A186,'22 2026 PAKETLEME'!$E$2:$E$501))</f>
        <v>0</v>
      </c>
      <c r="F186" s="82">
        <f>IF(A186="","",SUMIF('22 2026 PAKETLEME'!$B$2:$B$501,A186,'22 2026 PAKETLEME'!$G$2:$G$501))</f>
        <v>0</v>
      </c>
      <c r="G186" s="81">
        <f>IF(A186="","",SUMIF('22 2026 PAKETLEME'!$B$2:$B$501,A186,'22 2026 PAKETLEME'!$H$2:$H$501))</f>
        <v>0</v>
      </c>
      <c r="H186" s="81" t="e">
        <f t="shared" si="10"/>
        <v>#VALUE!</v>
      </c>
      <c r="I186" s="82">
        <f>IF(A186="","",SUMIF('23 2026 SEVKİYAT'!$E$2:$E$501,A186,'23 2026 SEVKİYAT'!$H$2:$H$501))</f>
        <v>0</v>
      </c>
      <c r="J186" s="81">
        <f t="shared" si="11"/>
        <v>0</v>
      </c>
      <c r="K186" s="81" t="e">
        <f t="shared" si="12"/>
        <v>#VALUE!</v>
      </c>
      <c r="L186" s="58" t="e">
        <f t="shared" si="13"/>
        <v>#VALUE!</v>
      </c>
      <c r="M186" s="56" t="e">
        <f t="shared" si="14"/>
        <v>#VALUE!</v>
      </c>
    </row>
    <row r="187" spans="1:13" ht="15" customHeight="1" x14ac:dyDescent="0.2">
      <c r="A187" s="60">
        <f>'21 2026 ÜRETİM'!A187</f>
        <v>0</v>
      </c>
      <c r="B187" s="81" t="str">
        <f>IF(A187="","",'21 2026 ÜRETİM'!D187)</f>
        <v/>
      </c>
      <c r="C187" s="81">
        <f>IF(A187="","",'21 2026 ÜRETİM'!E187)</f>
        <v>0</v>
      </c>
      <c r="D187" s="82" t="str">
        <f>IF(A187="","",'21 2026 ÜRETİM'!F187)</f>
        <v/>
      </c>
      <c r="E187" s="81">
        <f>IF(A187="","",SUMIF('22 2026 PAKETLEME'!$B$2:$B$501,A187,'22 2026 PAKETLEME'!$E$2:$E$501))</f>
        <v>0</v>
      </c>
      <c r="F187" s="82">
        <f>IF(A187="","",SUMIF('22 2026 PAKETLEME'!$B$2:$B$501,A187,'22 2026 PAKETLEME'!$G$2:$G$501))</f>
        <v>0</v>
      </c>
      <c r="G187" s="81">
        <f>IF(A187="","",SUMIF('22 2026 PAKETLEME'!$B$2:$B$501,A187,'22 2026 PAKETLEME'!$H$2:$H$501))</f>
        <v>0</v>
      </c>
      <c r="H187" s="81" t="e">
        <f t="shared" si="10"/>
        <v>#VALUE!</v>
      </c>
      <c r="I187" s="82">
        <f>IF(A187="","",SUMIF('23 2026 SEVKİYAT'!$E$2:$E$501,A187,'23 2026 SEVKİYAT'!$H$2:$H$501))</f>
        <v>0</v>
      </c>
      <c r="J187" s="81">
        <f t="shared" si="11"/>
        <v>0</v>
      </c>
      <c r="K187" s="81" t="e">
        <f t="shared" si="12"/>
        <v>#VALUE!</v>
      </c>
      <c r="L187" s="58" t="e">
        <f t="shared" si="13"/>
        <v>#VALUE!</v>
      </c>
      <c r="M187" s="56" t="e">
        <f t="shared" si="14"/>
        <v>#VALUE!</v>
      </c>
    </row>
    <row r="188" spans="1:13" ht="15" customHeight="1" x14ac:dyDescent="0.2">
      <c r="A188" s="60">
        <f>'21 2026 ÜRETİM'!A188</f>
        <v>0</v>
      </c>
      <c r="B188" s="81" t="str">
        <f>IF(A188="","",'21 2026 ÜRETİM'!D188)</f>
        <v/>
      </c>
      <c r="C188" s="81">
        <f>IF(A188="","",'21 2026 ÜRETİM'!E188)</f>
        <v>0</v>
      </c>
      <c r="D188" s="82" t="str">
        <f>IF(A188="","",'21 2026 ÜRETİM'!F188)</f>
        <v/>
      </c>
      <c r="E188" s="81">
        <f>IF(A188="","",SUMIF('22 2026 PAKETLEME'!$B$2:$B$501,A188,'22 2026 PAKETLEME'!$E$2:$E$501))</f>
        <v>0</v>
      </c>
      <c r="F188" s="82">
        <f>IF(A188="","",SUMIF('22 2026 PAKETLEME'!$B$2:$B$501,A188,'22 2026 PAKETLEME'!$G$2:$G$501))</f>
        <v>0</v>
      </c>
      <c r="G188" s="81">
        <f>IF(A188="","",SUMIF('22 2026 PAKETLEME'!$B$2:$B$501,A188,'22 2026 PAKETLEME'!$H$2:$H$501))</f>
        <v>0</v>
      </c>
      <c r="H188" s="81" t="e">
        <f t="shared" si="10"/>
        <v>#VALUE!</v>
      </c>
      <c r="I188" s="82">
        <f>IF(A188="","",SUMIF('23 2026 SEVKİYAT'!$E$2:$E$501,A188,'23 2026 SEVKİYAT'!$H$2:$H$501))</f>
        <v>0</v>
      </c>
      <c r="J188" s="81">
        <f t="shared" si="11"/>
        <v>0</v>
      </c>
      <c r="K188" s="81" t="e">
        <f t="shared" si="12"/>
        <v>#VALUE!</v>
      </c>
      <c r="L188" s="58" t="e">
        <f t="shared" si="13"/>
        <v>#VALUE!</v>
      </c>
      <c r="M188" s="56" t="e">
        <f t="shared" si="14"/>
        <v>#VALUE!</v>
      </c>
    </row>
    <row r="189" spans="1:13" ht="15" customHeight="1" x14ac:dyDescent="0.2">
      <c r="A189" s="60">
        <f>'21 2026 ÜRETİM'!A189</f>
        <v>0</v>
      </c>
      <c r="B189" s="81" t="str">
        <f>IF(A189="","",'21 2026 ÜRETİM'!D189)</f>
        <v/>
      </c>
      <c r="C189" s="81">
        <f>IF(A189="","",'21 2026 ÜRETİM'!E189)</f>
        <v>0</v>
      </c>
      <c r="D189" s="82" t="str">
        <f>IF(A189="","",'21 2026 ÜRETİM'!F189)</f>
        <v/>
      </c>
      <c r="E189" s="81">
        <f>IF(A189="","",SUMIF('22 2026 PAKETLEME'!$B$2:$B$501,A189,'22 2026 PAKETLEME'!$E$2:$E$501))</f>
        <v>0</v>
      </c>
      <c r="F189" s="82">
        <f>IF(A189="","",SUMIF('22 2026 PAKETLEME'!$B$2:$B$501,A189,'22 2026 PAKETLEME'!$G$2:$G$501))</f>
        <v>0</v>
      </c>
      <c r="G189" s="81">
        <f>IF(A189="","",SUMIF('22 2026 PAKETLEME'!$B$2:$B$501,A189,'22 2026 PAKETLEME'!$H$2:$H$501))</f>
        <v>0</v>
      </c>
      <c r="H189" s="81" t="e">
        <f t="shared" si="10"/>
        <v>#VALUE!</v>
      </c>
      <c r="I189" s="82">
        <f>IF(A189="","",SUMIF('23 2026 SEVKİYAT'!$E$2:$E$501,A189,'23 2026 SEVKİYAT'!$H$2:$H$501))</f>
        <v>0</v>
      </c>
      <c r="J189" s="81">
        <f t="shared" si="11"/>
        <v>0</v>
      </c>
      <c r="K189" s="81" t="e">
        <f t="shared" si="12"/>
        <v>#VALUE!</v>
      </c>
      <c r="L189" s="58" t="e">
        <f t="shared" si="13"/>
        <v>#VALUE!</v>
      </c>
      <c r="M189" s="56" t="e">
        <f t="shared" si="14"/>
        <v>#VALUE!</v>
      </c>
    </row>
    <row r="190" spans="1:13" ht="15" customHeight="1" x14ac:dyDescent="0.2">
      <c r="A190" s="60">
        <f>'21 2026 ÜRETİM'!A190</f>
        <v>0</v>
      </c>
      <c r="B190" s="81" t="str">
        <f>IF(A190="","",'21 2026 ÜRETİM'!D190)</f>
        <v/>
      </c>
      <c r="C190" s="81">
        <f>IF(A190="","",'21 2026 ÜRETİM'!E190)</f>
        <v>0</v>
      </c>
      <c r="D190" s="82" t="str">
        <f>IF(A190="","",'21 2026 ÜRETİM'!F190)</f>
        <v/>
      </c>
      <c r="E190" s="81">
        <f>IF(A190="","",SUMIF('22 2026 PAKETLEME'!$B$2:$B$501,A190,'22 2026 PAKETLEME'!$E$2:$E$501))</f>
        <v>0</v>
      </c>
      <c r="F190" s="82">
        <f>IF(A190="","",SUMIF('22 2026 PAKETLEME'!$B$2:$B$501,A190,'22 2026 PAKETLEME'!$G$2:$G$501))</f>
        <v>0</v>
      </c>
      <c r="G190" s="81">
        <f>IF(A190="","",SUMIF('22 2026 PAKETLEME'!$B$2:$B$501,A190,'22 2026 PAKETLEME'!$H$2:$H$501))</f>
        <v>0</v>
      </c>
      <c r="H190" s="81" t="e">
        <f t="shared" si="10"/>
        <v>#VALUE!</v>
      </c>
      <c r="I190" s="82">
        <f>IF(A190="","",SUMIF('23 2026 SEVKİYAT'!$E$2:$E$501,A190,'23 2026 SEVKİYAT'!$H$2:$H$501))</f>
        <v>0</v>
      </c>
      <c r="J190" s="81">
        <f t="shared" si="11"/>
        <v>0</v>
      </c>
      <c r="K190" s="81" t="e">
        <f t="shared" si="12"/>
        <v>#VALUE!</v>
      </c>
      <c r="L190" s="58" t="e">
        <f t="shared" si="13"/>
        <v>#VALUE!</v>
      </c>
      <c r="M190" s="56" t="e">
        <f t="shared" si="14"/>
        <v>#VALUE!</v>
      </c>
    </row>
    <row r="191" spans="1:13" ht="15" customHeight="1" x14ac:dyDescent="0.2">
      <c r="A191" s="60">
        <f>'21 2026 ÜRETİM'!A191</f>
        <v>0</v>
      </c>
      <c r="B191" s="81" t="str">
        <f>IF(A191="","",'21 2026 ÜRETİM'!D191)</f>
        <v/>
      </c>
      <c r="C191" s="81">
        <f>IF(A191="","",'21 2026 ÜRETİM'!E191)</f>
        <v>0</v>
      </c>
      <c r="D191" s="82" t="str">
        <f>IF(A191="","",'21 2026 ÜRETİM'!F191)</f>
        <v/>
      </c>
      <c r="E191" s="81">
        <f>IF(A191="","",SUMIF('22 2026 PAKETLEME'!$B$2:$B$501,A191,'22 2026 PAKETLEME'!$E$2:$E$501))</f>
        <v>0</v>
      </c>
      <c r="F191" s="82">
        <f>IF(A191="","",SUMIF('22 2026 PAKETLEME'!$B$2:$B$501,A191,'22 2026 PAKETLEME'!$G$2:$G$501))</f>
        <v>0</v>
      </c>
      <c r="G191" s="81">
        <f>IF(A191="","",SUMIF('22 2026 PAKETLEME'!$B$2:$B$501,A191,'22 2026 PAKETLEME'!$H$2:$H$501))</f>
        <v>0</v>
      </c>
      <c r="H191" s="81" t="e">
        <f t="shared" si="10"/>
        <v>#VALUE!</v>
      </c>
      <c r="I191" s="82">
        <f>IF(A191="","",SUMIF('23 2026 SEVKİYAT'!$E$2:$E$501,A191,'23 2026 SEVKİYAT'!$H$2:$H$501))</f>
        <v>0</v>
      </c>
      <c r="J191" s="81">
        <f t="shared" si="11"/>
        <v>0</v>
      </c>
      <c r="K191" s="81" t="e">
        <f t="shared" si="12"/>
        <v>#VALUE!</v>
      </c>
      <c r="L191" s="58" t="e">
        <f t="shared" si="13"/>
        <v>#VALUE!</v>
      </c>
      <c r="M191" s="56" t="e">
        <f t="shared" si="14"/>
        <v>#VALUE!</v>
      </c>
    </row>
    <row r="192" spans="1:13" ht="15" customHeight="1" x14ac:dyDescent="0.2">
      <c r="A192" s="60">
        <f>'21 2026 ÜRETİM'!A192</f>
        <v>0</v>
      </c>
      <c r="B192" s="81" t="str">
        <f>IF(A192="","",'21 2026 ÜRETİM'!D192)</f>
        <v/>
      </c>
      <c r="C192" s="81">
        <f>IF(A192="","",'21 2026 ÜRETİM'!E192)</f>
        <v>0</v>
      </c>
      <c r="D192" s="82" t="str">
        <f>IF(A192="","",'21 2026 ÜRETİM'!F192)</f>
        <v/>
      </c>
      <c r="E192" s="81">
        <f>IF(A192="","",SUMIF('22 2026 PAKETLEME'!$B$2:$B$501,A192,'22 2026 PAKETLEME'!$E$2:$E$501))</f>
        <v>0</v>
      </c>
      <c r="F192" s="82">
        <f>IF(A192="","",SUMIF('22 2026 PAKETLEME'!$B$2:$B$501,A192,'22 2026 PAKETLEME'!$G$2:$G$501))</f>
        <v>0</v>
      </c>
      <c r="G192" s="81">
        <f>IF(A192="","",SUMIF('22 2026 PAKETLEME'!$B$2:$B$501,A192,'22 2026 PAKETLEME'!$H$2:$H$501))</f>
        <v>0</v>
      </c>
      <c r="H192" s="81" t="e">
        <f t="shared" si="10"/>
        <v>#VALUE!</v>
      </c>
      <c r="I192" s="82">
        <f>IF(A192="","",SUMIF('23 2026 SEVKİYAT'!$E$2:$E$501,A192,'23 2026 SEVKİYAT'!$H$2:$H$501))</f>
        <v>0</v>
      </c>
      <c r="J192" s="81">
        <f t="shared" si="11"/>
        <v>0</v>
      </c>
      <c r="K192" s="81" t="e">
        <f t="shared" si="12"/>
        <v>#VALUE!</v>
      </c>
      <c r="L192" s="58" t="e">
        <f t="shared" si="13"/>
        <v>#VALUE!</v>
      </c>
      <c r="M192" s="56" t="e">
        <f t="shared" si="14"/>
        <v>#VALUE!</v>
      </c>
    </row>
    <row r="193" spans="1:13" ht="15" customHeight="1" x14ac:dyDescent="0.2">
      <c r="A193" s="60">
        <f>'21 2026 ÜRETİM'!A193</f>
        <v>0</v>
      </c>
      <c r="B193" s="81" t="str">
        <f>IF(A193="","",'21 2026 ÜRETİM'!D193)</f>
        <v/>
      </c>
      <c r="C193" s="81">
        <f>IF(A193="","",'21 2026 ÜRETİM'!E193)</f>
        <v>0</v>
      </c>
      <c r="D193" s="82" t="str">
        <f>IF(A193="","",'21 2026 ÜRETİM'!F193)</f>
        <v/>
      </c>
      <c r="E193" s="81">
        <f>IF(A193="","",SUMIF('22 2026 PAKETLEME'!$B$2:$B$501,A193,'22 2026 PAKETLEME'!$E$2:$E$501))</f>
        <v>0</v>
      </c>
      <c r="F193" s="82">
        <f>IF(A193="","",SUMIF('22 2026 PAKETLEME'!$B$2:$B$501,A193,'22 2026 PAKETLEME'!$G$2:$G$501))</f>
        <v>0</v>
      </c>
      <c r="G193" s="81">
        <f>IF(A193="","",SUMIF('22 2026 PAKETLEME'!$B$2:$B$501,A193,'22 2026 PAKETLEME'!$H$2:$H$501))</f>
        <v>0</v>
      </c>
      <c r="H193" s="81" t="e">
        <f t="shared" si="10"/>
        <v>#VALUE!</v>
      </c>
      <c r="I193" s="82">
        <f>IF(A193="","",SUMIF('23 2026 SEVKİYAT'!$E$2:$E$501,A193,'23 2026 SEVKİYAT'!$H$2:$H$501))</f>
        <v>0</v>
      </c>
      <c r="J193" s="81">
        <f t="shared" si="11"/>
        <v>0</v>
      </c>
      <c r="K193" s="81" t="e">
        <f t="shared" si="12"/>
        <v>#VALUE!</v>
      </c>
      <c r="L193" s="58" t="e">
        <f t="shared" si="13"/>
        <v>#VALUE!</v>
      </c>
      <c r="M193" s="56" t="e">
        <f t="shared" si="14"/>
        <v>#VALUE!</v>
      </c>
    </row>
    <row r="194" spans="1:13" ht="15" customHeight="1" x14ac:dyDescent="0.2">
      <c r="A194" s="60">
        <f>'21 2026 ÜRETİM'!A194</f>
        <v>0</v>
      </c>
      <c r="B194" s="81" t="str">
        <f>IF(A194="","",'21 2026 ÜRETİM'!D194)</f>
        <v/>
      </c>
      <c r="C194" s="81">
        <f>IF(A194="","",'21 2026 ÜRETİM'!E194)</f>
        <v>0</v>
      </c>
      <c r="D194" s="82" t="str">
        <f>IF(A194="","",'21 2026 ÜRETİM'!F194)</f>
        <v/>
      </c>
      <c r="E194" s="81">
        <f>IF(A194="","",SUMIF('22 2026 PAKETLEME'!$B$2:$B$501,A194,'22 2026 PAKETLEME'!$E$2:$E$501))</f>
        <v>0</v>
      </c>
      <c r="F194" s="82">
        <f>IF(A194="","",SUMIF('22 2026 PAKETLEME'!$B$2:$B$501,A194,'22 2026 PAKETLEME'!$G$2:$G$501))</f>
        <v>0</v>
      </c>
      <c r="G194" s="81">
        <f>IF(A194="","",SUMIF('22 2026 PAKETLEME'!$B$2:$B$501,A194,'22 2026 PAKETLEME'!$H$2:$H$501))</f>
        <v>0</v>
      </c>
      <c r="H194" s="81" t="e">
        <f t="shared" ref="H194:H257" si="15">IF(A194="","",D194-E194-F194-G194)</f>
        <v>#VALUE!</v>
      </c>
      <c r="I194" s="82">
        <f>IF(A194="","",SUMIF('23 2026 SEVKİYAT'!$E$2:$E$501,A194,'23 2026 SEVKİYAT'!$H$2:$H$501))</f>
        <v>0</v>
      </c>
      <c r="J194" s="81">
        <f t="shared" ref="J194:J257" si="16">IF(A194="","",E194+F194-I194)</f>
        <v>0</v>
      </c>
      <c r="K194" s="81" t="e">
        <f t="shared" ref="K194:K257" si="17">IF(A194="","",D194-E194-F194-G194-H194)</f>
        <v>#VALUE!</v>
      </c>
      <c r="L194" s="58" t="e">
        <f t="shared" ref="L194:L257" si="18">IF(A194="","",IF(ABS(K194)&lt;0.001,"KAPALI","KONTROL"))</f>
        <v>#VALUE!</v>
      </c>
      <c r="M194" s="56" t="e">
        <f t="shared" ref="M194:M257" si="19">IF(A194="","",IF(J194&lt;0,"SEVK PAKETLEMEYİ AŞIYOR",IF(H194&lt;&gt;0,"PAKETLEME BAKİYESİ VAR","DENKLİK KAPALI")))</f>
        <v>#VALUE!</v>
      </c>
    </row>
    <row r="195" spans="1:13" ht="15" customHeight="1" x14ac:dyDescent="0.2">
      <c r="A195" s="60">
        <f>'21 2026 ÜRETİM'!A195</f>
        <v>0</v>
      </c>
      <c r="B195" s="81" t="str">
        <f>IF(A195="","",'21 2026 ÜRETİM'!D195)</f>
        <v/>
      </c>
      <c r="C195" s="81">
        <f>IF(A195="","",'21 2026 ÜRETİM'!E195)</f>
        <v>0</v>
      </c>
      <c r="D195" s="82" t="str">
        <f>IF(A195="","",'21 2026 ÜRETİM'!F195)</f>
        <v/>
      </c>
      <c r="E195" s="81">
        <f>IF(A195="","",SUMIF('22 2026 PAKETLEME'!$B$2:$B$501,A195,'22 2026 PAKETLEME'!$E$2:$E$501))</f>
        <v>0</v>
      </c>
      <c r="F195" s="82">
        <f>IF(A195="","",SUMIF('22 2026 PAKETLEME'!$B$2:$B$501,A195,'22 2026 PAKETLEME'!$G$2:$G$501))</f>
        <v>0</v>
      </c>
      <c r="G195" s="81">
        <f>IF(A195="","",SUMIF('22 2026 PAKETLEME'!$B$2:$B$501,A195,'22 2026 PAKETLEME'!$H$2:$H$501))</f>
        <v>0</v>
      </c>
      <c r="H195" s="81" t="e">
        <f t="shared" si="15"/>
        <v>#VALUE!</v>
      </c>
      <c r="I195" s="82">
        <f>IF(A195="","",SUMIF('23 2026 SEVKİYAT'!$E$2:$E$501,A195,'23 2026 SEVKİYAT'!$H$2:$H$501))</f>
        <v>0</v>
      </c>
      <c r="J195" s="81">
        <f t="shared" si="16"/>
        <v>0</v>
      </c>
      <c r="K195" s="81" t="e">
        <f t="shared" si="17"/>
        <v>#VALUE!</v>
      </c>
      <c r="L195" s="58" t="e">
        <f t="shared" si="18"/>
        <v>#VALUE!</v>
      </c>
      <c r="M195" s="56" t="e">
        <f t="shared" si="19"/>
        <v>#VALUE!</v>
      </c>
    </row>
    <row r="196" spans="1:13" ht="15" customHeight="1" x14ac:dyDescent="0.2">
      <c r="A196" s="60">
        <f>'21 2026 ÜRETİM'!A196</f>
        <v>0</v>
      </c>
      <c r="B196" s="81" t="str">
        <f>IF(A196="","",'21 2026 ÜRETİM'!D196)</f>
        <v/>
      </c>
      <c r="C196" s="81">
        <f>IF(A196="","",'21 2026 ÜRETİM'!E196)</f>
        <v>0</v>
      </c>
      <c r="D196" s="82" t="str">
        <f>IF(A196="","",'21 2026 ÜRETİM'!F196)</f>
        <v/>
      </c>
      <c r="E196" s="81">
        <f>IF(A196="","",SUMIF('22 2026 PAKETLEME'!$B$2:$B$501,A196,'22 2026 PAKETLEME'!$E$2:$E$501))</f>
        <v>0</v>
      </c>
      <c r="F196" s="82">
        <f>IF(A196="","",SUMIF('22 2026 PAKETLEME'!$B$2:$B$501,A196,'22 2026 PAKETLEME'!$G$2:$G$501))</f>
        <v>0</v>
      </c>
      <c r="G196" s="81">
        <f>IF(A196="","",SUMIF('22 2026 PAKETLEME'!$B$2:$B$501,A196,'22 2026 PAKETLEME'!$H$2:$H$501))</f>
        <v>0</v>
      </c>
      <c r="H196" s="81" t="e">
        <f t="shared" si="15"/>
        <v>#VALUE!</v>
      </c>
      <c r="I196" s="82">
        <f>IF(A196="","",SUMIF('23 2026 SEVKİYAT'!$E$2:$E$501,A196,'23 2026 SEVKİYAT'!$H$2:$H$501))</f>
        <v>0</v>
      </c>
      <c r="J196" s="81">
        <f t="shared" si="16"/>
        <v>0</v>
      </c>
      <c r="K196" s="81" t="e">
        <f t="shared" si="17"/>
        <v>#VALUE!</v>
      </c>
      <c r="L196" s="58" t="e">
        <f t="shared" si="18"/>
        <v>#VALUE!</v>
      </c>
      <c r="M196" s="56" t="e">
        <f t="shared" si="19"/>
        <v>#VALUE!</v>
      </c>
    </row>
    <row r="197" spans="1:13" ht="15" customHeight="1" x14ac:dyDescent="0.2">
      <c r="A197" s="60">
        <f>'21 2026 ÜRETİM'!A197</f>
        <v>0</v>
      </c>
      <c r="B197" s="81" t="str">
        <f>IF(A197="","",'21 2026 ÜRETİM'!D197)</f>
        <v/>
      </c>
      <c r="C197" s="81">
        <f>IF(A197="","",'21 2026 ÜRETİM'!E197)</f>
        <v>0</v>
      </c>
      <c r="D197" s="82" t="str">
        <f>IF(A197="","",'21 2026 ÜRETİM'!F197)</f>
        <v/>
      </c>
      <c r="E197" s="81">
        <f>IF(A197="","",SUMIF('22 2026 PAKETLEME'!$B$2:$B$501,A197,'22 2026 PAKETLEME'!$E$2:$E$501))</f>
        <v>0</v>
      </c>
      <c r="F197" s="82">
        <f>IF(A197="","",SUMIF('22 2026 PAKETLEME'!$B$2:$B$501,A197,'22 2026 PAKETLEME'!$G$2:$G$501))</f>
        <v>0</v>
      </c>
      <c r="G197" s="81">
        <f>IF(A197="","",SUMIF('22 2026 PAKETLEME'!$B$2:$B$501,A197,'22 2026 PAKETLEME'!$H$2:$H$501))</f>
        <v>0</v>
      </c>
      <c r="H197" s="81" t="e">
        <f t="shared" si="15"/>
        <v>#VALUE!</v>
      </c>
      <c r="I197" s="82">
        <f>IF(A197="","",SUMIF('23 2026 SEVKİYAT'!$E$2:$E$501,A197,'23 2026 SEVKİYAT'!$H$2:$H$501))</f>
        <v>0</v>
      </c>
      <c r="J197" s="81">
        <f t="shared" si="16"/>
        <v>0</v>
      </c>
      <c r="K197" s="81" t="e">
        <f t="shared" si="17"/>
        <v>#VALUE!</v>
      </c>
      <c r="L197" s="58" t="e">
        <f t="shared" si="18"/>
        <v>#VALUE!</v>
      </c>
      <c r="M197" s="56" t="e">
        <f t="shared" si="19"/>
        <v>#VALUE!</v>
      </c>
    </row>
    <row r="198" spans="1:13" ht="15" customHeight="1" x14ac:dyDescent="0.2">
      <c r="A198" s="60">
        <f>'21 2026 ÜRETİM'!A198</f>
        <v>0</v>
      </c>
      <c r="B198" s="81" t="str">
        <f>IF(A198="","",'21 2026 ÜRETİM'!D198)</f>
        <v/>
      </c>
      <c r="C198" s="81">
        <f>IF(A198="","",'21 2026 ÜRETİM'!E198)</f>
        <v>0</v>
      </c>
      <c r="D198" s="82" t="str">
        <f>IF(A198="","",'21 2026 ÜRETİM'!F198)</f>
        <v/>
      </c>
      <c r="E198" s="81">
        <f>IF(A198="","",SUMIF('22 2026 PAKETLEME'!$B$2:$B$501,A198,'22 2026 PAKETLEME'!$E$2:$E$501))</f>
        <v>0</v>
      </c>
      <c r="F198" s="82">
        <f>IF(A198="","",SUMIF('22 2026 PAKETLEME'!$B$2:$B$501,A198,'22 2026 PAKETLEME'!$G$2:$G$501))</f>
        <v>0</v>
      </c>
      <c r="G198" s="81">
        <f>IF(A198="","",SUMIF('22 2026 PAKETLEME'!$B$2:$B$501,A198,'22 2026 PAKETLEME'!$H$2:$H$501))</f>
        <v>0</v>
      </c>
      <c r="H198" s="81" t="e">
        <f t="shared" si="15"/>
        <v>#VALUE!</v>
      </c>
      <c r="I198" s="82">
        <f>IF(A198="","",SUMIF('23 2026 SEVKİYAT'!$E$2:$E$501,A198,'23 2026 SEVKİYAT'!$H$2:$H$501))</f>
        <v>0</v>
      </c>
      <c r="J198" s="81">
        <f t="shared" si="16"/>
        <v>0</v>
      </c>
      <c r="K198" s="81" t="e">
        <f t="shared" si="17"/>
        <v>#VALUE!</v>
      </c>
      <c r="L198" s="58" t="e">
        <f t="shared" si="18"/>
        <v>#VALUE!</v>
      </c>
      <c r="M198" s="56" t="e">
        <f t="shared" si="19"/>
        <v>#VALUE!</v>
      </c>
    </row>
    <row r="199" spans="1:13" ht="15" customHeight="1" x14ac:dyDescent="0.2">
      <c r="A199" s="60">
        <f>'21 2026 ÜRETİM'!A199</f>
        <v>0</v>
      </c>
      <c r="B199" s="81" t="str">
        <f>IF(A199="","",'21 2026 ÜRETİM'!D199)</f>
        <v/>
      </c>
      <c r="C199" s="81">
        <f>IF(A199="","",'21 2026 ÜRETİM'!E199)</f>
        <v>0</v>
      </c>
      <c r="D199" s="82" t="str">
        <f>IF(A199="","",'21 2026 ÜRETİM'!F199)</f>
        <v/>
      </c>
      <c r="E199" s="81">
        <f>IF(A199="","",SUMIF('22 2026 PAKETLEME'!$B$2:$B$501,A199,'22 2026 PAKETLEME'!$E$2:$E$501))</f>
        <v>0</v>
      </c>
      <c r="F199" s="82">
        <f>IF(A199="","",SUMIF('22 2026 PAKETLEME'!$B$2:$B$501,A199,'22 2026 PAKETLEME'!$G$2:$G$501))</f>
        <v>0</v>
      </c>
      <c r="G199" s="81">
        <f>IF(A199="","",SUMIF('22 2026 PAKETLEME'!$B$2:$B$501,A199,'22 2026 PAKETLEME'!$H$2:$H$501))</f>
        <v>0</v>
      </c>
      <c r="H199" s="81" t="e">
        <f t="shared" si="15"/>
        <v>#VALUE!</v>
      </c>
      <c r="I199" s="82">
        <f>IF(A199="","",SUMIF('23 2026 SEVKİYAT'!$E$2:$E$501,A199,'23 2026 SEVKİYAT'!$H$2:$H$501))</f>
        <v>0</v>
      </c>
      <c r="J199" s="81">
        <f t="shared" si="16"/>
        <v>0</v>
      </c>
      <c r="K199" s="81" t="e">
        <f t="shared" si="17"/>
        <v>#VALUE!</v>
      </c>
      <c r="L199" s="58" t="e">
        <f t="shared" si="18"/>
        <v>#VALUE!</v>
      </c>
      <c r="M199" s="56" t="e">
        <f t="shared" si="19"/>
        <v>#VALUE!</v>
      </c>
    </row>
    <row r="200" spans="1:13" ht="15" customHeight="1" x14ac:dyDescent="0.2">
      <c r="A200" s="60">
        <f>'21 2026 ÜRETİM'!A200</f>
        <v>0</v>
      </c>
      <c r="B200" s="81" t="str">
        <f>IF(A200="","",'21 2026 ÜRETİM'!D200)</f>
        <v/>
      </c>
      <c r="C200" s="81">
        <f>IF(A200="","",'21 2026 ÜRETİM'!E200)</f>
        <v>0</v>
      </c>
      <c r="D200" s="82" t="str">
        <f>IF(A200="","",'21 2026 ÜRETİM'!F200)</f>
        <v/>
      </c>
      <c r="E200" s="81">
        <f>IF(A200="","",SUMIF('22 2026 PAKETLEME'!$B$2:$B$501,A200,'22 2026 PAKETLEME'!$E$2:$E$501))</f>
        <v>0</v>
      </c>
      <c r="F200" s="82">
        <f>IF(A200="","",SUMIF('22 2026 PAKETLEME'!$B$2:$B$501,A200,'22 2026 PAKETLEME'!$G$2:$G$501))</f>
        <v>0</v>
      </c>
      <c r="G200" s="81">
        <f>IF(A200="","",SUMIF('22 2026 PAKETLEME'!$B$2:$B$501,A200,'22 2026 PAKETLEME'!$H$2:$H$501))</f>
        <v>0</v>
      </c>
      <c r="H200" s="81" t="e">
        <f t="shared" si="15"/>
        <v>#VALUE!</v>
      </c>
      <c r="I200" s="82">
        <f>IF(A200="","",SUMIF('23 2026 SEVKİYAT'!$E$2:$E$501,A200,'23 2026 SEVKİYAT'!$H$2:$H$501))</f>
        <v>0</v>
      </c>
      <c r="J200" s="81">
        <f t="shared" si="16"/>
        <v>0</v>
      </c>
      <c r="K200" s="81" t="e">
        <f t="shared" si="17"/>
        <v>#VALUE!</v>
      </c>
      <c r="L200" s="58" t="e">
        <f t="shared" si="18"/>
        <v>#VALUE!</v>
      </c>
      <c r="M200" s="56" t="e">
        <f t="shared" si="19"/>
        <v>#VALUE!</v>
      </c>
    </row>
    <row r="201" spans="1:13" ht="15" customHeight="1" x14ac:dyDescent="0.2">
      <c r="A201" s="60">
        <f>'21 2026 ÜRETİM'!A201</f>
        <v>0</v>
      </c>
      <c r="B201" s="81" t="str">
        <f>IF(A201="","",'21 2026 ÜRETİM'!D201)</f>
        <v/>
      </c>
      <c r="C201" s="81">
        <f>IF(A201="","",'21 2026 ÜRETİM'!E201)</f>
        <v>0</v>
      </c>
      <c r="D201" s="82" t="str">
        <f>IF(A201="","",'21 2026 ÜRETİM'!F201)</f>
        <v/>
      </c>
      <c r="E201" s="81">
        <f>IF(A201="","",SUMIF('22 2026 PAKETLEME'!$B$2:$B$501,A201,'22 2026 PAKETLEME'!$E$2:$E$501))</f>
        <v>0</v>
      </c>
      <c r="F201" s="82">
        <f>IF(A201="","",SUMIF('22 2026 PAKETLEME'!$B$2:$B$501,A201,'22 2026 PAKETLEME'!$G$2:$G$501))</f>
        <v>0</v>
      </c>
      <c r="G201" s="81">
        <f>IF(A201="","",SUMIF('22 2026 PAKETLEME'!$B$2:$B$501,A201,'22 2026 PAKETLEME'!$H$2:$H$501))</f>
        <v>0</v>
      </c>
      <c r="H201" s="81" t="e">
        <f t="shared" si="15"/>
        <v>#VALUE!</v>
      </c>
      <c r="I201" s="82">
        <f>IF(A201="","",SUMIF('23 2026 SEVKİYAT'!$E$2:$E$501,A201,'23 2026 SEVKİYAT'!$H$2:$H$501))</f>
        <v>0</v>
      </c>
      <c r="J201" s="81">
        <f t="shared" si="16"/>
        <v>0</v>
      </c>
      <c r="K201" s="81" t="e">
        <f t="shared" si="17"/>
        <v>#VALUE!</v>
      </c>
      <c r="L201" s="58" t="e">
        <f t="shared" si="18"/>
        <v>#VALUE!</v>
      </c>
      <c r="M201" s="56" t="e">
        <f t="shared" si="19"/>
        <v>#VALUE!</v>
      </c>
    </row>
    <row r="202" spans="1:13" ht="15" customHeight="1" x14ac:dyDescent="0.2">
      <c r="A202" s="60">
        <f>'21 2026 ÜRETİM'!A202</f>
        <v>0</v>
      </c>
      <c r="B202" s="81" t="str">
        <f>IF(A202="","",'21 2026 ÜRETİM'!D202)</f>
        <v/>
      </c>
      <c r="C202" s="81">
        <f>IF(A202="","",'21 2026 ÜRETİM'!E202)</f>
        <v>0</v>
      </c>
      <c r="D202" s="82" t="str">
        <f>IF(A202="","",'21 2026 ÜRETİM'!F202)</f>
        <v/>
      </c>
      <c r="E202" s="81">
        <f>IF(A202="","",SUMIF('22 2026 PAKETLEME'!$B$2:$B$501,A202,'22 2026 PAKETLEME'!$E$2:$E$501))</f>
        <v>0</v>
      </c>
      <c r="F202" s="82">
        <f>IF(A202="","",SUMIF('22 2026 PAKETLEME'!$B$2:$B$501,A202,'22 2026 PAKETLEME'!$G$2:$G$501))</f>
        <v>0</v>
      </c>
      <c r="G202" s="81">
        <f>IF(A202="","",SUMIF('22 2026 PAKETLEME'!$B$2:$B$501,A202,'22 2026 PAKETLEME'!$H$2:$H$501))</f>
        <v>0</v>
      </c>
      <c r="H202" s="81" t="e">
        <f t="shared" si="15"/>
        <v>#VALUE!</v>
      </c>
      <c r="I202" s="82">
        <f>IF(A202="","",SUMIF('23 2026 SEVKİYAT'!$E$2:$E$501,A202,'23 2026 SEVKİYAT'!$H$2:$H$501))</f>
        <v>0</v>
      </c>
      <c r="J202" s="81">
        <f t="shared" si="16"/>
        <v>0</v>
      </c>
      <c r="K202" s="81" t="e">
        <f t="shared" si="17"/>
        <v>#VALUE!</v>
      </c>
      <c r="L202" s="58" t="e">
        <f t="shared" si="18"/>
        <v>#VALUE!</v>
      </c>
      <c r="M202" s="56" t="e">
        <f t="shared" si="19"/>
        <v>#VALUE!</v>
      </c>
    </row>
    <row r="203" spans="1:13" ht="15" customHeight="1" x14ac:dyDescent="0.2">
      <c r="A203" s="60">
        <f>'21 2026 ÜRETİM'!A203</f>
        <v>0</v>
      </c>
      <c r="B203" s="81" t="str">
        <f>IF(A203="","",'21 2026 ÜRETİM'!D203)</f>
        <v/>
      </c>
      <c r="C203" s="81">
        <f>IF(A203="","",'21 2026 ÜRETİM'!E203)</f>
        <v>0</v>
      </c>
      <c r="D203" s="82" t="str">
        <f>IF(A203="","",'21 2026 ÜRETİM'!F203)</f>
        <v/>
      </c>
      <c r="E203" s="81">
        <f>IF(A203="","",SUMIF('22 2026 PAKETLEME'!$B$2:$B$501,A203,'22 2026 PAKETLEME'!$E$2:$E$501))</f>
        <v>0</v>
      </c>
      <c r="F203" s="82">
        <f>IF(A203="","",SUMIF('22 2026 PAKETLEME'!$B$2:$B$501,A203,'22 2026 PAKETLEME'!$G$2:$G$501))</f>
        <v>0</v>
      </c>
      <c r="G203" s="81">
        <f>IF(A203="","",SUMIF('22 2026 PAKETLEME'!$B$2:$B$501,A203,'22 2026 PAKETLEME'!$H$2:$H$501))</f>
        <v>0</v>
      </c>
      <c r="H203" s="81" t="e">
        <f t="shared" si="15"/>
        <v>#VALUE!</v>
      </c>
      <c r="I203" s="82">
        <f>IF(A203="","",SUMIF('23 2026 SEVKİYAT'!$E$2:$E$501,A203,'23 2026 SEVKİYAT'!$H$2:$H$501))</f>
        <v>0</v>
      </c>
      <c r="J203" s="81">
        <f t="shared" si="16"/>
        <v>0</v>
      </c>
      <c r="K203" s="81" t="e">
        <f t="shared" si="17"/>
        <v>#VALUE!</v>
      </c>
      <c r="L203" s="58" t="e">
        <f t="shared" si="18"/>
        <v>#VALUE!</v>
      </c>
      <c r="M203" s="56" t="e">
        <f t="shared" si="19"/>
        <v>#VALUE!</v>
      </c>
    </row>
    <row r="204" spans="1:13" ht="15" customHeight="1" x14ac:dyDescent="0.2">
      <c r="A204" s="60">
        <f>'21 2026 ÜRETİM'!A204</f>
        <v>0</v>
      </c>
      <c r="B204" s="81" t="str">
        <f>IF(A204="","",'21 2026 ÜRETİM'!D204)</f>
        <v/>
      </c>
      <c r="C204" s="81">
        <f>IF(A204="","",'21 2026 ÜRETİM'!E204)</f>
        <v>0</v>
      </c>
      <c r="D204" s="82" t="str">
        <f>IF(A204="","",'21 2026 ÜRETİM'!F204)</f>
        <v/>
      </c>
      <c r="E204" s="81">
        <f>IF(A204="","",SUMIF('22 2026 PAKETLEME'!$B$2:$B$501,A204,'22 2026 PAKETLEME'!$E$2:$E$501))</f>
        <v>0</v>
      </c>
      <c r="F204" s="82">
        <f>IF(A204="","",SUMIF('22 2026 PAKETLEME'!$B$2:$B$501,A204,'22 2026 PAKETLEME'!$G$2:$G$501))</f>
        <v>0</v>
      </c>
      <c r="G204" s="81">
        <f>IF(A204="","",SUMIF('22 2026 PAKETLEME'!$B$2:$B$501,A204,'22 2026 PAKETLEME'!$H$2:$H$501))</f>
        <v>0</v>
      </c>
      <c r="H204" s="81" t="e">
        <f t="shared" si="15"/>
        <v>#VALUE!</v>
      </c>
      <c r="I204" s="82">
        <f>IF(A204="","",SUMIF('23 2026 SEVKİYAT'!$E$2:$E$501,A204,'23 2026 SEVKİYAT'!$H$2:$H$501))</f>
        <v>0</v>
      </c>
      <c r="J204" s="81">
        <f t="shared" si="16"/>
        <v>0</v>
      </c>
      <c r="K204" s="81" t="e">
        <f t="shared" si="17"/>
        <v>#VALUE!</v>
      </c>
      <c r="L204" s="58" t="e">
        <f t="shared" si="18"/>
        <v>#VALUE!</v>
      </c>
      <c r="M204" s="56" t="e">
        <f t="shared" si="19"/>
        <v>#VALUE!</v>
      </c>
    </row>
    <row r="205" spans="1:13" ht="15" customHeight="1" x14ac:dyDescent="0.2">
      <c r="A205" s="60">
        <f>'21 2026 ÜRETİM'!A205</f>
        <v>0</v>
      </c>
      <c r="B205" s="81" t="str">
        <f>IF(A205="","",'21 2026 ÜRETİM'!D205)</f>
        <v/>
      </c>
      <c r="C205" s="81">
        <f>IF(A205="","",'21 2026 ÜRETİM'!E205)</f>
        <v>0</v>
      </c>
      <c r="D205" s="82" t="str">
        <f>IF(A205="","",'21 2026 ÜRETİM'!F205)</f>
        <v/>
      </c>
      <c r="E205" s="81">
        <f>IF(A205="","",SUMIF('22 2026 PAKETLEME'!$B$2:$B$501,A205,'22 2026 PAKETLEME'!$E$2:$E$501))</f>
        <v>0</v>
      </c>
      <c r="F205" s="82">
        <f>IF(A205="","",SUMIF('22 2026 PAKETLEME'!$B$2:$B$501,A205,'22 2026 PAKETLEME'!$G$2:$G$501))</f>
        <v>0</v>
      </c>
      <c r="G205" s="81">
        <f>IF(A205="","",SUMIF('22 2026 PAKETLEME'!$B$2:$B$501,A205,'22 2026 PAKETLEME'!$H$2:$H$501))</f>
        <v>0</v>
      </c>
      <c r="H205" s="81" t="e">
        <f t="shared" si="15"/>
        <v>#VALUE!</v>
      </c>
      <c r="I205" s="82">
        <f>IF(A205="","",SUMIF('23 2026 SEVKİYAT'!$E$2:$E$501,A205,'23 2026 SEVKİYAT'!$H$2:$H$501))</f>
        <v>0</v>
      </c>
      <c r="J205" s="81">
        <f t="shared" si="16"/>
        <v>0</v>
      </c>
      <c r="K205" s="81" t="e">
        <f t="shared" si="17"/>
        <v>#VALUE!</v>
      </c>
      <c r="L205" s="58" t="e">
        <f t="shared" si="18"/>
        <v>#VALUE!</v>
      </c>
      <c r="M205" s="56" t="e">
        <f t="shared" si="19"/>
        <v>#VALUE!</v>
      </c>
    </row>
    <row r="206" spans="1:13" ht="15" customHeight="1" x14ac:dyDescent="0.2">
      <c r="A206" s="60">
        <f>'21 2026 ÜRETİM'!A206</f>
        <v>0</v>
      </c>
      <c r="B206" s="81" t="str">
        <f>IF(A206="","",'21 2026 ÜRETİM'!D206)</f>
        <v/>
      </c>
      <c r="C206" s="81">
        <f>IF(A206="","",'21 2026 ÜRETİM'!E206)</f>
        <v>0</v>
      </c>
      <c r="D206" s="82" t="str">
        <f>IF(A206="","",'21 2026 ÜRETİM'!F206)</f>
        <v/>
      </c>
      <c r="E206" s="81">
        <f>IF(A206="","",SUMIF('22 2026 PAKETLEME'!$B$2:$B$501,A206,'22 2026 PAKETLEME'!$E$2:$E$501))</f>
        <v>0</v>
      </c>
      <c r="F206" s="82">
        <f>IF(A206="","",SUMIF('22 2026 PAKETLEME'!$B$2:$B$501,A206,'22 2026 PAKETLEME'!$G$2:$G$501))</f>
        <v>0</v>
      </c>
      <c r="G206" s="81">
        <f>IF(A206="","",SUMIF('22 2026 PAKETLEME'!$B$2:$B$501,A206,'22 2026 PAKETLEME'!$H$2:$H$501))</f>
        <v>0</v>
      </c>
      <c r="H206" s="81" t="e">
        <f t="shared" si="15"/>
        <v>#VALUE!</v>
      </c>
      <c r="I206" s="82">
        <f>IF(A206="","",SUMIF('23 2026 SEVKİYAT'!$E$2:$E$501,A206,'23 2026 SEVKİYAT'!$H$2:$H$501))</f>
        <v>0</v>
      </c>
      <c r="J206" s="81">
        <f t="shared" si="16"/>
        <v>0</v>
      </c>
      <c r="K206" s="81" t="e">
        <f t="shared" si="17"/>
        <v>#VALUE!</v>
      </c>
      <c r="L206" s="58" t="e">
        <f t="shared" si="18"/>
        <v>#VALUE!</v>
      </c>
      <c r="M206" s="56" t="e">
        <f t="shared" si="19"/>
        <v>#VALUE!</v>
      </c>
    </row>
    <row r="207" spans="1:13" ht="15" customHeight="1" x14ac:dyDescent="0.2">
      <c r="A207" s="60">
        <f>'21 2026 ÜRETİM'!A207</f>
        <v>0</v>
      </c>
      <c r="B207" s="81" t="str">
        <f>IF(A207="","",'21 2026 ÜRETİM'!D207)</f>
        <v/>
      </c>
      <c r="C207" s="81">
        <f>IF(A207="","",'21 2026 ÜRETİM'!E207)</f>
        <v>0</v>
      </c>
      <c r="D207" s="82" t="str">
        <f>IF(A207="","",'21 2026 ÜRETİM'!F207)</f>
        <v/>
      </c>
      <c r="E207" s="81">
        <f>IF(A207="","",SUMIF('22 2026 PAKETLEME'!$B$2:$B$501,A207,'22 2026 PAKETLEME'!$E$2:$E$501))</f>
        <v>0</v>
      </c>
      <c r="F207" s="82">
        <f>IF(A207="","",SUMIF('22 2026 PAKETLEME'!$B$2:$B$501,A207,'22 2026 PAKETLEME'!$G$2:$G$501))</f>
        <v>0</v>
      </c>
      <c r="G207" s="81">
        <f>IF(A207="","",SUMIF('22 2026 PAKETLEME'!$B$2:$B$501,A207,'22 2026 PAKETLEME'!$H$2:$H$501))</f>
        <v>0</v>
      </c>
      <c r="H207" s="81" t="e">
        <f t="shared" si="15"/>
        <v>#VALUE!</v>
      </c>
      <c r="I207" s="82">
        <f>IF(A207="","",SUMIF('23 2026 SEVKİYAT'!$E$2:$E$501,A207,'23 2026 SEVKİYAT'!$H$2:$H$501))</f>
        <v>0</v>
      </c>
      <c r="J207" s="81">
        <f t="shared" si="16"/>
        <v>0</v>
      </c>
      <c r="K207" s="81" t="e">
        <f t="shared" si="17"/>
        <v>#VALUE!</v>
      </c>
      <c r="L207" s="58" t="e">
        <f t="shared" si="18"/>
        <v>#VALUE!</v>
      </c>
      <c r="M207" s="56" t="e">
        <f t="shared" si="19"/>
        <v>#VALUE!</v>
      </c>
    </row>
    <row r="208" spans="1:13" ht="15" customHeight="1" x14ac:dyDescent="0.2">
      <c r="A208" s="60">
        <f>'21 2026 ÜRETİM'!A208</f>
        <v>0</v>
      </c>
      <c r="B208" s="81" t="str">
        <f>IF(A208="","",'21 2026 ÜRETİM'!D208)</f>
        <v/>
      </c>
      <c r="C208" s="81">
        <f>IF(A208="","",'21 2026 ÜRETİM'!E208)</f>
        <v>0</v>
      </c>
      <c r="D208" s="82" t="str">
        <f>IF(A208="","",'21 2026 ÜRETİM'!F208)</f>
        <v/>
      </c>
      <c r="E208" s="81">
        <f>IF(A208="","",SUMIF('22 2026 PAKETLEME'!$B$2:$B$501,A208,'22 2026 PAKETLEME'!$E$2:$E$501))</f>
        <v>0</v>
      </c>
      <c r="F208" s="82">
        <f>IF(A208="","",SUMIF('22 2026 PAKETLEME'!$B$2:$B$501,A208,'22 2026 PAKETLEME'!$G$2:$G$501))</f>
        <v>0</v>
      </c>
      <c r="G208" s="81">
        <f>IF(A208="","",SUMIF('22 2026 PAKETLEME'!$B$2:$B$501,A208,'22 2026 PAKETLEME'!$H$2:$H$501))</f>
        <v>0</v>
      </c>
      <c r="H208" s="81" t="e">
        <f t="shared" si="15"/>
        <v>#VALUE!</v>
      </c>
      <c r="I208" s="82">
        <f>IF(A208="","",SUMIF('23 2026 SEVKİYAT'!$E$2:$E$501,A208,'23 2026 SEVKİYAT'!$H$2:$H$501))</f>
        <v>0</v>
      </c>
      <c r="J208" s="81">
        <f t="shared" si="16"/>
        <v>0</v>
      </c>
      <c r="K208" s="81" t="e">
        <f t="shared" si="17"/>
        <v>#VALUE!</v>
      </c>
      <c r="L208" s="58" t="e">
        <f t="shared" si="18"/>
        <v>#VALUE!</v>
      </c>
      <c r="M208" s="56" t="e">
        <f t="shared" si="19"/>
        <v>#VALUE!</v>
      </c>
    </row>
    <row r="209" spans="1:13" ht="15" customHeight="1" x14ac:dyDescent="0.2">
      <c r="A209" s="60">
        <f>'21 2026 ÜRETİM'!A209</f>
        <v>0</v>
      </c>
      <c r="B209" s="81" t="str">
        <f>IF(A209="","",'21 2026 ÜRETİM'!D209)</f>
        <v/>
      </c>
      <c r="C209" s="81">
        <f>IF(A209="","",'21 2026 ÜRETİM'!E209)</f>
        <v>0</v>
      </c>
      <c r="D209" s="82" t="str">
        <f>IF(A209="","",'21 2026 ÜRETİM'!F209)</f>
        <v/>
      </c>
      <c r="E209" s="81">
        <f>IF(A209="","",SUMIF('22 2026 PAKETLEME'!$B$2:$B$501,A209,'22 2026 PAKETLEME'!$E$2:$E$501))</f>
        <v>0</v>
      </c>
      <c r="F209" s="82">
        <f>IF(A209="","",SUMIF('22 2026 PAKETLEME'!$B$2:$B$501,A209,'22 2026 PAKETLEME'!$G$2:$G$501))</f>
        <v>0</v>
      </c>
      <c r="G209" s="81">
        <f>IF(A209="","",SUMIF('22 2026 PAKETLEME'!$B$2:$B$501,A209,'22 2026 PAKETLEME'!$H$2:$H$501))</f>
        <v>0</v>
      </c>
      <c r="H209" s="81" t="e">
        <f t="shared" si="15"/>
        <v>#VALUE!</v>
      </c>
      <c r="I209" s="82">
        <f>IF(A209="","",SUMIF('23 2026 SEVKİYAT'!$E$2:$E$501,A209,'23 2026 SEVKİYAT'!$H$2:$H$501))</f>
        <v>0</v>
      </c>
      <c r="J209" s="81">
        <f t="shared" si="16"/>
        <v>0</v>
      </c>
      <c r="K209" s="81" t="e">
        <f t="shared" si="17"/>
        <v>#VALUE!</v>
      </c>
      <c r="L209" s="58" t="e">
        <f t="shared" si="18"/>
        <v>#VALUE!</v>
      </c>
      <c r="M209" s="56" t="e">
        <f t="shared" si="19"/>
        <v>#VALUE!</v>
      </c>
    </row>
    <row r="210" spans="1:13" ht="15" customHeight="1" x14ac:dyDescent="0.2">
      <c r="A210" s="60">
        <f>'21 2026 ÜRETİM'!A210</f>
        <v>0</v>
      </c>
      <c r="B210" s="81" t="str">
        <f>IF(A210="","",'21 2026 ÜRETİM'!D210)</f>
        <v/>
      </c>
      <c r="C210" s="81">
        <f>IF(A210="","",'21 2026 ÜRETİM'!E210)</f>
        <v>0</v>
      </c>
      <c r="D210" s="82" t="str">
        <f>IF(A210="","",'21 2026 ÜRETİM'!F210)</f>
        <v/>
      </c>
      <c r="E210" s="81">
        <f>IF(A210="","",SUMIF('22 2026 PAKETLEME'!$B$2:$B$501,A210,'22 2026 PAKETLEME'!$E$2:$E$501))</f>
        <v>0</v>
      </c>
      <c r="F210" s="82">
        <f>IF(A210="","",SUMIF('22 2026 PAKETLEME'!$B$2:$B$501,A210,'22 2026 PAKETLEME'!$G$2:$G$501))</f>
        <v>0</v>
      </c>
      <c r="G210" s="81">
        <f>IF(A210="","",SUMIF('22 2026 PAKETLEME'!$B$2:$B$501,A210,'22 2026 PAKETLEME'!$H$2:$H$501))</f>
        <v>0</v>
      </c>
      <c r="H210" s="81" t="e">
        <f t="shared" si="15"/>
        <v>#VALUE!</v>
      </c>
      <c r="I210" s="82">
        <f>IF(A210="","",SUMIF('23 2026 SEVKİYAT'!$E$2:$E$501,A210,'23 2026 SEVKİYAT'!$H$2:$H$501))</f>
        <v>0</v>
      </c>
      <c r="J210" s="81">
        <f t="shared" si="16"/>
        <v>0</v>
      </c>
      <c r="K210" s="81" t="e">
        <f t="shared" si="17"/>
        <v>#VALUE!</v>
      </c>
      <c r="L210" s="58" t="e">
        <f t="shared" si="18"/>
        <v>#VALUE!</v>
      </c>
      <c r="M210" s="56" t="e">
        <f t="shared" si="19"/>
        <v>#VALUE!</v>
      </c>
    </row>
    <row r="211" spans="1:13" ht="15" customHeight="1" x14ac:dyDescent="0.2">
      <c r="A211" s="60">
        <f>'21 2026 ÜRETİM'!A211</f>
        <v>0</v>
      </c>
      <c r="B211" s="81" t="str">
        <f>IF(A211="","",'21 2026 ÜRETİM'!D211)</f>
        <v/>
      </c>
      <c r="C211" s="81">
        <f>IF(A211="","",'21 2026 ÜRETİM'!E211)</f>
        <v>0</v>
      </c>
      <c r="D211" s="82" t="str">
        <f>IF(A211="","",'21 2026 ÜRETİM'!F211)</f>
        <v/>
      </c>
      <c r="E211" s="81">
        <f>IF(A211="","",SUMIF('22 2026 PAKETLEME'!$B$2:$B$501,A211,'22 2026 PAKETLEME'!$E$2:$E$501))</f>
        <v>0</v>
      </c>
      <c r="F211" s="82">
        <f>IF(A211="","",SUMIF('22 2026 PAKETLEME'!$B$2:$B$501,A211,'22 2026 PAKETLEME'!$G$2:$G$501))</f>
        <v>0</v>
      </c>
      <c r="G211" s="81">
        <f>IF(A211="","",SUMIF('22 2026 PAKETLEME'!$B$2:$B$501,A211,'22 2026 PAKETLEME'!$H$2:$H$501))</f>
        <v>0</v>
      </c>
      <c r="H211" s="81" t="e">
        <f t="shared" si="15"/>
        <v>#VALUE!</v>
      </c>
      <c r="I211" s="82">
        <f>IF(A211="","",SUMIF('23 2026 SEVKİYAT'!$E$2:$E$501,A211,'23 2026 SEVKİYAT'!$H$2:$H$501))</f>
        <v>0</v>
      </c>
      <c r="J211" s="81">
        <f t="shared" si="16"/>
        <v>0</v>
      </c>
      <c r="K211" s="81" t="e">
        <f t="shared" si="17"/>
        <v>#VALUE!</v>
      </c>
      <c r="L211" s="58" t="e">
        <f t="shared" si="18"/>
        <v>#VALUE!</v>
      </c>
      <c r="M211" s="56" t="e">
        <f t="shared" si="19"/>
        <v>#VALUE!</v>
      </c>
    </row>
    <row r="212" spans="1:13" ht="15" customHeight="1" x14ac:dyDescent="0.2">
      <c r="A212" s="60">
        <f>'21 2026 ÜRETİM'!A212</f>
        <v>0</v>
      </c>
      <c r="B212" s="81" t="str">
        <f>IF(A212="","",'21 2026 ÜRETİM'!D212)</f>
        <v/>
      </c>
      <c r="C212" s="81">
        <f>IF(A212="","",'21 2026 ÜRETİM'!E212)</f>
        <v>0</v>
      </c>
      <c r="D212" s="82" t="str">
        <f>IF(A212="","",'21 2026 ÜRETİM'!F212)</f>
        <v/>
      </c>
      <c r="E212" s="81">
        <f>IF(A212="","",SUMIF('22 2026 PAKETLEME'!$B$2:$B$501,A212,'22 2026 PAKETLEME'!$E$2:$E$501))</f>
        <v>0</v>
      </c>
      <c r="F212" s="82">
        <f>IF(A212="","",SUMIF('22 2026 PAKETLEME'!$B$2:$B$501,A212,'22 2026 PAKETLEME'!$G$2:$G$501))</f>
        <v>0</v>
      </c>
      <c r="G212" s="81">
        <f>IF(A212="","",SUMIF('22 2026 PAKETLEME'!$B$2:$B$501,A212,'22 2026 PAKETLEME'!$H$2:$H$501))</f>
        <v>0</v>
      </c>
      <c r="H212" s="81" t="e">
        <f t="shared" si="15"/>
        <v>#VALUE!</v>
      </c>
      <c r="I212" s="82">
        <f>IF(A212="","",SUMIF('23 2026 SEVKİYAT'!$E$2:$E$501,A212,'23 2026 SEVKİYAT'!$H$2:$H$501))</f>
        <v>0</v>
      </c>
      <c r="J212" s="81">
        <f t="shared" si="16"/>
        <v>0</v>
      </c>
      <c r="K212" s="81" t="e">
        <f t="shared" si="17"/>
        <v>#VALUE!</v>
      </c>
      <c r="L212" s="58" t="e">
        <f t="shared" si="18"/>
        <v>#VALUE!</v>
      </c>
      <c r="M212" s="56" t="e">
        <f t="shared" si="19"/>
        <v>#VALUE!</v>
      </c>
    </row>
    <row r="213" spans="1:13" ht="15" customHeight="1" x14ac:dyDescent="0.2">
      <c r="A213" s="60">
        <f>'21 2026 ÜRETİM'!A213</f>
        <v>0</v>
      </c>
      <c r="B213" s="81" t="str">
        <f>IF(A213="","",'21 2026 ÜRETİM'!D213)</f>
        <v/>
      </c>
      <c r="C213" s="81">
        <f>IF(A213="","",'21 2026 ÜRETİM'!E213)</f>
        <v>0</v>
      </c>
      <c r="D213" s="82" t="str">
        <f>IF(A213="","",'21 2026 ÜRETİM'!F213)</f>
        <v/>
      </c>
      <c r="E213" s="81">
        <f>IF(A213="","",SUMIF('22 2026 PAKETLEME'!$B$2:$B$501,A213,'22 2026 PAKETLEME'!$E$2:$E$501))</f>
        <v>0</v>
      </c>
      <c r="F213" s="82">
        <f>IF(A213="","",SUMIF('22 2026 PAKETLEME'!$B$2:$B$501,A213,'22 2026 PAKETLEME'!$G$2:$G$501))</f>
        <v>0</v>
      </c>
      <c r="G213" s="81">
        <f>IF(A213="","",SUMIF('22 2026 PAKETLEME'!$B$2:$B$501,A213,'22 2026 PAKETLEME'!$H$2:$H$501))</f>
        <v>0</v>
      </c>
      <c r="H213" s="81" t="e">
        <f t="shared" si="15"/>
        <v>#VALUE!</v>
      </c>
      <c r="I213" s="82">
        <f>IF(A213="","",SUMIF('23 2026 SEVKİYAT'!$E$2:$E$501,A213,'23 2026 SEVKİYAT'!$H$2:$H$501))</f>
        <v>0</v>
      </c>
      <c r="J213" s="81">
        <f t="shared" si="16"/>
        <v>0</v>
      </c>
      <c r="K213" s="81" t="e">
        <f t="shared" si="17"/>
        <v>#VALUE!</v>
      </c>
      <c r="L213" s="58" t="e">
        <f t="shared" si="18"/>
        <v>#VALUE!</v>
      </c>
      <c r="M213" s="56" t="e">
        <f t="shared" si="19"/>
        <v>#VALUE!</v>
      </c>
    </row>
    <row r="214" spans="1:13" ht="15" customHeight="1" x14ac:dyDescent="0.2">
      <c r="A214" s="60">
        <f>'21 2026 ÜRETİM'!A214</f>
        <v>0</v>
      </c>
      <c r="B214" s="81" t="str">
        <f>IF(A214="","",'21 2026 ÜRETİM'!D214)</f>
        <v/>
      </c>
      <c r="C214" s="81">
        <f>IF(A214="","",'21 2026 ÜRETİM'!E214)</f>
        <v>0</v>
      </c>
      <c r="D214" s="82" t="str">
        <f>IF(A214="","",'21 2026 ÜRETİM'!F214)</f>
        <v/>
      </c>
      <c r="E214" s="81">
        <f>IF(A214="","",SUMIF('22 2026 PAKETLEME'!$B$2:$B$501,A214,'22 2026 PAKETLEME'!$E$2:$E$501))</f>
        <v>0</v>
      </c>
      <c r="F214" s="82">
        <f>IF(A214="","",SUMIF('22 2026 PAKETLEME'!$B$2:$B$501,A214,'22 2026 PAKETLEME'!$G$2:$G$501))</f>
        <v>0</v>
      </c>
      <c r="G214" s="81">
        <f>IF(A214="","",SUMIF('22 2026 PAKETLEME'!$B$2:$B$501,A214,'22 2026 PAKETLEME'!$H$2:$H$501))</f>
        <v>0</v>
      </c>
      <c r="H214" s="81" t="e">
        <f t="shared" si="15"/>
        <v>#VALUE!</v>
      </c>
      <c r="I214" s="82">
        <f>IF(A214="","",SUMIF('23 2026 SEVKİYAT'!$E$2:$E$501,A214,'23 2026 SEVKİYAT'!$H$2:$H$501))</f>
        <v>0</v>
      </c>
      <c r="J214" s="81">
        <f t="shared" si="16"/>
        <v>0</v>
      </c>
      <c r="K214" s="81" t="e">
        <f t="shared" si="17"/>
        <v>#VALUE!</v>
      </c>
      <c r="L214" s="58" t="e">
        <f t="shared" si="18"/>
        <v>#VALUE!</v>
      </c>
      <c r="M214" s="56" t="e">
        <f t="shared" si="19"/>
        <v>#VALUE!</v>
      </c>
    </row>
    <row r="215" spans="1:13" ht="15" customHeight="1" x14ac:dyDescent="0.2">
      <c r="A215" s="60">
        <f>'21 2026 ÜRETİM'!A215</f>
        <v>0</v>
      </c>
      <c r="B215" s="81" t="str">
        <f>IF(A215="","",'21 2026 ÜRETİM'!D215)</f>
        <v/>
      </c>
      <c r="C215" s="81">
        <f>IF(A215="","",'21 2026 ÜRETİM'!E215)</f>
        <v>0</v>
      </c>
      <c r="D215" s="82" t="str">
        <f>IF(A215="","",'21 2026 ÜRETİM'!F215)</f>
        <v/>
      </c>
      <c r="E215" s="81">
        <f>IF(A215="","",SUMIF('22 2026 PAKETLEME'!$B$2:$B$501,A215,'22 2026 PAKETLEME'!$E$2:$E$501))</f>
        <v>0</v>
      </c>
      <c r="F215" s="82">
        <f>IF(A215="","",SUMIF('22 2026 PAKETLEME'!$B$2:$B$501,A215,'22 2026 PAKETLEME'!$G$2:$G$501))</f>
        <v>0</v>
      </c>
      <c r="G215" s="81">
        <f>IF(A215="","",SUMIF('22 2026 PAKETLEME'!$B$2:$B$501,A215,'22 2026 PAKETLEME'!$H$2:$H$501))</f>
        <v>0</v>
      </c>
      <c r="H215" s="81" t="e">
        <f t="shared" si="15"/>
        <v>#VALUE!</v>
      </c>
      <c r="I215" s="82">
        <f>IF(A215="","",SUMIF('23 2026 SEVKİYAT'!$E$2:$E$501,A215,'23 2026 SEVKİYAT'!$H$2:$H$501))</f>
        <v>0</v>
      </c>
      <c r="J215" s="81">
        <f t="shared" si="16"/>
        <v>0</v>
      </c>
      <c r="K215" s="81" t="e">
        <f t="shared" si="17"/>
        <v>#VALUE!</v>
      </c>
      <c r="L215" s="58" t="e">
        <f t="shared" si="18"/>
        <v>#VALUE!</v>
      </c>
      <c r="M215" s="56" t="e">
        <f t="shared" si="19"/>
        <v>#VALUE!</v>
      </c>
    </row>
    <row r="216" spans="1:13" ht="15" customHeight="1" x14ac:dyDescent="0.2">
      <c r="A216" s="60">
        <f>'21 2026 ÜRETİM'!A216</f>
        <v>0</v>
      </c>
      <c r="B216" s="81" t="str">
        <f>IF(A216="","",'21 2026 ÜRETİM'!D216)</f>
        <v/>
      </c>
      <c r="C216" s="81">
        <f>IF(A216="","",'21 2026 ÜRETİM'!E216)</f>
        <v>0</v>
      </c>
      <c r="D216" s="82" t="str">
        <f>IF(A216="","",'21 2026 ÜRETİM'!F216)</f>
        <v/>
      </c>
      <c r="E216" s="81">
        <f>IF(A216="","",SUMIF('22 2026 PAKETLEME'!$B$2:$B$501,A216,'22 2026 PAKETLEME'!$E$2:$E$501))</f>
        <v>0</v>
      </c>
      <c r="F216" s="82">
        <f>IF(A216="","",SUMIF('22 2026 PAKETLEME'!$B$2:$B$501,A216,'22 2026 PAKETLEME'!$G$2:$G$501))</f>
        <v>0</v>
      </c>
      <c r="G216" s="81">
        <f>IF(A216="","",SUMIF('22 2026 PAKETLEME'!$B$2:$B$501,A216,'22 2026 PAKETLEME'!$H$2:$H$501))</f>
        <v>0</v>
      </c>
      <c r="H216" s="81" t="e">
        <f t="shared" si="15"/>
        <v>#VALUE!</v>
      </c>
      <c r="I216" s="82">
        <f>IF(A216="","",SUMIF('23 2026 SEVKİYAT'!$E$2:$E$501,A216,'23 2026 SEVKİYAT'!$H$2:$H$501))</f>
        <v>0</v>
      </c>
      <c r="J216" s="81">
        <f t="shared" si="16"/>
        <v>0</v>
      </c>
      <c r="K216" s="81" t="e">
        <f t="shared" si="17"/>
        <v>#VALUE!</v>
      </c>
      <c r="L216" s="58" t="e">
        <f t="shared" si="18"/>
        <v>#VALUE!</v>
      </c>
      <c r="M216" s="56" t="e">
        <f t="shared" si="19"/>
        <v>#VALUE!</v>
      </c>
    </row>
    <row r="217" spans="1:13" ht="15" customHeight="1" x14ac:dyDescent="0.2">
      <c r="A217" s="60">
        <f>'21 2026 ÜRETİM'!A217</f>
        <v>0</v>
      </c>
      <c r="B217" s="81" t="str">
        <f>IF(A217="","",'21 2026 ÜRETİM'!D217)</f>
        <v/>
      </c>
      <c r="C217" s="81">
        <f>IF(A217="","",'21 2026 ÜRETİM'!E217)</f>
        <v>0</v>
      </c>
      <c r="D217" s="82" t="str">
        <f>IF(A217="","",'21 2026 ÜRETİM'!F217)</f>
        <v/>
      </c>
      <c r="E217" s="81">
        <f>IF(A217="","",SUMIF('22 2026 PAKETLEME'!$B$2:$B$501,A217,'22 2026 PAKETLEME'!$E$2:$E$501))</f>
        <v>0</v>
      </c>
      <c r="F217" s="82">
        <f>IF(A217="","",SUMIF('22 2026 PAKETLEME'!$B$2:$B$501,A217,'22 2026 PAKETLEME'!$G$2:$G$501))</f>
        <v>0</v>
      </c>
      <c r="G217" s="81">
        <f>IF(A217="","",SUMIF('22 2026 PAKETLEME'!$B$2:$B$501,A217,'22 2026 PAKETLEME'!$H$2:$H$501))</f>
        <v>0</v>
      </c>
      <c r="H217" s="81" t="e">
        <f t="shared" si="15"/>
        <v>#VALUE!</v>
      </c>
      <c r="I217" s="82">
        <f>IF(A217="","",SUMIF('23 2026 SEVKİYAT'!$E$2:$E$501,A217,'23 2026 SEVKİYAT'!$H$2:$H$501))</f>
        <v>0</v>
      </c>
      <c r="J217" s="81">
        <f t="shared" si="16"/>
        <v>0</v>
      </c>
      <c r="K217" s="81" t="e">
        <f t="shared" si="17"/>
        <v>#VALUE!</v>
      </c>
      <c r="L217" s="58" t="e">
        <f t="shared" si="18"/>
        <v>#VALUE!</v>
      </c>
      <c r="M217" s="56" t="e">
        <f t="shared" si="19"/>
        <v>#VALUE!</v>
      </c>
    </row>
    <row r="218" spans="1:13" ht="15" customHeight="1" x14ac:dyDescent="0.2">
      <c r="A218" s="60">
        <f>'21 2026 ÜRETİM'!A218</f>
        <v>0</v>
      </c>
      <c r="B218" s="81" t="str">
        <f>IF(A218="","",'21 2026 ÜRETİM'!D218)</f>
        <v/>
      </c>
      <c r="C218" s="81">
        <f>IF(A218="","",'21 2026 ÜRETİM'!E218)</f>
        <v>0</v>
      </c>
      <c r="D218" s="82" t="str">
        <f>IF(A218="","",'21 2026 ÜRETİM'!F218)</f>
        <v/>
      </c>
      <c r="E218" s="81">
        <f>IF(A218="","",SUMIF('22 2026 PAKETLEME'!$B$2:$B$501,A218,'22 2026 PAKETLEME'!$E$2:$E$501))</f>
        <v>0</v>
      </c>
      <c r="F218" s="82">
        <f>IF(A218="","",SUMIF('22 2026 PAKETLEME'!$B$2:$B$501,A218,'22 2026 PAKETLEME'!$G$2:$G$501))</f>
        <v>0</v>
      </c>
      <c r="G218" s="81">
        <f>IF(A218="","",SUMIF('22 2026 PAKETLEME'!$B$2:$B$501,A218,'22 2026 PAKETLEME'!$H$2:$H$501))</f>
        <v>0</v>
      </c>
      <c r="H218" s="81" t="e">
        <f t="shared" si="15"/>
        <v>#VALUE!</v>
      </c>
      <c r="I218" s="82">
        <f>IF(A218="","",SUMIF('23 2026 SEVKİYAT'!$E$2:$E$501,A218,'23 2026 SEVKİYAT'!$H$2:$H$501))</f>
        <v>0</v>
      </c>
      <c r="J218" s="81">
        <f t="shared" si="16"/>
        <v>0</v>
      </c>
      <c r="K218" s="81" t="e">
        <f t="shared" si="17"/>
        <v>#VALUE!</v>
      </c>
      <c r="L218" s="58" t="e">
        <f t="shared" si="18"/>
        <v>#VALUE!</v>
      </c>
      <c r="M218" s="56" t="e">
        <f t="shared" si="19"/>
        <v>#VALUE!</v>
      </c>
    </row>
    <row r="219" spans="1:13" ht="15" customHeight="1" x14ac:dyDescent="0.2">
      <c r="A219" s="60">
        <f>'21 2026 ÜRETİM'!A219</f>
        <v>0</v>
      </c>
      <c r="B219" s="81" t="str">
        <f>IF(A219="","",'21 2026 ÜRETİM'!D219)</f>
        <v/>
      </c>
      <c r="C219" s="81">
        <f>IF(A219="","",'21 2026 ÜRETİM'!E219)</f>
        <v>0</v>
      </c>
      <c r="D219" s="82" t="str">
        <f>IF(A219="","",'21 2026 ÜRETİM'!F219)</f>
        <v/>
      </c>
      <c r="E219" s="81">
        <f>IF(A219="","",SUMIF('22 2026 PAKETLEME'!$B$2:$B$501,A219,'22 2026 PAKETLEME'!$E$2:$E$501))</f>
        <v>0</v>
      </c>
      <c r="F219" s="82">
        <f>IF(A219="","",SUMIF('22 2026 PAKETLEME'!$B$2:$B$501,A219,'22 2026 PAKETLEME'!$G$2:$G$501))</f>
        <v>0</v>
      </c>
      <c r="G219" s="81">
        <f>IF(A219="","",SUMIF('22 2026 PAKETLEME'!$B$2:$B$501,A219,'22 2026 PAKETLEME'!$H$2:$H$501))</f>
        <v>0</v>
      </c>
      <c r="H219" s="81" t="e">
        <f t="shared" si="15"/>
        <v>#VALUE!</v>
      </c>
      <c r="I219" s="82">
        <f>IF(A219="","",SUMIF('23 2026 SEVKİYAT'!$E$2:$E$501,A219,'23 2026 SEVKİYAT'!$H$2:$H$501))</f>
        <v>0</v>
      </c>
      <c r="J219" s="81">
        <f t="shared" si="16"/>
        <v>0</v>
      </c>
      <c r="K219" s="81" t="e">
        <f t="shared" si="17"/>
        <v>#VALUE!</v>
      </c>
      <c r="L219" s="58" t="e">
        <f t="shared" si="18"/>
        <v>#VALUE!</v>
      </c>
      <c r="M219" s="56" t="e">
        <f t="shared" si="19"/>
        <v>#VALUE!</v>
      </c>
    </row>
    <row r="220" spans="1:13" ht="15" customHeight="1" x14ac:dyDescent="0.2">
      <c r="A220" s="60">
        <f>'21 2026 ÜRETİM'!A220</f>
        <v>0</v>
      </c>
      <c r="B220" s="81" t="str">
        <f>IF(A220="","",'21 2026 ÜRETİM'!D220)</f>
        <v/>
      </c>
      <c r="C220" s="81">
        <f>IF(A220="","",'21 2026 ÜRETİM'!E220)</f>
        <v>0</v>
      </c>
      <c r="D220" s="82" t="str">
        <f>IF(A220="","",'21 2026 ÜRETİM'!F220)</f>
        <v/>
      </c>
      <c r="E220" s="81">
        <f>IF(A220="","",SUMIF('22 2026 PAKETLEME'!$B$2:$B$501,A220,'22 2026 PAKETLEME'!$E$2:$E$501))</f>
        <v>0</v>
      </c>
      <c r="F220" s="82">
        <f>IF(A220="","",SUMIF('22 2026 PAKETLEME'!$B$2:$B$501,A220,'22 2026 PAKETLEME'!$G$2:$G$501))</f>
        <v>0</v>
      </c>
      <c r="G220" s="81">
        <f>IF(A220="","",SUMIF('22 2026 PAKETLEME'!$B$2:$B$501,A220,'22 2026 PAKETLEME'!$H$2:$H$501))</f>
        <v>0</v>
      </c>
      <c r="H220" s="81" t="e">
        <f t="shared" si="15"/>
        <v>#VALUE!</v>
      </c>
      <c r="I220" s="82">
        <f>IF(A220="","",SUMIF('23 2026 SEVKİYAT'!$E$2:$E$501,A220,'23 2026 SEVKİYAT'!$H$2:$H$501))</f>
        <v>0</v>
      </c>
      <c r="J220" s="81">
        <f t="shared" si="16"/>
        <v>0</v>
      </c>
      <c r="K220" s="81" t="e">
        <f t="shared" si="17"/>
        <v>#VALUE!</v>
      </c>
      <c r="L220" s="58" t="e">
        <f t="shared" si="18"/>
        <v>#VALUE!</v>
      </c>
      <c r="M220" s="56" t="e">
        <f t="shared" si="19"/>
        <v>#VALUE!</v>
      </c>
    </row>
    <row r="221" spans="1:13" ht="15" customHeight="1" x14ac:dyDescent="0.2">
      <c r="A221" s="60">
        <f>'21 2026 ÜRETİM'!A221</f>
        <v>0</v>
      </c>
      <c r="B221" s="81" t="str">
        <f>IF(A221="","",'21 2026 ÜRETİM'!D221)</f>
        <v/>
      </c>
      <c r="C221" s="81">
        <f>IF(A221="","",'21 2026 ÜRETİM'!E221)</f>
        <v>0</v>
      </c>
      <c r="D221" s="82" t="str">
        <f>IF(A221="","",'21 2026 ÜRETİM'!F221)</f>
        <v/>
      </c>
      <c r="E221" s="81">
        <f>IF(A221="","",SUMIF('22 2026 PAKETLEME'!$B$2:$B$501,A221,'22 2026 PAKETLEME'!$E$2:$E$501))</f>
        <v>0</v>
      </c>
      <c r="F221" s="82">
        <f>IF(A221="","",SUMIF('22 2026 PAKETLEME'!$B$2:$B$501,A221,'22 2026 PAKETLEME'!$G$2:$G$501))</f>
        <v>0</v>
      </c>
      <c r="G221" s="81">
        <f>IF(A221="","",SUMIF('22 2026 PAKETLEME'!$B$2:$B$501,A221,'22 2026 PAKETLEME'!$H$2:$H$501))</f>
        <v>0</v>
      </c>
      <c r="H221" s="81" t="e">
        <f t="shared" si="15"/>
        <v>#VALUE!</v>
      </c>
      <c r="I221" s="82">
        <f>IF(A221="","",SUMIF('23 2026 SEVKİYAT'!$E$2:$E$501,A221,'23 2026 SEVKİYAT'!$H$2:$H$501))</f>
        <v>0</v>
      </c>
      <c r="J221" s="81">
        <f t="shared" si="16"/>
        <v>0</v>
      </c>
      <c r="K221" s="81" t="e">
        <f t="shared" si="17"/>
        <v>#VALUE!</v>
      </c>
      <c r="L221" s="58" t="e">
        <f t="shared" si="18"/>
        <v>#VALUE!</v>
      </c>
      <c r="M221" s="56" t="e">
        <f t="shared" si="19"/>
        <v>#VALUE!</v>
      </c>
    </row>
    <row r="222" spans="1:13" ht="15" customHeight="1" x14ac:dyDescent="0.2">
      <c r="A222" s="60">
        <f>'21 2026 ÜRETİM'!A222</f>
        <v>0</v>
      </c>
      <c r="B222" s="81" t="str">
        <f>IF(A222="","",'21 2026 ÜRETİM'!D222)</f>
        <v/>
      </c>
      <c r="C222" s="81">
        <f>IF(A222="","",'21 2026 ÜRETİM'!E222)</f>
        <v>0</v>
      </c>
      <c r="D222" s="82" t="str">
        <f>IF(A222="","",'21 2026 ÜRETİM'!F222)</f>
        <v/>
      </c>
      <c r="E222" s="81">
        <f>IF(A222="","",SUMIF('22 2026 PAKETLEME'!$B$2:$B$501,A222,'22 2026 PAKETLEME'!$E$2:$E$501))</f>
        <v>0</v>
      </c>
      <c r="F222" s="82">
        <f>IF(A222="","",SUMIF('22 2026 PAKETLEME'!$B$2:$B$501,A222,'22 2026 PAKETLEME'!$G$2:$G$501))</f>
        <v>0</v>
      </c>
      <c r="G222" s="81">
        <f>IF(A222="","",SUMIF('22 2026 PAKETLEME'!$B$2:$B$501,A222,'22 2026 PAKETLEME'!$H$2:$H$501))</f>
        <v>0</v>
      </c>
      <c r="H222" s="81" t="e">
        <f t="shared" si="15"/>
        <v>#VALUE!</v>
      </c>
      <c r="I222" s="82">
        <f>IF(A222="","",SUMIF('23 2026 SEVKİYAT'!$E$2:$E$501,A222,'23 2026 SEVKİYAT'!$H$2:$H$501))</f>
        <v>0</v>
      </c>
      <c r="J222" s="81">
        <f t="shared" si="16"/>
        <v>0</v>
      </c>
      <c r="K222" s="81" t="e">
        <f t="shared" si="17"/>
        <v>#VALUE!</v>
      </c>
      <c r="L222" s="58" t="e">
        <f t="shared" si="18"/>
        <v>#VALUE!</v>
      </c>
      <c r="M222" s="56" t="e">
        <f t="shared" si="19"/>
        <v>#VALUE!</v>
      </c>
    </row>
    <row r="223" spans="1:13" ht="15" customHeight="1" x14ac:dyDescent="0.2">
      <c r="A223" s="60">
        <f>'21 2026 ÜRETİM'!A223</f>
        <v>0</v>
      </c>
      <c r="B223" s="81" t="str">
        <f>IF(A223="","",'21 2026 ÜRETİM'!D223)</f>
        <v/>
      </c>
      <c r="C223" s="81">
        <f>IF(A223="","",'21 2026 ÜRETİM'!E223)</f>
        <v>0</v>
      </c>
      <c r="D223" s="82" t="str">
        <f>IF(A223="","",'21 2026 ÜRETİM'!F223)</f>
        <v/>
      </c>
      <c r="E223" s="81">
        <f>IF(A223="","",SUMIF('22 2026 PAKETLEME'!$B$2:$B$501,A223,'22 2026 PAKETLEME'!$E$2:$E$501))</f>
        <v>0</v>
      </c>
      <c r="F223" s="82">
        <f>IF(A223="","",SUMIF('22 2026 PAKETLEME'!$B$2:$B$501,A223,'22 2026 PAKETLEME'!$G$2:$G$501))</f>
        <v>0</v>
      </c>
      <c r="G223" s="81">
        <f>IF(A223="","",SUMIF('22 2026 PAKETLEME'!$B$2:$B$501,A223,'22 2026 PAKETLEME'!$H$2:$H$501))</f>
        <v>0</v>
      </c>
      <c r="H223" s="81" t="e">
        <f t="shared" si="15"/>
        <v>#VALUE!</v>
      </c>
      <c r="I223" s="82">
        <f>IF(A223="","",SUMIF('23 2026 SEVKİYAT'!$E$2:$E$501,A223,'23 2026 SEVKİYAT'!$H$2:$H$501))</f>
        <v>0</v>
      </c>
      <c r="J223" s="81">
        <f t="shared" si="16"/>
        <v>0</v>
      </c>
      <c r="K223" s="81" t="e">
        <f t="shared" si="17"/>
        <v>#VALUE!</v>
      </c>
      <c r="L223" s="58" t="e">
        <f t="shared" si="18"/>
        <v>#VALUE!</v>
      </c>
      <c r="M223" s="56" t="e">
        <f t="shared" si="19"/>
        <v>#VALUE!</v>
      </c>
    </row>
    <row r="224" spans="1:13" ht="15" customHeight="1" x14ac:dyDescent="0.2">
      <c r="A224" s="60">
        <f>'21 2026 ÜRETİM'!A224</f>
        <v>0</v>
      </c>
      <c r="B224" s="81" t="str">
        <f>IF(A224="","",'21 2026 ÜRETİM'!D224)</f>
        <v/>
      </c>
      <c r="C224" s="81">
        <f>IF(A224="","",'21 2026 ÜRETİM'!E224)</f>
        <v>0</v>
      </c>
      <c r="D224" s="82" t="str">
        <f>IF(A224="","",'21 2026 ÜRETİM'!F224)</f>
        <v/>
      </c>
      <c r="E224" s="81">
        <f>IF(A224="","",SUMIF('22 2026 PAKETLEME'!$B$2:$B$501,A224,'22 2026 PAKETLEME'!$E$2:$E$501))</f>
        <v>0</v>
      </c>
      <c r="F224" s="82">
        <f>IF(A224="","",SUMIF('22 2026 PAKETLEME'!$B$2:$B$501,A224,'22 2026 PAKETLEME'!$G$2:$G$501))</f>
        <v>0</v>
      </c>
      <c r="G224" s="81">
        <f>IF(A224="","",SUMIF('22 2026 PAKETLEME'!$B$2:$B$501,A224,'22 2026 PAKETLEME'!$H$2:$H$501))</f>
        <v>0</v>
      </c>
      <c r="H224" s="81" t="e">
        <f t="shared" si="15"/>
        <v>#VALUE!</v>
      </c>
      <c r="I224" s="82">
        <f>IF(A224="","",SUMIF('23 2026 SEVKİYAT'!$E$2:$E$501,A224,'23 2026 SEVKİYAT'!$H$2:$H$501))</f>
        <v>0</v>
      </c>
      <c r="J224" s="81">
        <f t="shared" si="16"/>
        <v>0</v>
      </c>
      <c r="K224" s="81" t="e">
        <f t="shared" si="17"/>
        <v>#VALUE!</v>
      </c>
      <c r="L224" s="58" t="e">
        <f t="shared" si="18"/>
        <v>#VALUE!</v>
      </c>
      <c r="M224" s="56" t="e">
        <f t="shared" si="19"/>
        <v>#VALUE!</v>
      </c>
    </row>
    <row r="225" spans="1:13" ht="15" customHeight="1" x14ac:dyDescent="0.2">
      <c r="A225" s="60">
        <f>'21 2026 ÜRETİM'!A225</f>
        <v>0</v>
      </c>
      <c r="B225" s="81" t="str">
        <f>IF(A225="","",'21 2026 ÜRETİM'!D225)</f>
        <v/>
      </c>
      <c r="C225" s="81">
        <f>IF(A225="","",'21 2026 ÜRETİM'!E225)</f>
        <v>0</v>
      </c>
      <c r="D225" s="82" t="str">
        <f>IF(A225="","",'21 2026 ÜRETİM'!F225)</f>
        <v/>
      </c>
      <c r="E225" s="81">
        <f>IF(A225="","",SUMIF('22 2026 PAKETLEME'!$B$2:$B$501,A225,'22 2026 PAKETLEME'!$E$2:$E$501))</f>
        <v>0</v>
      </c>
      <c r="F225" s="82">
        <f>IF(A225="","",SUMIF('22 2026 PAKETLEME'!$B$2:$B$501,A225,'22 2026 PAKETLEME'!$G$2:$G$501))</f>
        <v>0</v>
      </c>
      <c r="G225" s="81">
        <f>IF(A225="","",SUMIF('22 2026 PAKETLEME'!$B$2:$B$501,A225,'22 2026 PAKETLEME'!$H$2:$H$501))</f>
        <v>0</v>
      </c>
      <c r="H225" s="81" t="e">
        <f t="shared" si="15"/>
        <v>#VALUE!</v>
      </c>
      <c r="I225" s="82">
        <f>IF(A225="","",SUMIF('23 2026 SEVKİYAT'!$E$2:$E$501,A225,'23 2026 SEVKİYAT'!$H$2:$H$501))</f>
        <v>0</v>
      </c>
      <c r="J225" s="81">
        <f t="shared" si="16"/>
        <v>0</v>
      </c>
      <c r="K225" s="81" t="e">
        <f t="shared" si="17"/>
        <v>#VALUE!</v>
      </c>
      <c r="L225" s="58" t="e">
        <f t="shared" si="18"/>
        <v>#VALUE!</v>
      </c>
      <c r="M225" s="56" t="e">
        <f t="shared" si="19"/>
        <v>#VALUE!</v>
      </c>
    </row>
    <row r="226" spans="1:13" ht="15" customHeight="1" x14ac:dyDescent="0.2">
      <c r="A226" s="60">
        <f>'21 2026 ÜRETİM'!A226</f>
        <v>0</v>
      </c>
      <c r="B226" s="81" t="str">
        <f>IF(A226="","",'21 2026 ÜRETİM'!D226)</f>
        <v/>
      </c>
      <c r="C226" s="81">
        <f>IF(A226="","",'21 2026 ÜRETİM'!E226)</f>
        <v>0</v>
      </c>
      <c r="D226" s="82" t="str">
        <f>IF(A226="","",'21 2026 ÜRETİM'!F226)</f>
        <v/>
      </c>
      <c r="E226" s="81">
        <f>IF(A226="","",SUMIF('22 2026 PAKETLEME'!$B$2:$B$501,A226,'22 2026 PAKETLEME'!$E$2:$E$501))</f>
        <v>0</v>
      </c>
      <c r="F226" s="82">
        <f>IF(A226="","",SUMIF('22 2026 PAKETLEME'!$B$2:$B$501,A226,'22 2026 PAKETLEME'!$G$2:$G$501))</f>
        <v>0</v>
      </c>
      <c r="G226" s="81">
        <f>IF(A226="","",SUMIF('22 2026 PAKETLEME'!$B$2:$B$501,A226,'22 2026 PAKETLEME'!$H$2:$H$501))</f>
        <v>0</v>
      </c>
      <c r="H226" s="81" t="e">
        <f t="shared" si="15"/>
        <v>#VALUE!</v>
      </c>
      <c r="I226" s="82">
        <f>IF(A226="","",SUMIF('23 2026 SEVKİYAT'!$E$2:$E$501,A226,'23 2026 SEVKİYAT'!$H$2:$H$501))</f>
        <v>0</v>
      </c>
      <c r="J226" s="81">
        <f t="shared" si="16"/>
        <v>0</v>
      </c>
      <c r="K226" s="81" t="e">
        <f t="shared" si="17"/>
        <v>#VALUE!</v>
      </c>
      <c r="L226" s="58" t="e">
        <f t="shared" si="18"/>
        <v>#VALUE!</v>
      </c>
      <c r="M226" s="56" t="e">
        <f t="shared" si="19"/>
        <v>#VALUE!</v>
      </c>
    </row>
    <row r="227" spans="1:13" ht="15" customHeight="1" x14ac:dyDescent="0.2">
      <c r="A227" s="60">
        <f>'21 2026 ÜRETİM'!A227</f>
        <v>0</v>
      </c>
      <c r="B227" s="81" t="str">
        <f>IF(A227="","",'21 2026 ÜRETİM'!D227)</f>
        <v/>
      </c>
      <c r="C227" s="81">
        <f>IF(A227="","",'21 2026 ÜRETİM'!E227)</f>
        <v>0</v>
      </c>
      <c r="D227" s="82" t="str">
        <f>IF(A227="","",'21 2026 ÜRETİM'!F227)</f>
        <v/>
      </c>
      <c r="E227" s="81">
        <f>IF(A227="","",SUMIF('22 2026 PAKETLEME'!$B$2:$B$501,A227,'22 2026 PAKETLEME'!$E$2:$E$501))</f>
        <v>0</v>
      </c>
      <c r="F227" s="82">
        <f>IF(A227="","",SUMIF('22 2026 PAKETLEME'!$B$2:$B$501,A227,'22 2026 PAKETLEME'!$G$2:$G$501))</f>
        <v>0</v>
      </c>
      <c r="G227" s="81">
        <f>IF(A227="","",SUMIF('22 2026 PAKETLEME'!$B$2:$B$501,A227,'22 2026 PAKETLEME'!$H$2:$H$501))</f>
        <v>0</v>
      </c>
      <c r="H227" s="81" t="e">
        <f t="shared" si="15"/>
        <v>#VALUE!</v>
      </c>
      <c r="I227" s="82">
        <f>IF(A227="","",SUMIF('23 2026 SEVKİYAT'!$E$2:$E$501,A227,'23 2026 SEVKİYAT'!$H$2:$H$501))</f>
        <v>0</v>
      </c>
      <c r="J227" s="81">
        <f t="shared" si="16"/>
        <v>0</v>
      </c>
      <c r="K227" s="81" t="e">
        <f t="shared" si="17"/>
        <v>#VALUE!</v>
      </c>
      <c r="L227" s="58" t="e">
        <f t="shared" si="18"/>
        <v>#VALUE!</v>
      </c>
      <c r="M227" s="56" t="e">
        <f t="shared" si="19"/>
        <v>#VALUE!</v>
      </c>
    </row>
    <row r="228" spans="1:13" ht="15" customHeight="1" x14ac:dyDescent="0.2">
      <c r="A228" s="60">
        <f>'21 2026 ÜRETİM'!A228</f>
        <v>0</v>
      </c>
      <c r="B228" s="81" t="str">
        <f>IF(A228="","",'21 2026 ÜRETİM'!D228)</f>
        <v/>
      </c>
      <c r="C228" s="81">
        <f>IF(A228="","",'21 2026 ÜRETİM'!E228)</f>
        <v>0</v>
      </c>
      <c r="D228" s="82" t="str">
        <f>IF(A228="","",'21 2026 ÜRETİM'!F228)</f>
        <v/>
      </c>
      <c r="E228" s="81">
        <f>IF(A228="","",SUMIF('22 2026 PAKETLEME'!$B$2:$B$501,A228,'22 2026 PAKETLEME'!$E$2:$E$501))</f>
        <v>0</v>
      </c>
      <c r="F228" s="82">
        <f>IF(A228="","",SUMIF('22 2026 PAKETLEME'!$B$2:$B$501,A228,'22 2026 PAKETLEME'!$G$2:$G$501))</f>
        <v>0</v>
      </c>
      <c r="G228" s="81">
        <f>IF(A228="","",SUMIF('22 2026 PAKETLEME'!$B$2:$B$501,A228,'22 2026 PAKETLEME'!$H$2:$H$501))</f>
        <v>0</v>
      </c>
      <c r="H228" s="81" t="e">
        <f t="shared" si="15"/>
        <v>#VALUE!</v>
      </c>
      <c r="I228" s="82">
        <f>IF(A228="","",SUMIF('23 2026 SEVKİYAT'!$E$2:$E$501,A228,'23 2026 SEVKİYAT'!$H$2:$H$501))</f>
        <v>0</v>
      </c>
      <c r="J228" s="81">
        <f t="shared" si="16"/>
        <v>0</v>
      </c>
      <c r="K228" s="81" t="e">
        <f t="shared" si="17"/>
        <v>#VALUE!</v>
      </c>
      <c r="L228" s="58" t="e">
        <f t="shared" si="18"/>
        <v>#VALUE!</v>
      </c>
      <c r="M228" s="56" t="e">
        <f t="shared" si="19"/>
        <v>#VALUE!</v>
      </c>
    </row>
    <row r="229" spans="1:13" ht="15" customHeight="1" x14ac:dyDescent="0.2">
      <c r="A229" s="60">
        <f>'21 2026 ÜRETİM'!A229</f>
        <v>0</v>
      </c>
      <c r="B229" s="81" t="str">
        <f>IF(A229="","",'21 2026 ÜRETİM'!D229)</f>
        <v/>
      </c>
      <c r="C229" s="81">
        <f>IF(A229="","",'21 2026 ÜRETİM'!E229)</f>
        <v>0</v>
      </c>
      <c r="D229" s="82" t="str">
        <f>IF(A229="","",'21 2026 ÜRETİM'!F229)</f>
        <v/>
      </c>
      <c r="E229" s="81">
        <f>IF(A229="","",SUMIF('22 2026 PAKETLEME'!$B$2:$B$501,A229,'22 2026 PAKETLEME'!$E$2:$E$501))</f>
        <v>0</v>
      </c>
      <c r="F229" s="82">
        <f>IF(A229="","",SUMIF('22 2026 PAKETLEME'!$B$2:$B$501,A229,'22 2026 PAKETLEME'!$G$2:$G$501))</f>
        <v>0</v>
      </c>
      <c r="G229" s="81">
        <f>IF(A229="","",SUMIF('22 2026 PAKETLEME'!$B$2:$B$501,A229,'22 2026 PAKETLEME'!$H$2:$H$501))</f>
        <v>0</v>
      </c>
      <c r="H229" s="81" t="e">
        <f t="shared" si="15"/>
        <v>#VALUE!</v>
      </c>
      <c r="I229" s="82">
        <f>IF(A229="","",SUMIF('23 2026 SEVKİYAT'!$E$2:$E$501,A229,'23 2026 SEVKİYAT'!$H$2:$H$501))</f>
        <v>0</v>
      </c>
      <c r="J229" s="81">
        <f t="shared" si="16"/>
        <v>0</v>
      </c>
      <c r="K229" s="81" t="e">
        <f t="shared" si="17"/>
        <v>#VALUE!</v>
      </c>
      <c r="L229" s="58" t="e">
        <f t="shared" si="18"/>
        <v>#VALUE!</v>
      </c>
      <c r="M229" s="56" t="e">
        <f t="shared" si="19"/>
        <v>#VALUE!</v>
      </c>
    </row>
    <row r="230" spans="1:13" ht="15" customHeight="1" x14ac:dyDescent="0.2">
      <c r="A230" s="60">
        <f>'21 2026 ÜRETİM'!A230</f>
        <v>0</v>
      </c>
      <c r="B230" s="81" t="str">
        <f>IF(A230="","",'21 2026 ÜRETİM'!D230)</f>
        <v/>
      </c>
      <c r="C230" s="81">
        <f>IF(A230="","",'21 2026 ÜRETİM'!E230)</f>
        <v>0</v>
      </c>
      <c r="D230" s="82" t="str">
        <f>IF(A230="","",'21 2026 ÜRETİM'!F230)</f>
        <v/>
      </c>
      <c r="E230" s="81">
        <f>IF(A230="","",SUMIF('22 2026 PAKETLEME'!$B$2:$B$501,A230,'22 2026 PAKETLEME'!$E$2:$E$501))</f>
        <v>0</v>
      </c>
      <c r="F230" s="82">
        <f>IF(A230="","",SUMIF('22 2026 PAKETLEME'!$B$2:$B$501,A230,'22 2026 PAKETLEME'!$G$2:$G$501))</f>
        <v>0</v>
      </c>
      <c r="G230" s="81">
        <f>IF(A230="","",SUMIF('22 2026 PAKETLEME'!$B$2:$B$501,A230,'22 2026 PAKETLEME'!$H$2:$H$501))</f>
        <v>0</v>
      </c>
      <c r="H230" s="81" t="e">
        <f t="shared" si="15"/>
        <v>#VALUE!</v>
      </c>
      <c r="I230" s="82">
        <f>IF(A230="","",SUMIF('23 2026 SEVKİYAT'!$E$2:$E$501,A230,'23 2026 SEVKİYAT'!$H$2:$H$501))</f>
        <v>0</v>
      </c>
      <c r="J230" s="81">
        <f t="shared" si="16"/>
        <v>0</v>
      </c>
      <c r="K230" s="81" t="e">
        <f t="shared" si="17"/>
        <v>#VALUE!</v>
      </c>
      <c r="L230" s="58" t="e">
        <f t="shared" si="18"/>
        <v>#VALUE!</v>
      </c>
      <c r="M230" s="56" t="e">
        <f t="shared" si="19"/>
        <v>#VALUE!</v>
      </c>
    </row>
    <row r="231" spans="1:13" ht="15" customHeight="1" x14ac:dyDescent="0.2">
      <c r="A231" s="60">
        <f>'21 2026 ÜRETİM'!A231</f>
        <v>0</v>
      </c>
      <c r="B231" s="81" t="str">
        <f>IF(A231="","",'21 2026 ÜRETİM'!D231)</f>
        <v/>
      </c>
      <c r="C231" s="81">
        <f>IF(A231="","",'21 2026 ÜRETİM'!E231)</f>
        <v>0</v>
      </c>
      <c r="D231" s="82" t="str">
        <f>IF(A231="","",'21 2026 ÜRETİM'!F231)</f>
        <v/>
      </c>
      <c r="E231" s="81">
        <f>IF(A231="","",SUMIF('22 2026 PAKETLEME'!$B$2:$B$501,A231,'22 2026 PAKETLEME'!$E$2:$E$501))</f>
        <v>0</v>
      </c>
      <c r="F231" s="82">
        <f>IF(A231="","",SUMIF('22 2026 PAKETLEME'!$B$2:$B$501,A231,'22 2026 PAKETLEME'!$G$2:$G$501))</f>
        <v>0</v>
      </c>
      <c r="G231" s="81">
        <f>IF(A231="","",SUMIF('22 2026 PAKETLEME'!$B$2:$B$501,A231,'22 2026 PAKETLEME'!$H$2:$H$501))</f>
        <v>0</v>
      </c>
      <c r="H231" s="81" t="e">
        <f t="shared" si="15"/>
        <v>#VALUE!</v>
      </c>
      <c r="I231" s="82">
        <f>IF(A231="","",SUMIF('23 2026 SEVKİYAT'!$E$2:$E$501,A231,'23 2026 SEVKİYAT'!$H$2:$H$501))</f>
        <v>0</v>
      </c>
      <c r="J231" s="81">
        <f t="shared" si="16"/>
        <v>0</v>
      </c>
      <c r="K231" s="81" t="e">
        <f t="shared" si="17"/>
        <v>#VALUE!</v>
      </c>
      <c r="L231" s="58" t="e">
        <f t="shared" si="18"/>
        <v>#VALUE!</v>
      </c>
      <c r="M231" s="56" t="e">
        <f t="shared" si="19"/>
        <v>#VALUE!</v>
      </c>
    </row>
    <row r="232" spans="1:13" ht="15" customHeight="1" x14ac:dyDescent="0.2">
      <c r="A232" s="60">
        <f>'21 2026 ÜRETİM'!A232</f>
        <v>0</v>
      </c>
      <c r="B232" s="81" t="str">
        <f>IF(A232="","",'21 2026 ÜRETİM'!D232)</f>
        <v/>
      </c>
      <c r="C232" s="81">
        <f>IF(A232="","",'21 2026 ÜRETİM'!E232)</f>
        <v>0</v>
      </c>
      <c r="D232" s="82" t="str">
        <f>IF(A232="","",'21 2026 ÜRETİM'!F232)</f>
        <v/>
      </c>
      <c r="E232" s="81">
        <f>IF(A232="","",SUMIF('22 2026 PAKETLEME'!$B$2:$B$501,A232,'22 2026 PAKETLEME'!$E$2:$E$501))</f>
        <v>0</v>
      </c>
      <c r="F232" s="82">
        <f>IF(A232="","",SUMIF('22 2026 PAKETLEME'!$B$2:$B$501,A232,'22 2026 PAKETLEME'!$G$2:$G$501))</f>
        <v>0</v>
      </c>
      <c r="G232" s="81">
        <f>IF(A232="","",SUMIF('22 2026 PAKETLEME'!$B$2:$B$501,A232,'22 2026 PAKETLEME'!$H$2:$H$501))</f>
        <v>0</v>
      </c>
      <c r="H232" s="81" t="e">
        <f t="shared" si="15"/>
        <v>#VALUE!</v>
      </c>
      <c r="I232" s="82">
        <f>IF(A232="","",SUMIF('23 2026 SEVKİYAT'!$E$2:$E$501,A232,'23 2026 SEVKİYAT'!$H$2:$H$501))</f>
        <v>0</v>
      </c>
      <c r="J232" s="81">
        <f t="shared" si="16"/>
        <v>0</v>
      </c>
      <c r="K232" s="81" t="e">
        <f t="shared" si="17"/>
        <v>#VALUE!</v>
      </c>
      <c r="L232" s="58" t="e">
        <f t="shared" si="18"/>
        <v>#VALUE!</v>
      </c>
      <c r="M232" s="56" t="e">
        <f t="shared" si="19"/>
        <v>#VALUE!</v>
      </c>
    </row>
    <row r="233" spans="1:13" ht="15" customHeight="1" x14ac:dyDescent="0.2">
      <c r="A233" s="60">
        <f>'21 2026 ÜRETİM'!A233</f>
        <v>0</v>
      </c>
      <c r="B233" s="81" t="str">
        <f>IF(A233="","",'21 2026 ÜRETİM'!D233)</f>
        <v/>
      </c>
      <c r="C233" s="81">
        <f>IF(A233="","",'21 2026 ÜRETİM'!E233)</f>
        <v>0</v>
      </c>
      <c r="D233" s="82" t="str">
        <f>IF(A233="","",'21 2026 ÜRETİM'!F233)</f>
        <v/>
      </c>
      <c r="E233" s="81">
        <f>IF(A233="","",SUMIF('22 2026 PAKETLEME'!$B$2:$B$501,A233,'22 2026 PAKETLEME'!$E$2:$E$501))</f>
        <v>0</v>
      </c>
      <c r="F233" s="82">
        <f>IF(A233="","",SUMIF('22 2026 PAKETLEME'!$B$2:$B$501,A233,'22 2026 PAKETLEME'!$G$2:$G$501))</f>
        <v>0</v>
      </c>
      <c r="G233" s="81">
        <f>IF(A233="","",SUMIF('22 2026 PAKETLEME'!$B$2:$B$501,A233,'22 2026 PAKETLEME'!$H$2:$H$501))</f>
        <v>0</v>
      </c>
      <c r="H233" s="81" t="e">
        <f t="shared" si="15"/>
        <v>#VALUE!</v>
      </c>
      <c r="I233" s="82">
        <f>IF(A233="","",SUMIF('23 2026 SEVKİYAT'!$E$2:$E$501,A233,'23 2026 SEVKİYAT'!$H$2:$H$501))</f>
        <v>0</v>
      </c>
      <c r="J233" s="81">
        <f t="shared" si="16"/>
        <v>0</v>
      </c>
      <c r="K233" s="81" t="e">
        <f t="shared" si="17"/>
        <v>#VALUE!</v>
      </c>
      <c r="L233" s="58" t="e">
        <f t="shared" si="18"/>
        <v>#VALUE!</v>
      </c>
      <c r="M233" s="56" t="e">
        <f t="shared" si="19"/>
        <v>#VALUE!</v>
      </c>
    </row>
    <row r="234" spans="1:13" ht="15" customHeight="1" x14ac:dyDescent="0.2">
      <c r="A234" s="60">
        <f>'21 2026 ÜRETİM'!A234</f>
        <v>0</v>
      </c>
      <c r="B234" s="81" t="str">
        <f>IF(A234="","",'21 2026 ÜRETİM'!D234)</f>
        <v/>
      </c>
      <c r="C234" s="81">
        <f>IF(A234="","",'21 2026 ÜRETİM'!E234)</f>
        <v>0</v>
      </c>
      <c r="D234" s="82" t="str">
        <f>IF(A234="","",'21 2026 ÜRETİM'!F234)</f>
        <v/>
      </c>
      <c r="E234" s="81">
        <f>IF(A234="","",SUMIF('22 2026 PAKETLEME'!$B$2:$B$501,A234,'22 2026 PAKETLEME'!$E$2:$E$501))</f>
        <v>0</v>
      </c>
      <c r="F234" s="82">
        <f>IF(A234="","",SUMIF('22 2026 PAKETLEME'!$B$2:$B$501,A234,'22 2026 PAKETLEME'!$G$2:$G$501))</f>
        <v>0</v>
      </c>
      <c r="G234" s="81">
        <f>IF(A234="","",SUMIF('22 2026 PAKETLEME'!$B$2:$B$501,A234,'22 2026 PAKETLEME'!$H$2:$H$501))</f>
        <v>0</v>
      </c>
      <c r="H234" s="81" t="e">
        <f t="shared" si="15"/>
        <v>#VALUE!</v>
      </c>
      <c r="I234" s="82">
        <f>IF(A234="","",SUMIF('23 2026 SEVKİYAT'!$E$2:$E$501,A234,'23 2026 SEVKİYAT'!$H$2:$H$501))</f>
        <v>0</v>
      </c>
      <c r="J234" s="81">
        <f t="shared" si="16"/>
        <v>0</v>
      </c>
      <c r="K234" s="81" t="e">
        <f t="shared" si="17"/>
        <v>#VALUE!</v>
      </c>
      <c r="L234" s="58" t="e">
        <f t="shared" si="18"/>
        <v>#VALUE!</v>
      </c>
      <c r="M234" s="56" t="e">
        <f t="shared" si="19"/>
        <v>#VALUE!</v>
      </c>
    </row>
    <row r="235" spans="1:13" ht="15" customHeight="1" x14ac:dyDescent="0.2">
      <c r="A235" s="60">
        <f>'21 2026 ÜRETİM'!A235</f>
        <v>0</v>
      </c>
      <c r="B235" s="81" t="str">
        <f>IF(A235="","",'21 2026 ÜRETİM'!D235)</f>
        <v/>
      </c>
      <c r="C235" s="81">
        <f>IF(A235="","",'21 2026 ÜRETİM'!E235)</f>
        <v>0</v>
      </c>
      <c r="D235" s="82" t="str">
        <f>IF(A235="","",'21 2026 ÜRETİM'!F235)</f>
        <v/>
      </c>
      <c r="E235" s="81">
        <f>IF(A235="","",SUMIF('22 2026 PAKETLEME'!$B$2:$B$501,A235,'22 2026 PAKETLEME'!$E$2:$E$501))</f>
        <v>0</v>
      </c>
      <c r="F235" s="82">
        <f>IF(A235="","",SUMIF('22 2026 PAKETLEME'!$B$2:$B$501,A235,'22 2026 PAKETLEME'!$G$2:$G$501))</f>
        <v>0</v>
      </c>
      <c r="G235" s="81">
        <f>IF(A235="","",SUMIF('22 2026 PAKETLEME'!$B$2:$B$501,A235,'22 2026 PAKETLEME'!$H$2:$H$501))</f>
        <v>0</v>
      </c>
      <c r="H235" s="81" t="e">
        <f t="shared" si="15"/>
        <v>#VALUE!</v>
      </c>
      <c r="I235" s="82">
        <f>IF(A235="","",SUMIF('23 2026 SEVKİYAT'!$E$2:$E$501,A235,'23 2026 SEVKİYAT'!$H$2:$H$501))</f>
        <v>0</v>
      </c>
      <c r="J235" s="81">
        <f t="shared" si="16"/>
        <v>0</v>
      </c>
      <c r="K235" s="81" t="e">
        <f t="shared" si="17"/>
        <v>#VALUE!</v>
      </c>
      <c r="L235" s="58" t="e">
        <f t="shared" si="18"/>
        <v>#VALUE!</v>
      </c>
      <c r="M235" s="56" t="e">
        <f t="shared" si="19"/>
        <v>#VALUE!</v>
      </c>
    </row>
    <row r="236" spans="1:13" ht="15" customHeight="1" x14ac:dyDescent="0.2">
      <c r="A236" s="60">
        <f>'21 2026 ÜRETİM'!A236</f>
        <v>0</v>
      </c>
      <c r="B236" s="81" t="str">
        <f>IF(A236="","",'21 2026 ÜRETİM'!D236)</f>
        <v/>
      </c>
      <c r="C236" s="81">
        <f>IF(A236="","",'21 2026 ÜRETİM'!E236)</f>
        <v>0</v>
      </c>
      <c r="D236" s="82" t="str">
        <f>IF(A236="","",'21 2026 ÜRETİM'!F236)</f>
        <v/>
      </c>
      <c r="E236" s="81">
        <f>IF(A236="","",SUMIF('22 2026 PAKETLEME'!$B$2:$B$501,A236,'22 2026 PAKETLEME'!$E$2:$E$501))</f>
        <v>0</v>
      </c>
      <c r="F236" s="82">
        <f>IF(A236="","",SUMIF('22 2026 PAKETLEME'!$B$2:$B$501,A236,'22 2026 PAKETLEME'!$G$2:$G$501))</f>
        <v>0</v>
      </c>
      <c r="G236" s="81">
        <f>IF(A236="","",SUMIF('22 2026 PAKETLEME'!$B$2:$B$501,A236,'22 2026 PAKETLEME'!$H$2:$H$501))</f>
        <v>0</v>
      </c>
      <c r="H236" s="81" t="e">
        <f t="shared" si="15"/>
        <v>#VALUE!</v>
      </c>
      <c r="I236" s="82">
        <f>IF(A236="","",SUMIF('23 2026 SEVKİYAT'!$E$2:$E$501,A236,'23 2026 SEVKİYAT'!$H$2:$H$501))</f>
        <v>0</v>
      </c>
      <c r="J236" s="81">
        <f t="shared" si="16"/>
        <v>0</v>
      </c>
      <c r="K236" s="81" t="e">
        <f t="shared" si="17"/>
        <v>#VALUE!</v>
      </c>
      <c r="L236" s="58" t="e">
        <f t="shared" si="18"/>
        <v>#VALUE!</v>
      </c>
      <c r="M236" s="56" t="e">
        <f t="shared" si="19"/>
        <v>#VALUE!</v>
      </c>
    </row>
    <row r="237" spans="1:13" ht="15" customHeight="1" x14ac:dyDescent="0.2">
      <c r="A237" s="60">
        <f>'21 2026 ÜRETİM'!A237</f>
        <v>0</v>
      </c>
      <c r="B237" s="81" t="str">
        <f>IF(A237="","",'21 2026 ÜRETİM'!D237)</f>
        <v/>
      </c>
      <c r="C237" s="81">
        <f>IF(A237="","",'21 2026 ÜRETİM'!E237)</f>
        <v>0</v>
      </c>
      <c r="D237" s="82" t="str">
        <f>IF(A237="","",'21 2026 ÜRETİM'!F237)</f>
        <v/>
      </c>
      <c r="E237" s="81">
        <f>IF(A237="","",SUMIF('22 2026 PAKETLEME'!$B$2:$B$501,A237,'22 2026 PAKETLEME'!$E$2:$E$501))</f>
        <v>0</v>
      </c>
      <c r="F237" s="82">
        <f>IF(A237="","",SUMIF('22 2026 PAKETLEME'!$B$2:$B$501,A237,'22 2026 PAKETLEME'!$G$2:$G$501))</f>
        <v>0</v>
      </c>
      <c r="G237" s="81">
        <f>IF(A237="","",SUMIF('22 2026 PAKETLEME'!$B$2:$B$501,A237,'22 2026 PAKETLEME'!$H$2:$H$501))</f>
        <v>0</v>
      </c>
      <c r="H237" s="81" t="e">
        <f t="shared" si="15"/>
        <v>#VALUE!</v>
      </c>
      <c r="I237" s="82">
        <f>IF(A237="","",SUMIF('23 2026 SEVKİYAT'!$E$2:$E$501,A237,'23 2026 SEVKİYAT'!$H$2:$H$501))</f>
        <v>0</v>
      </c>
      <c r="J237" s="81">
        <f t="shared" si="16"/>
        <v>0</v>
      </c>
      <c r="K237" s="81" t="e">
        <f t="shared" si="17"/>
        <v>#VALUE!</v>
      </c>
      <c r="L237" s="58" t="e">
        <f t="shared" si="18"/>
        <v>#VALUE!</v>
      </c>
      <c r="M237" s="56" t="e">
        <f t="shared" si="19"/>
        <v>#VALUE!</v>
      </c>
    </row>
    <row r="238" spans="1:13" ht="15" customHeight="1" x14ac:dyDescent="0.2">
      <c r="A238" s="60">
        <f>'21 2026 ÜRETİM'!A238</f>
        <v>0</v>
      </c>
      <c r="B238" s="81" t="str">
        <f>IF(A238="","",'21 2026 ÜRETİM'!D238)</f>
        <v/>
      </c>
      <c r="C238" s="81">
        <f>IF(A238="","",'21 2026 ÜRETİM'!E238)</f>
        <v>0</v>
      </c>
      <c r="D238" s="82" t="str">
        <f>IF(A238="","",'21 2026 ÜRETİM'!F238)</f>
        <v/>
      </c>
      <c r="E238" s="81">
        <f>IF(A238="","",SUMIF('22 2026 PAKETLEME'!$B$2:$B$501,A238,'22 2026 PAKETLEME'!$E$2:$E$501))</f>
        <v>0</v>
      </c>
      <c r="F238" s="82">
        <f>IF(A238="","",SUMIF('22 2026 PAKETLEME'!$B$2:$B$501,A238,'22 2026 PAKETLEME'!$G$2:$G$501))</f>
        <v>0</v>
      </c>
      <c r="G238" s="81">
        <f>IF(A238="","",SUMIF('22 2026 PAKETLEME'!$B$2:$B$501,A238,'22 2026 PAKETLEME'!$H$2:$H$501))</f>
        <v>0</v>
      </c>
      <c r="H238" s="81" t="e">
        <f t="shared" si="15"/>
        <v>#VALUE!</v>
      </c>
      <c r="I238" s="82">
        <f>IF(A238="","",SUMIF('23 2026 SEVKİYAT'!$E$2:$E$501,A238,'23 2026 SEVKİYAT'!$H$2:$H$501))</f>
        <v>0</v>
      </c>
      <c r="J238" s="81">
        <f t="shared" si="16"/>
        <v>0</v>
      </c>
      <c r="K238" s="81" t="e">
        <f t="shared" si="17"/>
        <v>#VALUE!</v>
      </c>
      <c r="L238" s="58" t="e">
        <f t="shared" si="18"/>
        <v>#VALUE!</v>
      </c>
      <c r="M238" s="56" t="e">
        <f t="shared" si="19"/>
        <v>#VALUE!</v>
      </c>
    </row>
    <row r="239" spans="1:13" ht="15" customHeight="1" x14ac:dyDescent="0.2">
      <c r="A239" s="60">
        <f>'21 2026 ÜRETİM'!A239</f>
        <v>0</v>
      </c>
      <c r="B239" s="81" t="str">
        <f>IF(A239="","",'21 2026 ÜRETİM'!D239)</f>
        <v/>
      </c>
      <c r="C239" s="81">
        <f>IF(A239="","",'21 2026 ÜRETİM'!E239)</f>
        <v>0</v>
      </c>
      <c r="D239" s="82" t="str">
        <f>IF(A239="","",'21 2026 ÜRETİM'!F239)</f>
        <v/>
      </c>
      <c r="E239" s="81">
        <f>IF(A239="","",SUMIF('22 2026 PAKETLEME'!$B$2:$B$501,A239,'22 2026 PAKETLEME'!$E$2:$E$501))</f>
        <v>0</v>
      </c>
      <c r="F239" s="82">
        <f>IF(A239="","",SUMIF('22 2026 PAKETLEME'!$B$2:$B$501,A239,'22 2026 PAKETLEME'!$G$2:$G$501))</f>
        <v>0</v>
      </c>
      <c r="G239" s="81">
        <f>IF(A239="","",SUMIF('22 2026 PAKETLEME'!$B$2:$B$501,A239,'22 2026 PAKETLEME'!$H$2:$H$501))</f>
        <v>0</v>
      </c>
      <c r="H239" s="81" t="e">
        <f t="shared" si="15"/>
        <v>#VALUE!</v>
      </c>
      <c r="I239" s="82">
        <f>IF(A239="","",SUMIF('23 2026 SEVKİYAT'!$E$2:$E$501,A239,'23 2026 SEVKİYAT'!$H$2:$H$501))</f>
        <v>0</v>
      </c>
      <c r="J239" s="81">
        <f t="shared" si="16"/>
        <v>0</v>
      </c>
      <c r="K239" s="81" t="e">
        <f t="shared" si="17"/>
        <v>#VALUE!</v>
      </c>
      <c r="L239" s="58" t="e">
        <f t="shared" si="18"/>
        <v>#VALUE!</v>
      </c>
      <c r="M239" s="56" t="e">
        <f t="shared" si="19"/>
        <v>#VALUE!</v>
      </c>
    </row>
    <row r="240" spans="1:13" ht="15" customHeight="1" x14ac:dyDescent="0.2">
      <c r="A240" s="60">
        <f>'21 2026 ÜRETİM'!A240</f>
        <v>0</v>
      </c>
      <c r="B240" s="81" t="str">
        <f>IF(A240="","",'21 2026 ÜRETİM'!D240)</f>
        <v/>
      </c>
      <c r="C240" s="81">
        <f>IF(A240="","",'21 2026 ÜRETİM'!E240)</f>
        <v>0</v>
      </c>
      <c r="D240" s="82" t="str">
        <f>IF(A240="","",'21 2026 ÜRETİM'!F240)</f>
        <v/>
      </c>
      <c r="E240" s="81">
        <f>IF(A240="","",SUMIF('22 2026 PAKETLEME'!$B$2:$B$501,A240,'22 2026 PAKETLEME'!$E$2:$E$501))</f>
        <v>0</v>
      </c>
      <c r="F240" s="82">
        <f>IF(A240="","",SUMIF('22 2026 PAKETLEME'!$B$2:$B$501,A240,'22 2026 PAKETLEME'!$G$2:$G$501))</f>
        <v>0</v>
      </c>
      <c r="G240" s="81">
        <f>IF(A240="","",SUMIF('22 2026 PAKETLEME'!$B$2:$B$501,A240,'22 2026 PAKETLEME'!$H$2:$H$501))</f>
        <v>0</v>
      </c>
      <c r="H240" s="81" t="e">
        <f t="shared" si="15"/>
        <v>#VALUE!</v>
      </c>
      <c r="I240" s="82">
        <f>IF(A240="","",SUMIF('23 2026 SEVKİYAT'!$E$2:$E$501,A240,'23 2026 SEVKİYAT'!$H$2:$H$501))</f>
        <v>0</v>
      </c>
      <c r="J240" s="81">
        <f t="shared" si="16"/>
        <v>0</v>
      </c>
      <c r="K240" s="81" t="e">
        <f t="shared" si="17"/>
        <v>#VALUE!</v>
      </c>
      <c r="L240" s="58" t="e">
        <f t="shared" si="18"/>
        <v>#VALUE!</v>
      </c>
      <c r="M240" s="56" t="e">
        <f t="shared" si="19"/>
        <v>#VALUE!</v>
      </c>
    </row>
    <row r="241" spans="1:13" ht="15" customHeight="1" x14ac:dyDescent="0.2">
      <c r="A241" s="60">
        <f>'21 2026 ÜRETİM'!A241</f>
        <v>0</v>
      </c>
      <c r="B241" s="81" t="str">
        <f>IF(A241="","",'21 2026 ÜRETİM'!D241)</f>
        <v/>
      </c>
      <c r="C241" s="81">
        <f>IF(A241="","",'21 2026 ÜRETİM'!E241)</f>
        <v>0</v>
      </c>
      <c r="D241" s="82" t="str">
        <f>IF(A241="","",'21 2026 ÜRETİM'!F241)</f>
        <v/>
      </c>
      <c r="E241" s="81">
        <f>IF(A241="","",SUMIF('22 2026 PAKETLEME'!$B$2:$B$501,A241,'22 2026 PAKETLEME'!$E$2:$E$501))</f>
        <v>0</v>
      </c>
      <c r="F241" s="82">
        <f>IF(A241="","",SUMIF('22 2026 PAKETLEME'!$B$2:$B$501,A241,'22 2026 PAKETLEME'!$G$2:$G$501))</f>
        <v>0</v>
      </c>
      <c r="G241" s="81">
        <f>IF(A241="","",SUMIF('22 2026 PAKETLEME'!$B$2:$B$501,A241,'22 2026 PAKETLEME'!$H$2:$H$501))</f>
        <v>0</v>
      </c>
      <c r="H241" s="81" t="e">
        <f t="shared" si="15"/>
        <v>#VALUE!</v>
      </c>
      <c r="I241" s="82">
        <f>IF(A241="","",SUMIF('23 2026 SEVKİYAT'!$E$2:$E$501,A241,'23 2026 SEVKİYAT'!$H$2:$H$501))</f>
        <v>0</v>
      </c>
      <c r="J241" s="81">
        <f t="shared" si="16"/>
        <v>0</v>
      </c>
      <c r="K241" s="81" t="e">
        <f t="shared" si="17"/>
        <v>#VALUE!</v>
      </c>
      <c r="L241" s="58" t="e">
        <f t="shared" si="18"/>
        <v>#VALUE!</v>
      </c>
      <c r="M241" s="56" t="e">
        <f t="shared" si="19"/>
        <v>#VALUE!</v>
      </c>
    </row>
    <row r="242" spans="1:13" ht="15" customHeight="1" x14ac:dyDescent="0.2">
      <c r="A242" s="60">
        <f>'21 2026 ÜRETİM'!A242</f>
        <v>0</v>
      </c>
      <c r="B242" s="81" t="str">
        <f>IF(A242="","",'21 2026 ÜRETİM'!D242)</f>
        <v/>
      </c>
      <c r="C242" s="81">
        <f>IF(A242="","",'21 2026 ÜRETİM'!E242)</f>
        <v>0</v>
      </c>
      <c r="D242" s="82" t="str">
        <f>IF(A242="","",'21 2026 ÜRETİM'!F242)</f>
        <v/>
      </c>
      <c r="E242" s="81">
        <f>IF(A242="","",SUMIF('22 2026 PAKETLEME'!$B$2:$B$501,A242,'22 2026 PAKETLEME'!$E$2:$E$501))</f>
        <v>0</v>
      </c>
      <c r="F242" s="82">
        <f>IF(A242="","",SUMIF('22 2026 PAKETLEME'!$B$2:$B$501,A242,'22 2026 PAKETLEME'!$G$2:$G$501))</f>
        <v>0</v>
      </c>
      <c r="G242" s="81">
        <f>IF(A242="","",SUMIF('22 2026 PAKETLEME'!$B$2:$B$501,A242,'22 2026 PAKETLEME'!$H$2:$H$501))</f>
        <v>0</v>
      </c>
      <c r="H242" s="81" t="e">
        <f t="shared" si="15"/>
        <v>#VALUE!</v>
      </c>
      <c r="I242" s="82">
        <f>IF(A242="","",SUMIF('23 2026 SEVKİYAT'!$E$2:$E$501,A242,'23 2026 SEVKİYAT'!$H$2:$H$501))</f>
        <v>0</v>
      </c>
      <c r="J242" s="81">
        <f t="shared" si="16"/>
        <v>0</v>
      </c>
      <c r="K242" s="81" t="e">
        <f t="shared" si="17"/>
        <v>#VALUE!</v>
      </c>
      <c r="L242" s="58" t="e">
        <f t="shared" si="18"/>
        <v>#VALUE!</v>
      </c>
      <c r="M242" s="56" t="e">
        <f t="shared" si="19"/>
        <v>#VALUE!</v>
      </c>
    </row>
    <row r="243" spans="1:13" ht="15" customHeight="1" x14ac:dyDescent="0.2">
      <c r="A243" s="60">
        <f>'21 2026 ÜRETİM'!A243</f>
        <v>0</v>
      </c>
      <c r="B243" s="81" t="str">
        <f>IF(A243="","",'21 2026 ÜRETİM'!D243)</f>
        <v/>
      </c>
      <c r="C243" s="81">
        <f>IF(A243="","",'21 2026 ÜRETİM'!E243)</f>
        <v>0</v>
      </c>
      <c r="D243" s="82" t="str">
        <f>IF(A243="","",'21 2026 ÜRETİM'!F243)</f>
        <v/>
      </c>
      <c r="E243" s="81">
        <f>IF(A243="","",SUMIF('22 2026 PAKETLEME'!$B$2:$B$501,A243,'22 2026 PAKETLEME'!$E$2:$E$501))</f>
        <v>0</v>
      </c>
      <c r="F243" s="82">
        <f>IF(A243="","",SUMIF('22 2026 PAKETLEME'!$B$2:$B$501,A243,'22 2026 PAKETLEME'!$G$2:$G$501))</f>
        <v>0</v>
      </c>
      <c r="G243" s="81">
        <f>IF(A243="","",SUMIF('22 2026 PAKETLEME'!$B$2:$B$501,A243,'22 2026 PAKETLEME'!$H$2:$H$501))</f>
        <v>0</v>
      </c>
      <c r="H243" s="81" t="e">
        <f t="shared" si="15"/>
        <v>#VALUE!</v>
      </c>
      <c r="I243" s="82">
        <f>IF(A243="","",SUMIF('23 2026 SEVKİYAT'!$E$2:$E$501,A243,'23 2026 SEVKİYAT'!$H$2:$H$501))</f>
        <v>0</v>
      </c>
      <c r="J243" s="81">
        <f t="shared" si="16"/>
        <v>0</v>
      </c>
      <c r="K243" s="81" t="e">
        <f t="shared" si="17"/>
        <v>#VALUE!</v>
      </c>
      <c r="L243" s="58" t="e">
        <f t="shared" si="18"/>
        <v>#VALUE!</v>
      </c>
      <c r="M243" s="56" t="e">
        <f t="shared" si="19"/>
        <v>#VALUE!</v>
      </c>
    </row>
    <row r="244" spans="1:13" ht="15" customHeight="1" x14ac:dyDescent="0.2">
      <c r="A244" s="60">
        <f>'21 2026 ÜRETİM'!A244</f>
        <v>0</v>
      </c>
      <c r="B244" s="81" t="str">
        <f>IF(A244="","",'21 2026 ÜRETİM'!D244)</f>
        <v/>
      </c>
      <c r="C244" s="81">
        <f>IF(A244="","",'21 2026 ÜRETİM'!E244)</f>
        <v>0</v>
      </c>
      <c r="D244" s="82" t="str">
        <f>IF(A244="","",'21 2026 ÜRETİM'!F244)</f>
        <v/>
      </c>
      <c r="E244" s="81">
        <f>IF(A244="","",SUMIF('22 2026 PAKETLEME'!$B$2:$B$501,A244,'22 2026 PAKETLEME'!$E$2:$E$501))</f>
        <v>0</v>
      </c>
      <c r="F244" s="82">
        <f>IF(A244="","",SUMIF('22 2026 PAKETLEME'!$B$2:$B$501,A244,'22 2026 PAKETLEME'!$G$2:$G$501))</f>
        <v>0</v>
      </c>
      <c r="G244" s="81">
        <f>IF(A244="","",SUMIF('22 2026 PAKETLEME'!$B$2:$B$501,A244,'22 2026 PAKETLEME'!$H$2:$H$501))</f>
        <v>0</v>
      </c>
      <c r="H244" s="81" t="e">
        <f t="shared" si="15"/>
        <v>#VALUE!</v>
      </c>
      <c r="I244" s="82">
        <f>IF(A244="","",SUMIF('23 2026 SEVKİYAT'!$E$2:$E$501,A244,'23 2026 SEVKİYAT'!$H$2:$H$501))</f>
        <v>0</v>
      </c>
      <c r="J244" s="81">
        <f t="shared" si="16"/>
        <v>0</v>
      </c>
      <c r="K244" s="81" t="e">
        <f t="shared" si="17"/>
        <v>#VALUE!</v>
      </c>
      <c r="L244" s="58" t="e">
        <f t="shared" si="18"/>
        <v>#VALUE!</v>
      </c>
      <c r="M244" s="56" t="e">
        <f t="shared" si="19"/>
        <v>#VALUE!</v>
      </c>
    </row>
    <row r="245" spans="1:13" ht="15" customHeight="1" x14ac:dyDescent="0.2">
      <c r="A245" s="60">
        <f>'21 2026 ÜRETİM'!A245</f>
        <v>0</v>
      </c>
      <c r="B245" s="81" t="str">
        <f>IF(A245="","",'21 2026 ÜRETİM'!D245)</f>
        <v/>
      </c>
      <c r="C245" s="81">
        <f>IF(A245="","",'21 2026 ÜRETİM'!E245)</f>
        <v>0</v>
      </c>
      <c r="D245" s="82" t="str">
        <f>IF(A245="","",'21 2026 ÜRETİM'!F245)</f>
        <v/>
      </c>
      <c r="E245" s="81">
        <f>IF(A245="","",SUMIF('22 2026 PAKETLEME'!$B$2:$B$501,A245,'22 2026 PAKETLEME'!$E$2:$E$501))</f>
        <v>0</v>
      </c>
      <c r="F245" s="82">
        <f>IF(A245="","",SUMIF('22 2026 PAKETLEME'!$B$2:$B$501,A245,'22 2026 PAKETLEME'!$G$2:$G$501))</f>
        <v>0</v>
      </c>
      <c r="G245" s="81">
        <f>IF(A245="","",SUMIF('22 2026 PAKETLEME'!$B$2:$B$501,A245,'22 2026 PAKETLEME'!$H$2:$H$501))</f>
        <v>0</v>
      </c>
      <c r="H245" s="81" t="e">
        <f t="shared" si="15"/>
        <v>#VALUE!</v>
      </c>
      <c r="I245" s="82">
        <f>IF(A245="","",SUMIF('23 2026 SEVKİYAT'!$E$2:$E$501,A245,'23 2026 SEVKİYAT'!$H$2:$H$501))</f>
        <v>0</v>
      </c>
      <c r="J245" s="81">
        <f t="shared" si="16"/>
        <v>0</v>
      </c>
      <c r="K245" s="81" t="e">
        <f t="shared" si="17"/>
        <v>#VALUE!</v>
      </c>
      <c r="L245" s="58" t="e">
        <f t="shared" si="18"/>
        <v>#VALUE!</v>
      </c>
      <c r="M245" s="56" t="e">
        <f t="shared" si="19"/>
        <v>#VALUE!</v>
      </c>
    </row>
    <row r="246" spans="1:13" ht="15" customHeight="1" x14ac:dyDescent="0.2">
      <c r="A246" s="60">
        <f>'21 2026 ÜRETİM'!A246</f>
        <v>0</v>
      </c>
      <c r="B246" s="81" t="str">
        <f>IF(A246="","",'21 2026 ÜRETİM'!D246)</f>
        <v/>
      </c>
      <c r="C246" s="81">
        <f>IF(A246="","",'21 2026 ÜRETİM'!E246)</f>
        <v>0</v>
      </c>
      <c r="D246" s="82" t="str">
        <f>IF(A246="","",'21 2026 ÜRETİM'!F246)</f>
        <v/>
      </c>
      <c r="E246" s="81">
        <f>IF(A246="","",SUMIF('22 2026 PAKETLEME'!$B$2:$B$501,A246,'22 2026 PAKETLEME'!$E$2:$E$501))</f>
        <v>0</v>
      </c>
      <c r="F246" s="82">
        <f>IF(A246="","",SUMIF('22 2026 PAKETLEME'!$B$2:$B$501,A246,'22 2026 PAKETLEME'!$G$2:$G$501))</f>
        <v>0</v>
      </c>
      <c r="G246" s="81">
        <f>IF(A246="","",SUMIF('22 2026 PAKETLEME'!$B$2:$B$501,A246,'22 2026 PAKETLEME'!$H$2:$H$501))</f>
        <v>0</v>
      </c>
      <c r="H246" s="81" t="e">
        <f t="shared" si="15"/>
        <v>#VALUE!</v>
      </c>
      <c r="I246" s="82">
        <f>IF(A246="","",SUMIF('23 2026 SEVKİYAT'!$E$2:$E$501,A246,'23 2026 SEVKİYAT'!$H$2:$H$501))</f>
        <v>0</v>
      </c>
      <c r="J246" s="81">
        <f t="shared" si="16"/>
        <v>0</v>
      </c>
      <c r="K246" s="81" t="e">
        <f t="shared" si="17"/>
        <v>#VALUE!</v>
      </c>
      <c r="L246" s="58" t="e">
        <f t="shared" si="18"/>
        <v>#VALUE!</v>
      </c>
      <c r="M246" s="56" t="e">
        <f t="shared" si="19"/>
        <v>#VALUE!</v>
      </c>
    </row>
    <row r="247" spans="1:13" ht="15" customHeight="1" x14ac:dyDescent="0.2">
      <c r="A247" s="60">
        <f>'21 2026 ÜRETİM'!A247</f>
        <v>0</v>
      </c>
      <c r="B247" s="81" t="str">
        <f>IF(A247="","",'21 2026 ÜRETİM'!D247)</f>
        <v/>
      </c>
      <c r="C247" s="81">
        <f>IF(A247="","",'21 2026 ÜRETİM'!E247)</f>
        <v>0</v>
      </c>
      <c r="D247" s="82" t="str">
        <f>IF(A247="","",'21 2026 ÜRETİM'!F247)</f>
        <v/>
      </c>
      <c r="E247" s="81">
        <f>IF(A247="","",SUMIF('22 2026 PAKETLEME'!$B$2:$B$501,A247,'22 2026 PAKETLEME'!$E$2:$E$501))</f>
        <v>0</v>
      </c>
      <c r="F247" s="82">
        <f>IF(A247="","",SUMIF('22 2026 PAKETLEME'!$B$2:$B$501,A247,'22 2026 PAKETLEME'!$G$2:$G$501))</f>
        <v>0</v>
      </c>
      <c r="G247" s="81">
        <f>IF(A247="","",SUMIF('22 2026 PAKETLEME'!$B$2:$B$501,A247,'22 2026 PAKETLEME'!$H$2:$H$501))</f>
        <v>0</v>
      </c>
      <c r="H247" s="81" t="e">
        <f t="shared" si="15"/>
        <v>#VALUE!</v>
      </c>
      <c r="I247" s="82">
        <f>IF(A247="","",SUMIF('23 2026 SEVKİYAT'!$E$2:$E$501,A247,'23 2026 SEVKİYAT'!$H$2:$H$501))</f>
        <v>0</v>
      </c>
      <c r="J247" s="81">
        <f t="shared" si="16"/>
        <v>0</v>
      </c>
      <c r="K247" s="81" t="e">
        <f t="shared" si="17"/>
        <v>#VALUE!</v>
      </c>
      <c r="L247" s="58" t="e">
        <f t="shared" si="18"/>
        <v>#VALUE!</v>
      </c>
      <c r="M247" s="56" t="e">
        <f t="shared" si="19"/>
        <v>#VALUE!</v>
      </c>
    </row>
    <row r="248" spans="1:13" ht="15" customHeight="1" x14ac:dyDescent="0.2">
      <c r="A248" s="60">
        <f>'21 2026 ÜRETİM'!A248</f>
        <v>0</v>
      </c>
      <c r="B248" s="81" t="str">
        <f>IF(A248="","",'21 2026 ÜRETİM'!D248)</f>
        <v/>
      </c>
      <c r="C248" s="81">
        <f>IF(A248="","",'21 2026 ÜRETİM'!E248)</f>
        <v>0</v>
      </c>
      <c r="D248" s="82" t="str">
        <f>IF(A248="","",'21 2026 ÜRETİM'!F248)</f>
        <v/>
      </c>
      <c r="E248" s="81">
        <f>IF(A248="","",SUMIF('22 2026 PAKETLEME'!$B$2:$B$501,A248,'22 2026 PAKETLEME'!$E$2:$E$501))</f>
        <v>0</v>
      </c>
      <c r="F248" s="82">
        <f>IF(A248="","",SUMIF('22 2026 PAKETLEME'!$B$2:$B$501,A248,'22 2026 PAKETLEME'!$G$2:$G$501))</f>
        <v>0</v>
      </c>
      <c r="G248" s="81">
        <f>IF(A248="","",SUMIF('22 2026 PAKETLEME'!$B$2:$B$501,A248,'22 2026 PAKETLEME'!$H$2:$H$501))</f>
        <v>0</v>
      </c>
      <c r="H248" s="81" t="e">
        <f t="shared" si="15"/>
        <v>#VALUE!</v>
      </c>
      <c r="I248" s="82">
        <f>IF(A248="","",SUMIF('23 2026 SEVKİYAT'!$E$2:$E$501,A248,'23 2026 SEVKİYAT'!$H$2:$H$501))</f>
        <v>0</v>
      </c>
      <c r="J248" s="81">
        <f t="shared" si="16"/>
        <v>0</v>
      </c>
      <c r="K248" s="81" t="e">
        <f t="shared" si="17"/>
        <v>#VALUE!</v>
      </c>
      <c r="L248" s="58" t="e">
        <f t="shared" si="18"/>
        <v>#VALUE!</v>
      </c>
      <c r="M248" s="56" t="e">
        <f t="shared" si="19"/>
        <v>#VALUE!</v>
      </c>
    </row>
    <row r="249" spans="1:13" ht="15" customHeight="1" x14ac:dyDescent="0.2">
      <c r="A249" s="60">
        <f>'21 2026 ÜRETİM'!A249</f>
        <v>0</v>
      </c>
      <c r="B249" s="81" t="str">
        <f>IF(A249="","",'21 2026 ÜRETİM'!D249)</f>
        <v/>
      </c>
      <c r="C249" s="81">
        <f>IF(A249="","",'21 2026 ÜRETİM'!E249)</f>
        <v>0</v>
      </c>
      <c r="D249" s="82" t="str">
        <f>IF(A249="","",'21 2026 ÜRETİM'!F249)</f>
        <v/>
      </c>
      <c r="E249" s="81">
        <f>IF(A249="","",SUMIF('22 2026 PAKETLEME'!$B$2:$B$501,A249,'22 2026 PAKETLEME'!$E$2:$E$501))</f>
        <v>0</v>
      </c>
      <c r="F249" s="82">
        <f>IF(A249="","",SUMIF('22 2026 PAKETLEME'!$B$2:$B$501,A249,'22 2026 PAKETLEME'!$G$2:$G$501))</f>
        <v>0</v>
      </c>
      <c r="G249" s="81">
        <f>IF(A249="","",SUMIF('22 2026 PAKETLEME'!$B$2:$B$501,A249,'22 2026 PAKETLEME'!$H$2:$H$501))</f>
        <v>0</v>
      </c>
      <c r="H249" s="81" t="e">
        <f t="shared" si="15"/>
        <v>#VALUE!</v>
      </c>
      <c r="I249" s="82">
        <f>IF(A249="","",SUMIF('23 2026 SEVKİYAT'!$E$2:$E$501,A249,'23 2026 SEVKİYAT'!$H$2:$H$501))</f>
        <v>0</v>
      </c>
      <c r="J249" s="81">
        <f t="shared" si="16"/>
        <v>0</v>
      </c>
      <c r="K249" s="81" t="e">
        <f t="shared" si="17"/>
        <v>#VALUE!</v>
      </c>
      <c r="L249" s="58" t="e">
        <f t="shared" si="18"/>
        <v>#VALUE!</v>
      </c>
      <c r="M249" s="56" t="e">
        <f t="shared" si="19"/>
        <v>#VALUE!</v>
      </c>
    </row>
    <row r="250" spans="1:13" ht="15" customHeight="1" x14ac:dyDescent="0.2">
      <c r="A250" s="60">
        <f>'21 2026 ÜRETİM'!A250</f>
        <v>0</v>
      </c>
      <c r="B250" s="81" t="str">
        <f>IF(A250="","",'21 2026 ÜRETİM'!D250)</f>
        <v/>
      </c>
      <c r="C250" s="81">
        <f>IF(A250="","",'21 2026 ÜRETİM'!E250)</f>
        <v>0</v>
      </c>
      <c r="D250" s="82" t="str">
        <f>IF(A250="","",'21 2026 ÜRETİM'!F250)</f>
        <v/>
      </c>
      <c r="E250" s="81">
        <f>IF(A250="","",SUMIF('22 2026 PAKETLEME'!$B$2:$B$501,A250,'22 2026 PAKETLEME'!$E$2:$E$501))</f>
        <v>0</v>
      </c>
      <c r="F250" s="82">
        <f>IF(A250="","",SUMIF('22 2026 PAKETLEME'!$B$2:$B$501,A250,'22 2026 PAKETLEME'!$G$2:$G$501))</f>
        <v>0</v>
      </c>
      <c r="G250" s="81">
        <f>IF(A250="","",SUMIF('22 2026 PAKETLEME'!$B$2:$B$501,A250,'22 2026 PAKETLEME'!$H$2:$H$501))</f>
        <v>0</v>
      </c>
      <c r="H250" s="81" t="e">
        <f t="shared" si="15"/>
        <v>#VALUE!</v>
      </c>
      <c r="I250" s="82">
        <f>IF(A250="","",SUMIF('23 2026 SEVKİYAT'!$E$2:$E$501,A250,'23 2026 SEVKİYAT'!$H$2:$H$501))</f>
        <v>0</v>
      </c>
      <c r="J250" s="81">
        <f t="shared" si="16"/>
        <v>0</v>
      </c>
      <c r="K250" s="81" t="e">
        <f t="shared" si="17"/>
        <v>#VALUE!</v>
      </c>
      <c r="L250" s="58" t="e">
        <f t="shared" si="18"/>
        <v>#VALUE!</v>
      </c>
      <c r="M250" s="56" t="e">
        <f t="shared" si="19"/>
        <v>#VALUE!</v>
      </c>
    </row>
    <row r="251" spans="1:13" ht="15" customHeight="1" x14ac:dyDescent="0.2">
      <c r="A251" s="60">
        <f>'21 2026 ÜRETİM'!A251</f>
        <v>0</v>
      </c>
      <c r="B251" s="81" t="str">
        <f>IF(A251="","",'21 2026 ÜRETİM'!D251)</f>
        <v/>
      </c>
      <c r="C251" s="81">
        <f>IF(A251="","",'21 2026 ÜRETİM'!E251)</f>
        <v>0</v>
      </c>
      <c r="D251" s="82" t="str">
        <f>IF(A251="","",'21 2026 ÜRETİM'!F251)</f>
        <v/>
      </c>
      <c r="E251" s="81">
        <f>IF(A251="","",SUMIF('22 2026 PAKETLEME'!$B$2:$B$501,A251,'22 2026 PAKETLEME'!$E$2:$E$501))</f>
        <v>0</v>
      </c>
      <c r="F251" s="82">
        <f>IF(A251="","",SUMIF('22 2026 PAKETLEME'!$B$2:$B$501,A251,'22 2026 PAKETLEME'!$G$2:$G$501))</f>
        <v>0</v>
      </c>
      <c r="G251" s="81">
        <f>IF(A251="","",SUMIF('22 2026 PAKETLEME'!$B$2:$B$501,A251,'22 2026 PAKETLEME'!$H$2:$H$501))</f>
        <v>0</v>
      </c>
      <c r="H251" s="81" t="e">
        <f t="shared" si="15"/>
        <v>#VALUE!</v>
      </c>
      <c r="I251" s="82">
        <f>IF(A251="","",SUMIF('23 2026 SEVKİYAT'!$E$2:$E$501,A251,'23 2026 SEVKİYAT'!$H$2:$H$501))</f>
        <v>0</v>
      </c>
      <c r="J251" s="81">
        <f t="shared" si="16"/>
        <v>0</v>
      </c>
      <c r="K251" s="81" t="e">
        <f t="shared" si="17"/>
        <v>#VALUE!</v>
      </c>
      <c r="L251" s="58" t="e">
        <f t="shared" si="18"/>
        <v>#VALUE!</v>
      </c>
      <c r="M251" s="56" t="e">
        <f t="shared" si="19"/>
        <v>#VALUE!</v>
      </c>
    </row>
    <row r="252" spans="1:13" ht="15" customHeight="1" x14ac:dyDescent="0.2">
      <c r="A252" s="60">
        <f>'21 2026 ÜRETİM'!A252</f>
        <v>0</v>
      </c>
      <c r="B252" s="81" t="str">
        <f>IF(A252="","",'21 2026 ÜRETİM'!D252)</f>
        <v/>
      </c>
      <c r="C252" s="81">
        <f>IF(A252="","",'21 2026 ÜRETİM'!E252)</f>
        <v>0</v>
      </c>
      <c r="D252" s="82" t="str">
        <f>IF(A252="","",'21 2026 ÜRETİM'!F252)</f>
        <v/>
      </c>
      <c r="E252" s="81">
        <f>IF(A252="","",SUMIF('22 2026 PAKETLEME'!$B$2:$B$501,A252,'22 2026 PAKETLEME'!$E$2:$E$501))</f>
        <v>0</v>
      </c>
      <c r="F252" s="82">
        <f>IF(A252="","",SUMIF('22 2026 PAKETLEME'!$B$2:$B$501,A252,'22 2026 PAKETLEME'!$G$2:$G$501))</f>
        <v>0</v>
      </c>
      <c r="G252" s="81">
        <f>IF(A252="","",SUMIF('22 2026 PAKETLEME'!$B$2:$B$501,A252,'22 2026 PAKETLEME'!$H$2:$H$501))</f>
        <v>0</v>
      </c>
      <c r="H252" s="81" t="e">
        <f t="shared" si="15"/>
        <v>#VALUE!</v>
      </c>
      <c r="I252" s="82">
        <f>IF(A252="","",SUMIF('23 2026 SEVKİYAT'!$E$2:$E$501,A252,'23 2026 SEVKİYAT'!$H$2:$H$501))</f>
        <v>0</v>
      </c>
      <c r="J252" s="81">
        <f t="shared" si="16"/>
        <v>0</v>
      </c>
      <c r="K252" s="81" t="e">
        <f t="shared" si="17"/>
        <v>#VALUE!</v>
      </c>
      <c r="L252" s="58" t="e">
        <f t="shared" si="18"/>
        <v>#VALUE!</v>
      </c>
      <c r="M252" s="56" t="e">
        <f t="shared" si="19"/>
        <v>#VALUE!</v>
      </c>
    </row>
    <row r="253" spans="1:13" ht="15" customHeight="1" x14ac:dyDescent="0.2">
      <c r="A253" s="60">
        <f>'21 2026 ÜRETİM'!A253</f>
        <v>0</v>
      </c>
      <c r="B253" s="81" t="str">
        <f>IF(A253="","",'21 2026 ÜRETİM'!D253)</f>
        <v/>
      </c>
      <c r="C253" s="81">
        <f>IF(A253="","",'21 2026 ÜRETİM'!E253)</f>
        <v>0</v>
      </c>
      <c r="D253" s="82" t="str">
        <f>IF(A253="","",'21 2026 ÜRETİM'!F253)</f>
        <v/>
      </c>
      <c r="E253" s="81">
        <f>IF(A253="","",SUMIF('22 2026 PAKETLEME'!$B$2:$B$501,A253,'22 2026 PAKETLEME'!$E$2:$E$501))</f>
        <v>0</v>
      </c>
      <c r="F253" s="82">
        <f>IF(A253="","",SUMIF('22 2026 PAKETLEME'!$B$2:$B$501,A253,'22 2026 PAKETLEME'!$G$2:$G$501))</f>
        <v>0</v>
      </c>
      <c r="G253" s="81">
        <f>IF(A253="","",SUMIF('22 2026 PAKETLEME'!$B$2:$B$501,A253,'22 2026 PAKETLEME'!$H$2:$H$501))</f>
        <v>0</v>
      </c>
      <c r="H253" s="81" t="e">
        <f t="shared" si="15"/>
        <v>#VALUE!</v>
      </c>
      <c r="I253" s="82">
        <f>IF(A253="","",SUMIF('23 2026 SEVKİYAT'!$E$2:$E$501,A253,'23 2026 SEVKİYAT'!$H$2:$H$501))</f>
        <v>0</v>
      </c>
      <c r="J253" s="81">
        <f t="shared" si="16"/>
        <v>0</v>
      </c>
      <c r="K253" s="81" t="e">
        <f t="shared" si="17"/>
        <v>#VALUE!</v>
      </c>
      <c r="L253" s="58" t="e">
        <f t="shared" si="18"/>
        <v>#VALUE!</v>
      </c>
      <c r="M253" s="56" t="e">
        <f t="shared" si="19"/>
        <v>#VALUE!</v>
      </c>
    </row>
    <row r="254" spans="1:13" ht="15" customHeight="1" x14ac:dyDescent="0.2">
      <c r="A254" s="60">
        <f>'21 2026 ÜRETİM'!A254</f>
        <v>0</v>
      </c>
      <c r="B254" s="81" t="str">
        <f>IF(A254="","",'21 2026 ÜRETİM'!D254)</f>
        <v/>
      </c>
      <c r="C254" s="81">
        <f>IF(A254="","",'21 2026 ÜRETİM'!E254)</f>
        <v>0</v>
      </c>
      <c r="D254" s="82" t="str">
        <f>IF(A254="","",'21 2026 ÜRETİM'!F254)</f>
        <v/>
      </c>
      <c r="E254" s="81">
        <f>IF(A254="","",SUMIF('22 2026 PAKETLEME'!$B$2:$B$501,A254,'22 2026 PAKETLEME'!$E$2:$E$501))</f>
        <v>0</v>
      </c>
      <c r="F254" s="82">
        <f>IF(A254="","",SUMIF('22 2026 PAKETLEME'!$B$2:$B$501,A254,'22 2026 PAKETLEME'!$G$2:$G$501))</f>
        <v>0</v>
      </c>
      <c r="G254" s="81">
        <f>IF(A254="","",SUMIF('22 2026 PAKETLEME'!$B$2:$B$501,A254,'22 2026 PAKETLEME'!$H$2:$H$501))</f>
        <v>0</v>
      </c>
      <c r="H254" s="81" t="e">
        <f t="shared" si="15"/>
        <v>#VALUE!</v>
      </c>
      <c r="I254" s="82">
        <f>IF(A254="","",SUMIF('23 2026 SEVKİYAT'!$E$2:$E$501,A254,'23 2026 SEVKİYAT'!$H$2:$H$501))</f>
        <v>0</v>
      </c>
      <c r="J254" s="81">
        <f t="shared" si="16"/>
        <v>0</v>
      </c>
      <c r="K254" s="81" t="e">
        <f t="shared" si="17"/>
        <v>#VALUE!</v>
      </c>
      <c r="L254" s="58" t="e">
        <f t="shared" si="18"/>
        <v>#VALUE!</v>
      </c>
      <c r="M254" s="56" t="e">
        <f t="shared" si="19"/>
        <v>#VALUE!</v>
      </c>
    </row>
    <row r="255" spans="1:13" ht="15" customHeight="1" x14ac:dyDescent="0.2">
      <c r="A255" s="60">
        <f>'21 2026 ÜRETİM'!A255</f>
        <v>0</v>
      </c>
      <c r="B255" s="81" t="str">
        <f>IF(A255="","",'21 2026 ÜRETİM'!D255)</f>
        <v/>
      </c>
      <c r="C255" s="81">
        <f>IF(A255="","",'21 2026 ÜRETİM'!E255)</f>
        <v>0</v>
      </c>
      <c r="D255" s="82" t="str">
        <f>IF(A255="","",'21 2026 ÜRETİM'!F255)</f>
        <v/>
      </c>
      <c r="E255" s="81">
        <f>IF(A255="","",SUMIF('22 2026 PAKETLEME'!$B$2:$B$501,A255,'22 2026 PAKETLEME'!$E$2:$E$501))</f>
        <v>0</v>
      </c>
      <c r="F255" s="82">
        <f>IF(A255="","",SUMIF('22 2026 PAKETLEME'!$B$2:$B$501,A255,'22 2026 PAKETLEME'!$G$2:$G$501))</f>
        <v>0</v>
      </c>
      <c r="G255" s="81">
        <f>IF(A255="","",SUMIF('22 2026 PAKETLEME'!$B$2:$B$501,A255,'22 2026 PAKETLEME'!$H$2:$H$501))</f>
        <v>0</v>
      </c>
      <c r="H255" s="81" t="e">
        <f t="shared" si="15"/>
        <v>#VALUE!</v>
      </c>
      <c r="I255" s="82">
        <f>IF(A255="","",SUMIF('23 2026 SEVKİYAT'!$E$2:$E$501,A255,'23 2026 SEVKİYAT'!$H$2:$H$501))</f>
        <v>0</v>
      </c>
      <c r="J255" s="81">
        <f t="shared" si="16"/>
        <v>0</v>
      </c>
      <c r="K255" s="81" t="e">
        <f t="shared" si="17"/>
        <v>#VALUE!</v>
      </c>
      <c r="L255" s="58" t="e">
        <f t="shared" si="18"/>
        <v>#VALUE!</v>
      </c>
      <c r="M255" s="56" t="e">
        <f t="shared" si="19"/>
        <v>#VALUE!</v>
      </c>
    </row>
    <row r="256" spans="1:13" ht="15" customHeight="1" x14ac:dyDescent="0.2">
      <c r="A256" s="60">
        <f>'21 2026 ÜRETİM'!A256</f>
        <v>0</v>
      </c>
      <c r="B256" s="81" t="str">
        <f>IF(A256="","",'21 2026 ÜRETİM'!D256)</f>
        <v/>
      </c>
      <c r="C256" s="81">
        <f>IF(A256="","",'21 2026 ÜRETİM'!E256)</f>
        <v>0</v>
      </c>
      <c r="D256" s="82" t="str">
        <f>IF(A256="","",'21 2026 ÜRETİM'!F256)</f>
        <v/>
      </c>
      <c r="E256" s="81">
        <f>IF(A256="","",SUMIF('22 2026 PAKETLEME'!$B$2:$B$501,A256,'22 2026 PAKETLEME'!$E$2:$E$501))</f>
        <v>0</v>
      </c>
      <c r="F256" s="82">
        <f>IF(A256="","",SUMIF('22 2026 PAKETLEME'!$B$2:$B$501,A256,'22 2026 PAKETLEME'!$G$2:$G$501))</f>
        <v>0</v>
      </c>
      <c r="G256" s="81">
        <f>IF(A256="","",SUMIF('22 2026 PAKETLEME'!$B$2:$B$501,A256,'22 2026 PAKETLEME'!$H$2:$H$501))</f>
        <v>0</v>
      </c>
      <c r="H256" s="81" t="e">
        <f t="shared" si="15"/>
        <v>#VALUE!</v>
      </c>
      <c r="I256" s="82">
        <f>IF(A256="","",SUMIF('23 2026 SEVKİYAT'!$E$2:$E$501,A256,'23 2026 SEVKİYAT'!$H$2:$H$501))</f>
        <v>0</v>
      </c>
      <c r="J256" s="81">
        <f t="shared" si="16"/>
        <v>0</v>
      </c>
      <c r="K256" s="81" t="e">
        <f t="shared" si="17"/>
        <v>#VALUE!</v>
      </c>
      <c r="L256" s="58" t="e">
        <f t="shared" si="18"/>
        <v>#VALUE!</v>
      </c>
      <c r="M256" s="56" t="e">
        <f t="shared" si="19"/>
        <v>#VALUE!</v>
      </c>
    </row>
    <row r="257" spans="1:13" ht="15" customHeight="1" x14ac:dyDescent="0.2">
      <c r="A257" s="60">
        <f>'21 2026 ÜRETİM'!A257</f>
        <v>0</v>
      </c>
      <c r="B257" s="81" t="str">
        <f>IF(A257="","",'21 2026 ÜRETİM'!D257)</f>
        <v/>
      </c>
      <c r="C257" s="81">
        <f>IF(A257="","",'21 2026 ÜRETİM'!E257)</f>
        <v>0</v>
      </c>
      <c r="D257" s="82" t="str">
        <f>IF(A257="","",'21 2026 ÜRETİM'!F257)</f>
        <v/>
      </c>
      <c r="E257" s="81">
        <f>IF(A257="","",SUMIF('22 2026 PAKETLEME'!$B$2:$B$501,A257,'22 2026 PAKETLEME'!$E$2:$E$501))</f>
        <v>0</v>
      </c>
      <c r="F257" s="82">
        <f>IF(A257="","",SUMIF('22 2026 PAKETLEME'!$B$2:$B$501,A257,'22 2026 PAKETLEME'!$G$2:$G$501))</f>
        <v>0</v>
      </c>
      <c r="G257" s="81">
        <f>IF(A257="","",SUMIF('22 2026 PAKETLEME'!$B$2:$B$501,A257,'22 2026 PAKETLEME'!$H$2:$H$501))</f>
        <v>0</v>
      </c>
      <c r="H257" s="81" t="e">
        <f t="shared" si="15"/>
        <v>#VALUE!</v>
      </c>
      <c r="I257" s="82">
        <f>IF(A257="","",SUMIF('23 2026 SEVKİYAT'!$E$2:$E$501,A257,'23 2026 SEVKİYAT'!$H$2:$H$501))</f>
        <v>0</v>
      </c>
      <c r="J257" s="81">
        <f t="shared" si="16"/>
        <v>0</v>
      </c>
      <c r="K257" s="81" t="e">
        <f t="shared" si="17"/>
        <v>#VALUE!</v>
      </c>
      <c r="L257" s="58" t="e">
        <f t="shared" si="18"/>
        <v>#VALUE!</v>
      </c>
      <c r="M257" s="56" t="e">
        <f t="shared" si="19"/>
        <v>#VALUE!</v>
      </c>
    </row>
    <row r="258" spans="1:13" ht="15" customHeight="1" x14ac:dyDescent="0.2">
      <c r="A258" s="60">
        <f>'21 2026 ÜRETİM'!A258</f>
        <v>0</v>
      </c>
      <c r="B258" s="81" t="str">
        <f>IF(A258="","",'21 2026 ÜRETİM'!D258)</f>
        <v/>
      </c>
      <c r="C258" s="81">
        <f>IF(A258="","",'21 2026 ÜRETİM'!E258)</f>
        <v>0</v>
      </c>
      <c r="D258" s="82" t="str">
        <f>IF(A258="","",'21 2026 ÜRETİM'!F258)</f>
        <v/>
      </c>
      <c r="E258" s="81">
        <f>IF(A258="","",SUMIF('22 2026 PAKETLEME'!$B$2:$B$501,A258,'22 2026 PAKETLEME'!$E$2:$E$501))</f>
        <v>0</v>
      </c>
      <c r="F258" s="82">
        <f>IF(A258="","",SUMIF('22 2026 PAKETLEME'!$B$2:$B$501,A258,'22 2026 PAKETLEME'!$G$2:$G$501))</f>
        <v>0</v>
      </c>
      <c r="G258" s="81">
        <f>IF(A258="","",SUMIF('22 2026 PAKETLEME'!$B$2:$B$501,A258,'22 2026 PAKETLEME'!$H$2:$H$501))</f>
        <v>0</v>
      </c>
      <c r="H258" s="81" t="e">
        <f t="shared" ref="H258:H321" si="20">IF(A258="","",D258-E258-F258-G258)</f>
        <v>#VALUE!</v>
      </c>
      <c r="I258" s="82">
        <f>IF(A258="","",SUMIF('23 2026 SEVKİYAT'!$E$2:$E$501,A258,'23 2026 SEVKİYAT'!$H$2:$H$501))</f>
        <v>0</v>
      </c>
      <c r="J258" s="81">
        <f t="shared" ref="J258:J321" si="21">IF(A258="","",E258+F258-I258)</f>
        <v>0</v>
      </c>
      <c r="K258" s="81" t="e">
        <f t="shared" ref="K258:K321" si="22">IF(A258="","",D258-E258-F258-G258-H258)</f>
        <v>#VALUE!</v>
      </c>
      <c r="L258" s="58" t="e">
        <f t="shared" ref="L258:L321" si="23">IF(A258="","",IF(ABS(K258)&lt;0.001,"KAPALI","KONTROL"))</f>
        <v>#VALUE!</v>
      </c>
      <c r="M258" s="56" t="e">
        <f t="shared" ref="M258:M321" si="24">IF(A258="","",IF(J258&lt;0,"SEVK PAKETLEMEYİ AŞIYOR",IF(H258&lt;&gt;0,"PAKETLEME BAKİYESİ VAR","DENKLİK KAPALI")))</f>
        <v>#VALUE!</v>
      </c>
    </row>
    <row r="259" spans="1:13" ht="15" customHeight="1" x14ac:dyDescent="0.2">
      <c r="A259" s="60">
        <f>'21 2026 ÜRETİM'!A259</f>
        <v>0</v>
      </c>
      <c r="B259" s="81" t="str">
        <f>IF(A259="","",'21 2026 ÜRETİM'!D259)</f>
        <v/>
      </c>
      <c r="C259" s="81">
        <f>IF(A259="","",'21 2026 ÜRETİM'!E259)</f>
        <v>0</v>
      </c>
      <c r="D259" s="82" t="str">
        <f>IF(A259="","",'21 2026 ÜRETİM'!F259)</f>
        <v/>
      </c>
      <c r="E259" s="81">
        <f>IF(A259="","",SUMIF('22 2026 PAKETLEME'!$B$2:$B$501,A259,'22 2026 PAKETLEME'!$E$2:$E$501))</f>
        <v>0</v>
      </c>
      <c r="F259" s="82">
        <f>IF(A259="","",SUMIF('22 2026 PAKETLEME'!$B$2:$B$501,A259,'22 2026 PAKETLEME'!$G$2:$G$501))</f>
        <v>0</v>
      </c>
      <c r="G259" s="81">
        <f>IF(A259="","",SUMIF('22 2026 PAKETLEME'!$B$2:$B$501,A259,'22 2026 PAKETLEME'!$H$2:$H$501))</f>
        <v>0</v>
      </c>
      <c r="H259" s="81" t="e">
        <f t="shared" si="20"/>
        <v>#VALUE!</v>
      </c>
      <c r="I259" s="82">
        <f>IF(A259="","",SUMIF('23 2026 SEVKİYAT'!$E$2:$E$501,A259,'23 2026 SEVKİYAT'!$H$2:$H$501))</f>
        <v>0</v>
      </c>
      <c r="J259" s="81">
        <f t="shared" si="21"/>
        <v>0</v>
      </c>
      <c r="K259" s="81" t="e">
        <f t="shared" si="22"/>
        <v>#VALUE!</v>
      </c>
      <c r="L259" s="58" t="e">
        <f t="shared" si="23"/>
        <v>#VALUE!</v>
      </c>
      <c r="M259" s="56" t="e">
        <f t="shared" si="24"/>
        <v>#VALUE!</v>
      </c>
    </row>
    <row r="260" spans="1:13" ht="15" customHeight="1" x14ac:dyDescent="0.2">
      <c r="A260" s="60">
        <f>'21 2026 ÜRETİM'!A260</f>
        <v>0</v>
      </c>
      <c r="B260" s="81" t="str">
        <f>IF(A260="","",'21 2026 ÜRETİM'!D260)</f>
        <v/>
      </c>
      <c r="C260" s="81">
        <f>IF(A260="","",'21 2026 ÜRETİM'!E260)</f>
        <v>0</v>
      </c>
      <c r="D260" s="82" t="str">
        <f>IF(A260="","",'21 2026 ÜRETİM'!F260)</f>
        <v/>
      </c>
      <c r="E260" s="81">
        <f>IF(A260="","",SUMIF('22 2026 PAKETLEME'!$B$2:$B$501,A260,'22 2026 PAKETLEME'!$E$2:$E$501))</f>
        <v>0</v>
      </c>
      <c r="F260" s="82">
        <f>IF(A260="","",SUMIF('22 2026 PAKETLEME'!$B$2:$B$501,A260,'22 2026 PAKETLEME'!$G$2:$G$501))</f>
        <v>0</v>
      </c>
      <c r="G260" s="81">
        <f>IF(A260="","",SUMIF('22 2026 PAKETLEME'!$B$2:$B$501,A260,'22 2026 PAKETLEME'!$H$2:$H$501))</f>
        <v>0</v>
      </c>
      <c r="H260" s="81" t="e">
        <f t="shared" si="20"/>
        <v>#VALUE!</v>
      </c>
      <c r="I260" s="82">
        <f>IF(A260="","",SUMIF('23 2026 SEVKİYAT'!$E$2:$E$501,A260,'23 2026 SEVKİYAT'!$H$2:$H$501))</f>
        <v>0</v>
      </c>
      <c r="J260" s="81">
        <f t="shared" si="21"/>
        <v>0</v>
      </c>
      <c r="K260" s="81" t="e">
        <f t="shared" si="22"/>
        <v>#VALUE!</v>
      </c>
      <c r="L260" s="58" t="e">
        <f t="shared" si="23"/>
        <v>#VALUE!</v>
      </c>
      <c r="M260" s="56" t="e">
        <f t="shared" si="24"/>
        <v>#VALUE!</v>
      </c>
    </row>
    <row r="261" spans="1:13" ht="15" customHeight="1" x14ac:dyDescent="0.2">
      <c r="A261" s="60">
        <f>'21 2026 ÜRETİM'!A261</f>
        <v>0</v>
      </c>
      <c r="B261" s="81" t="str">
        <f>IF(A261="","",'21 2026 ÜRETİM'!D261)</f>
        <v/>
      </c>
      <c r="C261" s="81">
        <f>IF(A261="","",'21 2026 ÜRETİM'!E261)</f>
        <v>0</v>
      </c>
      <c r="D261" s="82" t="str">
        <f>IF(A261="","",'21 2026 ÜRETİM'!F261)</f>
        <v/>
      </c>
      <c r="E261" s="81">
        <f>IF(A261="","",SUMIF('22 2026 PAKETLEME'!$B$2:$B$501,A261,'22 2026 PAKETLEME'!$E$2:$E$501))</f>
        <v>0</v>
      </c>
      <c r="F261" s="82">
        <f>IF(A261="","",SUMIF('22 2026 PAKETLEME'!$B$2:$B$501,A261,'22 2026 PAKETLEME'!$G$2:$G$501))</f>
        <v>0</v>
      </c>
      <c r="G261" s="81">
        <f>IF(A261="","",SUMIF('22 2026 PAKETLEME'!$B$2:$B$501,A261,'22 2026 PAKETLEME'!$H$2:$H$501))</f>
        <v>0</v>
      </c>
      <c r="H261" s="81" t="e">
        <f t="shared" si="20"/>
        <v>#VALUE!</v>
      </c>
      <c r="I261" s="82">
        <f>IF(A261="","",SUMIF('23 2026 SEVKİYAT'!$E$2:$E$501,A261,'23 2026 SEVKİYAT'!$H$2:$H$501))</f>
        <v>0</v>
      </c>
      <c r="J261" s="81">
        <f t="shared" si="21"/>
        <v>0</v>
      </c>
      <c r="K261" s="81" t="e">
        <f t="shared" si="22"/>
        <v>#VALUE!</v>
      </c>
      <c r="L261" s="58" t="e">
        <f t="shared" si="23"/>
        <v>#VALUE!</v>
      </c>
      <c r="M261" s="56" t="e">
        <f t="shared" si="24"/>
        <v>#VALUE!</v>
      </c>
    </row>
    <row r="262" spans="1:13" ht="15" customHeight="1" x14ac:dyDescent="0.2">
      <c r="A262" s="60">
        <f>'21 2026 ÜRETİM'!A262</f>
        <v>0</v>
      </c>
      <c r="B262" s="81" t="str">
        <f>IF(A262="","",'21 2026 ÜRETİM'!D262)</f>
        <v/>
      </c>
      <c r="C262" s="81">
        <f>IF(A262="","",'21 2026 ÜRETİM'!E262)</f>
        <v>0</v>
      </c>
      <c r="D262" s="82" t="str">
        <f>IF(A262="","",'21 2026 ÜRETİM'!F262)</f>
        <v/>
      </c>
      <c r="E262" s="81">
        <f>IF(A262="","",SUMIF('22 2026 PAKETLEME'!$B$2:$B$501,A262,'22 2026 PAKETLEME'!$E$2:$E$501))</f>
        <v>0</v>
      </c>
      <c r="F262" s="82">
        <f>IF(A262="","",SUMIF('22 2026 PAKETLEME'!$B$2:$B$501,A262,'22 2026 PAKETLEME'!$G$2:$G$501))</f>
        <v>0</v>
      </c>
      <c r="G262" s="81">
        <f>IF(A262="","",SUMIF('22 2026 PAKETLEME'!$B$2:$B$501,A262,'22 2026 PAKETLEME'!$H$2:$H$501))</f>
        <v>0</v>
      </c>
      <c r="H262" s="81" t="e">
        <f t="shared" si="20"/>
        <v>#VALUE!</v>
      </c>
      <c r="I262" s="82">
        <f>IF(A262="","",SUMIF('23 2026 SEVKİYAT'!$E$2:$E$501,A262,'23 2026 SEVKİYAT'!$H$2:$H$501))</f>
        <v>0</v>
      </c>
      <c r="J262" s="81">
        <f t="shared" si="21"/>
        <v>0</v>
      </c>
      <c r="K262" s="81" t="e">
        <f t="shared" si="22"/>
        <v>#VALUE!</v>
      </c>
      <c r="L262" s="58" t="e">
        <f t="shared" si="23"/>
        <v>#VALUE!</v>
      </c>
      <c r="M262" s="56" t="e">
        <f t="shared" si="24"/>
        <v>#VALUE!</v>
      </c>
    </row>
    <row r="263" spans="1:13" ht="15" customHeight="1" x14ac:dyDescent="0.2">
      <c r="A263" s="60">
        <f>'21 2026 ÜRETİM'!A263</f>
        <v>0</v>
      </c>
      <c r="B263" s="81" t="str">
        <f>IF(A263="","",'21 2026 ÜRETİM'!D263)</f>
        <v/>
      </c>
      <c r="C263" s="81">
        <f>IF(A263="","",'21 2026 ÜRETİM'!E263)</f>
        <v>0</v>
      </c>
      <c r="D263" s="82" t="str">
        <f>IF(A263="","",'21 2026 ÜRETİM'!F263)</f>
        <v/>
      </c>
      <c r="E263" s="81">
        <f>IF(A263="","",SUMIF('22 2026 PAKETLEME'!$B$2:$B$501,A263,'22 2026 PAKETLEME'!$E$2:$E$501))</f>
        <v>0</v>
      </c>
      <c r="F263" s="82">
        <f>IF(A263="","",SUMIF('22 2026 PAKETLEME'!$B$2:$B$501,A263,'22 2026 PAKETLEME'!$G$2:$G$501))</f>
        <v>0</v>
      </c>
      <c r="G263" s="81">
        <f>IF(A263="","",SUMIF('22 2026 PAKETLEME'!$B$2:$B$501,A263,'22 2026 PAKETLEME'!$H$2:$H$501))</f>
        <v>0</v>
      </c>
      <c r="H263" s="81" t="e">
        <f t="shared" si="20"/>
        <v>#VALUE!</v>
      </c>
      <c r="I263" s="82">
        <f>IF(A263="","",SUMIF('23 2026 SEVKİYAT'!$E$2:$E$501,A263,'23 2026 SEVKİYAT'!$H$2:$H$501))</f>
        <v>0</v>
      </c>
      <c r="J263" s="81">
        <f t="shared" si="21"/>
        <v>0</v>
      </c>
      <c r="K263" s="81" t="e">
        <f t="shared" si="22"/>
        <v>#VALUE!</v>
      </c>
      <c r="L263" s="58" t="e">
        <f t="shared" si="23"/>
        <v>#VALUE!</v>
      </c>
      <c r="M263" s="56" t="e">
        <f t="shared" si="24"/>
        <v>#VALUE!</v>
      </c>
    </row>
    <row r="264" spans="1:13" ht="15" customHeight="1" x14ac:dyDescent="0.2">
      <c r="A264" s="60">
        <f>'21 2026 ÜRETİM'!A264</f>
        <v>0</v>
      </c>
      <c r="B264" s="81" t="str">
        <f>IF(A264="","",'21 2026 ÜRETİM'!D264)</f>
        <v/>
      </c>
      <c r="C264" s="81">
        <f>IF(A264="","",'21 2026 ÜRETİM'!E264)</f>
        <v>0</v>
      </c>
      <c r="D264" s="82" t="str">
        <f>IF(A264="","",'21 2026 ÜRETİM'!F264)</f>
        <v/>
      </c>
      <c r="E264" s="81">
        <f>IF(A264="","",SUMIF('22 2026 PAKETLEME'!$B$2:$B$501,A264,'22 2026 PAKETLEME'!$E$2:$E$501))</f>
        <v>0</v>
      </c>
      <c r="F264" s="82">
        <f>IF(A264="","",SUMIF('22 2026 PAKETLEME'!$B$2:$B$501,A264,'22 2026 PAKETLEME'!$G$2:$G$501))</f>
        <v>0</v>
      </c>
      <c r="G264" s="81">
        <f>IF(A264="","",SUMIF('22 2026 PAKETLEME'!$B$2:$B$501,A264,'22 2026 PAKETLEME'!$H$2:$H$501))</f>
        <v>0</v>
      </c>
      <c r="H264" s="81" t="e">
        <f t="shared" si="20"/>
        <v>#VALUE!</v>
      </c>
      <c r="I264" s="82">
        <f>IF(A264="","",SUMIF('23 2026 SEVKİYAT'!$E$2:$E$501,A264,'23 2026 SEVKİYAT'!$H$2:$H$501))</f>
        <v>0</v>
      </c>
      <c r="J264" s="81">
        <f t="shared" si="21"/>
        <v>0</v>
      </c>
      <c r="K264" s="81" t="e">
        <f t="shared" si="22"/>
        <v>#VALUE!</v>
      </c>
      <c r="L264" s="58" t="e">
        <f t="shared" si="23"/>
        <v>#VALUE!</v>
      </c>
      <c r="M264" s="56" t="e">
        <f t="shared" si="24"/>
        <v>#VALUE!</v>
      </c>
    </row>
    <row r="265" spans="1:13" ht="15" customHeight="1" x14ac:dyDescent="0.2">
      <c r="A265" s="60">
        <f>'21 2026 ÜRETİM'!A265</f>
        <v>0</v>
      </c>
      <c r="B265" s="81" t="str">
        <f>IF(A265="","",'21 2026 ÜRETİM'!D265)</f>
        <v/>
      </c>
      <c r="C265" s="81">
        <f>IF(A265="","",'21 2026 ÜRETİM'!E265)</f>
        <v>0</v>
      </c>
      <c r="D265" s="82" t="str">
        <f>IF(A265="","",'21 2026 ÜRETİM'!F265)</f>
        <v/>
      </c>
      <c r="E265" s="81">
        <f>IF(A265="","",SUMIF('22 2026 PAKETLEME'!$B$2:$B$501,A265,'22 2026 PAKETLEME'!$E$2:$E$501))</f>
        <v>0</v>
      </c>
      <c r="F265" s="82">
        <f>IF(A265="","",SUMIF('22 2026 PAKETLEME'!$B$2:$B$501,A265,'22 2026 PAKETLEME'!$G$2:$G$501))</f>
        <v>0</v>
      </c>
      <c r="G265" s="81">
        <f>IF(A265="","",SUMIF('22 2026 PAKETLEME'!$B$2:$B$501,A265,'22 2026 PAKETLEME'!$H$2:$H$501))</f>
        <v>0</v>
      </c>
      <c r="H265" s="81" t="e">
        <f t="shared" si="20"/>
        <v>#VALUE!</v>
      </c>
      <c r="I265" s="82">
        <f>IF(A265="","",SUMIF('23 2026 SEVKİYAT'!$E$2:$E$501,A265,'23 2026 SEVKİYAT'!$H$2:$H$501))</f>
        <v>0</v>
      </c>
      <c r="J265" s="81">
        <f t="shared" si="21"/>
        <v>0</v>
      </c>
      <c r="K265" s="81" t="e">
        <f t="shared" si="22"/>
        <v>#VALUE!</v>
      </c>
      <c r="L265" s="58" t="e">
        <f t="shared" si="23"/>
        <v>#VALUE!</v>
      </c>
      <c r="M265" s="56" t="e">
        <f t="shared" si="24"/>
        <v>#VALUE!</v>
      </c>
    </row>
    <row r="266" spans="1:13" ht="15" customHeight="1" x14ac:dyDescent="0.2">
      <c r="A266" s="60">
        <f>'21 2026 ÜRETİM'!A266</f>
        <v>0</v>
      </c>
      <c r="B266" s="81" t="str">
        <f>IF(A266="","",'21 2026 ÜRETİM'!D266)</f>
        <v/>
      </c>
      <c r="C266" s="81">
        <f>IF(A266="","",'21 2026 ÜRETİM'!E266)</f>
        <v>0</v>
      </c>
      <c r="D266" s="82" t="str">
        <f>IF(A266="","",'21 2026 ÜRETİM'!F266)</f>
        <v/>
      </c>
      <c r="E266" s="81">
        <f>IF(A266="","",SUMIF('22 2026 PAKETLEME'!$B$2:$B$501,A266,'22 2026 PAKETLEME'!$E$2:$E$501))</f>
        <v>0</v>
      </c>
      <c r="F266" s="82">
        <f>IF(A266="","",SUMIF('22 2026 PAKETLEME'!$B$2:$B$501,A266,'22 2026 PAKETLEME'!$G$2:$G$501))</f>
        <v>0</v>
      </c>
      <c r="G266" s="81">
        <f>IF(A266="","",SUMIF('22 2026 PAKETLEME'!$B$2:$B$501,A266,'22 2026 PAKETLEME'!$H$2:$H$501))</f>
        <v>0</v>
      </c>
      <c r="H266" s="81" t="e">
        <f t="shared" si="20"/>
        <v>#VALUE!</v>
      </c>
      <c r="I266" s="82">
        <f>IF(A266="","",SUMIF('23 2026 SEVKİYAT'!$E$2:$E$501,A266,'23 2026 SEVKİYAT'!$H$2:$H$501))</f>
        <v>0</v>
      </c>
      <c r="J266" s="81">
        <f t="shared" si="21"/>
        <v>0</v>
      </c>
      <c r="K266" s="81" t="e">
        <f t="shared" si="22"/>
        <v>#VALUE!</v>
      </c>
      <c r="L266" s="58" t="e">
        <f t="shared" si="23"/>
        <v>#VALUE!</v>
      </c>
      <c r="M266" s="56" t="e">
        <f t="shared" si="24"/>
        <v>#VALUE!</v>
      </c>
    </row>
    <row r="267" spans="1:13" ht="15" customHeight="1" x14ac:dyDescent="0.2">
      <c r="A267" s="60">
        <f>'21 2026 ÜRETİM'!A267</f>
        <v>0</v>
      </c>
      <c r="B267" s="81" t="str">
        <f>IF(A267="","",'21 2026 ÜRETİM'!D267)</f>
        <v/>
      </c>
      <c r="C267" s="81">
        <f>IF(A267="","",'21 2026 ÜRETİM'!E267)</f>
        <v>0</v>
      </c>
      <c r="D267" s="82" t="str">
        <f>IF(A267="","",'21 2026 ÜRETİM'!F267)</f>
        <v/>
      </c>
      <c r="E267" s="81">
        <f>IF(A267="","",SUMIF('22 2026 PAKETLEME'!$B$2:$B$501,A267,'22 2026 PAKETLEME'!$E$2:$E$501))</f>
        <v>0</v>
      </c>
      <c r="F267" s="82">
        <f>IF(A267="","",SUMIF('22 2026 PAKETLEME'!$B$2:$B$501,A267,'22 2026 PAKETLEME'!$G$2:$G$501))</f>
        <v>0</v>
      </c>
      <c r="G267" s="81">
        <f>IF(A267="","",SUMIF('22 2026 PAKETLEME'!$B$2:$B$501,A267,'22 2026 PAKETLEME'!$H$2:$H$501))</f>
        <v>0</v>
      </c>
      <c r="H267" s="81" t="e">
        <f t="shared" si="20"/>
        <v>#VALUE!</v>
      </c>
      <c r="I267" s="82">
        <f>IF(A267="","",SUMIF('23 2026 SEVKİYAT'!$E$2:$E$501,A267,'23 2026 SEVKİYAT'!$H$2:$H$501))</f>
        <v>0</v>
      </c>
      <c r="J267" s="81">
        <f t="shared" si="21"/>
        <v>0</v>
      </c>
      <c r="K267" s="81" t="e">
        <f t="shared" si="22"/>
        <v>#VALUE!</v>
      </c>
      <c r="L267" s="58" t="e">
        <f t="shared" si="23"/>
        <v>#VALUE!</v>
      </c>
      <c r="M267" s="56" t="e">
        <f t="shared" si="24"/>
        <v>#VALUE!</v>
      </c>
    </row>
    <row r="268" spans="1:13" ht="15" customHeight="1" x14ac:dyDescent="0.2">
      <c r="A268" s="60">
        <f>'21 2026 ÜRETİM'!A268</f>
        <v>0</v>
      </c>
      <c r="B268" s="81" t="str">
        <f>IF(A268="","",'21 2026 ÜRETİM'!D268)</f>
        <v/>
      </c>
      <c r="C268" s="81">
        <f>IF(A268="","",'21 2026 ÜRETİM'!E268)</f>
        <v>0</v>
      </c>
      <c r="D268" s="82" t="str">
        <f>IF(A268="","",'21 2026 ÜRETİM'!F268)</f>
        <v/>
      </c>
      <c r="E268" s="81">
        <f>IF(A268="","",SUMIF('22 2026 PAKETLEME'!$B$2:$B$501,A268,'22 2026 PAKETLEME'!$E$2:$E$501))</f>
        <v>0</v>
      </c>
      <c r="F268" s="82">
        <f>IF(A268="","",SUMIF('22 2026 PAKETLEME'!$B$2:$B$501,A268,'22 2026 PAKETLEME'!$G$2:$G$501))</f>
        <v>0</v>
      </c>
      <c r="G268" s="81">
        <f>IF(A268="","",SUMIF('22 2026 PAKETLEME'!$B$2:$B$501,A268,'22 2026 PAKETLEME'!$H$2:$H$501))</f>
        <v>0</v>
      </c>
      <c r="H268" s="81" t="e">
        <f t="shared" si="20"/>
        <v>#VALUE!</v>
      </c>
      <c r="I268" s="82">
        <f>IF(A268="","",SUMIF('23 2026 SEVKİYAT'!$E$2:$E$501,A268,'23 2026 SEVKİYAT'!$H$2:$H$501))</f>
        <v>0</v>
      </c>
      <c r="J268" s="81">
        <f t="shared" si="21"/>
        <v>0</v>
      </c>
      <c r="K268" s="81" t="e">
        <f t="shared" si="22"/>
        <v>#VALUE!</v>
      </c>
      <c r="L268" s="58" t="e">
        <f t="shared" si="23"/>
        <v>#VALUE!</v>
      </c>
      <c r="M268" s="56" t="e">
        <f t="shared" si="24"/>
        <v>#VALUE!</v>
      </c>
    </row>
    <row r="269" spans="1:13" ht="15" customHeight="1" x14ac:dyDescent="0.2">
      <c r="A269" s="60">
        <f>'21 2026 ÜRETİM'!A269</f>
        <v>0</v>
      </c>
      <c r="B269" s="81" t="str">
        <f>IF(A269="","",'21 2026 ÜRETİM'!D269)</f>
        <v/>
      </c>
      <c r="C269" s="81">
        <f>IF(A269="","",'21 2026 ÜRETİM'!E269)</f>
        <v>0</v>
      </c>
      <c r="D269" s="82" t="str">
        <f>IF(A269="","",'21 2026 ÜRETİM'!F269)</f>
        <v/>
      </c>
      <c r="E269" s="81">
        <f>IF(A269="","",SUMIF('22 2026 PAKETLEME'!$B$2:$B$501,A269,'22 2026 PAKETLEME'!$E$2:$E$501))</f>
        <v>0</v>
      </c>
      <c r="F269" s="82">
        <f>IF(A269="","",SUMIF('22 2026 PAKETLEME'!$B$2:$B$501,A269,'22 2026 PAKETLEME'!$G$2:$G$501))</f>
        <v>0</v>
      </c>
      <c r="G269" s="81">
        <f>IF(A269="","",SUMIF('22 2026 PAKETLEME'!$B$2:$B$501,A269,'22 2026 PAKETLEME'!$H$2:$H$501))</f>
        <v>0</v>
      </c>
      <c r="H269" s="81" t="e">
        <f t="shared" si="20"/>
        <v>#VALUE!</v>
      </c>
      <c r="I269" s="82">
        <f>IF(A269="","",SUMIF('23 2026 SEVKİYAT'!$E$2:$E$501,A269,'23 2026 SEVKİYAT'!$H$2:$H$501))</f>
        <v>0</v>
      </c>
      <c r="J269" s="81">
        <f t="shared" si="21"/>
        <v>0</v>
      </c>
      <c r="K269" s="81" t="e">
        <f t="shared" si="22"/>
        <v>#VALUE!</v>
      </c>
      <c r="L269" s="58" t="e">
        <f t="shared" si="23"/>
        <v>#VALUE!</v>
      </c>
      <c r="M269" s="56" t="e">
        <f t="shared" si="24"/>
        <v>#VALUE!</v>
      </c>
    </row>
    <row r="270" spans="1:13" ht="15" customHeight="1" x14ac:dyDescent="0.2">
      <c r="A270" s="60">
        <f>'21 2026 ÜRETİM'!A270</f>
        <v>0</v>
      </c>
      <c r="B270" s="81" t="str">
        <f>IF(A270="","",'21 2026 ÜRETİM'!D270)</f>
        <v/>
      </c>
      <c r="C270" s="81">
        <f>IF(A270="","",'21 2026 ÜRETİM'!E270)</f>
        <v>0</v>
      </c>
      <c r="D270" s="82" t="str">
        <f>IF(A270="","",'21 2026 ÜRETİM'!F270)</f>
        <v/>
      </c>
      <c r="E270" s="81">
        <f>IF(A270="","",SUMIF('22 2026 PAKETLEME'!$B$2:$B$501,A270,'22 2026 PAKETLEME'!$E$2:$E$501))</f>
        <v>0</v>
      </c>
      <c r="F270" s="82">
        <f>IF(A270="","",SUMIF('22 2026 PAKETLEME'!$B$2:$B$501,A270,'22 2026 PAKETLEME'!$G$2:$G$501))</f>
        <v>0</v>
      </c>
      <c r="G270" s="81">
        <f>IF(A270="","",SUMIF('22 2026 PAKETLEME'!$B$2:$B$501,A270,'22 2026 PAKETLEME'!$H$2:$H$501))</f>
        <v>0</v>
      </c>
      <c r="H270" s="81" t="e">
        <f t="shared" si="20"/>
        <v>#VALUE!</v>
      </c>
      <c r="I270" s="82">
        <f>IF(A270="","",SUMIF('23 2026 SEVKİYAT'!$E$2:$E$501,A270,'23 2026 SEVKİYAT'!$H$2:$H$501))</f>
        <v>0</v>
      </c>
      <c r="J270" s="81">
        <f t="shared" si="21"/>
        <v>0</v>
      </c>
      <c r="K270" s="81" t="e">
        <f t="shared" si="22"/>
        <v>#VALUE!</v>
      </c>
      <c r="L270" s="58" t="e">
        <f t="shared" si="23"/>
        <v>#VALUE!</v>
      </c>
      <c r="M270" s="56" t="e">
        <f t="shared" si="24"/>
        <v>#VALUE!</v>
      </c>
    </row>
    <row r="271" spans="1:13" ht="15" customHeight="1" x14ac:dyDescent="0.2">
      <c r="A271" s="60">
        <f>'21 2026 ÜRETİM'!A271</f>
        <v>0</v>
      </c>
      <c r="B271" s="81" t="str">
        <f>IF(A271="","",'21 2026 ÜRETİM'!D271)</f>
        <v/>
      </c>
      <c r="C271" s="81">
        <f>IF(A271="","",'21 2026 ÜRETİM'!E271)</f>
        <v>0</v>
      </c>
      <c r="D271" s="82" t="str">
        <f>IF(A271="","",'21 2026 ÜRETİM'!F271)</f>
        <v/>
      </c>
      <c r="E271" s="81">
        <f>IF(A271="","",SUMIF('22 2026 PAKETLEME'!$B$2:$B$501,A271,'22 2026 PAKETLEME'!$E$2:$E$501))</f>
        <v>0</v>
      </c>
      <c r="F271" s="82">
        <f>IF(A271="","",SUMIF('22 2026 PAKETLEME'!$B$2:$B$501,A271,'22 2026 PAKETLEME'!$G$2:$G$501))</f>
        <v>0</v>
      </c>
      <c r="G271" s="81">
        <f>IF(A271="","",SUMIF('22 2026 PAKETLEME'!$B$2:$B$501,A271,'22 2026 PAKETLEME'!$H$2:$H$501))</f>
        <v>0</v>
      </c>
      <c r="H271" s="81" t="e">
        <f t="shared" si="20"/>
        <v>#VALUE!</v>
      </c>
      <c r="I271" s="82">
        <f>IF(A271="","",SUMIF('23 2026 SEVKİYAT'!$E$2:$E$501,A271,'23 2026 SEVKİYAT'!$H$2:$H$501))</f>
        <v>0</v>
      </c>
      <c r="J271" s="81">
        <f t="shared" si="21"/>
        <v>0</v>
      </c>
      <c r="K271" s="81" t="e">
        <f t="shared" si="22"/>
        <v>#VALUE!</v>
      </c>
      <c r="L271" s="58" t="e">
        <f t="shared" si="23"/>
        <v>#VALUE!</v>
      </c>
      <c r="M271" s="56" t="e">
        <f t="shared" si="24"/>
        <v>#VALUE!</v>
      </c>
    </row>
    <row r="272" spans="1:13" ht="15" customHeight="1" x14ac:dyDescent="0.2">
      <c r="A272" s="60">
        <f>'21 2026 ÜRETİM'!A272</f>
        <v>0</v>
      </c>
      <c r="B272" s="81" t="str">
        <f>IF(A272="","",'21 2026 ÜRETİM'!D272)</f>
        <v/>
      </c>
      <c r="C272" s="81">
        <f>IF(A272="","",'21 2026 ÜRETİM'!E272)</f>
        <v>0</v>
      </c>
      <c r="D272" s="82" t="str">
        <f>IF(A272="","",'21 2026 ÜRETİM'!F272)</f>
        <v/>
      </c>
      <c r="E272" s="81">
        <f>IF(A272="","",SUMIF('22 2026 PAKETLEME'!$B$2:$B$501,A272,'22 2026 PAKETLEME'!$E$2:$E$501))</f>
        <v>0</v>
      </c>
      <c r="F272" s="82">
        <f>IF(A272="","",SUMIF('22 2026 PAKETLEME'!$B$2:$B$501,A272,'22 2026 PAKETLEME'!$G$2:$G$501))</f>
        <v>0</v>
      </c>
      <c r="G272" s="81">
        <f>IF(A272="","",SUMIF('22 2026 PAKETLEME'!$B$2:$B$501,A272,'22 2026 PAKETLEME'!$H$2:$H$501))</f>
        <v>0</v>
      </c>
      <c r="H272" s="81" t="e">
        <f t="shared" si="20"/>
        <v>#VALUE!</v>
      </c>
      <c r="I272" s="82">
        <f>IF(A272="","",SUMIF('23 2026 SEVKİYAT'!$E$2:$E$501,A272,'23 2026 SEVKİYAT'!$H$2:$H$501))</f>
        <v>0</v>
      </c>
      <c r="J272" s="81">
        <f t="shared" si="21"/>
        <v>0</v>
      </c>
      <c r="K272" s="81" t="e">
        <f t="shared" si="22"/>
        <v>#VALUE!</v>
      </c>
      <c r="L272" s="58" t="e">
        <f t="shared" si="23"/>
        <v>#VALUE!</v>
      </c>
      <c r="M272" s="56" t="e">
        <f t="shared" si="24"/>
        <v>#VALUE!</v>
      </c>
    </row>
    <row r="273" spans="1:13" ht="15" customHeight="1" x14ac:dyDescent="0.2">
      <c r="A273" s="60">
        <f>'21 2026 ÜRETİM'!A273</f>
        <v>0</v>
      </c>
      <c r="B273" s="81" t="str">
        <f>IF(A273="","",'21 2026 ÜRETİM'!D273)</f>
        <v/>
      </c>
      <c r="C273" s="81">
        <f>IF(A273="","",'21 2026 ÜRETİM'!E273)</f>
        <v>0</v>
      </c>
      <c r="D273" s="82" t="str">
        <f>IF(A273="","",'21 2026 ÜRETİM'!F273)</f>
        <v/>
      </c>
      <c r="E273" s="81">
        <f>IF(A273="","",SUMIF('22 2026 PAKETLEME'!$B$2:$B$501,A273,'22 2026 PAKETLEME'!$E$2:$E$501))</f>
        <v>0</v>
      </c>
      <c r="F273" s="82">
        <f>IF(A273="","",SUMIF('22 2026 PAKETLEME'!$B$2:$B$501,A273,'22 2026 PAKETLEME'!$G$2:$G$501))</f>
        <v>0</v>
      </c>
      <c r="G273" s="81">
        <f>IF(A273="","",SUMIF('22 2026 PAKETLEME'!$B$2:$B$501,A273,'22 2026 PAKETLEME'!$H$2:$H$501))</f>
        <v>0</v>
      </c>
      <c r="H273" s="81" t="e">
        <f t="shared" si="20"/>
        <v>#VALUE!</v>
      </c>
      <c r="I273" s="82">
        <f>IF(A273="","",SUMIF('23 2026 SEVKİYAT'!$E$2:$E$501,A273,'23 2026 SEVKİYAT'!$H$2:$H$501))</f>
        <v>0</v>
      </c>
      <c r="J273" s="81">
        <f t="shared" si="21"/>
        <v>0</v>
      </c>
      <c r="K273" s="81" t="e">
        <f t="shared" si="22"/>
        <v>#VALUE!</v>
      </c>
      <c r="L273" s="58" t="e">
        <f t="shared" si="23"/>
        <v>#VALUE!</v>
      </c>
      <c r="M273" s="56" t="e">
        <f t="shared" si="24"/>
        <v>#VALUE!</v>
      </c>
    </row>
    <row r="274" spans="1:13" ht="15" customHeight="1" x14ac:dyDescent="0.2">
      <c r="A274" s="60">
        <f>'21 2026 ÜRETİM'!A274</f>
        <v>0</v>
      </c>
      <c r="B274" s="81" t="str">
        <f>IF(A274="","",'21 2026 ÜRETİM'!D274)</f>
        <v/>
      </c>
      <c r="C274" s="81">
        <f>IF(A274="","",'21 2026 ÜRETİM'!E274)</f>
        <v>0</v>
      </c>
      <c r="D274" s="82" t="str">
        <f>IF(A274="","",'21 2026 ÜRETİM'!F274)</f>
        <v/>
      </c>
      <c r="E274" s="81">
        <f>IF(A274="","",SUMIF('22 2026 PAKETLEME'!$B$2:$B$501,A274,'22 2026 PAKETLEME'!$E$2:$E$501))</f>
        <v>0</v>
      </c>
      <c r="F274" s="82">
        <f>IF(A274="","",SUMIF('22 2026 PAKETLEME'!$B$2:$B$501,A274,'22 2026 PAKETLEME'!$G$2:$G$501))</f>
        <v>0</v>
      </c>
      <c r="G274" s="81">
        <f>IF(A274="","",SUMIF('22 2026 PAKETLEME'!$B$2:$B$501,A274,'22 2026 PAKETLEME'!$H$2:$H$501))</f>
        <v>0</v>
      </c>
      <c r="H274" s="81" t="e">
        <f t="shared" si="20"/>
        <v>#VALUE!</v>
      </c>
      <c r="I274" s="82">
        <f>IF(A274="","",SUMIF('23 2026 SEVKİYAT'!$E$2:$E$501,A274,'23 2026 SEVKİYAT'!$H$2:$H$501))</f>
        <v>0</v>
      </c>
      <c r="J274" s="81">
        <f t="shared" si="21"/>
        <v>0</v>
      </c>
      <c r="K274" s="81" t="e">
        <f t="shared" si="22"/>
        <v>#VALUE!</v>
      </c>
      <c r="L274" s="58" t="e">
        <f t="shared" si="23"/>
        <v>#VALUE!</v>
      </c>
      <c r="M274" s="56" t="e">
        <f t="shared" si="24"/>
        <v>#VALUE!</v>
      </c>
    </row>
    <row r="275" spans="1:13" ht="15" customHeight="1" x14ac:dyDescent="0.2">
      <c r="A275" s="60">
        <f>'21 2026 ÜRETİM'!A275</f>
        <v>0</v>
      </c>
      <c r="B275" s="81" t="str">
        <f>IF(A275="","",'21 2026 ÜRETİM'!D275)</f>
        <v/>
      </c>
      <c r="C275" s="81">
        <f>IF(A275="","",'21 2026 ÜRETİM'!E275)</f>
        <v>0</v>
      </c>
      <c r="D275" s="82" t="str">
        <f>IF(A275="","",'21 2026 ÜRETİM'!F275)</f>
        <v/>
      </c>
      <c r="E275" s="81">
        <f>IF(A275="","",SUMIF('22 2026 PAKETLEME'!$B$2:$B$501,A275,'22 2026 PAKETLEME'!$E$2:$E$501))</f>
        <v>0</v>
      </c>
      <c r="F275" s="82">
        <f>IF(A275="","",SUMIF('22 2026 PAKETLEME'!$B$2:$B$501,A275,'22 2026 PAKETLEME'!$G$2:$G$501))</f>
        <v>0</v>
      </c>
      <c r="G275" s="81">
        <f>IF(A275="","",SUMIF('22 2026 PAKETLEME'!$B$2:$B$501,A275,'22 2026 PAKETLEME'!$H$2:$H$501))</f>
        <v>0</v>
      </c>
      <c r="H275" s="81" t="e">
        <f t="shared" si="20"/>
        <v>#VALUE!</v>
      </c>
      <c r="I275" s="82">
        <f>IF(A275="","",SUMIF('23 2026 SEVKİYAT'!$E$2:$E$501,A275,'23 2026 SEVKİYAT'!$H$2:$H$501))</f>
        <v>0</v>
      </c>
      <c r="J275" s="81">
        <f t="shared" si="21"/>
        <v>0</v>
      </c>
      <c r="K275" s="81" t="e">
        <f t="shared" si="22"/>
        <v>#VALUE!</v>
      </c>
      <c r="L275" s="58" t="e">
        <f t="shared" si="23"/>
        <v>#VALUE!</v>
      </c>
      <c r="M275" s="56" t="e">
        <f t="shared" si="24"/>
        <v>#VALUE!</v>
      </c>
    </row>
    <row r="276" spans="1:13" ht="15" customHeight="1" x14ac:dyDescent="0.2">
      <c r="A276" s="60">
        <f>'21 2026 ÜRETİM'!A276</f>
        <v>0</v>
      </c>
      <c r="B276" s="81" t="str">
        <f>IF(A276="","",'21 2026 ÜRETİM'!D276)</f>
        <v/>
      </c>
      <c r="C276" s="81">
        <f>IF(A276="","",'21 2026 ÜRETİM'!E276)</f>
        <v>0</v>
      </c>
      <c r="D276" s="82" t="str">
        <f>IF(A276="","",'21 2026 ÜRETİM'!F276)</f>
        <v/>
      </c>
      <c r="E276" s="81">
        <f>IF(A276="","",SUMIF('22 2026 PAKETLEME'!$B$2:$B$501,A276,'22 2026 PAKETLEME'!$E$2:$E$501))</f>
        <v>0</v>
      </c>
      <c r="F276" s="82">
        <f>IF(A276="","",SUMIF('22 2026 PAKETLEME'!$B$2:$B$501,A276,'22 2026 PAKETLEME'!$G$2:$G$501))</f>
        <v>0</v>
      </c>
      <c r="G276" s="81">
        <f>IF(A276="","",SUMIF('22 2026 PAKETLEME'!$B$2:$B$501,A276,'22 2026 PAKETLEME'!$H$2:$H$501))</f>
        <v>0</v>
      </c>
      <c r="H276" s="81" t="e">
        <f t="shared" si="20"/>
        <v>#VALUE!</v>
      </c>
      <c r="I276" s="82">
        <f>IF(A276="","",SUMIF('23 2026 SEVKİYAT'!$E$2:$E$501,A276,'23 2026 SEVKİYAT'!$H$2:$H$501))</f>
        <v>0</v>
      </c>
      <c r="J276" s="81">
        <f t="shared" si="21"/>
        <v>0</v>
      </c>
      <c r="K276" s="81" t="e">
        <f t="shared" si="22"/>
        <v>#VALUE!</v>
      </c>
      <c r="L276" s="58" t="e">
        <f t="shared" si="23"/>
        <v>#VALUE!</v>
      </c>
      <c r="M276" s="56" t="e">
        <f t="shared" si="24"/>
        <v>#VALUE!</v>
      </c>
    </row>
    <row r="277" spans="1:13" ht="15" customHeight="1" x14ac:dyDescent="0.2">
      <c r="A277" s="60">
        <f>'21 2026 ÜRETİM'!A277</f>
        <v>0</v>
      </c>
      <c r="B277" s="81" t="str">
        <f>IF(A277="","",'21 2026 ÜRETİM'!D277)</f>
        <v/>
      </c>
      <c r="C277" s="81">
        <f>IF(A277="","",'21 2026 ÜRETİM'!E277)</f>
        <v>0</v>
      </c>
      <c r="D277" s="82" t="str">
        <f>IF(A277="","",'21 2026 ÜRETİM'!F277)</f>
        <v/>
      </c>
      <c r="E277" s="81">
        <f>IF(A277="","",SUMIF('22 2026 PAKETLEME'!$B$2:$B$501,A277,'22 2026 PAKETLEME'!$E$2:$E$501))</f>
        <v>0</v>
      </c>
      <c r="F277" s="82">
        <f>IF(A277="","",SUMIF('22 2026 PAKETLEME'!$B$2:$B$501,A277,'22 2026 PAKETLEME'!$G$2:$G$501))</f>
        <v>0</v>
      </c>
      <c r="G277" s="81">
        <f>IF(A277="","",SUMIF('22 2026 PAKETLEME'!$B$2:$B$501,A277,'22 2026 PAKETLEME'!$H$2:$H$501))</f>
        <v>0</v>
      </c>
      <c r="H277" s="81" t="e">
        <f t="shared" si="20"/>
        <v>#VALUE!</v>
      </c>
      <c r="I277" s="82">
        <f>IF(A277="","",SUMIF('23 2026 SEVKİYAT'!$E$2:$E$501,A277,'23 2026 SEVKİYAT'!$H$2:$H$501))</f>
        <v>0</v>
      </c>
      <c r="J277" s="81">
        <f t="shared" si="21"/>
        <v>0</v>
      </c>
      <c r="K277" s="81" t="e">
        <f t="shared" si="22"/>
        <v>#VALUE!</v>
      </c>
      <c r="L277" s="58" t="e">
        <f t="shared" si="23"/>
        <v>#VALUE!</v>
      </c>
      <c r="M277" s="56" t="e">
        <f t="shared" si="24"/>
        <v>#VALUE!</v>
      </c>
    </row>
    <row r="278" spans="1:13" ht="15" customHeight="1" x14ac:dyDescent="0.2">
      <c r="A278" s="60">
        <f>'21 2026 ÜRETİM'!A278</f>
        <v>0</v>
      </c>
      <c r="B278" s="81" t="str">
        <f>IF(A278="","",'21 2026 ÜRETİM'!D278)</f>
        <v/>
      </c>
      <c r="C278" s="81">
        <f>IF(A278="","",'21 2026 ÜRETİM'!E278)</f>
        <v>0</v>
      </c>
      <c r="D278" s="82" t="str">
        <f>IF(A278="","",'21 2026 ÜRETİM'!F278)</f>
        <v/>
      </c>
      <c r="E278" s="81">
        <f>IF(A278="","",SUMIF('22 2026 PAKETLEME'!$B$2:$B$501,A278,'22 2026 PAKETLEME'!$E$2:$E$501))</f>
        <v>0</v>
      </c>
      <c r="F278" s="82">
        <f>IF(A278="","",SUMIF('22 2026 PAKETLEME'!$B$2:$B$501,A278,'22 2026 PAKETLEME'!$G$2:$G$501))</f>
        <v>0</v>
      </c>
      <c r="G278" s="81">
        <f>IF(A278="","",SUMIF('22 2026 PAKETLEME'!$B$2:$B$501,A278,'22 2026 PAKETLEME'!$H$2:$H$501))</f>
        <v>0</v>
      </c>
      <c r="H278" s="81" t="e">
        <f t="shared" si="20"/>
        <v>#VALUE!</v>
      </c>
      <c r="I278" s="82">
        <f>IF(A278="","",SUMIF('23 2026 SEVKİYAT'!$E$2:$E$501,A278,'23 2026 SEVKİYAT'!$H$2:$H$501))</f>
        <v>0</v>
      </c>
      <c r="J278" s="81">
        <f t="shared" si="21"/>
        <v>0</v>
      </c>
      <c r="K278" s="81" t="e">
        <f t="shared" si="22"/>
        <v>#VALUE!</v>
      </c>
      <c r="L278" s="58" t="e">
        <f t="shared" si="23"/>
        <v>#VALUE!</v>
      </c>
      <c r="M278" s="56" t="e">
        <f t="shared" si="24"/>
        <v>#VALUE!</v>
      </c>
    </row>
    <row r="279" spans="1:13" ht="15" customHeight="1" x14ac:dyDescent="0.2">
      <c r="A279" s="60">
        <f>'21 2026 ÜRETİM'!A279</f>
        <v>0</v>
      </c>
      <c r="B279" s="81" t="str">
        <f>IF(A279="","",'21 2026 ÜRETİM'!D279)</f>
        <v/>
      </c>
      <c r="C279" s="81">
        <f>IF(A279="","",'21 2026 ÜRETİM'!E279)</f>
        <v>0</v>
      </c>
      <c r="D279" s="82" t="str">
        <f>IF(A279="","",'21 2026 ÜRETİM'!F279)</f>
        <v/>
      </c>
      <c r="E279" s="81">
        <f>IF(A279="","",SUMIF('22 2026 PAKETLEME'!$B$2:$B$501,A279,'22 2026 PAKETLEME'!$E$2:$E$501))</f>
        <v>0</v>
      </c>
      <c r="F279" s="82">
        <f>IF(A279="","",SUMIF('22 2026 PAKETLEME'!$B$2:$B$501,A279,'22 2026 PAKETLEME'!$G$2:$G$501))</f>
        <v>0</v>
      </c>
      <c r="G279" s="81">
        <f>IF(A279="","",SUMIF('22 2026 PAKETLEME'!$B$2:$B$501,A279,'22 2026 PAKETLEME'!$H$2:$H$501))</f>
        <v>0</v>
      </c>
      <c r="H279" s="81" t="e">
        <f t="shared" si="20"/>
        <v>#VALUE!</v>
      </c>
      <c r="I279" s="82">
        <f>IF(A279="","",SUMIF('23 2026 SEVKİYAT'!$E$2:$E$501,A279,'23 2026 SEVKİYAT'!$H$2:$H$501))</f>
        <v>0</v>
      </c>
      <c r="J279" s="81">
        <f t="shared" si="21"/>
        <v>0</v>
      </c>
      <c r="K279" s="81" t="e">
        <f t="shared" si="22"/>
        <v>#VALUE!</v>
      </c>
      <c r="L279" s="58" t="e">
        <f t="shared" si="23"/>
        <v>#VALUE!</v>
      </c>
      <c r="M279" s="56" t="e">
        <f t="shared" si="24"/>
        <v>#VALUE!</v>
      </c>
    </row>
    <row r="280" spans="1:13" ht="15" customHeight="1" x14ac:dyDescent="0.2">
      <c r="A280" s="60">
        <f>'21 2026 ÜRETİM'!A280</f>
        <v>0</v>
      </c>
      <c r="B280" s="81" t="str">
        <f>IF(A280="","",'21 2026 ÜRETİM'!D280)</f>
        <v/>
      </c>
      <c r="C280" s="81">
        <f>IF(A280="","",'21 2026 ÜRETİM'!E280)</f>
        <v>0</v>
      </c>
      <c r="D280" s="82" t="str">
        <f>IF(A280="","",'21 2026 ÜRETİM'!F280)</f>
        <v/>
      </c>
      <c r="E280" s="81">
        <f>IF(A280="","",SUMIF('22 2026 PAKETLEME'!$B$2:$B$501,A280,'22 2026 PAKETLEME'!$E$2:$E$501))</f>
        <v>0</v>
      </c>
      <c r="F280" s="82">
        <f>IF(A280="","",SUMIF('22 2026 PAKETLEME'!$B$2:$B$501,A280,'22 2026 PAKETLEME'!$G$2:$G$501))</f>
        <v>0</v>
      </c>
      <c r="G280" s="81">
        <f>IF(A280="","",SUMIF('22 2026 PAKETLEME'!$B$2:$B$501,A280,'22 2026 PAKETLEME'!$H$2:$H$501))</f>
        <v>0</v>
      </c>
      <c r="H280" s="81" t="e">
        <f t="shared" si="20"/>
        <v>#VALUE!</v>
      </c>
      <c r="I280" s="82">
        <f>IF(A280="","",SUMIF('23 2026 SEVKİYAT'!$E$2:$E$501,A280,'23 2026 SEVKİYAT'!$H$2:$H$501))</f>
        <v>0</v>
      </c>
      <c r="J280" s="81">
        <f t="shared" si="21"/>
        <v>0</v>
      </c>
      <c r="K280" s="81" t="e">
        <f t="shared" si="22"/>
        <v>#VALUE!</v>
      </c>
      <c r="L280" s="58" t="e">
        <f t="shared" si="23"/>
        <v>#VALUE!</v>
      </c>
      <c r="M280" s="56" t="e">
        <f t="shared" si="24"/>
        <v>#VALUE!</v>
      </c>
    </row>
    <row r="281" spans="1:13" ht="15" customHeight="1" x14ac:dyDescent="0.2">
      <c r="A281" s="60">
        <f>'21 2026 ÜRETİM'!A281</f>
        <v>0</v>
      </c>
      <c r="B281" s="81" t="str">
        <f>IF(A281="","",'21 2026 ÜRETİM'!D281)</f>
        <v/>
      </c>
      <c r="C281" s="81">
        <f>IF(A281="","",'21 2026 ÜRETİM'!E281)</f>
        <v>0</v>
      </c>
      <c r="D281" s="82" t="str">
        <f>IF(A281="","",'21 2026 ÜRETİM'!F281)</f>
        <v/>
      </c>
      <c r="E281" s="81">
        <f>IF(A281="","",SUMIF('22 2026 PAKETLEME'!$B$2:$B$501,A281,'22 2026 PAKETLEME'!$E$2:$E$501))</f>
        <v>0</v>
      </c>
      <c r="F281" s="82">
        <f>IF(A281="","",SUMIF('22 2026 PAKETLEME'!$B$2:$B$501,A281,'22 2026 PAKETLEME'!$G$2:$G$501))</f>
        <v>0</v>
      </c>
      <c r="G281" s="81">
        <f>IF(A281="","",SUMIF('22 2026 PAKETLEME'!$B$2:$B$501,A281,'22 2026 PAKETLEME'!$H$2:$H$501))</f>
        <v>0</v>
      </c>
      <c r="H281" s="81" t="e">
        <f t="shared" si="20"/>
        <v>#VALUE!</v>
      </c>
      <c r="I281" s="82">
        <f>IF(A281="","",SUMIF('23 2026 SEVKİYAT'!$E$2:$E$501,A281,'23 2026 SEVKİYAT'!$H$2:$H$501))</f>
        <v>0</v>
      </c>
      <c r="J281" s="81">
        <f t="shared" si="21"/>
        <v>0</v>
      </c>
      <c r="K281" s="81" t="e">
        <f t="shared" si="22"/>
        <v>#VALUE!</v>
      </c>
      <c r="L281" s="58" t="e">
        <f t="shared" si="23"/>
        <v>#VALUE!</v>
      </c>
      <c r="M281" s="56" t="e">
        <f t="shared" si="24"/>
        <v>#VALUE!</v>
      </c>
    </row>
    <row r="282" spans="1:13" ht="15" customHeight="1" x14ac:dyDescent="0.2">
      <c r="A282" s="60">
        <f>'21 2026 ÜRETİM'!A282</f>
        <v>0</v>
      </c>
      <c r="B282" s="81" t="str">
        <f>IF(A282="","",'21 2026 ÜRETİM'!D282)</f>
        <v/>
      </c>
      <c r="C282" s="81">
        <f>IF(A282="","",'21 2026 ÜRETİM'!E282)</f>
        <v>0</v>
      </c>
      <c r="D282" s="82" t="str">
        <f>IF(A282="","",'21 2026 ÜRETİM'!F282)</f>
        <v/>
      </c>
      <c r="E282" s="81">
        <f>IF(A282="","",SUMIF('22 2026 PAKETLEME'!$B$2:$B$501,A282,'22 2026 PAKETLEME'!$E$2:$E$501))</f>
        <v>0</v>
      </c>
      <c r="F282" s="82">
        <f>IF(A282="","",SUMIF('22 2026 PAKETLEME'!$B$2:$B$501,A282,'22 2026 PAKETLEME'!$G$2:$G$501))</f>
        <v>0</v>
      </c>
      <c r="G282" s="81">
        <f>IF(A282="","",SUMIF('22 2026 PAKETLEME'!$B$2:$B$501,A282,'22 2026 PAKETLEME'!$H$2:$H$501))</f>
        <v>0</v>
      </c>
      <c r="H282" s="81" t="e">
        <f t="shared" si="20"/>
        <v>#VALUE!</v>
      </c>
      <c r="I282" s="82">
        <f>IF(A282="","",SUMIF('23 2026 SEVKİYAT'!$E$2:$E$501,A282,'23 2026 SEVKİYAT'!$H$2:$H$501))</f>
        <v>0</v>
      </c>
      <c r="J282" s="81">
        <f t="shared" si="21"/>
        <v>0</v>
      </c>
      <c r="K282" s="81" t="e">
        <f t="shared" si="22"/>
        <v>#VALUE!</v>
      </c>
      <c r="L282" s="58" t="e">
        <f t="shared" si="23"/>
        <v>#VALUE!</v>
      </c>
      <c r="M282" s="56" t="e">
        <f t="shared" si="24"/>
        <v>#VALUE!</v>
      </c>
    </row>
    <row r="283" spans="1:13" ht="15" customHeight="1" x14ac:dyDescent="0.2">
      <c r="A283" s="60">
        <f>'21 2026 ÜRETİM'!A283</f>
        <v>0</v>
      </c>
      <c r="B283" s="81" t="str">
        <f>IF(A283="","",'21 2026 ÜRETİM'!D283)</f>
        <v/>
      </c>
      <c r="C283" s="81">
        <f>IF(A283="","",'21 2026 ÜRETİM'!E283)</f>
        <v>0</v>
      </c>
      <c r="D283" s="82" t="str">
        <f>IF(A283="","",'21 2026 ÜRETİM'!F283)</f>
        <v/>
      </c>
      <c r="E283" s="81">
        <f>IF(A283="","",SUMIF('22 2026 PAKETLEME'!$B$2:$B$501,A283,'22 2026 PAKETLEME'!$E$2:$E$501))</f>
        <v>0</v>
      </c>
      <c r="F283" s="82">
        <f>IF(A283="","",SUMIF('22 2026 PAKETLEME'!$B$2:$B$501,A283,'22 2026 PAKETLEME'!$G$2:$G$501))</f>
        <v>0</v>
      </c>
      <c r="G283" s="81">
        <f>IF(A283="","",SUMIF('22 2026 PAKETLEME'!$B$2:$B$501,A283,'22 2026 PAKETLEME'!$H$2:$H$501))</f>
        <v>0</v>
      </c>
      <c r="H283" s="81" t="e">
        <f t="shared" si="20"/>
        <v>#VALUE!</v>
      </c>
      <c r="I283" s="82">
        <f>IF(A283="","",SUMIF('23 2026 SEVKİYAT'!$E$2:$E$501,A283,'23 2026 SEVKİYAT'!$H$2:$H$501))</f>
        <v>0</v>
      </c>
      <c r="J283" s="81">
        <f t="shared" si="21"/>
        <v>0</v>
      </c>
      <c r="K283" s="81" t="e">
        <f t="shared" si="22"/>
        <v>#VALUE!</v>
      </c>
      <c r="L283" s="58" t="e">
        <f t="shared" si="23"/>
        <v>#VALUE!</v>
      </c>
      <c r="M283" s="56" t="e">
        <f t="shared" si="24"/>
        <v>#VALUE!</v>
      </c>
    </row>
    <row r="284" spans="1:13" ht="15" customHeight="1" x14ac:dyDescent="0.2">
      <c r="A284" s="60">
        <f>'21 2026 ÜRETİM'!A284</f>
        <v>0</v>
      </c>
      <c r="B284" s="81" t="str">
        <f>IF(A284="","",'21 2026 ÜRETİM'!D284)</f>
        <v/>
      </c>
      <c r="C284" s="81">
        <f>IF(A284="","",'21 2026 ÜRETİM'!E284)</f>
        <v>0</v>
      </c>
      <c r="D284" s="82" t="str">
        <f>IF(A284="","",'21 2026 ÜRETİM'!F284)</f>
        <v/>
      </c>
      <c r="E284" s="81">
        <f>IF(A284="","",SUMIF('22 2026 PAKETLEME'!$B$2:$B$501,A284,'22 2026 PAKETLEME'!$E$2:$E$501))</f>
        <v>0</v>
      </c>
      <c r="F284" s="82">
        <f>IF(A284="","",SUMIF('22 2026 PAKETLEME'!$B$2:$B$501,A284,'22 2026 PAKETLEME'!$G$2:$G$501))</f>
        <v>0</v>
      </c>
      <c r="G284" s="81">
        <f>IF(A284="","",SUMIF('22 2026 PAKETLEME'!$B$2:$B$501,A284,'22 2026 PAKETLEME'!$H$2:$H$501))</f>
        <v>0</v>
      </c>
      <c r="H284" s="81" t="e">
        <f t="shared" si="20"/>
        <v>#VALUE!</v>
      </c>
      <c r="I284" s="82">
        <f>IF(A284="","",SUMIF('23 2026 SEVKİYAT'!$E$2:$E$501,A284,'23 2026 SEVKİYAT'!$H$2:$H$501))</f>
        <v>0</v>
      </c>
      <c r="J284" s="81">
        <f t="shared" si="21"/>
        <v>0</v>
      </c>
      <c r="K284" s="81" t="e">
        <f t="shared" si="22"/>
        <v>#VALUE!</v>
      </c>
      <c r="L284" s="58" t="e">
        <f t="shared" si="23"/>
        <v>#VALUE!</v>
      </c>
      <c r="M284" s="56" t="e">
        <f t="shared" si="24"/>
        <v>#VALUE!</v>
      </c>
    </row>
    <row r="285" spans="1:13" ht="15" customHeight="1" x14ac:dyDescent="0.2">
      <c r="A285" s="60">
        <f>'21 2026 ÜRETİM'!A285</f>
        <v>0</v>
      </c>
      <c r="B285" s="81" t="str">
        <f>IF(A285="","",'21 2026 ÜRETİM'!D285)</f>
        <v/>
      </c>
      <c r="C285" s="81">
        <f>IF(A285="","",'21 2026 ÜRETİM'!E285)</f>
        <v>0</v>
      </c>
      <c r="D285" s="82" t="str">
        <f>IF(A285="","",'21 2026 ÜRETİM'!F285)</f>
        <v/>
      </c>
      <c r="E285" s="81">
        <f>IF(A285="","",SUMIF('22 2026 PAKETLEME'!$B$2:$B$501,A285,'22 2026 PAKETLEME'!$E$2:$E$501))</f>
        <v>0</v>
      </c>
      <c r="F285" s="82">
        <f>IF(A285="","",SUMIF('22 2026 PAKETLEME'!$B$2:$B$501,A285,'22 2026 PAKETLEME'!$G$2:$G$501))</f>
        <v>0</v>
      </c>
      <c r="G285" s="81">
        <f>IF(A285="","",SUMIF('22 2026 PAKETLEME'!$B$2:$B$501,A285,'22 2026 PAKETLEME'!$H$2:$H$501))</f>
        <v>0</v>
      </c>
      <c r="H285" s="81" t="e">
        <f t="shared" si="20"/>
        <v>#VALUE!</v>
      </c>
      <c r="I285" s="82">
        <f>IF(A285="","",SUMIF('23 2026 SEVKİYAT'!$E$2:$E$501,A285,'23 2026 SEVKİYAT'!$H$2:$H$501))</f>
        <v>0</v>
      </c>
      <c r="J285" s="81">
        <f t="shared" si="21"/>
        <v>0</v>
      </c>
      <c r="K285" s="81" t="e">
        <f t="shared" si="22"/>
        <v>#VALUE!</v>
      </c>
      <c r="L285" s="58" t="e">
        <f t="shared" si="23"/>
        <v>#VALUE!</v>
      </c>
      <c r="M285" s="56" t="e">
        <f t="shared" si="24"/>
        <v>#VALUE!</v>
      </c>
    </row>
    <row r="286" spans="1:13" ht="15" customHeight="1" x14ac:dyDescent="0.2">
      <c r="A286" s="60">
        <f>'21 2026 ÜRETİM'!A286</f>
        <v>0</v>
      </c>
      <c r="B286" s="81" t="str">
        <f>IF(A286="","",'21 2026 ÜRETİM'!D286)</f>
        <v/>
      </c>
      <c r="C286" s="81">
        <f>IF(A286="","",'21 2026 ÜRETİM'!E286)</f>
        <v>0</v>
      </c>
      <c r="D286" s="82" t="str">
        <f>IF(A286="","",'21 2026 ÜRETİM'!F286)</f>
        <v/>
      </c>
      <c r="E286" s="81">
        <f>IF(A286="","",SUMIF('22 2026 PAKETLEME'!$B$2:$B$501,A286,'22 2026 PAKETLEME'!$E$2:$E$501))</f>
        <v>0</v>
      </c>
      <c r="F286" s="82">
        <f>IF(A286="","",SUMIF('22 2026 PAKETLEME'!$B$2:$B$501,A286,'22 2026 PAKETLEME'!$G$2:$G$501))</f>
        <v>0</v>
      </c>
      <c r="G286" s="81">
        <f>IF(A286="","",SUMIF('22 2026 PAKETLEME'!$B$2:$B$501,A286,'22 2026 PAKETLEME'!$H$2:$H$501))</f>
        <v>0</v>
      </c>
      <c r="H286" s="81" t="e">
        <f t="shared" si="20"/>
        <v>#VALUE!</v>
      </c>
      <c r="I286" s="82">
        <f>IF(A286="","",SUMIF('23 2026 SEVKİYAT'!$E$2:$E$501,A286,'23 2026 SEVKİYAT'!$H$2:$H$501))</f>
        <v>0</v>
      </c>
      <c r="J286" s="81">
        <f t="shared" si="21"/>
        <v>0</v>
      </c>
      <c r="K286" s="81" t="e">
        <f t="shared" si="22"/>
        <v>#VALUE!</v>
      </c>
      <c r="L286" s="58" t="e">
        <f t="shared" si="23"/>
        <v>#VALUE!</v>
      </c>
      <c r="M286" s="56" t="e">
        <f t="shared" si="24"/>
        <v>#VALUE!</v>
      </c>
    </row>
    <row r="287" spans="1:13" ht="15" customHeight="1" x14ac:dyDescent="0.2">
      <c r="A287" s="60">
        <f>'21 2026 ÜRETİM'!A287</f>
        <v>0</v>
      </c>
      <c r="B287" s="81" t="str">
        <f>IF(A287="","",'21 2026 ÜRETİM'!D287)</f>
        <v/>
      </c>
      <c r="C287" s="81">
        <f>IF(A287="","",'21 2026 ÜRETİM'!E287)</f>
        <v>0</v>
      </c>
      <c r="D287" s="82" t="str">
        <f>IF(A287="","",'21 2026 ÜRETİM'!F287)</f>
        <v/>
      </c>
      <c r="E287" s="81">
        <f>IF(A287="","",SUMIF('22 2026 PAKETLEME'!$B$2:$B$501,A287,'22 2026 PAKETLEME'!$E$2:$E$501))</f>
        <v>0</v>
      </c>
      <c r="F287" s="82">
        <f>IF(A287="","",SUMIF('22 2026 PAKETLEME'!$B$2:$B$501,A287,'22 2026 PAKETLEME'!$G$2:$G$501))</f>
        <v>0</v>
      </c>
      <c r="G287" s="81">
        <f>IF(A287="","",SUMIF('22 2026 PAKETLEME'!$B$2:$B$501,A287,'22 2026 PAKETLEME'!$H$2:$H$501))</f>
        <v>0</v>
      </c>
      <c r="H287" s="81" t="e">
        <f t="shared" si="20"/>
        <v>#VALUE!</v>
      </c>
      <c r="I287" s="82">
        <f>IF(A287="","",SUMIF('23 2026 SEVKİYAT'!$E$2:$E$501,A287,'23 2026 SEVKİYAT'!$H$2:$H$501))</f>
        <v>0</v>
      </c>
      <c r="J287" s="81">
        <f t="shared" si="21"/>
        <v>0</v>
      </c>
      <c r="K287" s="81" t="e">
        <f t="shared" si="22"/>
        <v>#VALUE!</v>
      </c>
      <c r="L287" s="58" t="e">
        <f t="shared" si="23"/>
        <v>#VALUE!</v>
      </c>
      <c r="M287" s="56" t="e">
        <f t="shared" si="24"/>
        <v>#VALUE!</v>
      </c>
    </row>
    <row r="288" spans="1:13" ht="15" customHeight="1" x14ac:dyDescent="0.2">
      <c r="A288" s="60">
        <f>'21 2026 ÜRETİM'!A288</f>
        <v>0</v>
      </c>
      <c r="B288" s="81" t="str">
        <f>IF(A288="","",'21 2026 ÜRETİM'!D288)</f>
        <v/>
      </c>
      <c r="C288" s="81">
        <f>IF(A288="","",'21 2026 ÜRETİM'!E288)</f>
        <v>0</v>
      </c>
      <c r="D288" s="82" t="str">
        <f>IF(A288="","",'21 2026 ÜRETİM'!F288)</f>
        <v/>
      </c>
      <c r="E288" s="81">
        <f>IF(A288="","",SUMIF('22 2026 PAKETLEME'!$B$2:$B$501,A288,'22 2026 PAKETLEME'!$E$2:$E$501))</f>
        <v>0</v>
      </c>
      <c r="F288" s="82">
        <f>IF(A288="","",SUMIF('22 2026 PAKETLEME'!$B$2:$B$501,A288,'22 2026 PAKETLEME'!$G$2:$G$501))</f>
        <v>0</v>
      </c>
      <c r="G288" s="81">
        <f>IF(A288="","",SUMIF('22 2026 PAKETLEME'!$B$2:$B$501,A288,'22 2026 PAKETLEME'!$H$2:$H$501))</f>
        <v>0</v>
      </c>
      <c r="H288" s="81" t="e">
        <f t="shared" si="20"/>
        <v>#VALUE!</v>
      </c>
      <c r="I288" s="82">
        <f>IF(A288="","",SUMIF('23 2026 SEVKİYAT'!$E$2:$E$501,A288,'23 2026 SEVKİYAT'!$H$2:$H$501))</f>
        <v>0</v>
      </c>
      <c r="J288" s="81">
        <f t="shared" si="21"/>
        <v>0</v>
      </c>
      <c r="K288" s="81" t="e">
        <f t="shared" si="22"/>
        <v>#VALUE!</v>
      </c>
      <c r="L288" s="58" t="e">
        <f t="shared" si="23"/>
        <v>#VALUE!</v>
      </c>
      <c r="M288" s="56" t="e">
        <f t="shared" si="24"/>
        <v>#VALUE!</v>
      </c>
    </row>
    <row r="289" spans="1:13" ht="15" customHeight="1" x14ac:dyDescent="0.2">
      <c r="A289" s="60">
        <f>'21 2026 ÜRETİM'!A289</f>
        <v>0</v>
      </c>
      <c r="B289" s="81" t="str">
        <f>IF(A289="","",'21 2026 ÜRETİM'!D289)</f>
        <v/>
      </c>
      <c r="C289" s="81">
        <f>IF(A289="","",'21 2026 ÜRETİM'!E289)</f>
        <v>0</v>
      </c>
      <c r="D289" s="82" t="str">
        <f>IF(A289="","",'21 2026 ÜRETİM'!F289)</f>
        <v/>
      </c>
      <c r="E289" s="81">
        <f>IF(A289="","",SUMIF('22 2026 PAKETLEME'!$B$2:$B$501,A289,'22 2026 PAKETLEME'!$E$2:$E$501))</f>
        <v>0</v>
      </c>
      <c r="F289" s="82">
        <f>IF(A289="","",SUMIF('22 2026 PAKETLEME'!$B$2:$B$501,A289,'22 2026 PAKETLEME'!$G$2:$G$501))</f>
        <v>0</v>
      </c>
      <c r="G289" s="81">
        <f>IF(A289="","",SUMIF('22 2026 PAKETLEME'!$B$2:$B$501,A289,'22 2026 PAKETLEME'!$H$2:$H$501))</f>
        <v>0</v>
      </c>
      <c r="H289" s="81" t="e">
        <f t="shared" si="20"/>
        <v>#VALUE!</v>
      </c>
      <c r="I289" s="82">
        <f>IF(A289="","",SUMIF('23 2026 SEVKİYAT'!$E$2:$E$501,A289,'23 2026 SEVKİYAT'!$H$2:$H$501))</f>
        <v>0</v>
      </c>
      <c r="J289" s="81">
        <f t="shared" si="21"/>
        <v>0</v>
      </c>
      <c r="K289" s="81" t="e">
        <f t="shared" si="22"/>
        <v>#VALUE!</v>
      </c>
      <c r="L289" s="58" t="e">
        <f t="shared" si="23"/>
        <v>#VALUE!</v>
      </c>
      <c r="M289" s="56" t="e">
        <f t="shared" si="24"/>
        <v>#VALUE!</v>
      </c>
    </row>
    <row r="290" spans="1:13" ht="15" customHeight="1" x14ac:dyDescent="0.2">
      <c r="A290" s="60">
        <f>'21 2026 ÜRETİM'!A290</f>
        <v>0</v>
      </c>
      <c r="B290" s="81" t="str">
        <f>IF(A290="","",'21 2026 ÜRETİM'!D290)</f>
        <v/>
      </c>
      <c r="C290" s="81">
        <f>IF(A290="","",'21 2026 ÜRETİM'!E290)</f>
        <v>0</v>
      </c>
      <c r="D290" s="82" t="str">
        <f>IF(A290="","",'21 2026 ÜRETİM'!F290)</f>
        <v/>
      </c>
      <c r="E290" s="81">
        <f>IF(A290="","",SUMIF('22 2026 PAKETLEME'!$B$2:$B$501,A290,'22 2026 PAKETLEME'!$E$2:$E$501))</f>
        <v>0</v>
      </c>
      <c r="F290" s="82">
        <f>IF(A290="","",SUMIF('22 2026 PAKETLEME'!$B$2:$B$501,A290,'22 2026 PAKETLEME'!$G$2:$G$501))</f>
        <v>0</v>
      </c>
      <c r="G290" s="81">
        <f>IF(A290="","",SUMIF('22 2026 PAKETLEME'!$B$2:$B$501,A290,'22 2026 PAKETLEME'!$H$2:$H$501))</f>
        <v>0</v>
      </c>
      <c r="H290" s="81" t="e">
        <f t="shared" si="20"/>
        <v>#VALUE!</v>
      </c>
      <c r="I290" s="82">
        <f>IF(A290="","",SUMIF('23 2026 SEVKİYAT'!$E$2:$E$501,A290,'23 2026 SEVKİYAT'!$H$2:$H$501))</f>
        <v>0</v>
      </c>
      <c r="J290" s="81">
        <f t="shared" si="21"/>
        <v>0</v>
      </c>
      <c r="K290" s="81" t="e">
        <f t="shared" si="22"/>
        <v>#VALUE!</v>
      </c>
      <c r="L290" s="58" t="e">
        <f t="shared" si="23"/>
        <v>#VALUE!</v>
      </c>
      <c r="M290" s="56" t="e">
        <f t="shared" si="24"/>
        <v>#VALUE!</v>
      </c>
    </row>
    <row r="291" spans="1:13" ht="15" customHeight="1" x14ac:dyDescent="0.2">
      <c r="A291" s="60">
        <f>'21 2026 ÜRETİM'!A291</f>
        <v>0</v>
      </c>
      <c r="B291" s="81" t="str">
        <f>IF(A291="","",'21 2026 ÜRETİM'!D291)</f>
        <v/>
      </c>
      <c r="C291" s="81">
        <f>IF(A291="","",'21 2026 ÜRETİM'!E291)</f>
        <v>0</v>
      </c>
      <c r="D291" s="82" t="str">
        <f>IF(A291="","",'21 2026 ÜRETİM'!F291)</f>
        <v/>
      </c>
      <c r="E291" s="81">
        <f>IF(A291="","",SUMIF('22 2026 PAKETLEME'!$B$2:$B$501,A291,'22 2026 PAKETLEME'!$E$2:$E$501))</f>
        <v>0</v>
      </c>
      <c r="F291" s="82">
        <f>IF(A291="","",SUMIF('22 2026 PAKETLEME'!$B$2:$B$501,A291,'22 2026 PAKETLEME'!$G$2:$G$501))</f>
        <v>0</v>
      </c>
      <c r="G291" s="81">
        <f>IF(A291="","",SUMIF('22 2026 PAKETLEME'!$B$2:$B$501,A291,'22 2026 PAKETLEME'!$H$2:$H$501))</f>
        <v>0</v>
      </c>
      <c r="H291" s="81" t="e">
        <f t="shared" si="20"/>
        <v>#VALUE!</v>
      </c>
      <c r="I291" s="82">
        <f>IF(A291="","",SUMIF('23 2026 SEVKİYAT'!$E$2:$E$501,A291,'23 2026 SEVKİYAT'!$H$2:$H$501))</f>
        <v>0</v>
      </c>
      <c r="J291" s="81">
        <f t="shared" si="21"/>
        <v>0</v>
      </c>
      <c r="K291" s="81" t="e">
        <f t="shared" si="22"/>
        <v>#VALUE!</v>
      </c>
      <c r="L291" s="58" t="e">
        <f t="shared" si="23"/>
        <v>#VALUE!</v>
      </c>
      <c r="M291" s="56" t="e">
        <f t="shared" si="24"/>
        <v>#VALUE!</v>
      </c>
    </row>
    <row r="292" spans="1:13" ht="15" customHeight="1" x14ac:dyDescent="0.2">
      <c r="A292" s="60">
        <f>'21 2026 ÜRETİM'!A292</f>
        <v>0</v>
      </c>
      <c r="B292" s="81" t="str">
        <f>IF(A292="","",'21 2026 ÜRETİM'!D292)</f>
        <v/>
      </c>
      <c r="C292" s="81">
        <f>IF(A292="","",'21 2026 ÜRETİM'!E292)</f>
        <v>0</v>
      </c>
      <c r="D292" s="82" t="str">
        <f>IF(A292="","",'21 2026 ÜRETİM'!F292)</f>
        <v/>
      </c>
      <c r="E292" s="81">
        <f>IF(A292="","",SUMIF('22 2026 PAKETLEME'!$B$2:$B$501,A292,'22 2026 PAKETLEME'!$E$2:$E$501))</f>
        <v>0</v>
      </c>
      <c r="F292" s="82">
        <f>IF(A292="","",SUMIF('22 2026 PAKETLEME'!$B$2:$B$501,A292,'22 2026 PAKETLEME'!$G$2:$G$501))</f>
        <v>0</v>
      </c>
      <c r="G292" s="81">
        <f>IF(A292="","",SUMIF('22 2026 PAKETLEME'!$B$2:$B$501,A292,'22 2026 PAKETLEME'!$H$2:$H$501))</f>
        <v>0</v>
      </c>
      <c r="H292" s="81" t="e">
        <f t="shared" si="20"/>
        <v>#VALUE!</v>
      </c>
      <c r="I292" s="82">
        <f>IF(A292="","",SUMIF('23 2026 SEVKİYAT'!$E$2:$E$501,A292,'23 2026 SEVKİYAT'!$H$2:$H$501))</f>
        <v>0</v>
      </c>
      <c r="J292" s="81">
        <f t="shared" si="21"/>
        <v>0</v>
      </c>
      <c r="K292" s="81" t="e">
        <f t="shared" si="22"/>
        <v>#VALUE!</v>
      </c>
      <c r="L292" s="58" t="e">
        <f t="shared" si="23"/>
        <v>#VALUE!</v>
      </c>
      <c r="M292" s="56" t="e">
        <f t="shared" si="24"/>
        <v>#VALUE!</v>
      </c>
    </row>
    <row r="293" spans="1:13" ht="15" customHeight="1" x14ac:dyDescent="0.2">
      <c r="A293" s="60">
        <f>'21 2026 ÜRETİM'!A293</f>
        <v>0</v>
      </c>
      <c r="B293" s="81" t="str">
        <f>IF(A293="","",'21 2026 ÜRETİM'!D293)</f>
        <v/>
      </c>
      <c r="C293" s="81">
        <f>IF(A293="","",'21 2026 ÜRETİM'!E293)</f>
        <v>0</v>
      </c>
      <c r="D293" s="82" t="str">
        <f>IF(A293="","",'21 2026 ÜRETİM'!F293)</f>
        <v/>
      </c>
      <c r="E293" s="81">
        <f>IF(A293="","",SUMIF('22 2026 PAKETLEME'!$B$2:$B$501,A293,'22 2026 PAKETLEME'!$E$2:$E$501))</f>
        <v>0</v>
      </c>
      <c r="F293" s="82">
        <f>IF(A293="","",SUMIF('22 2026 PAKETLEME'!$B$2:$B$501,A293,'22 2026 PAKETLEME'!$G$2:$G$501))</f>
        <v>0</v>
      </c>
      <c r="G293" s="81">
        <f>IF(A293="","",SUMIF('22 2026 PAKETLEME'!$B$2:$B$501,A293,'22 2026 PAKETLEME'!$H$2:$H$501))</f>
        <v>0</v>
      </c>
      <c r="H293" s="81" t="e">
        <f t="shared" si="20"/>
        <v>#VALUE!</v>
      </c>
      <c r="I293" s="82">
        <f>IF(A293="","",SUMIF('23 2026 SEVKİYAT'!$E$2:$E$501,A293,'23 2026 SEVKİYAT'!$H$2:$H$501))</f>
        <v>0</v>
      </c>
      <c r="J293" s="81">
        <f t="shared" si="21"/>
        <v>0</v>
      </c>
      <c r="K293" s="81" t="e">
        <f t="shared" si="22"/>
        <v>#VALUE!</v>
      </c>
      <c r="L293" s="58" t="e">
        <f t="shared" si="23"/>
        <v>#VALUE!</v>
      </c>
      <c r="M293" s="56" t="e">
        <f t="shared" si="24"/>
        <v>#VALUE!</v>
      </c>
    </row>
    <row r="294" spans="1:13" ht="15" customHeight="1" x14ac:dyDescent="0.2">
      <c r="A294" s="60">
        <f>'21 2026 ÜRETİM'!A294</f>
        <v>0</v>
      </c>
      <c r="B294" s="81" t="str">
        <f>IF(A294="","",'21 2026 ÜRETİM'!D294)</f>
        <v/>
      </c>
      <c r="C294" s="81">
        <f>IF(A294="","",'21 2026 ÜRETİM'!E294)</f>
        <v>0</v>
      </c>
      <c r="D294" s="82" t="str">
        <f>IF(A294="","",'21 2026 ÜRETİM'!F294)</f>
        <v/>
      </c>
      <c r="E294" s="81">
        <f>IF(A294="","",SUMIF('22 2026 PAKETLEME'!$B$2:$B$501,A294,'22 2026 PAKETLEME'!$E$2:$E$501))</f>
        <v>0</v>
      </c>
      <c r="F294" s="82">
        <f>IF(A294="","",SUMIF('22 2026 PAKETLEME'!$B$2:$B$501,A294,'22 2026 PAKETLEME'!$G$2:$G$501))</f>
        <v>0</v>
      </c>
      <c r="G294" s="81">
        <f>IF(A294="","",SUMIF('22 2026 PAKETLEME'!$B$2:$B$501,A294,'22 2026 PAKETLEME'!$H$2:$H$501))</f>
        <v>0</v>
      </c>
      <c r="H294" s="81" t="e">
        <f t="shared" si="20"/>
        <v>#VALUE!</v>
      </c>
      <c r="I294" s="82">
        <f>IF(A294="","",SUMIF('23 2026 SEVKİYAT'!$E$2:$E$501,A294,'23 2026 SEVKİYAT'!$H$2:$H$501))</f>
        <v>0</v>
      </c>
      <c r="J294" s="81">
        <f t="shared" si="21"/>
        <v>0</v>
      </c>
      <c r="K294" s="81" t="e">
        <f t="shared" si="22"/>
        <v>#VALUE!</v>
      </c>
      <c r="L294" s="58" t="e">
        <f t="shared" si="23"/>
        <v>#VALUE!</v>
      </c>
      <c r="M294" s="56" t="e">
        <f t="shared" si="24"/>
        <v>#VALUE!</v>
      </c>
    </row>
    <row r="295" spans="1:13" ht="15" customHeight="1" x14ac:dyDescent="0.2">
      <c r="A295" s="60">
        <f>'21 2026 ÜRETİM'!A295</f>
        <v>0</v>
      </c>
      <c r="B295" s="81" t="str">
        <f>IF(A295="","",'21 2026 ÜRETİM'!D295)</f>
        <v/>
      </c>
      <c r="C295" s="81">
        <f>IF(A295="","",'21 2026 ÜRETİM'!E295)</f>
        <v>0</v>
      </c>
      <c r="D295" s="82" t="str">
        <f>IF(A295="","",'21 2026 ÜRETİM'!F295)</f>
        <v/>
      </c>
      <c r="E295" s="81">
        <f>IF(A295="","",SUMIF('22 2026 PAKETLEME'!$B$2:$B$501,A295,'22 2026 PAKETLEME'!$E$2:$E$501))</f>
        <v>0</v>
      </c>
      <c r="F295" s="82">
        <f>IF(A295="","",SUMIF('22 2026 PAKETLEME'!$B$2:$B$501,A295,'22 2026 PAKETLEME'!$G$2:$G$501))</f>
        <v>0</v>
      </c>
      <c r="G295" s="81">
        <f>IF(A295="","",SUMIF('22 2026 PAKETLEME'!$B$2:$B$501,A295,'22 2026 PAKETLEME'!$H$2:$H$501))</f>
        <v>0</v>
      </c>
      <c r="H295" s="81" t="e">
        <f t="shared" si="20"/>
        <v>#VALUE!</v>
      </c>
      <c r="I295" s="82">
        <f>IF(A295="","",SUMIF('23 2026 SEVKİYAT'!$E$2:$E$501,A295,'23 2026 SEVKİYAT'!$H$2:$H$501))</f>
        <v>0</v>
      </c>
      <c r="J295" s="81">
        <f t="shared" si="21"/>
        <v>0</v>
      </c>
      <c r="K295" s="81" t="e">
        <f t="shared" si="22"/>
        <v>#VALUE!</v>
      </c>
      <c r="L295" s="58" t="e">
        <f t="shared" si="23"/>
        <v>#VALUE!</v>
      </c>
      <c r="M295" s="56" t="e">
        <f t="shared" si="24"/>
        <v>#VALUE!</v>
      </c>
    </row>
    <row r="296" spans="1:13" ht="15" customHeight="1" x14ac:dyDescent="0.2">
      <c r="A296" s="60">
        <f>'21 2026 ÜRETİM'!A296</f>
        <v>0</v>
      </c>
      <c r="B296" s="81" t="str">
        <f>IF(A296="","",'21 2026 ÜRETİM'!D296)</f>
        <v/>
      </c>
      <c r="C296" s="81">
        <f>IF(A296="","",'21 2026 ÜRETİM'!E296)</f>
        <v>0</v>
      </c>
      <c r="D296" s="82" t="str">
        <f>IF(A296="","",'21 2026 ÜRETİM'!F296)</f>
        <v/>
      </c>
      <c r="E296" s="81">
        <f>IF(A296="","",SUMIF('22 2026 PAKETLEME'!$B$2:$B$501,A296,'22 2026 PAKETLEME'!$E$2:$E$501))</f>
        <v>0</v>
      </c>
      <c r="F296" s="82">
        <f>IF(A296="","",SUMIF('22 2026 PAKETLEME'!$B$2:$B$501,A296,'22 2026 PAKETLEME'!$G$2:$G$501))</f>
        <v>0</v>
      </c>
      <c r="G296" s="81">
        <f>IF(A296="","",SUMIF('22 2026 PAKETLEME'!$B$2:$B$501,A296,'22 2026 PAKETLEME'!$H$2:$H$501))</f>
        <v>0</v>
      </c>
      <c r="H296" s="81" t="e">
        <f t="shared" si="20"/>
        <v>#VALUE!</v>
      </c>
      <c r="I296" s="82">
        <f>IF(A296="","",SUMIF('23 2026 SEVKİYAT'!$E$2:$E$501,A296,'23 2026 SEVKİYAT'!$H$2:$H$501))</f>
        <v>0</v>
      </c>
      <c r="J296" s="81">
        <f t="shared" si="21"/>
        <v>0</v>
      </c>
      <c r="K296" s="81" t="e">
        <f t="shared" si="22"/>
        <v>#VALUE!</v>
      </c>
      <c r="L296" s="58" t="e">
        <f t="shared" si="23"/>
        <v>#VALUE!</v>
      </c>
      <c r="M296" s="56" t="e">
        <f t="shared" si="24"/>
        <v>#VALUE!</v>
      </c>
    </row>
    <row r="297" spans="1:13" ht="15" customHeight="1" x14ac:dyDescent="0.2">
      <c r="A297" s="60">
        <f>'21 2026 ÜRETİM'!A297</f>
        <v>0</v>
      </c>
      <c r="B297" s="81" t="str">
        <f>IF(A297="","",'21 2026 ÜRETİM'!D297)</f>
        <v/>
      </c>
      <c r="C297" s="81">
        <f>IF(A297="","",'21 2026 ÜRETİM'!E297)</f>
        <v>0</v>
      </c>
      <c r="D297" s="82" t="str">
        <f>IF(A297="","",'21 2026 ÜRETİM'!F297)</f>
        <v/>
      </c>
      <c r="E297" s="81">
        <f>IF(A297="","",SUMIF('22 2026 PAKETLEME'!$B$2:$B$501,A297,'22 2026 PAKETLEME'!$E$2:$E$501))</f>
        <v>0</v>
      </c>
      <c r="F297" s="82">
        <f>IF(A297="","",SUMIF('22 2026 PAKETLEME'!$B$2:$B$501,A297,'22 2026 PAKETLEME'!$G$2:$G$501))</f>
        <v>0</v>
      </c>
      <c r="G297" s="81">
        <f>IF(A297="","",SUMIF('22 2026 PAKETLEME'!$B$2:$B$501,A297,'22 2026 PAKETLEME'!$H$2:$H$501))</f>
        <v>0</v>
      </c>
      <c r="H297" s="81" t="e">
        <f t="shared" si="20"/>
        <v>#VALUE!</v>
      </c>
      <c r="I297" s="82">
        <f>IF(A297="","",SUMIF('23 2026 SEVKİYAT'!$E$2:$E$501,A297,'23 2026 SEVKİYAT'!$H$2:$H$501))</f>
        <v>0</v>
      </c>
      <c r="J297" s="81">
        <f t="shared" si="21"/>
        <v>0</v>
      </c>
      <c r="K297" s="81" t="e">
        <f t="shared" si="22"/>
        <v>#VALUE!</v>
      </c>
      <c r="L297" s="58" t="e">
        <f t="shared" si="23"/>
        <v>#VALUE!</v>
      </c>
      <c r="M297" s="56" t="e">
        <f t="shared" si="24"/>
        <v>#VALUE!</v>
      </c>
    </row>
    <row r="298" spans="1:13" ht="15" customHeight="1" x14ac:dyDescent="0.2">
      <c r="A298" s="60">
        <f>'21 2026 ÜRETİM'!A298</f>
        <v>0</v>
      </c>
      <c r="B298" s="81" t="str">
        <f>IF(A298="","",'21 2026 ÜRETİM'!D298)</f>
        <v/>
      </c>
      <c r="C298" s="81">
        <f>IF(A298="","",'21 2026 ÜRETİM'!E298)</f>
        <v>0</v>
      </c>
      <c r="D298" s="82" t="str">
        <f>IF(A298="","",'21 2026 ÜRETİM'!F298)</f>
        <v/>
      </c>
      <c r="E298" s="81">
        <f>IF(A298="","",SUMIF('22 2026 PAKETLEME'!$B$2:$B$501,A298,'22 2026 PAKETLEME'!$E$2:$E$501))</f>
        <v>0</v>
      </c>
      <c r="F298" s="82">
        <f>IF(A298="","",SUMIF('22 2026 PAKETLEME'!$B$2:$B$501,A298,'22 2026 PAKETLEME'!$G$2:$G$501))</f>
        <v>0</v>
      </c>
      <c r="G298" s="81">
        <f>IF(A298="","",SUMIF('22 2026 PAKETLEME'!$B$2:$B$501,A298,'22 2026 PAKETLEME'!$H$2:$H$501))</f>
        <v>0</v>
      </c>
      <c r="H298" s="81" t="e">
        <f t="shared" si="20"/>
        <v>#VALUE!</v>
      </c>
      <c r="I298" s="82">
        <f>IF(A298="","",SUMIF('23 2026 SEVKİYAT'!$E$2:$E$501,A298,'23 2026 SEVKİYAT'!$H$2:$H$501))</f>
        <v>0</v>
      </c>
      <c r="J298" s="81">
        <f t="shared" si="21"/>
        <v>0</v>
      </c>
      <c r="K298" s="81" t="e">
        <f t="shared" si="22"/>
        <v>#VALUE!</v>
      </c>
      <c r="L298" s="58" t="e">
        <f t="shared" si="23"/>
        <v>#VALUE!</v>
      </c>
      <c r="M298" s="56" t="e">
        <f t="shared" si="24"/>
        <v>#VALUE!</v>
      </c>
    </row>
    <row r="299" spans="1:13" ht="15" customHeight="1" x14ac:dyDescent="0.2">
      <c r="A299" s="60">
        <f>'21 2026 ÜRETİM'!A299</f>
        <v>0</v>
      </c>
      <c r="B299" s="81" t="str">
        <f>IF(A299="","",'21 2026 ÜRETİM'!D299)</f>
        <v/>
      </c>
      <c r="C299" s="81">
        <f>IF(A299="","",'21 2026 ÜRETİM'!E299)</f>
        <v>0</v>
      </c>
      <c r="D299" s="82" t="str">
        <f>IF(A299="","",'21 2026 ÜRETİM'!F299)</f>
        <v/>
      </c>
      <c r="E299" s="81">
        <f>IF(A299="","",SUMIF('22 2026 PAKETLEME'!$B$2:$B$501,A299,'22 2026 PAKETLEME'!$E$2:$E$501))</f>
        <v>0</v>
      </c>
      <c r="F299" s="82">
        <f>IF(A299="","",SUMIF('22 2026 PAKETLEME'!$B$2:$B$501,A299,'22 2026 PAKETLEME'!$G$2:$G$501))</f>
        <v>0</v>
      </c>
      <c r="G299" s="81">
        <f>IF(A299="","",SUMIF('22 2026 PAKETLEME'!$B$2:$B$501,A299,'22 2026 PAKETLEME'!$H$2:$H$501))</f>
        <v>0</v>
      </c>
      <c r="H299" s="81" t="e">
        <f t="shared" si="20"/>
        <v>#VALUE!</v>
      </c>
      <c r="I299" s="82">
        <f>IF(A299="","",SUMIF('23 2026 SEVKİYAT'!$E$2:$E$501,A299,'23 2026 SEVKİYAT'!$H$2:$H$501))</f>
        <v>0</v>
      </c>
      <c r="J299" s="81">
        <f t="shared" si="21"/>
        <v>0</v>
      </c>
      <c r="K299" s="81" t="e">
        <f t="shared" si="22"/>
        <v>#VALUE!</v>
      </c>
      <c r="L299" s="58" t="e">
        <f t="shared" si="23"/>
        <v>#VALUE!</v>
      </c>
      <c r="M299" s="56" t="e">
        <f t="shared" si="24"/>
        <v>#VALUE!</v>
      </c>
    </row>
    <row r="300" spans="1:13" ht="15" customHeight="1" x14ac:dyDescent="0.2">
      <c r="A300" s="60">
        <f>'21 2026 ÜRETİM'!A300</f>
        <v>0</v>
      </c>
      <c r="B300" s="81" t="str">
        <f>IF(A300="","",'21 2026 ÜRETİM'!D300)</f>
        <v/>
      </c>
      <c r="C300" s="81">
        <f>IF(A300="","",'21 2026 ÜRETİM'!E300)</f>
        <v>0</v>
      </c>
      <c r="D300" s="82" t="str">
        <f>IF(A300="","",'21 2026 ÜRETİM'!F300)</f>
        <v/>
      </c>
      <c r="E300" s="81">
        <f>IF(A300="","",SUMIF('22 2026 PAKETLEME'!$B$2:$B$501,A300,'22 2026 PAKETLEME'!$E$2:$E$501))</f>
        <v>0</v>
      </c>
      <c r="F300" s="82">
        <f>IF(A300="","",SUMIF('22 2026 PAKETLEME'!$B$2:$B$501,A300,'22 2026 PAKETLEME'!$G$2:$G$501))</f>
        <v>0</v>
      </c>
      <c r="G300" s="81">
        <f>IF(A300="","",SUMIF('22 2026 PAKETLEME'!$B$2:$B$501,A300,'22 2026 PAKETLEME'!$H$2:$H$501))</f>
        <v>0</v>
      </c>
      <c r="H300" s="81" t="e">
        <f t="shared" si="20"/>
        <v>#VALUE!</v>
      </c>
      <c r="I300" s="82">
        <f>IF(A300="","",SUMIF('23 2026 SEVKİYAT'!$E$2:$E$501,A300,'23 2026 SEVKİYAT'!$H$2:$H$501))</f>
        <v>0</v>
      </c>
      <c r="J300" s="81">
        <f t="shared" si="21"/>
        <v>0</v>
      </c>
      <c r="K300" s="81" t="e">
        <f t="shared" si="22"/>
        <v>#VALUE!</v>
      </c>
      <c r="L300" s="58" t="e">
        <f t="shared" si="23"/>
        <v>#VALUE!</v>
      </c>
      <c r="M300" s="56" t="e">
        <f t="shared" si="24"/>
        <v>#VALUE!</v>
      </c>
    </row>
    <row r="301" spans="1:13" ht="15" customHeight="1" x14ac:dyDescent="0.2">
      <c r="A301" s="60">
        <f>'21 2026 ÜRETİM'!A301</f>
        <v>0</v>
      </c>
      <c r="B301" s="81" t="str">
        <f>IF(A301="","",'21 2026 ÜRETİM'!D301)</f>
        <v/>
      </c>
      <c r="C301" s="81">
        <f>IF(A301="","",'21 2026 ÜRETİM'!E301)</f>
        <v>0</v>
      </c>
      <c r="D301" s="82" t="str">
        <f>IF(A301="","",'21 2026 ÜRETİM'!F301)</f>
        <v/>
      </c>
      <c r="E301" s="81">
        <f>IF(A301="","",SUMIF('22 2026 PAKETLEME'!$B$2:$B$501,A301,'22 2026 PAKETLEME'!$E$2:$E$501))</f>
        <v>0</v>
      </c>
      <c r="F301" s="82">
        <f>IF(A301="","",SUMIF('22 2026 PAKETLEME'!$B$2:$B$501,A301,'22 2026 PAKETLEME'!$G$2:$G$501))</f>
        <v>0</v>
      </c>
      <c r="G301" s="81">
        <f>IF(A301="","",SUMIF('22 2026 PAKETLEME'!$B$2:$B$501,A301,'22 2026 PAKETLEME'!$H$2:$H$501))</f>
        <v>0</v>
      </c>
      <c r="H301" s="81" t="e">
        <f t="shared" si="20"/>
        <v>#VALUE!</v>
      </c>
      <c r="I301" s="82">
        <f>IF(A301="","",SUMIF('23 2026 SEVKİYAT'!$E$2:$E$501,A301,'23 2026 SEVKİYAT'!$H$2:$H$501))</f>
        <v>0</v>
      </c>
      <c r="J301" s="81">
        <f t="shared" si="21"/>
        <v>0</v>
      </c>
      <c r="K301" s="81" t="e">
        <f t="shared" si="22"/>
        <v>#VALUE!</v>
      </c>
      <c r="L301" s="58" t="e">
        <f t="shared" si="23"/>
        <v>#VALUE!</v>
      </c>
      <c r="M301" s="56" t="e">
        <f t="shared" si="24"/>
        <v>#VALUE!</v>
      </c>
    </row>
    <row r="302" spans="1:13" ht="15" customHeight="1" x14ac:dyDescent="0.2">
      <c r="A302" s="60">
        <f>'21 2026 ÜRETİM'!A302</f>
        <v>0</v>
      </c>
      <c r="B302" s="81" t="str">
        <f>IF(A302="","",'21 2026 ÜRETİM'!D302)</f>
        <v/>
      </c>
      <c r="C302" s="81">
        <f>IF(A302="","",'21 2026 ÜRETİM'!E302)</f>
        <v>0</v>
      </c>
      <c r="D302" s="82" t="str">
        <f>IF(A302="","",'21 2026 ÜRETİM'!F302)</f>
        <v/>
      </c>
      <c r="E302" s="81">
        <f>IF(A302="","",SUMIF('22 2026 PAKETLEME'!$B$2:$B$501,A302,'22 2026 PAKETLEME'!$E$2:$E$501))</f>
        <v>0</v>
      </c>
      <c r="F302" s="82">
        <f>IF(A302="","",SUMIF('22 2026 PAKETLEME'!$B$2:$B$501,A302,'22 2026 PAKETLEME'!$G$2:$G$501))</f>
        <v>0</v>
      </c>
      <c r="G302" s="81">
        <f>IF(A302="","",SUMIF('22 2026 PAKETLEME'!$B$2:$B$501,A302,'22 2026 PAKETLEME'!$H$2:$H$501))</f>
        <v>0</v>
      </c>
      <c r="H302" s="81" t="e">
        <f t="shared" si="20"/>
        <v>#VALUE!</v>
      </c>
      <c r="I302" s="82">
        <f>IF(A302="","",SUMIF('23 2026 SEVKİYAT'!$E$2:$E$501,A302,'23 2026 SEVKİYAT'!$H$2:$H$501))</f>
        <v>0</v>
      </c>
      <c r="J302" s="81">
        <f t="shared" si="21"/>
        <v>0</v>
      </c>
      <c r="K302" s="81" t="e">
        <f t="shared" si="22"/>
        <v>#VALUE!</v>
      </c>
      <c r="L302" s="58" t="e">
        <f t="shared" si="23"/>
        <v>#VALUE!</v>
      </c>
      <c r="M302" s="56" t="e">
        <f t="shared" si="24"/>
        <v>#VALUE!</v>
      </c>
    </row>
    <row r="303" spans="1:13" ht="15" customHeight="1" x14ac:dyDescent="0.2">
      <c r="A303" s="60">
        <f>'21 2026 ÜRETİM'!A303</f>
        <v>0</v>
      </c>
      <c r="B303" s="81" t="str">
        <f>IF(A303="","",'21 2026 ÜRETİM'!D303)</f>
        <v/>
      </c>
      <c r="C303" s="81">
        <f>IF(A303="","",'21 2026 ÜRETİM'!E303)</f>
        <v>0</v>
      </c>
      <c r="D303" s="82" t="str">
        <f>IF(A303="","",'21 2026 ÜRETİM'!F303)</f>
        <v/>
      </c>
      <c r="E303" s="81">
        <f>IF(A303="","",SUMIF('22 2026 PAKETLEME'!$B$2:$B$501,A303,'22 2026 PAKETLEME'!$E$2:$E$501))</f>
        <v>0</v>
      </c>
      <c r="F303" s="82">
        <f>IF(A303="","",SUMIF('22 2026 PAKETLEME'!$B$2:$B$501,A303,'22 2026 PAKETLEME'!$G$2:$G$501))</f>
        <v>0</v>
      </c>
      <c r="G303" s="81">
        <f>IF(A303="","",SUMIF('22 2026 PAKETLEME'!$B$2:$B$501,A303,'22 2026 PAKETLEME'!$H$2:$H$501))</f>
        <v>0</v>
      </c>
      <c r="H303" s="81" t="e">
        <f t="shared" si="20"/>
        <v>#VALUE!</v>
      </c>
      <c r="I303" s="82">
        <f>IF(A303="","",SUMIF('23 2026 SEVKİYAT'!$E$2:$E$501,A303,'23 2026 SEVKİYAT'!$H$2:$H$501))</f>
        <v>0</v>
      </c>
      <c r="J303" s="81">
        <f t="shared" si="21"/>
        <v>0</v>
      </c>
      <c r="K303" s="81" t="e">
        <f t="shared" si="22"/>
        <v>#VALUE!</v>
      </c>
      <c r="L303" s="58" t="e">
        <f t="shared" si="23"/>
        <v>#VALUE!</v>
      </c>
      <c r="M303" s="56" t="e">
        <f t="shared" si="24"/>
        <v>#VALUE!</v>
      </c>
    </row>
    <row r="304" spans="1:13" ht="15" customHeight="1" x14ac:dyDescent="0.2">
      <c r="A304" s="60">
        <f>'21 2026 ÜRETİM'!A304</f>
        <v>0</v>
      </c>
      <c r="B304" s="81" t="str">
        <f>IF(A304="","",'21 2026 ÜRETİM'!D304)</f>
        <v/>
      </c>
      <c r="C304" s="81">
        <f>IF(A304="","",'21 2026 ÜRETİM'!E304)</f>
        <v>0</v>
      </c>
      <c r="D304" s="82" t="str">
        <f>IF(A304="","",'21 2026 ÜRETİM'!F304)</f>
        <v/>
      </c>
      <c r="E304" s="81">
        <f>IF(A304="","",SUMIF('22 2026 PAKETLEME'!$B$2:$B$501,A304,'22 2026 PAKETLEME'!$E$2:$E$501))</f>
        <v>0</v>
      </c>
      <c r="F304" s="82">
        <f>IF(A304="","",SUMIF('22 2026 PAKETLEME'!$B$2:$B$501,A304,'22 2026 PAKETLEME'!$G$2:$G$501))</f>
        <v>0</v>
      </c>
      <c r="G304" s="81">
        <f>IF(A304="","",SUMIF('22 2026 PAKETLEME'!$B$2:$B$501,A304,'22 2026 PAKETLEME'!$H$2:$H$501))</f>
        <v>0</v>
      </c>
      <c r="H304" s="81" t="e">
        <f t="shared" si="20"/>
        <v>#VALUE!</v>
      </c>
      <c r="I304" s="82">
        <f>IF(A304="","",SUMIF('23 2026 SEVKİYAT'!$E$2:$E$501,A304,'23 2026 SEVKİYAT'!$H$2:$H$501))</f>
        <v>0</v>
      </c>
      <c r="J304" s="81">
        <f t="shared" si="21"/>
        <v>0</v>
      </c>
      <c r="K304" s="81" t="e">
        <f t="shared" si="22"/>
        <v>#VALUE!</v>
      </c>
      <c r="L304" s="58" t="e">
        <f t="shared" si="23"/>
        <v>#VALUE!</v>
      </c>
      <c r="M304" s="56" t="e">
        <f t="shared" si="24"/>
        <v>#VALUE!</v>
      </c>
    </row>
    <row r="305" spans="1:13" ht="15" customHeight="1" x14ac:dyDescent="0.2">
      <c r="A305" s="60">
        <f>'21 2026 ÜRETİM'!A305</f>
        <v>0</v>
      </c>
      <c r="B305" s="81" t="str">
        <f>IF(A305="","",'21 2026 ÜRETİM'!D305)</f>
        <v/>
      </c>
      <c r="C305" s="81">
        <f>IF(A305="","",'21 2026 ÜRETİM'!E305)</f>
        <v>0</v>
      </c>
      <c r="D305" s="82" t="str">
        <f>IF(A305="","",'21 2026 ÜRETİM'!F305)</f>
        <v/>
      </c>
      <c r="E305" s="81">
        <f>IF(A305="","",SUMIF('22 2026 PAKETLEME'!$B$2:$B$501,A305,'22 2026 PAKETLEME'!$E$2:$E$501))</f>
        <v>0</v>
      </c>
      <c r="F305" s="82">
        <f>IF(A305="","",SUMIF('22 2026 PAKETLEME'!$B$2:$B$501,A305,'22 2026 PAKETLEME'!$G$2:$G$501))</f>
        <v>0</v>
      </c>
      <c r="G305" s="81">
        <f>IF(A305="","",SUMIF('22 2026 PAKETLEME'!$B$2:$B$501,A305,'22 2026 PAKETLEME'!$H$2:$H$501))</f>
        <v>0</v>
      </c>
      <c r="H305" s="81" t="e">
        <f t="shared" si="20"/>
        <v>#VALUE!</v>
      </c>
      <c r="I305" s="82">
        <f>IF(A305="","",SUMIF('23 2026 SEVKİYAT'!$E$2:$E$501,A305,'23 2026 SEVKİYAT'!$H$2:$H$501))</f>
        <v>0</v>
      </c>
      <c r="J305" s="81">
        <f t="shared" si="21"/>
        <v>0</v>
      </c>
      <c r="K305" s="81" t="e">
        <f t="shared" si="22"/>
        <v>#VALUE!</v>
      </c>
      <c r="L305" s="58" t="e">
        <f t="shared" si="23"/>
        <v>#VALUE!</v>
      </c>
      <c r="M305" s="56" t="e">
        <f t="shared" si="24"/>
        <v>#VALUE!</v>
      </c>
    </row>
    <row r="306" spans="1:13" ht="15" customHeight="1" x14ac:dyDescent="0.2">
      <c r="A306" s="60">
        <f>'21 2026 ÜRETİM'!A306</f>
        <v>0</v>
      </c>
      <c r="B306" s="81" t="str">
        <f>IF(A306="","",'21 2026 ÜRETİM'!D306)</f>
        <v/>
      </c>
      <c r="C306" s="81">
        <f>IF(A306="","",'21 2026 ÜRETİM'!E306)</f>
        <v>0</v>
      </c>
      <c r="D306" s="82" t="str">
        <f>IF(A306="","",'21 2026 ÜRETİM'!F306)</f>
        <v/>
      </c>
      <c r="E306" s="81">
        <f>IF(A306="","",SUMIF('22 2026 PAKETLEME'!$B$2:$B$501,A306,'22 2026 PAKETLEME'!$E$2:$E$501))</f>
        <v>0</v>
      </c>
      <c r="F306" s="82">
        <f>IF(A306="","",SUMIF('22 2026 PAKETLEME'!$B$2:$B$501,A306,'22 2026 PAKETLEME'!$G$2:$G$501))</f>
        <v>0</v>
      </c>
      <c r="G306" s="81">
        <f>IF(A306="","",SUMIF('22 2026 PAKETLEME'!$B$2:$B$501,A306,'22 2026 PAKETLEME'!$H$2:$H$501))</f>
        <v>0</v>
      </c>
      <c r="H306" s="81" t="e">
        <f t="shared" si="20"/>
        <v>#VALUE!</v>
      </c>
      <c r="I306" s="82">
        <f>IF(A306="","",SUMIF('23 2026 SEVKİYAT'!$E$2:$E$501,A306,'23 2026 SEVKİYAT'!$H$2:$H$501))</f>
        <v>0</v>
      </c>
      <c r="J306" s="81">
        <f t="shared" si="21"/>
        <v>0</v>
      </c>
      <c r="K306" s="81" t="e">
        <f t="shared" si="22"/>
        <v>#VALUE!</v>
      </c>
      <c r="L306" s="58" t="e">
        <f t="shared" si="23"/>
        <v>#VALUE!</v>
      </c>
      <c r="M306" s="56" t="e">
        <f t="shared" si="24"/>
        <v>#VALUE!</v>
      </c>
    </row>
    <row r="307" spans="1:13" ht="15" customHeight="1" x14ac:dyDescent="0.2">
      <c r="A307" s="60">
        <f>'21 2026 ÜRETİM'!A307</f>
        <v>0</v>
      </c>
      <c r="B307" s="81" t="str">
        <f>IF(A307="","",'21 2026 ÜRETİM'!D307)</f>
        <v/>
      </c>
      <c r="C307" s="81">
        <f>IF(A307="","",'21 2026 ÜRETİM'!E307)</f>
        <v>0</v>
      </c>
      <c r="D307" s="82" t="str">
        <f>IF(A307="","",'21 2026 ÜRETİM'!F307)</f>
        <v/>
      </c>
      <c r="E307" s="81">
        <f>IF(A307="","",SUMIF('22 2026 PAKETLEME'!$B$2:$B$501,A307,'22 2026 PAKETLEME'!$E$2:$E$501))</f>
        <v>0</v>
      </c>
      <c r="F307" s="82">
        <f>IF(A307="","",SUMIF('22 2026 PAKETLEME'!$B$2:$B$501,A307,'22 2026 PAKETLEME'!$G$2:$G$501))</f>
        <v>0</v>
      </c>
      <c r="G307" s="81">
        <f>IF(A307="","",SUMIF('22 2026 PAKETLEME'!$B$2:$B$501,A307,'22 2026 PAKETLEME'!$H$2:$H$501))</f>
        <v>0</v>
      </c>
      <c r="H307" s="81" t="e">
        <f t="shared" si="20"/>
        <v>#VALUE!</v>
      </c>
      <c r="I307" s="82">
        <f>IF(A307="","",SUMIF('23 2026 SEVKİYAT'!$E$2:$E$501,A307,'23 2026 SEVKİYAT'!$H$2:$H$501))</f>
        <v>0</v>
      </c>
      <c r="J307" s="81">
        <f t="shared" si="21"/>
        <v>0</v>
      </c>
      <c r="K307" s="81" t="e">
        <f t="shared" si="22"/>
        <v>#VALUE!</v>
      </c>
      <c r="L307" s="58" t="e">
        <f t="shared" si="23"/>
        <v>#VALUE!</v>
      </c>
      <c r="M307" s="56" t="e">
        <f t="shared" si="24"/>
        <v>#VALUE!</v>
      </c>
    </row>
    <row r="308" spans="1:13" ht="15" customHeight="1" x14ac:dyDescent="0.2">
      <c r="A308" s="60">
        <f>'21 2026 ÜRETİM'!A308</f>
        <v>0</v>
      </c>
      <c r="B308" s="81" t="str">
        <f>IF(A308="","",'21 2026 ÜRETİM'!D308)</f>
        <v/>
      </c>
      <c r="C308" s="81">
        <f>IF(A308="","",'21 2026 ÜRETİM'!E308)</f>
        <v>0</v>
      </c>
      <c r="D308" s="82" t="str">
        <f>IF(A308="","",'21 2026 ÜRETİM'!F308)</f>
        <v/>
      </c>
      <c r="E308" s="81">
        <f>IF(A308="","",SUMIF('22 2026 PAKETLEME'!$B$2:$B$501,A308,'22 2026 PAKETLEME'!$E$2:$E$501))</f>
        <v>0</v>
      </c>
      <c r="F308" s="82">
        <f>IF(A308="","",SUMIF('22 2026 PAKETLEME'!$B$2:$B$501,A308,'22 2026 PAKETLEME'!$G$2:$G$501))</f>
        <v>0</v>
      </c>
      <c r="G308" s="81">
        <f>IF(A308="","",SUMIF('22 2026 PAKETLEME'!$B$2:$B$501,A308,'22 2026 PAKETLEME'!$H$2:$H$501))</f>
        <v>0</v>
      </c>
      <c r="H308" s="81" t="e">
        <f t="shared" si="20"/>
        <v>#VALUE!</v>
      </c>
      <c r="I308" s="82">
        <f>IF(A308="","",SUMIF('23 2026 SEVKİYAT'!$E$2:$E$501,A308,'23 2026 SEVKİYAT'!$H$2:$H$501))</f>
        <v>0</v>
      </c>
      <c r="J308" s="81">
        <f t="shared" si="21"/>
        <v>0</v>
      </c>
      <c r="K308" s="81" t="e">
        <f t="shared" si="22"/>
        <v>#VALUE!</v>
      </c>
      <c r="L308" s="58" t="e">
        <f t="shared" si="23"/>
        <v>#VALUE!</v>
      </c>
      <c r="M308" s="56" t="e">
        <f t="shared" si="24"/>
        <v>#VALUE!</v>
      </c>
    </row>
    <row r="309" spans="1:13" ht="15" customHeight="1" x14ac:dyDescent="0.2">
      <c r="A309" s="60">
        <f>'21 2026 ÜRETİM'!A309</f>
        <v>0</v>
      </c>
      <c r="B309" s="81" t="str">
        <f>IF(A309="","",'21 2026 ÜRETİM'!D309)</f>
        <v/>
      </c>
      <c r="C309" s="81">
        <f>IF(A309="","",'21 2026 ÜRETİM'!E309)</f>
        <v>0</v>
      </c>
      <c r="D309" s="82" t="str">
        <f>IF(A309="","",'21 2026 ÜRETİM'!F309)</f>
        <v/>
      </c>
      <c r="E309" s="81">
        <f>IF(A309="","",SUMIF('22 2026 PAKETLEME'!$B$2:$B$501,A309,'22 2026 PAKETLEME'!$E$2:$E$501))</f>
        <v>0</v>
      </c>
      <c r="F309" s="82">
        <f>IF(A309="","",SUMIF('22 2026 PAKETLEME'!$B$2:$B$501,A309,'22 2026 PAKETLEME'!$G$2:$G$501))</f>
        <v>0</v>
      </c>
      <c r="G309" s="81">
        <f>IF(A309="","",SUMIF('22 2026 PAKETLEME'!$B$2:$B$501,A309,'22 2026 PAKETLEME'!$H$2:$H$501))</f>
        <v>0</v>
      </c>
      <c r="H309" s="81" t="e">
        <f t="shared" si="20"/>
        <v>#VALUE!</v>
      </c>
      <c r="I309" s="82">
        <f>IF(A309="","",SUMIF('23 2026 SEVKİYAT'!$E$2:$E$501,A309,'23 2026 SEVKİYAT'!$H$2:$H$501))</f>
        <v>0</v>
      </c>
      <c r="J309" s="81">
        <f t="shared" si="21"/>
        <v>0</v>
      </c>
      <c r="K309" s="81" t="e">
        <f t="shared" si="22"/>
        <v>#VALUE!</v>
      </c>
      <c r="L309" s="58" t="e">
        <f t="shared" si="23"/>
        <v>#VALUE!</v>
      </c>
      <c r="M309" s="56" t="e">
        <f t="shared" si="24"/>
        <v>#VALUE!</v>
      </c>
    </row>
    <row r="310" spans="1:13" ht="15" customHeight="1" x14ac:dyDescent="0.2">
      <c r="A310" s="60">
        <f>'21 2026 ÜRETİM'!A310</f>
        <v>0</v>
      </c>
      <c r="B310" s="81" t="str">
        <f>IF(A310="","",'21 2026 ÜRETİM'!D310)</f>
        <v/>
      </c>
      <c r="C310" s="81">
        <f>IF(A310="","",'21 2026 ÜRETİM'!E310)</f>
        <v>0</v>
      </c>
      <c r="D310" s="82" t="str">
        <f>IF(A310="","",'21 2026 ÜRETİM'!F310)</f>
        <v/>
      </c>
      <c r="E310" s="81">
        <f>IF(A310="","",SUMIF('22 2026 PAKETLEME'!$B$2:$B$501,A310,'22 2026 PAKETLEME'!$E$2:$E$501))</f>
        <v>0</v>
      </c>
      <c r="F310" s="82">
        <f>IF(A310="","",SUMIF('22 2026 PAKETLEME'!$B$2:$B$501,A310,'22 2026 PAKETLEME'!$G$2:$G$501))</f>
        <v>0</v>
      </c>
      <c r="G310" s="81">
        <f>IF(A310="","",SUMIF('22 2026 PAKETLEME'!$B$2:$B$501,A310,'22 2026 PAKETLEME'!$H$2:$H$501))</f>
        <v>0</v>
      </c>
      <c r="H310" s="81" t="e">
        <f t="shared" si="20"/>
        <v>#VALUE!</v>
      </c>
      <c r="I310" s="82">
        <f>IF(A310="","",SUMIF('23 2026 SEVKİYAT'!$E$2:$E$501,A310,'23 2026 SEVKİYAT'!$H$2:$H$501))</f>
        <v>0</v>
      </c>
      <c r="J310" s="81">
        <f t="shared" si="21"/>
        <v>0</v>
      </c>
      <c r="K310" s="81" t="e">
        <f t="shared" si="22"/>
        <v>#VALUE!</v>
      </c>
      <c r="L310" s="58" t="e">
        <f t="shared" si="23"/>
        <v>#VALUE!</v>
      </c>
      <c r="M310" s="56" t="e">
        <f t="shared" si="24"/>
        <v>#VALUE!</v>
      </c>
    </row>
    <row r="311" spans="1:13" ht="15" customHeight="1" x14ac:dyDescent="0.2">
      <c r="A311" s="60">
        <f>'21 2026 ÜRETİM'!A311</f>
        <v>0</v>
      </c>
      <c r="B311" s="81" t="str">
        <f>IF(A311="","",'21 2026 ÜRETİM'!D311)</f>
        <v/>
      </c>
      <c r="C311" s="81">
        <f>IF(A311="","",'21 2026 ÜRETİM'!E311)</f>
        <v>0</v>
      </c>
      <c r="D311" s="82" t="str">
        <f>IF(A311="","",'21 2026 ÜRETİM'!F311)</f>
        <v/>
      </c>
      <c r="E311" s="81">
        <f>IF(A311="","",SUMIF('22 2026 PAKETLEME'!$B$2:$B$501,A311,'22 2026 PAKETLEME'!$E$2:$E$501))</f>
        <v>0</v>
      </c>
      <c r="F311" s="82">
        <f>IF(A311="","",SUMIF('22 2026 PAKETLEME'!$B$2:$B$501,A311,'22 2026 PAKETLEME'!$G$2:$G$501))</f>
        <v>0</v>
      </c>
      <c r="G311" s="81">
        <f>IF(A311="","",SUMIF('22 2026 PAKETLEME'!$B$2:$B$501,A311,'22 2026 PAKETLEME'!$H$2:$H$501))</f>
        <v>0</v>
      </c>
      <c r="H311" s="81" t="e">
        <f t="shared" si="20"/>
        <v>#VALUE!</v>
      </c>
      <c r="I311" s="82">
        <f>IF(A311="","",SUMIF('23 2026 SEVKİYAT'!$E$2:$E$501,A311,'23 2026 SEVKİYAT'!$H$2:$H$501))</f>
        <v>0</v>
      </c>
      <c r="J311" s="81">
        <f t="shared" si="21"/>
        <v>0</v>
      </c>
      <c r="K311" s="81" t="e">
        <f t="shared" si="22"/>
        <v>#VALUE!</v>
      </c>
      <c r="L311" s="58" t="e">
        <f t="shared" si="23"/>
        <v>#VALUE!</v>
      </c>
      <c r="M311" s="56" t="e">
        <f t="shared" si="24"/>
        <v>#VALUE!</v>
      </c>
    </row>
    <row r="312" spans="1:13" ht="15" customHeight="1" x14ac:dyDescent="0.2">
      <c r="A312" s="60">
        <f>'21 2026 ÜRETİM'!A312</f>
        <v>0</v>
      </c>
      <c r="B312" s="81" t="str">
        <f>IF(A312="","",'21 2026 ÜRETİM'!D312)</f>
        <v/>
      </c>
      <c r="C312" s="81">
        <f>IF(A312="","",'21 2026 ÜRETİM'!E312)</f>
        <v>0</v>
      </c>
      <c r="D312" s="82" t="str">
        <f>IF(A312="","",'21 2026 ÜRETİM'!F312)</f>
        <v/>
      </c>
      <c r="E312" s="81">
        <f>IF(A312="","",SUMIF('22 2026 PAKETLEME'!$B$2:$B$501,A312,'22 2026 PAKETLEME'!$E$2:$E$501))</f>
        <v>0</v>
      </c>
      <c r="F312" s="82">
        <f>IF(A312="","",SUMIF('22 2026 PAKETLEME'!$B$2:$B$501,A312,'22 2026 PAKETLEME'!$G$2:$G$501))</f>
        <v>0</v>
      </c>
      <c r="G312" s="81">
        <f>IF(A312="","",SUMIF('22 2026 PAKETLEME'!$B$2:$B$501,A312,'22 2026 PAKETLEME'!$H$2:$H$501))</f>
        <v>0</v>
      </c>
      <c r="H312" s="81" t="e">
        <f t="shared" si="20"/>
        <v>#VALUE!</v>
      </c>
      <c r="I312" s="82">
        <f>IF(A312="","",SUMIF('23 2026 SEVKİYAT'!$E$2:$E$501,A312,'23 2026 SEVKİYAT'!$H$2:$H$501))</f>
        <v>0</v>
      </c>
      <c r="J312" s="81">
        <f t="shared" si="21"/>
        <v>0</v>
      </c>
      <c r="K312" s="81" t="e">
        <f t="shared" si="22"/>
        <v>#VALUE!</v>
      </c>
      <c r="L312" s="58" t="e">
        <f t="shared" si="23"/>
        <v>#VALUE!</v>
      </c>
      <c r="M312" s="56" t="e">
        <f t="shared" si="24"/>
        <v>#VALUE!</v>
      </c>
    </row>
    <row r="313" spans="1:13" ht="15" customHeight="1" x14ac:dyDescent="0.2">
      <c r="A313" s="60">
        <f>'21 2026 ÜRETİM'!A313</f>
        <v>0</v>
      </c>
      <c r="B313" s="81" t="str">
        <f>IF(A313="","",'21 2026 ÜRETİM'!D313)</f>
        <v/>
      </c>
      <c r="C313" s="81">
        <f>IF(A313="","",'21 2026 ÜRETİM'!E313)</f>
        <v>0</v>
      </c>
      <c r="D313" s="82" t="str">
        <f>IF(A313="","",'21 2026 ÜRETİM'!F313)</f>
        <v/>
      </c>
      <c r="E313" s="81">
        <f>IF(A313="","",SUMIF('22 2026 PAKETLEME'!$B$2:$B$501,A313,'22 2026 PAKETLEME'!$E$2:$E$501))</f>
        <v>0</v>
      </c>
      <c r="F313" s="82">
        <f>IF(A313="","",SUMIF('22 2026 PAKETLEME'!$B$2:$B$501,A313,'22 2026 PAKETLEME'!$G$2:$G$501))</f>
        <v>0</v>
      </c>
      <c r="G313" s="81">
        <f>IF(A313="","",SUMIF('22 2026 PAKETLEME'!$B$2:$B$501,A313,'22 2026 PAKETLEME'!$H$2:$H$501))</f>
        <v>0</v>
      </c>
      <c r="H313" s="81" t="e">
        <f t="shared" si="20"/>
        <v>#VALUE!</v>
      </c>
      <c r="I313" s="82">
        <f>IF(A313="","",SUMIF('23 2026 SEVKİYAT'!$E$2:$E$501,A313,'23 2026 SEVKİYAT'!$H$2:$H$501))</f>
        <v>0</v>
      </c>
      <c r="J313" s="81">
        <f t="shared" si="21"/>
        <v>0</v>
      </c>
      <c r="K313" s="81" t="e">
        <f t="shared" si="22"/>
        <v>#VALUE!</v>
      </c>
      <c r="L313" s="58" t="e">
        <f t="shared" si="23"/>
        <v>#VALUE!</v>
      </c>
      <c r="M313" s="56" t="e">
        <f t="shared" si="24"/>
        <v>#VALUE!</v>
      </c>
    </row>
    <row r="314" spans="1:13" ht="15" customHeight="1" x14ac:dyDescent="0.2">
      <c r="A314" s="60">
        <f>'21 2026 ÜRETİM'!A314</f>
        <v>0</v>
      </c>
      <c r="B314" s="81" t="str">
        <f>IF(A314="","",'21 2026 ÜRETİM'!D314)</f>
        <v/>
      </c>
      <c r="C314" s="81">
        <f>IF(A314="","",'21 2026 ÜRETİM'!E314)</f>
        <v>0</v>
      </c>
      <c r="D314" s="82" t="str">
        <f>IF(A314="","",'21 2026 ÜRETİM'!F314)</f>
        <v/>
      </c>
      <c r="E314" s="81">
        <f>IF(A314="","",SUMIF('22 2026 PAKETLEME'!$B$2:$B$501,A314,'22 2026 PAKETLEME'!$E$2:$E$501))</f>
        <v>0</v>
      </c>
      <c r="F314" s="82">
        <f>IF(A314="","",SUMIF('22 2026 PAKETLEME'!$B$2:$B$501,A314,'22 2026 PAKETLEME'!$G$2:$G$501))</f>
        <v>0</v>
      </c>
      <c r="G314" s="81">
        <f>IF(A314="","",SUMIF('22 2026 PAKETLEME'!$B$2:$B$501,A314,'22 2026 PAKETLEME'!$H$2:$H$501))</f>
        <v>0</v>
      </c>
      <c r="H314" s="81" t="e">
        <f t="shared" si="20"/>
        <v>#VALUE!</v>
      </c>
      <c r="I314" s="82">
        <f>IF(A314="","",SUMIF('23 2026 SEVKİYAT'!$E$2:$E$501,A314,'23 2026 SEVKİYAT'!$H$2:$H$501))</f>
        <v>0</v>
      </c>
      <c r="J314" s="81">
        <f t="shared" si="21"/>
        <v>0</v>
      </c>
      <c r="K314" s="81" t="e">
        <f t="shared" si="22"/>
        <v>#VALUE!</v>
      </c>
      <c r="L314" s="58" t="e">
        <f t="shared" si="23"/>
        <v>#VALUE!</v>
      </c>
      <c r="M314" s="56" t="e">
        <f t="shared" si="24"/>
        <v>#VALUE!</v>
      </c>
    </row>
    <row r="315" spans="1:13" ht="15" customHeight="1" x14ac:dyDescent="0.2">
      <c r="A315" s="60">
        <f>'21 2026 ÜRETİM'!A315</f>
        <v>0</v>
      </c>
      <c r="B315" s="81" t="str">
        <f>IF(A315="","",'21 2026 ÜRETİM'!D315)</f>
        <v/>
      </c>
      <c r="C315" s="81">
        <f>IF(A315="","",'21 2026 ÜRETİM'!E315)</f>
        <v>0</v>
      </c>
      <c r="D315" s="82" t="str">
        <f>IF(A315="","",'21 2026 ÜRETİM'!F315)</f>
        <v/>
      </c>
      <c r="E315" s="81">
        <f>IF(A315="","",SUMIF('22 2026 PAKETLEME'!$B$2:$B$501,A315,'22 2026 PAKETLEME'!$E$2:$E$501))</f>
        <v>0</v>
      </c>
      <c r="F315" s="82">
        <f>IF(A315="","",SUMIF('22 2026 PAKETLEME'!$B$2:$B$501,A315,'22 2026 PAKETLEME'!$G$2:$G$501))</f>
        <v>0</v>
      </c>
      <c r="G315" s="81">
        <f>IF(A315="","",SUMIF('22 2026 PAKETLEME'!$B$2:$B$501,A315,'22 2026 PAKETLEME'!$H$2:$H$501))</f>
        <v>0</v>
      </c>
      <c r="H315" s="81" t="e">
        <f t="shared" si="20"/>
        <v>#VALUE!</v>
      </c>
      <c r="I315" s="82">
        <f>IF(A315="","",SUMIF('23 2026 SEVKİYAT'!$E$2:$E$501,A315,'23 2026 SEVKİYAT'!$H$2:$H$501))</f>
        <v>0</v>
      </c>
      <c r="J315" s="81">
        <f t="shared" si="21"/>
        <v>0</v>
      </c>
      <c r="K315" s="81" t="e">
        <f t="shared" si="22"/>
        <v>#VALUE!</v>
      </c>
      <c r="L315" s="58" t="e">
        <f t="shared" si="23"/>
        <v>#VALUE!</v>
      </c>
      <c r="M315" s="56" t="e">
        <f t="shared" si="24"/>
        <v>#VALUE!</v>
      </c>
    </row>
    <row r="316" spans="1:13" ht="15" customHeight="1" x14ac:dyDescent="0.2">
      <c r="A316" s="60">
        <f>'21 2026 ÜRETİM'!A316</f>
        <v>0</v>
      </c>
      <c r="B316" s="81" t="str">
        <f>IF(A316="","",'21 2026 ÜRETİM'!D316)</f>
        <v/>
      </c>
      <c r="C316" s="81">
        <f>IF(A316="","",'21 2026 ÜRETİM'!E316)</f>
        <v>0</v>
      </c>
      <c r="D316" s="82" t="str">
        <f>IF(A316="","",'21 2026 ÜRETİM'!F316)</f>
        <v/>
      </c>
      <c r="E316" s="81">
        <f>IF(A316="","",SUMIF('22 2026 PAKETLEME'!$B$2:$B$501,A316,'22 2026 PAKETLEME'!$E$2:$E$501))</f>
        <v>0</v>
      </c>
      <c r="F316" s="82">
        <f>IF(A316="","",SUMIF('22 2026 PAKETLEME'!$B$2:$B$501,A316,'22 2026 PAKETLEME'!$G$2:$G$501))</f>
        <v>0</v>
      </c>
      <c r="G316" s="81">
        <f>IF(A316="","",SUMIF('22 2026 PAKETLEME'!$B$2:$B$501,A316,'22 2026 PAKETLEME'!$H$2:$H$501))</f>
        <v>0</v>
      </c>
      <c r="H316" s="81" t="e">
        <f t="shared" si="20"/>
        <v>#VALUE!</v>
      </c>
      <c r="I316" s="82">
        <f>IF(A316="","",SUMIF('23 2026 SEVKİYAT'!$E$2:$E$501,A316,'23 2026 SEVKİYAT'!$H$2:$H$501))</f>
        <v>0</v>
      </c>
      <c r="J316" s="81">
        <f t="shared" si="21"/>
        <v>0</v>
      </c>
      <c r="K316" s="81" t="e">
        <f t="shared" si="22"/>
        <v>#VALUE!</v>
      </c>
      <c r="L316" s="58" t="e">
        <f t="shared" si="23"/>
        <v>#VALUE!</v>
      </c>
      <c r="M316" s="56" t="e">
        <f t="shared" si="24"/>
        <v>#VALUE!</v>
      </c>
    </row>
    <row r="317" spans="1:13" ht="15" customHeight="1" x14ac:dyDescent="0.2">
      <c r="A317" s="60">
        <f>'21 2026 ÜRETİM'!A317</f>
        <v>0</v>
      </c>
      <c r="B317" s="81" t="str">
        <f>IF(A317="","",'21 2026 ÜRETİM'!D317)</f>
        <v/>
      </c>
      <c r="C317" s="81">
        <f>IF(A317="","",'21 2026 ÜRETİM'!E317)</f>
        <v>0</v>
      </c>
      <c r="D317" s="82" t="str">
        <f>IF(A317="","",'21 2026 ÜRETİM'!F317)</f>
        <v/>
      </c>
      <c r="E317" s="81">
        <f>IF(A317="","",SUMIF('22 2026 PAKETLEME'!$B$2:$B$501,A317,'22 2026 PAKETLEME'!$E$2:$E$501))</f>
        <v>0</v>
      </c>
      <c r="F317" s="82">
        <f>IF(A317="","",SUMIF('22 2026 PAKETLEME'!$B$2:$B$501,A317,'22 2026 PAKETLEME'!$G$2:$G$501))</f>
        <v>0</v>
      </c>
      <c r="G317" s="81">
        <f>IF(A317="","",SUMIF('22 2026 PAKETLEME'!$B$2:$B$501,A317,'22 2026 PAKETLEME'!$H$2:$H$501))</f>
        <v>0</v>
      </c>
      <c r="H317" s="81" t="e">
        <f t="shared" si="20"/>
        <v>#VALUE!</v>
      </c>
      <c r="I317" s="82">
        <f>IF(A317="","",SUMIF('23 2026 SEVKİYAT'!$E$2:$E$501,A317,'23 2026 SEVKİYAT'!$H$2:$H$501))</f>
        <v>0</v>
      </c>
      <c r="J317" s="81">
        <f t="shared" si="21"/>
        <v>0</v>
      </c>
      <c r="K317" s="81" t="e">
        <f t="shared" si="22"/>
        <v>#VALUE!</v>
      </c>
      <c r="L317" s="58" t="e">
        <f t="shared" si="23"/>
        <v>#VALUE!</v>
      </c>
      <c r="M317" s="56" t="e">
        <f t="shared" si="24"/>
        <v>#VALUE!</v>
      </c>
    </row>
    <row r="318" spans="1:13" ht="15" customHeight="1" x14ac:dyDescent="0.2">
      <c r="A318" s="60">
        <f>'21 2026 ÜRETİM'!A318</f>
        <v>0</v>
      </c>
      <c r="B318" s="81" t="str">
        <f>IF(A318="","",'21 2026 ÜRETİM'!D318)</f>
        <v/>
      </c>
      <c r="C318" s="81">
        <f>IF(A318="","",'21 2026 ÜRETİM'!E318)</f>
        <v>0</v>
      </c>
      <c r="D318" s="82" t="str">
        <f>IF(A318="","",'21 2026 ÜRETİM'!F318)</f>
        <v/>
      </c>
      <c r="E318" s="81">
        <f>IF(A318="","",SUMIF('22 2026 PAKETLEME'!$B$2:$B$501,A318,'22 2026 PAKETLEME'!$E$2:$E$501))</f>
        <v>0</v>
      </c>
      <c r="F318" s="82">
        <f>IF(A318="","",SUMIF('22 2026 PAKETLEME'!$B$2:$B$501,A318,'22 2026 PAKETLEME'!$G$2:$G$501))</f>
        <v>0</v>
      </c>
      <c r="G318" s="81">
        <f>IF(A318="","",SUMIF('22 2026 PAKETLEME'!$B$2:$B$501,A318,'22 2026 PAKETLEME'!$H$2:$H$501))</f>
        <v>0</v>
      </c>
      <c r="H318" s="81" t="e">
        <f t="shared" si="20"/>
        <v>#VALUE!</v>
      </c>
      <c r="I318" s="82">
        <f>IF(A318="","",SUMIF('23 2026 SEVKİYAT'!$E$2:$E$501,A318,'23 2026 SEVKİYAT'!$H$2:$H$501))</f>
        <v>0</v>
      </c>
      <c r="J318" s="81">
        <f t="shared" si="21"/>
        <v>0</v>
      </c>
      <c r="K318" s="81" t="e">
        <f t="shared" si="22"/>
        <v>#VALUE!</v>
      </c>
      <c r="L318" s="58" t="e">
        <f t="shared" si="23"/>
        <v>#VALUE!</v>
      </c>
      <c r="M318" s="56" t="e">
        <f t="shared" si="24"/>
        <v>#VALUE!</v>
      </c>
    </row>
    <row r="319" spans="1:13" ht="15" customHeight="1" x14ac:dyDescent="0.2">
      <c r="A319" s="60">
        <f>'21 2026 ÜRETİM'!A319</f>
        <v>0</v>
      </c>
      <c r="B319" s="81" t="str">
        <f>IF(A319="","",'21 2026 ÜRETİM'!D319)</f>
        <v/>
      </c>
      <c r="C319" s="81">
        <f>IF(A319="","",'21 2026 ÜRETİM'!E319)</f>
        <v>0</v>
      </c>
      <c r="D319" s="82" t="str">
        <f>IF(A319="","",'21 2026 ÜRETİM'!F319)</f>
        <v/>
      </c>
      <c r="E319" s="81">
        <f>IF(A319="","",SUMIF('22 2026 PAKETLEME'!$B$2:$B$501,A319,'22 2026 PAKETLEME'!$E$2:$E$501))</f>
        <v>0</v>
      </c>
      <c r="F319" s="82">
        <f>IF(A319="","",SUMIF('22 2026 PAKETLEME'!$B$2:$B$501,A319,'22 2026 PAKETLEME'!$G$2:$G$501))</f>
        <v>0</v>
      </c>
      <c r="G319" s="81">
        <f>IF(A319="","",SUMIF('22 2026 PAKETLEME'!$B$2:$B$501,A319,'22 2026 PAKETLEME'!$H$2:$H$501))</f>
        <v>0</v>
      </c>
      <c r="H319" s="81" t="e">
        <f t="shared" si="20"/>
        <v>#VALUE!</v>
      </c>
      <c r="I319" s="82">
        <f>IF(A319="","",SUMIF('23 2026 SEVKİYAT'!$E$2:$E$501,A319,'23 2026 SEVKİYAT'!$H$2:$H$501))</f>
        <v>0</v>
      </c>
      <c r="J319" s="81">
        <f t="shared" si="21"/>
        <v>0</v>
      </c>
      <c r="K319" s="81" t="e">
        <f t="shared" si="22"/>
        <v>#VALUE!</v>
      </c>
      <c r="L319" s="58" t="e">
        <f t="shared" si="23"/>
        <v>#VALUE!</v>
      </c>
      <c r="M319" s="56" t="e">
        <f t="shared" si="24"/>
        <v>#VALUE!</v>
      </c>
    </row>
    <row r="320" spans="1:13" ht="15" customHeight="1" x14ac:dyDescent="0.2">
      <c r="A320" s="60">
        <f>'21 2026 ÜRETİM'!A320</f>
        <v>0</v>
      </c>
      <c r="B320" s="81" t="str">
        <f>IF(A320="","",'21 2026 ÜRETİM'!D320)</f>
        <v/>
      </c>
      <c r="C320" s="81">
        <f>IF(A320="","",'21 2026 ÜRETİM'!E320)</f>
        <v>0</v>
      </c>
      <c r="D320" s="82" t="str">
        <f>IF(A320="","",'21 2026 ÜRETİM'!F320)</f>
        <v/>
      </c>
      <c r="E320" s="81">
        <f>IF(A320="","",SUMIF('22 2026 PAKETLEME'!$B$2:$B$501,A320,'22 2026 PAKETLEME'!$E$2:$E$501))</f>
        <v>0</v>
      </c>
      <c r="F320" s="82">
        <f>IF(A320="","",SUMIF('22 2026 PAKETLEME'!$B$2:$B$501,A320,'22 2026 PAKETLEME'!$G$2:$G$501))</f>
        <v>0</v>
      </c>
      <c r="G320" s="81">
        <f>IF(A320="","",SUMIF('22 2026 PAKETLEME'!$B$2:$B$501,A320,'22 2026 PAKETLEME'!$H$2:$H$501))</f>
        <v>0</v>
      </c>
      <c r="H320" s="81" t="e">
        <f t="shared" si="20"/>
        <v>#VALUE!</v>
      </c>
      <c r="I320" s="82">
        <f>IF(A320="","",SUMIF('23 2026 SEVKİYAT'!$E$2:$E$501,A320,'23 2026 SEVKİYAT'!$H$2:$H$501))</f>
        <v>0</v>
      </c>
      <c r="J320" s="81">
        <f t="shared" si="21"/>
        <v>0</v>
      </c>
      <c r="K320" s="81" t="e">
        <f t="shared" si="22"/>
        <v>#VALUE!</v>
      </c>
      <c r="L320" s="58" t="e">
        <f t="shared" si="23"/>
        <v>#VALUE!</v>
      </c>
      <c r="M320" s="56" t="e">
        <f t="shared" si="24"/>
        <v>#VALUE!</v>
      </c>
    </row>
    <row r="321" spans="1:13" ht="15" customHeight="1" x14ac:dyDescent="0.2">
      <c r="A321" s="60">
        <f>'21 2026 ÜRETİM'!A321</f>
        <v>0</v>
      </c>
      <c r="B321" s="81" t="str">
        <f>IF(A321="","",'21 2026 ÜRETİM'!D321)</f>
        <v/>
      </c>
      <c r="C321" s="81">
        <f>IF(A321="","",'21 2026 ÜRETİM'!E321)</f>
        <v>0</v>
      </c>
      <c r="D321" s="82" t="str">
        <f>IF(A321="","",'21 2026 ÜRETİM'!F321)</f>
        <v/>
      </c>
      <c r="E321" s="81">
        <f>IF(A321="","",SUMIF('22 2026 PAKETLEME'!$B$2:$B$501,A321,'22 2026 PAKETLEME'!$E$2:$E$501))</f>
        <v>0</v>
      </c>
      <c r="F321" s="82">
        <f>IF(A321="","",SUMIF('22 2026 PAKETLEME'!$B$2:$B$501,A321,'22 2026 PAKETLEME'!$G$2:$G$501))</f>
        <v>0</v>
      </c>
      <c r="G321" s="81">
        <f>IF(A321="","",SUMIF('22 2026 PAKETLEME'!$B$2:$B$501,A321,'22 2026 PAKETLEME'!$H$2:$H$501))</f>
        <v>0</v>
      </c>
      <c r="H321" s="81" t="e">
        <f t="shared" si="20"/>
        <v>#VALUE!</v>
      </c>
      <c r="I321" s="82">
        <f>IF(A321="","",SUMIF('23 2026 SEVKİYAT'!$E$2:$E$501,A321,'23 2026 SEVKİYAT'!$H$2:$H$501))</f>
        <v>0</v>
      </c>
      <c r="J321" s="81">
        <f t="shared" si="21"/>
        <v>0</v>
      </c>
      <c r="K321" s="81" t="e">
        <f t="shared" si="22"/>
        <v>#VALUE!</v>
      </c>
      <c r="L321" s="58" t="e">
        <f t="shared" si="23"/>
        <v>#VALUE!</v>
      </c>
      <c r="M321" s="56" t="e">
        <f t="shared" si="24"/>
        <v>#VALUE!</v>
      </c>
    </row>
    <row r="322" spans="1:13" ht="15" customHeight="1" x14ac:dyDescent="0.2">
      <c r="A322" s="60">
        <f>'21 2026 ÜRETİM'!A322</f>
        <v>0</v>
      </c>
      <c r="B322" s="81" t="str">
        <f>IF(A322="","",'21 2026 ÜRETİM'!D322)</f>
        <v/>
      </c>
      <c r="C322" s="81">
        <f>IF(A322="","",'21 2026 ÜRETİM'!E322)</f>
        <v>0</v>
      </c>
      <c r="D322" s="82" t="str">
        <f>IF(A322="","",'21 2026 ÜRETİM'!F322)</f>
        <v/>
      </c>
      <c r="E322" s="81">
        <f>IF(A322="","",SUMIF('22 2026 PAKETLEME'!$B$2:$B$501,A322,'22 2026 PAKETLEME'!$E$2:$E$501))</f>
        <v>0</v>
      </c>
      <c r="F322" s="82">
        <f>IF(A322="","",SUMIF('22 2026 PAKETLEME'!$B$2:$B$501,A322,'22 2026 PAKETLEME'!$G$2:$G$501))</f>
        <v>0</v>
      </c>
      <c r="G322" s="81">
        <f>IF(A322="","",SUMIF('22 2026 PAKETLEME'!$B$2:$B$501,A322,'22 2026 PAKETLEME'!$H$2:$H$501))</f>
        <v>0</v>
      </c>
      <c r="H322" s="81" t="e">
        <f t="shared" ref="H322:H385" si="25">IF(A322="","",D322-E322-F322-G322)</f>
        <v>#VALUE!</v>
      </c>
      <c r="I322" s="82">
        <f>IF(A322="","",SUMIF('23 2026 SEVKİYAT'!$E$2:$E$501,A322,'23 2026 SEVKİYAT'!$H$2:$H$501))</f>
        <v>0</v>
      </c>
      <c r="J322" s="81">
        <f t="shared" ref="J322:J385" si="26">IF(A322="","",E322+F322-I322)</f>
        <v>0</v>
      </c>
      <c r="K322" s="81" t="e">
        <f t="shared" ref="K322:K385" si="27">IF(A322="","",D322-E322-F322-G322-H322)</f>
        <v>#VALUE!</v>
      </c>
      <c r="L322" s="58" t="e">
        <f t="shared" ref="L322:L385" si="28">IF(A322="","",IF(ABS(K322)&lt;0.001,"KAPALI","KONTROL"))</f>
        <v>#VALUE!</v>
      </c>
      <c r="M322" s="56" t="e">
        <f t="shared" ref="M322:M385" si="29">IF(A322="","",IF(J322&lt;0,"SEVK PAKETLEMEYİ AŞIYOR",IF(H322&lt;&gt;0,"PAKETLEME BAKİYESİ VAR","DENKLİK KAPALI")))</f>
        <v>#VALUE!</v>
      </c>
    </row>
    <row r="323" spans="1:13" ht="15" customHeight="1" x14ac:dyDescent="0.2">
      <c r="A323" s="60">
        <f>'21 2026 ÜRETİM'!A323</f>
        <v>0</v>
      </c>
      <c r="B323" s="81" t="str">
        <f>IF(A323="","",'21 2026 ÜRETİM'!D323)</f>
        <v/>
      </c>
      <c r="C323" s="81">
        <f>IF(A323="","",'21 2026 ÜRETİM'!E323)</f>
        <v>0</v>
      </c>
      <c r="D323" s="82" t="str">
        <f>IF(A323="","",'21 2026 ÜRETİM'!F323)</f>
        <v/>
      </c>
      <c r="E323" s="81">
        <f>IF(A323="","",SUMIF('22 2026 PAKETLEME'!$B$2:$B$501,A323,'22 2026 PAKETLEME'!$E$2:$E$501))</f>
        <v>0</v>
      </c>
      <c r="F323" s="82">
        <f>IF(A323="","",SUMIF('22 2026 PAKETLEME'!$B$2:$B$501,A323,'22 2026 PAKETLEME'!$G$2:$G$501))</f>
        <v>0</v>
      </c>
      <c r="G323" s="81">
        <f>IF(A323="","",SUMIF('22 2026 PAKETLEME'!$B$2:$B$501,A323,'22 2026 PAKETLEME'!$H$2:$H$501))</f>
        <v>0</v>
      </c>
      <c r="H323" s="81" t="e">
        <f t="shared" si="25"/>
        <v>#VALUE!</v>
      </c>
      <c r="I323" s="82">
        <f>IF(A323="","",SUMIF('23 2026 SEVKİYAT'!$E$2:$E$501,A323,'23 2026 SEVKİYAT'!$H$2:$H$501))</f>
        <v>0</v>
      </c>
      <c r="J323" s="81">
        <f t="shared" si="26"/>
        <v>0</v>
      </c>
      <c r="K323" s="81" t="e">
        <f t="shared" si="27"/>
        <v>#VALUE!</v>
      </c>
      <c r="L323" s="58" t="e">
        <f t="shared" si="28"/>
        <v>#VALUE!</v>
      </c>
      <c r="M323" s="56" t="e">
        <f t="shared" si="29"/>
        <v>#VALUE!</v>
      </c>
    </row>
    <row r="324" spans="1:13" ht="15" customHeight="1" x14ac:dyDescent="0.2">
      <c r="A324" s="60">
        <f>'21 2026 ÜRETİM'!A324</f>
        <v>0</v>
      </c>
      <c r="B324" s="81" t="str">
        <f>IF(A324="","",'21 2026 ÜRETİM'!D324)</f>
        <v/>
      </c>
      <c r="C324" s="81">
        <f>IF(A324="","",'21 2026 ÜRETİM'!E324)</f>
        <v>0</v>
      </c>
      <c r="D324" s="82" t="str">
        <f>IF(A324="","",'21 2026 ÜRETİM'!F324)</f>
        <v/>
      </c>
      <c r="E324" s="81">
        <f>IF(A324="","",SUMIF('22 2026 PAKETLEME'!$B$2:$B$501,A324,'22 2026 PAKETLEME'!$E$2:$E$501))</f>
        <v>0</v>
      </c>
      <c r="F324" s="82">
        <f>IF(A324="","",SUMIF('22 2026 PAKETLEME'!$B$2:$B$501,A324,'22 2026 PAKETLEME'!$G$2:$G$501))</f>
        <v>0</v>
      </c>
      <c r="G324" s="81">
        <f>IF(A324="","",SUMIF('22 2026 PAKETLEME'!$B$2:$B$501,A324,'22 2026 PAKETLEME'!$H$2:$H$501))</f>
        <v>0</v>
      </c>
      <c r="H324" s="81" t="e">
        <f t="shared" si="25"/>
        <v>#VALUE!</v>
      </c>
      <c r="I324" s="82">
        <f>IF(A324="","",SUMIF('23 2026 SEVKİYAT'!$E$2:$E$501,A324,'23 2026 SEVKİYAT'!$H$2:$H$501))</f>
        <v>0</v>
      </c>
      <c r="J324" s="81">
        <f t="shared" si="26"/>
        <v>0</v>
      </c>
      <c r="K324" s="81" t="e">
        <f t="shared" si="27"/>
        <v>#VALUE!</v>
      </c>
      <c r="L324" s="58" t="e">
        <f t="shared" si="28"/>
        <v>#VALUE!</v>
      </c>
      <c r="M324" s="56" t="e">
        <f t="shared" si="29"/>
        <v>#VALUE!</v>
      </c>
    </row>
    <row r="325" spans="1:13" ht="15" customHeight="1" x14ac:dyDescent="0.2">
      <c r="A325" s="60">
        <f>'21 2026 ÜRETİM'!A325</f>
        <v>0</v>
      </c>
      <c r="B325" s="81" t="str">
        <f>IF(A325="","",'21 2026 ÜRETİM'!D325)</f>
        <v/>
      </c>
      <c r="C325" s="81">
        <f>IF(A325="","",'21 2026 ÜRETİM'!E325)</f>
        <v>0</v>
      </c>
      <c r="D325" s="82" t="str">
        <f>IF(A325="","",'21 2026 ÜRETİM'!F325)</f>
        <v/>
      </c>
      <c r="E325" s="81">
        <f>IF(A325="","",SUMIF('22 2026 PAKETLEME'!$B$2:$B$501,A325,'22 2026 PAKETLEME'!$E$2:$E$501))</f>
        <v>0</v>
      </c>
      <c r="F325" s="82">
        <f>IF(A325="","",SUMIF('22 2026 PAKETLEME'!$B$2:$B$501,A325,'22 2026 PAKETLEME'!$G$2:$G$501))</f>
        <v>0</v>
      </c>
      <c r="G325" s="81">
        <f>IF(A325="","",SUMIF('22 2026 PAKETLEME'!$B$2:$B$501,A325,'22 2026 PAKETLEME'!$H$2:$H$501))</f>
        <v>0</v>
      </c>
      <c r="H325" s="81" t="e">
        <f t="shared" si="25"/>
        <v>#VALUE!</v>
      </c>
      <c r="I325" s="82">
        <f>IF(A325="","",SUMIF('23 2026 SEVKİYAT'!$E$2:$E$501,A325,'23 2026 SEVKİYAT'!$H$2:$H$501))</f>
        <v>0</v>
      </c>
      <c r="J325" s="81">
        <f t="shared" si="26"/>
        <v>0</v>
      </c>
      <c r="K325" s="81" t="e">
        <f t="shared" si="27"/>
        <v>#VALUE!</v>
      </c>
      <c r="L325" s="58" t="e">
        <f t="shared" si="28"/>
        <v>#VALUE!</v>
      </c>
      <c r="M325" s="56" t="e">
        <f t="shared" si="29"/>
        <v>#VALUE!</v>
      </c>
    </row>
    <row r="326" spans="1:13" ht="15" customHeight="1" x14ac:dyDescent="0.2">
      <c r="A326" s="60">
        <f>'21 2026 ÜRETİM'!A326</f>
        <v>0</v>
      </c>
      <c r="B326" s="81" t="str">
        <f>IF(A326="","",'21 2026 ÜRETİM'!D326)</f>
        <v/>
      </c>
      <c r="C326" s="81">
        <f>IF(A326="","",'21 2026 ÜRETİM'!E326)</f>
        <v>0</v>
      </c>
      <c r="D326" s="82" t="str">
        <f>IF(A326="","",'21 2026 ÜRETİM'!F326)</f>
        <v/>
      </c>
      <c r="E326" s="81">
        <f>IF(A326="","",SUMIF('22 2026 PAKETLEME'!$B$2:$B$501,A326,'22 2026 PAKETLEME'!$E$2:$E$501))</f>
        <v>0</v>
      </c>
      <c r="F326" s="82">
        <f>IF(A326="","",SUMIF('22 2026 PAKETLEME'!$B$2:$B$501,A326,'22 2026 PAKETLEME'!$G$2:$G$501))</f>
        <v>0</v>
      </c>
      <c r="G326" s="81">
        <f>IF(A326="","",SUMIF('22 2026 PAKETLEME'!$B$2:$B$501,A326,'22 2026 PAKETLEME'!$H$2:$H$501))</f>
        <v>0</v>
      </c>
      <c r="H326" s="81" t="e">
        <f t="shared" si="25"/>
        <v>#VALUE!</v>
      </c>
      <c r="I326" s="82">
        <f>IF(A326="","",SUMIF('23 2026 SEVKİYAT'!$E$2:$E$501,A326,'23 2026 SEVKİYAT'!$H$2:$H$501))</f>
        <v>0</v>
      </c>
      <c r="J326" s="81">
        <f t="shared" si="26"/>
        <v>0</v>
      </c>
      <c r="K326" s="81" t="e">
        <f t="shared" si="27"/>
        <v>#VALUE!</v>
      </c>
      <c r="L326" s="58" t="e">
        <f t="shared" si="28"/>
        <v>#VALUE!</v>
      </c>
      <c r="M326" s="56" t="e">
        <f t="shared" si="29"/>
        <v>#VALUE!</v>
      </c>
    </row>
    <row r="327" spans="1:13" ht="15" customHeight="1" x14ac:dyDescent="0.2">
      <c r="A327" s="60">
        <f>'21 2026 ÜRETİM'!A327</f>
        <v>0</v>
      </c>
      <c r="B327" s="81" t="str">
        <f>IF(A327="","",'21 2026 ÜRETİM'!D327)</f>
        <v/>
      </c>
      <c r="C327" s="81">
        <f>IF(A327="","",'21 2026 ÜRETİM'!E327)</f>
        <v>0</v>
      </c>
      <c r="D327" s="82" t="str">
        <f>IF(A327="","",'21 2026 ÜRETİM'!F327)</f>
        <v/>
      </c>
      <c r="E327" s="81">
        <f>IF(A327="","",SUMIF('22 2026 PAKETLEME'!$B$2:$B$501,A327,'22 2026 PAKETLEME'!$E$2:$E$501))</f>
        <v>0</v>
      </c>
      <c r="F327" s="82">
        <f>IF(A327="","",SUMIF('22 2026 PAKETLEME'!$B$2:$B$501,A327,'22 2026 PAKETLEME'!$G$2:$G$501))</f>
        <v>0</v>
      </c>
      <c r="G327" s="81">
        <f>IF(A327="","",SUMIF('22 2026 PAKETLEME'!$B$2:$B$501,A327,'22 2026 PAKETLEME'!$H$2:$H$501))</f>
        <v>0</v>
      </c>
      <c r="H327" s="81" t="e">
        <f t="shared" si="25"/>
        <v>#VALUE!</v>
      </c>
      <c r="I327" s="82">
        <f>IF(A327="","",SUMIF('23 2026 SEVKİYAT'!$E$2:$E$501,A327,'23 2026 SEVKİYAT'!$H$2:$H$501))</f>
        <v>0</v>
      </c>
      <c r="J327" s="81">
        <f t="shared" si="26"/>
        <v>0</v>
      </c>
      <c r="K327" s="81" t="e">
        <f t="shared" si="27"/>
        <v>#VALUE!</v>
      </c>
      <c r="L327" s="58" t="e">
        <f t="shared" si="28"/>
        <v>#VALUE!</v>
      </c>
      <c r="M327" s="56" t="e">
        <f t="shared" si="29"/>
        <v>#VALUE!</v>
      </c>
    </row>
    <row r="328" spans="1:13" ht="15" customHeight="1" x14ac:dyDescent="0.2">
      <c r="A328" s="60">
        <f>'21 2026 ÜRETİM'!A328</f>
        <v>0</v>
      </c>
      <c r="B328" s="81" t="str">
        <f>IF(A328="","",'21 2026 ÜRETİM'!D328)</f>
        <v/>
      </c>
      <c r="C328" s="81">
        <f>IF(A328="","",'21 2026 ÜRETİM'!E328)</f>
        <v>0</v>
      </c>
      <c r="D328" s="82" t="str">
        <f>IF(A328="","",'21 2026 ÜRETİM'!F328)</f>
        <v/>
      </c>
      <c r="E328" s="81">
        <f>IF(A328="","",SUMIF('22 2026 PAKETLEME'!$B$2:$B$501,A328,'22 2026 PAKETLEME'!$E$2:$E$501))</f>
        <v>0</v>
      </c>
      <c r="F328" s="82">
        <f>IF(A328="","",SUMIF('22 2026 PAKETLEME'!$B$2:$B$501,A328,'22 2026 PAKETLEME'!$G$2:$G$501))</f>
        <v>0</v>
      </c>
      <c r="G328" s="81">
        <f>IF(A328="","",SUMIF('22 2026 PAKETLEME'!$B$2:$B$501,A328,'22 2026 PAKETLEME'!$H$2:$H$501))</f>
        <v>0</v>
      </c>
      <c r="H328" s="81" t="e">
        <f t="shared" si="25"/>
        <v>#VALUE!</v>
      </c>
      <c r="I328" s="82">
        <f>IF(A328="","",SUMIF('23 2026 SEVKİYAT'!$E$2:$E$501,A328,'23 2026 SEVKİYAT'!$H$2:$H$501))</f>
        <v>0</v>
      </c>
      <c r="J328" s="81">
        <f t="shared" si="26"/>
        <v>0</v>
      </c>
      <c r="K328" s="81" t="e">
        <f t="shared" si="27"/>
        <v>#VALUE!</v>
      </c>
      <c r="L328" s="58" t="e">
        <f t="shared" si="28"/>
        <v>#VALUE!</v>
      </c>
      <c r="M328" s="56" t="e">
        <f t="shared" si="29"/>
        <v>#VALUE!</v>
      </c>
    </row>
    <row r="329" spans="1:13" ht="15" customHeight="1" x14ac:dyDescent="0.2">
      <c r="A329" s="60">
        <f>'21 2026 ÜRETİM'!A329</f>
        <v>0</v>
      </c>
      <c r="B329" s="81" t="str">
        <f>IF(A329="","",'21 2026 ÜRETİM'!D329)</f>
        <v/>
      </c>
      <c r="C329" s="81">
        <f>IF(A329="","",'21 2026 ÜRETİM'!E329)</f>
        <v>0</v>
      </c>
      <c r="D329" s="82" t="str">
        <f>IF(A329="","",'21 2026 ÜRETİM'!F329)</f>
        <v/>
      </c>
      <c r="E329" s="81">
        <f>IF(A329="","",SUMIF('22 2026 PAKETLEME'!$B$2:$B$501,A329,'22 2026 PAKETLEME'!$E$2:$E$501))</f>
        <v>0</v>
      </c>
      <c r="F329" s="82">
        <f>IF(A329="","",SUMIF('22 2026 PAKETLEME'!$B$2:$B$501,A329,'22 2026 PAKETLEME'!$G$2:$G$501))</f>
        <v>0</v>
      </c>
      <c r="G329" s="81">
        <f>IF(A329="","",SUMIF('22 2026 PAKETLEME'!$B$2:$B$501,A329,'22 2026 PAKETLEME'!$H$2:$H$501))</f>
        <v>0</v>
      </c>
      <c r="H329" s="81" t="e">
        <f t="shared" si="25"/>
        <v>#VALUE!</v>
      </c>
      <c r="I329" s="82">
        <f>IF(A329="","",SUMIF('23 2026 SEVKİYAT'!$E$2:$E$501,A329,'23 2026 SEVKİYAT'!$H$2:$H$501))</f>
        <v>0</v>
      </c>
      <c r="J329" s="81">
        <f t="shared" si="26"/>
        <v>0</v>
      </c>
      <c r="K329" s="81" t="e">
        <f t="shared" si="27"/>
        <v>#VALUE!</v>
      </c>
      <c r="L329" s="58" t="e">
        <f t="shared" si="28"/>
        <v>#VALUE!</v>
      </c>
      <c r="M329" s="56" t="e">
        <f t="shared" si="29"/>
        <v>#VALUE!</v>
      </c>
    </row>
    <row r="330" spans="1:13" ht="15" customHeight="1" x14ac:dyDescent="0.2">
      <c r="A330" s="60">
        <f>'21 2026 ÜRETİM'!A330</f>
        <v>0</v>
      </c>
      <c r="B330" s="81" t="str">
        <f>IF(A330="","",'21 2026 ÜRETİM'!D330)</f>
        <v/>
      </c>
      <c r="C330" s="81">
        <f>IF(A330="","",'21 2026 ÜRETİM'!E330)</f>
        <v>0</v>
      </c>
      <c r="D330" s="82" t="str">
        <f>IF(A330="","",'21 2026 ÜRETİM'!F330)</f>
        <v/>
      </c>
      <c r="E330" s="81">
        <f>IF(A330="","",SUMIF('22 2026 PAKETLEME'!$B$2:$B$501,A330,'22 2026 PAKETLEME'!$E$2:$E$501))</f>
        <v>0</v>
      </c>
      <c r="F330" s="82">
        <f>IF(A330="","",SUMIF('22 2026 PAKETLEME'!$B$2:$B$501,A330,'22 2026 PAKETLEME'!$G$2:$G$501))</f>
        <v>0</v>
      </c>
      <c r="G330" s="81">
        <f>IF(A330="","",SUMIF('22 2026 PAKETLEME'!$B$2:$B$501,A330,'22 2026 PAKETLEME'!$H$2:$H$501))</f>
        <v>0</v>
      </c>
      <c r="H330" s="81" t="e">
        <f t="shared" si="25"/>
        <v>#VALUE!</v>
      </c>
      <c r="I330" s="82">
        <f>IF(A330="","",SUMIF('23 2026 SEVKİYAT'!$E$2:$E$501,A330,'23 2026 SEVKİYAT'!$H$2:$H$501))</f>
        <v>0</v>
      </c>
      <c r="J330" s="81">
        <f t="shared" si="26"/>
        <v>0</v>
      </c>
      <c r="K330" s="81" t="e">
        <f t="shared" si="27"/>
        <v>#VALUE!</v>
      </c>
      <c r="L330" s="58" t="e">
        <f t="shared" si="28"/>
        <v>#VALUE!</v>
      </c>
      <c r="M330" s="56" t="e">
        <f t="shared" si="29"/>
        <v>#VALUE!</v>
      </c>
    </row>
    <row r="331" spans="1:13" ht="15" customHeight="1" x14ac:dyDescent="0.2">
      <c r="A331" s="60">
        <f>'21 2026 ÜRETİM'!A331</f>
        <v>0</v>
      </c>
      <c r="B331" s="81" t="str">
        <f>IF(A331="","",'21 2026 ÜRETİM'!D331)</f>
        <v/>
      </c>
      <c r="C331" s="81">
        <f>IF(A331="","",'21 2026 ÜRETİM'!E331)</f>
        <v>0</v>
      </c>
      <c r="D331" s="82" t="str">
        <f>IF(A331="","",'21 2026 ÜRETİM'!F331)</f>
        <v/>
      </c>
      <c r="E331" s="81">
        <f>IF(A331="","",SUMIF('22 2026 PAKETLEME'!$B$2:$B$501,A331,'22 2026 PAKETLEME'!$E$2:$E$501))</f>
        <v>0</v>
      </c>
      <c r="F331" s="82">
        <f>IF(A331="","",SUMIF('22 2026 PAKETLEME'!$B$2:$B$501,A331,'22 2026 PAKETLEME'!$G$2:$G$501))</f>
        <v>0</v>
      </c>
      <c r="G331" s="81">
        <f>IF(A331="","",SUMIF('22 2026 PAKETLEME'!$B$2:$B$501,A331,'22 2026 PAKETLEME'!$H$2:$H$501))</f>
        <v>0</v>
      </c>
      <c r="H331" s="81" t="e">
        <f t="shared" si="25"/>
        <v>#VALUE!</v>
      </c>
      <c r="I331" s="82">
        <f>IF(A331="","",SUMIF('23 2026 SEVKİYAT'!$E$2:$E$501,A331,'23 2026 SEVKİYAT'!$H$2:$H$501))</f>
        <v>0</v>
      </c>
      <c r="J331" s="81">
        <f t="shared" si="26"/>
        <v>0</v>
      </c>
      <c r="K331" s="81" t="e">
        <f t="shared" si="27"/>
        <v>#VALUE!</v>
      </c>
      <c r="L331" s="58" t="e">
        <f t="shared" si="28"/>
        <v>#VALUE!</v>
      </c>
      <c r="M331" s="56" t="e">
        <f t="shared" si="29"/>
        <v>#VALUE!</v>
      </c>
    </row>
    <row r="332" spans="1:13" ht="15" customHeight="1" x14ac:dyDescent="0.2">
      <c r="A332" s="60">
        <f>'21 2026 ÜRETİM'!A332</f>
        <v>0</v>
      </c>
      <c r="B332" s="81" t="str">
        <f>IF(A332="","",'21 2026 ÜRETİM'!D332)</f>
        <v/>
      </c>
      <c r="C332" s="81">
        <f>IF(A332="","",'21 2026 ÜRETİM'!E332)</f>
        <v>0</v>
      </c>
      <c r="D332" s="82" t="str">
        <f>IF(A332="","",'21 2026 ÜRETİM'!F332)</f>
        <v/>
      </c>
      <c r="E332" s="81">
        <f>IF(A332="","",SUMIF('22 2026 PAKETLEME'!$B$2:$B$501,A332,'22 2026 PAKETLEME'!$E$2:$E$501))</f>
        <v>0</v>
      </c>
      <c r="F332" s="82">
        <f>IF(A332="","",SUMIF('22 2026 PAKETLEME'!$B$2:$B$501,A332,'22 2026 PAKETLEME'!$G$2:$G$501))</f>
        <v>0</v>
      </c>
      <c r="G332" s="81">
        <f>IF(A332="","",SUMIF('22 2026 PAKETLEME'!$B$2:$B$501,A332,'22 2026 PAKETLEME'!$H$2:$H$501))</f>
        <v>0</v>
      </c>
      <c r="H332" s="81" t="e">
        <f t="shared" si="25"/>
        <v>#VALUE!</v>
      </c>
      <c r="I332" s="82">
        <f>IF(A332="","",SUMIF('23 2026 SEVKİYAT'!$E$2:$E$501,A332,'23 2026 SEVKİYAT'!$H$2:$H$501))</f>
        <v>0</v>
      </c>
      <c r="J332" s="81">
        <f t="shared" si="26"/>
        <v>0</v>
      </c>
      <c r="K332" s="81" t="e">
        <f t="shared" si="27"/>
        <v>#VALUE!</v>
      </c>
      <c r="L332" s="58" t="e">
        <f t="shared" si="28"/>
        <v>#VALUE!</v>
      </c>
      <c r="M332" s="56" t="e">
        <f t="shared" si="29"/>
        <v>#VALUE!</v>
      </c>
    </row>
    <row r="333" spans="1:13" ht="15" customHeight="1" x14ac:dyDescent="0.2">
      <c r="A333" s="60">
        <f>'21 2026 ÜRETİM'!A333</f>
        <v>0</v>
      </c>
      <c r="B333" s="81" t="str">
        <f>IF(A333="","",'21 2026 ÜRETİM'!D333)</f>
        <v/>
      </c>
      <c r="C333" s="81">
        <f>IF(A333="","",'21 2026 ÜRETİM'!E333)</f>
        <v>0</v>
      </c>
      <c r="D333" s="82" t="str">
        <f>IF(A333="","",'21 2026 ÜRETİM'!F333)</f>
        <v/>
      </c>
      <c r="E333" s="81">
        <f>IF(A333="","",SUMIF('22 2026 PAKETLEME'!$B$2:$B$501,A333,'22 2026 PAKETLEME'!$E$2:$E$501))</f>
        <v>0</v>
      </c>
      <c r="F333" s="82">
        <f>IF(A333="","",SUMIF('22 2026 PAKETLEME'!$B$2:$B$501,A333,'22 2026 PAKETLEME'!$G$2:$G$501))</f>
        <v>0</v>
      </c>
      <c r="G333" s="81">
        <f>IF(A333="","",SUMIF('22 2026 PAKETLEME'!$B$2:$B$501,A333,'22 2026 PAKETLEME'!$H$2:$H$501))</f>
        <v>0</v>
      </c>
      <c r="H333" s="81" t="e">
        <f t="shared" si="25"/>
        <v>#VALUE!</v>
      </c>
      <c r="I333" s="82">
        <f>IF(A333="","",SUMIF('23 2026 SEVKİYAT'!$E$2:$E$501,A333,'23 2026 SEVKİYAT'!$H$2:$H$501))</f>
        <v>0</v>
      </c>
      <c r="J333" s="81">
        <f t="shared" si="26"/>
        <v>0</v>
      </c>
      <c r="K333" s="81" t="e">
        <f t="shared" si="27"/>
        <v>#VALUE!</v>
      </c>
      <c r="L333" s="58" t="e">
        <f t="shared" si="28"/>
        <v>#VALUE!</v>
      </c>
      <c r="M333" s="56" t="e">
        <f t="shared" si="29"/>
        <v>#VALUE!</v>
      </c>
    </row>
    <row r="334" spans="1:13" ht="15" customHeight="1" x14ac:dyDescent="0.2">
      <c r="A334" s="60">
        <f>'21 2026 ÜRETİM'!A334</f>
        <v>0</v>
      </c>
      <c r="B334" s="81" t="str">
        <f>IF(A334="","",'21 2026 ÜRETİM'!D334)</f>
        <v/>
      </c>
      <c r="C334" s="81">
        <f>IF(A334="","",'21 2026 ÜRETİM'!E334)</f>
        <v>0</v>
      </c>
      <c r="D334" s="82" t="str">
        <f>IF(A334="","",'21 2026 ÜRETİM'!F334)</f>
        <v/>
      </c>
      <c r="E334" s="81">
        <f>IF(A334="","",SUMIF('22 2026 PAKETLEME'!$B$2:$B$501,A334,'22 2026 PAKETLEME'!$E$2:$E$501))</f>
        <v>0</v>
      </c>
      <c r="F334" s="82">
        <f>IF(A334="","",SUMIF('22 2026 PAKETLEME'!$B$2:$B$501,A334,'22 2026 PAKETLEME'!$G$2:$G$501))</f>
        <v>0</v>
      </c>
      <c r="G334" s="81">
        <f>IF(A334="","",SUMIF('22 2026 PAKETLEME'!$B$2:$B$501,A334,'22 2026 PAKETLEME'!$H$2:$H$501))</f>
        <v>0</v>
      </c>
      <c r="H334" s="81" t="e">
        <f t="shared" si="25"/>
        <v>#VALUE!</v>
      </c>
      <c r="I334" s="82">
        <f>IF(A334="","",SUMIF('23 2026 SEVKİYAT'!$E$2:$E$501,A334,'23 2026 SEVKİYAT'!$H$2:$H$501))</f>
        <v>0</v>
      </c>
      <c r="J334" s="81">
        <f t="shared" si="26"/>
        <v>0</v>
      </c>
      <c r="K334" s="81" t="e">
        <f t="shared" si="27"/>
        <v>#VALUE!</v>
      </c>
      <c r="L334" s="58" t="e">
        <f t="shared" si="28"/>
        <v>#VALUE!</v>
      </c>
      <c r="M334" s="56" t="e">
        <f t="shared" si="29"/>
        <v>#VALUE!</v>
      </c>
    </row>
    <row r="335" spans="1:13" ht="15" customHeight="1" x14ac:dyDescent="0.2">
      <c r="A335" s="60">
        <f>'21 2026 ÜRETİM'!A335</f>
        <v>0</v>
      </c>
      <c r="B335" s="81" t="str">
        <f>IF(A335="","",'21 2026 ÜRETİM'!D335)</f>
        <v/>
      </c>
      <c r="C335" s="81">
        <f>IF(A335="","",'21 2026 ÜRETİM'!E335)</f>
        <v>0</v>
      </c>
      <c r="D335" s="82" t="str">
        <f>IF(A335="","",'21 2026 ÜRETİM'!F335)</f>
        <v/>
      </c>
      <c r="E335" s="81">
        <f>IF(A335="","",SUMIF('22 2026 PAKETLEME'!$B$2:$B$501,A335,'22 2026 PAKETLEME'!$E$2:$E$501))</f>
        <v>0</v>
      </c>
      <c r="F335" s="82">
        <f>IF(A335="","",SUMIF('22 2026 PAKETLEME'!$B$2:$B$501,A335,'22 2026 PAKETLEME'!$G$2:$G$501))</f>
        <v>0</v>
      </c>
      <c r="G335" s="81">
        <f>IF(A335="","",SUMIF('22 2026 PAKETLEME'!$B$2:$B$501,A335,'22 2026 PAKETLEME'!$H$2:$H$501))</f>
        <v>0</v>
      </c>
      <c r="H335" s="81" t="e">
        <f t="shared" si="25"/>
        <v>#VALUE!</v>
      </c>
      <c r="I335" s="82">
        <f>IF(A335="","",SUMIF('23 2026 SEVKİYAT'!$E$2:$E$501,A335,'23 2026 SEVKİYAT'!$H$2:$H$501))</f>
        <v>0</v>
      </c>
      <c r="J335" s="81">
        <f t="shared" si="26"/>
        <v>0</v>
      </c>
      <c r="K335" s="81" t="e">
        <f t="shared" si="27"/>
        <v>#VALUE!</v>
      </c>
      <c r="L335" s="58" t="e">
        <f t="shared" si="28"/>
        <v>#VALUE!</v>
      </c>
      <c r="M335" s="56" t="e">
        <f t="shared" si="29"/>
        <v>#VALUE!</v>
      </c>
    </row>
    <row r="336" spans="1:13" ht="15" customHeight="1" x14ac:dyDescent="0.2">
      <c r="A336" s="60">
        <f>'21 2026 ÜRETİM'!A336</f>
        <v>0</v>
      </c>
      <c r="B336" s="81" t="str">
        <f>IF(A336="","",'21 2026 ÜRETİM'!D336)</f>
        <v/>
      </c>
      <c r="C336" s="81">
        <f>IF(A336="","",'21 2026 ÜRETİM'!E336)</f>
        <v>0</v>
      </c>
      <c r="D336" s="82" t="str">
        <f>IF(A336="","",'21 2026 ÜRETİM'!F336)</f>
        <v/>
      </c>
      <c r="E336" s="81">
        <f>IF(A336="","",SUMIF('22 2026 PAKETLEME'!$B$2:$B$501,A336,'22 2026 PAKETLEME'!$E$2:$E$501))</f>
        <v>0</v>
      </c>
      <c r="F336" s="82">
        <f>IF(A336="","",SUMIF('22 2026 PAKETLEME'!$B$2:$B$501,A336,'22 2026 PAKETLEME'!$G$2:$G$501))</f>
        <v>0</v>
      </c>
      <c r="G336" s="81">
        <f>IF(A336="","",SUMIF('22 2026 PAKETLEME'!$B$2:$B$501,A336,'22 2026 PAKETLEME'!$H$2:$H$501))</f>
        <v>0</v>
      </c>
      <c r="H336" s="81" t="e">
        <f t="shared" si="25"/>
        <v>#VALUE!</v>
      </c>
      <c r="I336" s="82">
        <f>IF(A336="","",SUMIF('23 2026 SEVKİYAT'!$E$2:$E$501,A336,'23 2026 SEVKİYAT'!$H$2:$H$501))</f>
        <v>0</v>
      </c>
      <c r="J336" s="81">
        <f t="shared" si="26"/>
        <v>0</v>
      </c>
      <c r="K336" s="81" t="e">
        <f t="shared" si="27"/>
        <v>#VALUE!</v>
      </c>
      <c r="L336" s="58" t="e">
        <f t="shared" si="28"/>
        <v>#VALUE!</v>
      </c>
      <c r="M336" s="56" t="e">
        <f t="shared" si="29"/>
        <v>#VALUE!</v>
      </c>
    </row>
    <row r="337" spans="1:13" ht="15" customHeight="1" x14ac:dyDescent="0.2">
      <c r="A337" s="60">
        <f>'21 2026 ÜRETİM'!A337</f>
        <v>0</v>
      </c>
      <c r="B337" s="81" t="str">
        <f>IF(A337="","",'21 2026 ÜRETİM'!D337)</f>
        <v/>
      </c>
      <c r="C337" s="81">
        <f>IF(A337="","",'21 2026 ÜRETİM'!E337)</f>
        <v>0</v>
      </c>
      <c r="D337" s="82" t="str">
        <f>IF(A337="","",'21 2026 ÜRETİM'!F337)</f>
        <v/>
      </c>
      <c r="E337" s="81">
        <f>IF(A337="","",SUMIF('22 2026 PAKETLEME'!$B$2:$B$501,A337,'22 2026 PAKETLEME'!$E$2:$E$501))</f>
        <v>0</v>
      </c>
      <c r="F337" s="82">
        <f>IF(A337="","",SUMIF('22 2026 PAKETLEME'!$B$2:$B$501,A337,'22 2026 PAKETLEME'!$G$2:$G$501))</f>
        <v>0</v>
      </c>
      <c r="G337" s="81">
        <f>IF(A337="","",SUMIF('22 2026 PAKETLEME'!$B$2:$B$501,A337,'22 2026 PAKETLEME'!$H$2:$H$501))</f>
        <v>0</v>
      </c>
      <c r="H337" s="81" t="e">
        <f t="shared" si="25"/>
        <v>#VALUE!</v>
      </c>
      <c r="I337" s="82">
        <f>IF(A337="","",SUMIF('23 2026 SEVKİYAT'!$E$2:$E$501,A337,'23 2026 SEVKİYAT'!$H$2:$H$501))</f>
        <v>0</v>
      </c>
      <c r="J337" s="81">
        <f t="shared" si="26"/>
        <v>0</v>
      </c>
      <c r="K337" s="81" t="e">
        <f t="shared" si="27"/>
        <v>#VALUE!</v>
      </c>
      <c r="L337" s="58" t="e">
        <f t="shared" si="28"/>
        <v>#VALUE!</v>
      </c>
      <c r="M337" s="56" t="e">
        <f t="shared" si="29"/>
        <v>#VALUE!</v>
      </c>
    </row>
    <row r="338" spans="1:13" ht="15" customHeight="1" x14ac:dyDescent="0.2">
      <c r="A338" s="60">
        <f>'21 2026 ÜRETİM'!A338</f>
        <v>0</v>
      </c>
      <c r="B338" s="81" t="str">
        <f>IF(A338="","",'21 2026 ÜRETİM'!D338)</f>
        <v/>
      </c>
      <c r="C338" s="81">
        <f>IF(A338="","",'21 2026 ÜRETİM'!E338)</f>
        <v>0</v>
      </c>
      <c r="D338" s="82" t="str">
        <f>IF(A338="","",'21 2026 ÜRETİM'!F338)</f>
        <v/>
      </c>
      <c r="E338" s="81">
        <f>IF(A338="","",SUMIF('22 2026 PAKETLEME'!$B$2:$B$501,A338,'22 2026 PAKETLEME'!$E$2:$E$501))</f>
        <v>0</v>
      </c>
      <c r="F338" s="82">
        <f>IF(A338="","",SUMIF('22 2026 PAKETLEME'!$B$2:$B$501,A338,'22 2026 PAKETLEME'!$G$2:$G$501))</f>
        <v>0</v>
      </c>
      <c r="G338" s="81">
        <f>IF(A338="","",SUMIF('22 2026 PAKETLEME'!$B$2:$B$501,A338,'22 2026 PAKETLEME'!$H$2:$H$501))</f>
        <v>0</v>
      </c>
      <c r="H338" s="81" t="e">
        <f t="shared" si="25"/>
        <v>#VALUE!</v>
      </c>
      <c r="I338" s="82">
        <f>IF(A338="","",SUMIF('23 2026 SEVKİYAT'!$E$2:$E$501,A338,'23 2026 SEVKİYAT'!$H$2:$H$501))</f>
        <v>0</v>
      </c>
      <c r="J338" s="81">
        <f t="shared" si="26"/>
        <v>0</v>
      </c>
      <c r="K338" s="81" t="e">
        <f t="shared" si="27"/>
        <v>#VALUE!</v>
      </c>
      <c r="L338" s="58" t="e">
        <f t="shared" si="28"/>
        <v>#VALUE!</v>
      </c>
      <c r="M338" s="56" t="e">
        <f t="shared" si="29"/>
        <v>#VALUE!</v>
      </c>
    </row>
    <row r="339" spans="1:13" ht="15" customHeight="1" x14ac:dyDescent="0.2">
      <c r="A339" s="60">
        <f>'21 2026 ÜRETİM'!A339</f>
        <v>0</v>
      </c>
      <c r="B339" s="81" t="str">
        <f>IF(A339="","",'21 2026 ÜRETİM'!D339)</f>
        <v/>
      </c>
      <c r="C339" s="81">
        <f>IF(A339="","",'21 2026 ÜRETİM'!E339)</f>
        <v>0</v>
      </c>
      <c r="D339" s="82" t="str">
        <f>IF(A339="","",'21 2026 ÜRETİM'!F339)</f>
        <v/>
      </c>
      <c r="E339" s="81">
        <f>IF(A339="","",SUMIF('22 2026 PAKETLEME'!$B$2:$B$501,A339,'22 2026 PAKETLEME'!$E$2:$E$501))</f>
        <v>0</v>
      </c>
      <c r="F339" s="82">
        <f>IF(A339="","",SUMIF('22 2026 PAKETLEME'!$B$2:$B$501,A339,'22 2026 PAKETLEME'!$G$2:$G$501))</f>
        <v>0</v>
      </c>
      <c r="G339" s="81">
        <f>IF(A339="","",SUMIF('22 2026 PAKETLEME'!$B$2:$B$501,A339,'22 2026 PAKETLEME'!$H$2:$H$501))</f>
        <v>0</v>
      </c>
      <c r="H339" s="81" t="e">
        <f t="shared" si="25"/>
        <v>#VALUE!</v>
      </c>
      <c r="I339" s="82">
        <f>IF(A339="","",SUMIF('23 2026 SEVKİYAT'!$E$2:$E$501,A339,'23 2026 SEVKİYAT'!$H$2:$H$501))</f>
        <v>0</v>
      </c>
      <c r="J339" s="81">
        <f t="shared" si="26"/>
        <v>0</v>
      </c>
      <c r="K339" s="81" t="e">
        <f t="shared" si="27"/>
        <v>#VALUE!</v>
      </c>
      <c r="L339" s="58" t="e">
        <f t="shared" si="28"/>
        <v>#VALUE!</v>
      </c>
      <c r="M339" s="56" t="e">
        <f t="shared" si="29"/>
        <v>#VALUE!</v>
      </c>
    </row>
    <row r="340" spans="1:13" ht="15" customHeight="1" x14ac:dyDescent="0.2">
      <c r="A340" s="60">
        <f>'21 2026 ÜRETİM'!A340</f>
        <v>0</v>
      </c>
      <c r="B340" s="81" t="str">
        <f>IF(A340="","",'21 2026 ÜRETİM'!D340)</f>
        <v/>
      </c>
      <c r="C340" s="81">
        <f>IF(A340="","",'21 2026 ÜRETİM'!E340)</f>
        <v>0</v>
      </c>
      <c r="D340" s="82" t="str">
        <f>IF(A340="","",'21 2026 ÜRETİM'!F340)</f>
        <v/>
      </c>
      <c r="E340" s="81">
        <f>IF(A340="","",SUMIF('22 2026 PAKETLEME'!$B$2:$B$501,A340,'22 2026 PAKETLEME'!$E$2:$E$501))</f>
        <v>0</v>
      </c>
      <c r="F340" s="82">
        <f>IF(A340="","",SUMIF('22 2026 PAKETLEME'!$B$2:$B$501,A340,'22 2026 PAKETLEME'!$G$2:$G$501))</f>
        <v>0</v>
      </c>
      <c r="G340" s="81">
        <f>IF(A340="","",SUMIF('22 2026 PAKETLEME'!$B$2:$B$501,A340,'22 2026 PAKETLEME'!$H$2:$H$501))</f>
        <v>0</v>
      </c>
      <c r="H340" s="81" t="e">
        <f t="shared" si="25"/>
        <v>#VALUE!</v>
      </c>
      <c r="I340" s="82">
        <f>IF(A340="","",SUMIF('23 2026 SEVKİYAT'!$E$2:$E$501,A340,'23 2026 SEVKİYAT'!$H$2:$H$501))</f>
        <v>0</v>
      </c>
      <c r="J340" s="81">
        <f t="shared" si="26"/>
        <v>0</v>
      </c>
      <c r="K340" s="81" t="e">
        <f t="shared" si="27"/>
        <v>#VALUE!</v>
      </c>
      <c r="L340" s="58" t="e">
        <f t="shared" si="28"/>
        <v>#VALUE!</v>
      </c>
      <c r="M340" s="56" t="e">
        <f t="shared" si="29"/>
        <v>#VALUE!</v>
      </c>
    </row>
    <row r="341" spans="1:13" ht="15" customHeight="1" x14ac:dyDescent="0.2">
      <c r="A341" s="60">
        <f>'21 2026 ÜRETİM'!A341</f>
        <v>0</v>
      </c>
      <c r="B341" s="81" t="str">
        <f>IF(A341="","",'21 2026 ÜRETİM'!D341)</f>
        <v/>
      </c>
      <c r="C341" s="81">
        <f>IF(A341="","",'21 2026 ÜRETİM'!E341)</f>
        <v>0</v>
      </c>
      <c r="D341" s="82" t="str">
        <f>IF(A341="","",'21 2026 ÜRETİM'!F341)</f>
        <v/>
      </c>
      <c r="E341" s="81">
        <f>IF(A341="","",SUMIF('22 2026 PAKETLEME'!$B$2:$B$501,A341,'22 2026 PAKETLEME'!$E$2:$E$501))</f>
        <v>0</v>
      </c>
      <c r="F341" s="82">
        <f>IF(A341="","",SUMIF('22 2026 PAKETLEME'!$B$2:$B$501,A341,'22 2026 PAKETLEME'!$G$2:$G$501))</f>
        <v>0</v>
      </c>
      <c r="G341" s="81">
        <f>IF(A341="","",SUMIF('22 2026 PAKETLEME'!$B$2:$B$501,A341,'22 2026 PAKETLEME'!$H$2:$H$501))</f>
        <v>0</v>
      </c>
      <c r="H341" s="81" t="e">
        <f t="shared" si="25"/>
        <v>#VALUE!</v>
      </c>
      <c r="I341" s="82">
        <f>IF(A341="","",SUMIF('23 2026 SEVKİYAT'!$E$2:$E$501,A341,'23 2026 SEVKİYAT'!$H$2:$H$501))</f>
        <v>0</v>
      </c>
      <c r="J341" s="81">
        <f t="shared" si="26"/>
        <v>0</v>
      </c>
      <c r="K341" s="81" t="e">
        <f t="shared" si="27"/>
        <v>#VALUE!</v>
      </c>
      <c r="L341" s="58" t="e">
        <f t="shared" si="28"/>
        <v>#VALUE!</v>
      </c>
      <c r="M341" s="56" t="e">
        <f t="shared" si="29"/>
        <v>#VALUE!</v>
      </c>
    </row>
    <row r="342" spans="1:13" ht="15" customHeight="1" x14ac:dyDescent="0.2">
      <c r="A342" s="60">
        <f>'21 2026 ÜRETİM'!A342</f>
        <v>0</v>
      </c>
      <c r="B342" s="81" t="str">
        <f>IF(A342="","",'21 2026 ÜRETİM'!D342)</f>
        <v/>
      </c>
      <c r="C342" s="81">
        <f>IF(A342="","",'21 2026 ÜRETİM'!E342)</f>
        <v>0</v>
      </c>
      <c r="D342" s="82" t="str">
        <f>IF(A342="","",'21 2026 ÜRETİM'!F342)</f>
        <v/>
      </c>
      <c r="E342" s="81">
        <f>IF(A342="","",SUMIF('22 2026 PAKETLEME'!$B$2:$B$501,A342,'22 2026 PAKETLEME'!$E$2:$E$501))</f>
        <v>0</v>
      </c>
      <c r="F342" s="82">
        <f>IF(A342="","",SUMIF('22 2026 PAKETLEME'!$B$2:$B$501,A342,'22 2026 PAKETLEME'!$G$2:$G$501))</f>
        <v>0</v>
      </c>
      <c r="G342" s="81">
        <f>IF(A342="","",SUMIF('22 2026 PAKETLEME'!$B$2:$B$501,A342,'22 2026 PAKETLEME'!$H$2:$H$501))</f>
        <v>0</v>
      </c>
      <c r="H342" s="81" t="e">
        <f t="shared" si="25"/>
        <v>#VALUE!</v>
      </c>
      <c r="I342" s="82">
        <f>IF(A342="","",SUMIF('23 2026 SEVKİYAT'!$E$2:$E$501,A342,'23 2026 SEVKİYAT'!$H$2:$H$501))</f>
        <v>0</v>
      </c>
      <c r="J342" s="81">
        <f t="shared" si="26"/>
        <v>0</v>
      </c>
      <c r="K342" s="81" t="e">
        <f t="shared" si="27"/>
        <v>#VALUE!</v>
      </c>
      <c r="L342" s="58" t="e">
        <f t="shared" si="28"/>
        <v>#VALUE!</v>
      </c>
      <c r="M342" s="56" t="e">
        <f t="shared" si="29"/>
        <v>#VALUE!</v>
      </c>
    </row>
    <row r="343" spans="1:13" ht="15" customHeight="1" x14ac:dyDescent="0.2">
      <c r="A343" s="60">
        <f>'21 2026 ÜRETİM'!A343</f>
        <v>0</v>
      </c>
      <c r="B343" s="81" t="str">
        <f>IF(A343="","",'21 2026 ÜRETİM'!D343)</f>
        <v/>
      </c>
      <c r="C343" s="81">
        <f>IF(A343="","",'21 2026 ÜRETİM'!E343)</f>
        <v>0</v>
      </c>
      <c r="D343" s="82" t="str">
        <f>IF(A343="","",'21 2026 ÜRETİM'!F343)</f>
        <v/>
      </c>
      <c r="E343" s="81">
        <f>IF(A343="","",SUMIF('22 2026 PAKETLEME'!$B$2:$B$501,A343,'22 2026 PAKETLEME'!$E$2:$E$501))</f>
        <v>0</v>
      </c>
      <c r="F343" s="82">
        <f>IF(A343="","",SUMIF('22 2026 PAKETLEME'!$B$2:$B$501,A343,'22 2026 PAKETLEME'!$G$2:$G$501))</f>
        <v>0</v>
      </c>
      <c r="G343" s="81">
        <f>IF(A343="","",SUMIF('22 2026 PAKETLEME'!$B$2:$B$501,A343,'22 2026 PAKETLEME'!$H$2:$H$501))</f>
        <v>0</v>
      </c>
      <c r="H343" s="81" t="e">
        <f t="shared" si="25"/>
        <v>#VALUE!</v>
      </c>
      <c r="I343" s="82">
        <f>IF(A343="","",SUMIF('23 2026 SEVKİYAT'!$E$2:$E$501,A343,'23 2026 SEVKİYAT'!$H$2:$H$501))</f>
        <v>0</v>
      </c>
      <c r="J343" s="81">
        <f t="shared" si="26"/>
        <v>0</v>
      </c>
      <c r="K343" s="81" t="e">
        <f t="shared" si="27"/>
        <v>#VALUE!</v>
      </c>
      <c r="L343" s="58" t="e">
        <f t="shared" si="28"/>
        <v>#VALUE!</v>
      </c>
      <c r="M343" s="56" t="e">
        <f t="shared" si="29"/>
        <v>#VALUE!</v>
      </c>
    </row>
    <row r="344" spans="1:13" ht="15" customHeight="1" x14ac:dyDescent="0.2">
      <c r="A344" s="60">
        <f>'21 2026 ÜRETİM'!A344</f>
        <v>0</v>
      </c>
      <c r="B344" s="81" t="str">
        <f>IF(A344="","",'21 2026 ÜRETİM'!D344)</f>
        <v/>
      </c>
      <c r="C344" s="81">
        <f>IF(A344="","",'21 2026 ÜRETİM'!E344)</f>
        <v>0</v>
      </c>
      <c r="D344" s="82" t="str">
        <f>IF(A344="","",'21 2026 ÜRETİM'!F344)</f>
        <v/>
      </c>
      <c r="E344" s="81">
        <f>IF(A344="","",SUMIF('22 2026 PAKETLEME'!$B$2:$B$501,A344,'22 2026 PAKETLEME'!$E$2:$E$501))</f>
        <v>0</v>
      </c>
      <c r="F344" s="82">
        <f>IF(A344="","",SUMIF('22 2026 PAKETLEME'!$B$2:$B$501,A344,'22 2026 PAKETLEME'!$G$2:$G$501))</f>
        <v>0</v>
      </c>
      <c r="G344" s="81">
        <f>IF(A344="","",SUMIF('22 2026 PAKETLEME'!$B$2:$B$501,A344,'22 2026 PAKETLEME'!$H$2:$H$501))</f>
        <v>0</v>
      </c>
      <c r="H344" s="81" t="e">
        <f t="shared" si="25"/>
        <v>#VALUE!</v>
      </c>
      <c r="I344" s="82">
        <f>IF(A344="","",SUMIF('23 2026 SEVKİYAT'!$E$2:$E$501,A344,'23 2026 SEVKİYAT'!$H$2:$H$501))</f>
        <v>0</v>
      </c>
      <c r="J344" s="81">
        <f t="shared" si="26"/>
        <v>0</v>
      </c>
      <c r="K344" s="81" t="e">
        <f t="shared" si="27"/>
        <v>#VALUE!</v>
      </c>
      <c r="L344" s="58" t="e">
        <f t="shared" si="28"/>
        <v>#VALUE!</v>
      </c>
      <c r="M344" s="56" t="e">
        <f t="shared" si="29"/>
        <v>#VALUE!</v>
      </c>
    </row>
    <row r="345" spans="1:13" ht="15" customHeight="1" x14ac:dyDescent="0.2">
      <c r="A345" s="60">
        <f>'21 2026 ÜRETİM'!A345</f>
        <v>0</v>
      </c>
      <c r="B345" s="81" t="str">
        <f>IF(A345="","",'21 2026 ÜRETİM'!D345)</f>
        <v/>
      </c>
      <c r="C345" s="81">
        <f>IF(A345="","",'21 2026 ÜRETİM'!E345)</f>
        <v>0</v>
      </c>
      <c r="D345" s="82" t="str">
        <f>IF(A345="","",'21 2026 ÜRETİM'!F345)</f>
        <v/>
      </c>
      <c r="E345" s="81">
        <f>IF(A345="","",SUMIF('22 2026 PAKETLEME'!$B$2:$B$501,A345,'22 2026 PAKETLEME'!$E$2:$E$501))</f>
        <v>0</v>
      </c>
      <c r="F345" s="82">
        <f>IF(A345="","",SUMIF('22 2026 PAKETLEME'!$B$2:$B$501,A345,'22 2026 PAKETLEME'!$G$2:$G$501))</f>
        <v>0</v>
      </c>
      <c r="G345" s="81">
        <f>IF(A345="","",SUMIF('22 2026 PAKETLEME'!$B$2:$B$501,A345,'22 2026 PAKETLEME'!$H$2:$H$501))</f>
        <v>0</v>
      </c>
      <c r="H345" s="81" t="e">
        <f t="shared" si="25"/>
        <v>#VALUE!</v>
      </c>
      <c r="I345" s="82">
        <f>IF(A345="","",SUMIF('23 2026 SEVKİYAT'!$E$2:$E$501,A345,'23 2026 SEVKİYAT'!$H$2:$H$501))</f>
        <v>0</v>
      </c>
      <c r="J345" s="81">
        <f t="shared" si="26"/>
        <v>0</v>
      </c>
      <c r="K345" s="81" t="e">
        <f t="shared" si="27"/>
        <v>#VALUE!</v>
      </c>
      <c r="L345" s="58" t="e">
        <f t="shared" si="28"/>
        <v>#VALUE!</v>
      </c>
      <c r="M345" s="56" t="e">
        <f t="shared" si="29"/>
        <v>#VALUE!</v>
      </c>
    </row>
    <row r="346" spans="1:13" ht="15" customHeight="1" x14ac:dyDescent="0.2">
      <c r="A346" s="60">
        <f>'21 2026 ÜRETİM'!A346</f>
        <v>0</v>
      </c>
      <c r="B346" s="81" t="str">
        <f>IF(A346="","",'21 2026 ÜRETİM'!D346)</f>
        <v/>
      </c>
      <c r="C346" s="81">
        <f>IF(A346="","",'21 2026 ÜRETİM'!E346)</f>
        <v>0</v>
      </c>
      <c r="D346" s="82" t="str">
        <f>IF(A346="","",'21 2026 ÜRETİM'!F346)</f>
        <v/>
      </c>
      <c r="E346" s="81">
        <f>IF(A346="","",SUMIF('22 2026 PAKETLEME'!$B$2:$B$501,A346,'22 2026 PAKETLEME'!$E$2:$E$501))</f>
        <v>0</v>
      </c>
      <c r="F346" s="82">
        <f>IF(A346="","",SUMIF('22 2026 PAKETLEME'!$B$2:$B$501,A346,'22 2026 PAKETLEME'!$G$2:$G$501))</f>
        <v>0</v>
      </c>
      <c r="G346" s="81">
        <f>IF(A346="","",SUMIF('22 2026 PAKETLEME'!$B$2:$B$501,A346,'22 2026 PAKETLEME'!$H$2:$H$501))</f>
        <v>0</v>
      </c>
      <c r="H346" s="81" t="e">
        <f t="shared" si="25"/>
        <v>#VALUE!</v>
      </c>
      <c r="I346" s="82">
        <f>IF(A346="","",SUMIF('23 2026 SEVKİYAT'!$E$2:$E$501,A346,'23 2026 SEVKİYAT'!$H$2:$H$501))</f>
        <v>0</v>
      </c>
      <c r="J346" s="81">
        <f t="shared" si="26"/>
        <v>0</v>
      </c>
      <c r="K346" s="81" t="e">
        <f t="shared" si="27"/>
        <v>#VALUE!</v>
      </c>
      <c r="L346" s="58" t="e">
        <f t="shared" si="28"/>
        <v>#VALUE!</v>
      </c>
      <c r="M346" s="56" t="e">
        <f t="shared" si="29"/>
        <v>#VALUE!</v>
      </c>
    </row>
    <row r="347" spans="1:13" ht="15" customHeight="1" x14ac:dyDescent="0.2">
      <c r="A347" s="60">
        <f>'21 2026 ÜRETİM'!A347</f>
        <v>0</v>
      </c>
      <c r="B347" s="81" t="str">
        <f>IF(A347="","",'21 2026 ÜRETİM'!D347)</f>
        <v/>
      </c>
      <c r="C347" s="81">
        <f>IF(A347="","",'21 2026 ÜRETİM'!E347)</f>
        <v>0</v>
      </c>
      <c r="D347" s="82" t="str">
        <f>IF(A347="","",'21 2026 ÜRETİM'!F347)</f>
        <v/>
      </c>
      <c r="E347" s="81">
        <f>IF(A347="","",SUMIF('22 2026 PAKETLEME'!$B$2:$B$501,A347,'22 2026 PAKETLEME'!$E$2:$E$501))</f>
        <v>0</v>
      </c>
      <c r="F347" s="82">
        <f>IF(A347="","",SUMIF('22 2026 PAKETLEME'!$B$2:$B$501,A347,'22 2026 PAKETLEME'!$G$2:$G$501))</f>
        <v>0</v>
      </c>
      <c r="G347" s="81">
        <f>IF(A347="","",SUMIF('22 2026 PAKETLEME'!$B$2:$B$501,A347,'22 2026 PAKETLEME'!$H$2:$H$501))</f>
        <v>0</v>
      </c>
      <c r="H347" s="81" t="e">
        <f t="shared" si="25"/>
        <v>#VALUE!</v>
      </c>
      <c r="I347" s="82">
        <f>IF(A347="","",SUMIF('23 2026 SEVKİYAT'!$E$2:$E$501,A347,'23 2026 SEVKİYAT'!$H$2:$H$501))</f>
        <v>0</v>
      </c>
      <c r="J347" s="81">
        <f t="shared" si="26"/>
        <v>0</v>
      </c>
      <c r="K347" s="81" t="e">
        <f t="shared" si="27"/>
        <v>#VALUE!</v>
      </c>
      <c r="L347" s="58" t="e">
        <f t="shared" si="28"/>
        <v>#VALUE!</v>
      </c>
      <c r="M347" s="56" t="e">
        <f t="shared" si="29"/>
        <v>#VALUE!</v>
      </c>
    </row>
    <row r="348" spans="1:13" ht="15" customHeight="1" x14ac:dyDescent="0.2">
      <c r="A348" s="60">
        <f>'21 2026 ÜRETİM'!A348</f>
        <v>0</v>
      </c>
      <c r="B348" s="81" t="str">
        <f>IF(A348="","",'21 2026 ÜRETİM'!D348)</f>
        <v/>
      </c>
      <c r="C348" s="81">
        <f>IF(A348="","",'21 2026 ÜRETİM'!E348)</f>
        <v>0</v>
      </c>
      <c r="D348" s="82" t="str">
        <f>IF(A348="","",'21 2026 ÜRETİM'!F348)</f>
        <v/>
      </c>
      <c r="E348" s="81">
        <f>IF(A348="","",SUMIF('22 2026 PAKETLEME'!$B$2:$B$501,A348,'22 2026 PAKETLEME'!$E$2:$E$501))</f>
        <v>0</v>
      </c>
      <c r="F348" s="82">
        <f>IF(A348="","",SUMIF('22 2026 PAKETLEME'!$B$2:$B$501,A348,'22 2026 PAKETLEME'!$G$2:$G$501))</f>
        <v>0</v>
      </c>
      <c r="G348" s="81">
        <f>IF(A348="","",SUMIF('22 2026 PAKETLEME'!$B$2:$B$501,A348,'22 2026 PAKETLEME'!$H$2:$H$501))</f>
        <v>0</v>
      </c>
      <c r="H348" s="81" t="e">
        <f t="shared" si="25"/>
        <v>#VALUE!</v>
      </c>
      <c r="I348" s="82">
        <f>IF(A348="","",SUMIF('23 2026 SEVKİYAT'!$E$2:$E$501,A348,'23 2026 SEVKİYAT'!$H$2:$H$501))</f>
        <v>0</v>
      </c>
      <c r="J348" s="81">
        <f t="shared" si="26"/>
        <v>0</v>
      </c>
      <c r="K348" s="81" t="e">
        <f t="shared" si="27"/>
        <v>#VALUE!</v>
      </c>
      <c r="L348" s="58" t="e">
        <f t="shared" si="28"/>
        <v>#VALUE!</v>
      </c>
      <c r="M348" s="56" t="e">
        <f t="shared" si="29"/>
        <v>#VALUE!</v>
      </c>
    </row>
    <row r="349" spans="1:13" ht="15" customHeight="1" x14ac:dyDescent="0.2">
      <c r="A349" s="60">
        <f>'21 2026 ÜRETİM'!A349</f>
        <v>0</v>
      </c>
      <c r="B349" s="81" t="str">
        <f>IF(A349="","",'21 2026 ÜRETİM'!D349)</f>
        <v/>
      </c>
      <c r="C349" s="81">
        <f>IF(A349="","",'21 2026 ÜRETİM'!E349)</f>
        <v>0</v>
      </c>
      <c r="D349" s="82" t="str">
        <f>IF(A349="","",'21 2026 ÜRETİM'!F349)</f>
        <v/>
      </c>
      <c r="E349" s="81">
        <f>IF(A349="","",SUMIF('22 2026 PAKETLEME'!$B$2:$B$501,A349,'22 2026 PAKETLEME'!$E$2:$E$501))</f>
        <v>0</v>
      </c>
      <c r="F349" s="82">
        <f>IF(A349="","",SUMIF('22 2026 PAKETLEME'!$B$2:$B$501,A349,'22 2026 PAKETLEME'!$G$2:$G$501))</f>
        <v>0</v>
      </c>
      <c r="G349" s="81">
        <f>IF(A349="","",SUMIF('22 2026 PAKETLEME'!$B$2:$B$501,A349,'22 2026 PAKETLEME'!$H$2:$H$501))</f>
        <v>0</v>
      </c>
      <c r="H349" s="81" t="e">
        <f t="shared" si="25"/>
        <v>#VALUE!</v>
      </c>
      <c r="I349" s="82">
        <f>IF(A349="","",SUMIF('23 2026 SEVKİYAT'!$E$2:$E$501,A349,'23 2026 SEVKİYAT'!$H$2:$H$501))</f>
        <v>0</v>
      </c>
      <c r="J349" s="81">
        <f t="shared" si="26"/>
        <v>0</v>
      </c>
      <c r="K349" s="81" t="e">
        <f t="shared" si="27"/>
        <v>#VALUE!</v>
      </c>
      <c r="L349" s="58" t="e">
        <f t="shared" si="28"/>
        <v>#VALUE!</v>
      </c>
      <c r="M349" s="56" t="e">
        <f t="shared" si="29"/>
        <v>#VALUE!</v>
      </c>
    </row>
    <row r="350" spans="1:13" ht="15" customHeight="1" x14ac:dyDescent="0.2">
      <c r="A350" s="60">
        <f>'21 2026 ÜRETİM'!A350</f>
        <v>0</v>
      </c>
      <c r="B350" s="81" t="str">
        <f>IF(A350="","",'21 2026 ÜRETİM'!D350)</f>
        <v/>
      </c>
      <c r="C350" s="81">
        <f>IF(A350="","",'21 2026 ÜRETİM'!E350)</f>
        <v>0</v>
      </c>
      <c r="D350" s="82" t="str">
        <f>IF(A350="","",'21 2026 ÜRETİM'!F350)</f>
        <v/>
      </c>
      <c r="E350" s="81">
        <f>IF(A350="","",SUMIF('22 2026 PAKETLEME'!$B$2:$B$501,A350,'22 2026 PAKETLEME'!$E$2:$E$501))</f>
        <v>0</v>
      </c>
      <c r="F350" s="82">
        <f>IF(A350="","",SUMIF('22 2026 PAKETLEME'!$B$2:$B$501,A350,'22 2026 PAKETLEME'!$G$2:$G$501))</f>
        <v>0</v>
      </c>
      <c r="G350" s="81">
        <f>IF(A350="","",SUMIF('22 2026 PAKETLEME'!$B$2:$B$501,A350,'22 2026 PAKETLEME'!$H$2:$H$501))</f>
        <v>0</v>
      </c>
      <c r="H350" s="81" t="e">
        <f t="shared" si="25"/>
        <v>#VALUE!</v>
      </c>
      <c r="I350" s="82">
        <f>IF(A350="","",SUMIF('23 2026 SEVKİYAT'!$E$2:$E$501,A350,'23 2026 SEVKİYAT'!$H$2:$H$501))</f>
        <v>0</v>
      </c>
      <c r="J350" s="81">
        <f t="shared" si="26"/>
        <v>0</v>
      </c>
      <c r="K350" s="81" t="e">
        <f t="shared" si="27"/>
        <v>#VALUE!</v>
      </c>
      <c r="L350" s="58" t="e">
        <f t="shared" si="28"/>
        <v>#VALUE!</v>
      </c>
      <c r="M350" s="56" t="e">
        <f t="shared" si="29"/>
        <v>#VALUE!</v>
      </c>
    </row>
    <row r="351" spans="1:13" ht="15" customHeight="1" x14ac:dyDescent="0.2">
      <c r="A351" s="60">
        <f>'21 2026 ÜRETİM'!A351</f>
        <v>0</v>
      </c>
      <c r="B351" s="81" t="str">
        <f>IF(A351="","",'21 2026 ÜRETİM'!D351)</f>
        <v/>
      </c>
      <c r="C351" s="81">
        <f>IF(A351="","",'21 2026 ÜRETİM'!E351)</f>
        <v>0</v>
      </c>
      <c r="D351" s="82" t="str">
        <f>IF(A351="","",'21 2026 ÜRETİM'!F351)</f>
        <v/>
      </c>
      <c r="E351" s="81">
        <f>IF(A351="","",SUMIF('22 2026 PAKETLEME'!$B$2:$B$501,A351,'22 2026 PAKETLEME'!$E$2:$E$501))</f>
        <v>0</v>
      </c>
      <c r="F351" s="82">
        <f>IF(A351="","",SUMIF('22 2026 PAKETLEME'!$B$2:$B$501,A351,'22 2026 PAKETLEME'!$G$2:$G$501))</f>
        <v>0</v>
      </c>
      <c r="G351" s="81">
        <f>IF(A351="","",SUMIF('22 2026 PAKETLEME'!$B$2:$B$501,A351,'22 2026 PAKETLEME'!$H$2:$H$501))</f>
        <v>0</v>
      </c>
      <c r="H351" s="81" t="e">
        <f t="shared" si="25"/>
        <v>#VALUE!</v>
      </c>
      <c r="I351" s="82">
        <f>IF(A351="","",SUMIF('23 2026 SEVKİYAT'!$E$2:$E$501,A351,'23 2026 SEVKİYAT'!$H$2:$H$501))</f>
        <v>0</v>
      </c>
      <c r="J351" s="81">
        <f t="shared" si="26"/>
        <v>0</v>
      </c>
      <c r="K351" s="81" t="e">
        <f t="shared" si="27"/>
        <v>#VALUE!</v>
      </c>
      <c r="L351" s="58" t="e">
        <f t="shared" si="28"/>
        <v>#VALUE!</v>
      </c>
      <c r="M351" s="56" t="e">
        <f t="shared" si="29"/>
        <v>#VALUE!</v>
      </c>
    </row>
    <row r="352" spans="1:13" ht="15" customHeight="1" x14ac:dyDescent="0.2">
      <c r="A352" s="60">
        <f>'21 2026 ÜRETİM'!A352</f>
        <v>0</v>
      </c>
      <c r="B352" s="81" t="str">
        <f>IF(A352="","",'21 2026 ÜRETİM'!D352)</f>
        <v/>
      </c>
      <c r="C352" s="81">
        <f>IF(A352="","",'21 2026 ÜRETİM'!E352)</f>
        <v>0</v>
      </c>
      <c r="D352" s="82" t="str">
        <f>IF(A352="","",'21 2026 ÜRETİM'!F352)</f>
        <v/>
      </c>
      <c r="E352" s="81">
        <f>IF(A352="","",SUMIF('22 2026 PAKETLEME'!$B$2:$B$501,A352,'22 2026 PAKETLEME'!$E$2:$E$501))</f>
        <v>0</v>
      </c>
      <c r="F352" s="82">
        <f>IF(A352="","",SUMIF('22 2026 PAKETLEME'!$B$2:$B$501,A352,'22 2026 PAKETLEME'!$G$2:$G$501))</f>
        <v>0</v>
      </c>
      <c r="G352" s="81">
        <f>IF(A352="","",SUMIF('22 2026 PAKETLEME'!$B$2:$B$501,A352,'22 2026 PAKETLEME'!$H$2:$H$501))</f>
        <v>0</v>
      </c>
      <c r="H352" s="81" t="e">
        <f t="shared" si="25"/>
        <v>#VALUE!</v>
      </c>
      <c r="I352" s="82">
        <f>IF(A352="","",SUMIF('23 2026 SEVKİYAT'!$E$2:$E$501,A352,'23 2026 SEVKİYAT'!$H$2:$H$501))</f>
        <v>0</v>
      </c>
      <c r="J352" s="81">
        <f t="shared" si="26"/>
        <v>0</v>
      </c>
      <c r="K352" s="81" t="e">
        <f t="shared" si="27"/>
        <v>#VALUE!</v>
      </c>
      <c r="L352" s="58" t="e">
        <f t="shared" si="28"/>
        <v>#VALUE!</v>
      </c>
      <c r="M352" s="56" t="e">
        <f t="shared" si="29"/>
        <v>#VALUE!</v>
      </c>
    </row>
    <row r="353" spans="1:13" ht="15" customHeight="1" x14ac:dyDescent="0.2">
      <c r="A353" s="60">
        <f>'21 2026 ÜRETİM'!A353</f>
        <v>0</v>
      </c>
      <c r="B353" s="81" t="str">
        <f>IF(A353="","",'21 2026 ÜRETİM'!D353)</f>
        <v/>
      </c>
      <c r="C353" s="81">
        <f>IF(A353="","",'21 2026 ÜRETİM'!E353)</f>
        <v>0</v>
      </c>
      <c r="D353" s="82" t="str">
        <f>IF(A353="","",'21 2026 ÜRETİM'!F353)</f>
        <v/>
      </c>
      <c r="E353" s="81">
        <f>IF(A353="","",SUMIF('22 2026 PAKETLEME'!$B$2:$B$501,A353,'22 2026 PAKETLEME'!$E$2:$E$501))</f>
        <v>0</v>
      </c>
      <c r="F353" s="82">
        <f>IF(A353="","",SUMIF('22 2026 PAKETLEME'!$B$2:$B$501,A353,'22 2026 PAKETLEME'!$G$2:$G$501))</f>
        <v>0</v>
      </c>
      <c r="G353" s="81">
        <f>IF(A353="","",SUMIF('22 2026 PAKETLEME'!$B$2:$B$501,A353,'22 2026 PAKETLEME'!$H$2:$H$501))</f>
        <v>0</v>
      </c>
      <c r="H353" s="81" t="e">
        <f t="shared" si="25"/>
        <v>#VALUE!</v>
      </c>
      <c r="I353" s="82">
        <f>IF(A353="","",SUMIF('23 2026 SEVKİYAT'!$E$2:$E$501,A353,'23 2026 SEVKİYAT'!$H$2:$H$501))</f>
        <v>0</v>
      </c>
      <c r="J353" s="81">
        <f t="shared" si="26"/>
        <v>0</v>
      </c>
      <c r="K353" s="81" t="e">
        <f t="shared" si="27"/>
        <v>#VALUE!</v>
      </c>
      <c r="L353" s="58" t="e">
        <f t="shared" si="28"/>
        <v>#VALUE!</v>
      </c>
      <c r="M353" s="56" t="e">
        <f t="shared" si="29"/>
        <v>#VALUE!</v>
      </c>
    </row>
    <row r="354" spans="1:13" ht="15" customHeight="1" x14ac:dyDescent="0.2">
      <c r="A354" s="60">
        <f>'21 2026 ÜRETİM'!A354</f>
        <v>0</v>
      </c>
      <c r="B354" s="81" t="str">
        <f>IF(A354="","",'21 2026 ÜRETİM'!D354)</f>
        <v/>
      </c>
      <c r="C354" s="81">
        <f>IF(A354="","",'21 2026 ÜRETİM'!E354)</f>
        <v>0</v>
      </c>
      <c r="D354" s="82" t="str">
        <f>IF(A354="","",'21 2026 ÜRETİM'!F354)</f>
        <v/>
      </c>
      <c r="E354" s="81">
        <f>IF(A354="","",SUMIF('22 2026 PAKETLEME'!$B$2:$B$501,A354,'22 2026 PAKETLEME'!$E$2:$E$501))</f>
        <v>0</v>
      </c>
      <c r="F354" s="82">
        <f>IF(A354="","",SUMIF('22 2026 PAKETLEME'!$B$2:$B$501,A354,'22 2026 PAKETLEME'!$G$2:$G$501))</f>
        <v>0</v>
      </c>
      <c r="G354" s="81">
        <f>IF(A354="","",SUMIF('22 2026 PAKETLEME'!$B$2:$B$501,A354,'22 2026 PAKETLEME'!$H$2:$H$501))</f>
        <v>0</v>
      </c>
      <c r="H354" s="81" t="e">
        <f t="shared" si="25"/>
        <v>#VALUE!</v>
      </c>
      <c r="I354" s="82">
        <f>IF(A354="","",SUMIF('23 2026 SEVKİYAT'!$E$2:$E$501,A354,'23 2026 SEVKİYAT'!$H$2:$H$501))</f>
        <v>0</v>
      </c>
      <c r="J354" s="81">
        <f t="shared" si="26"/>
        <v>0</v>
      </c>
      <c r="K354" s="81" t="e">
        <f t="shared" si="27"/>
        <v>#VALUE!</v>
      </c>
      <c r="L354" s="58" t="e">
        <f t="shared" si="28"/>
        <v>#VALUE!</v>
      </c>
      <c r="M354" s="56" t="e">
        <f t="shared" si="29"/>
        <v>#VALUE!</v>
      </c>
    </row>
    <row r="355" spans="1:13" ht="15" customHeight="1" x14ac:dyDescent="0.2">
      <c r="A355" s="60">
        <f>'21 2026 ÜRETİM'!A355</f>
        <v>0</v>
      </c>
      <c r="B355" s="81" t="str">
        <f>IF(A355="","",'21 2026 ÜRETİM'!D355)</f>
        <v/>
      </c>
      <c r="C355" s="81">
        <f>IF(A355="","",'21 2026 ÜRETİM'!E355)</f>
        <v>0</v>
      </c>
      <c r="D355" s="82" t="str">
        <f>IF(A355="","",'21 2026 ÜRETİM'!F355)</f>
        <v/>
      </c>
      <c r="E355" s="81">
        <f>IF(A355="","",SUMIF('22 2026 PAKETLEME'!$B$2:$B$501,A355,'22 2026 PAKETLEME'!$E$2:$E$501))</f>
        <v>0</v>
      </c>
      <c r="F355" s="82">
        <f>IF(A355="","",SUMIF('22 2026 PAKETLEME'!$B$2:$B$501,A355,'22 2026 PAKETLEME'!$G$2:$G$501))</f>
        <v>0</v>
      </c>
      <c r="G355" s="81">
        <f>IF(A355="","",SUMIF('22 2026 PAKETLEME'!$B$2:$B$501,A355,'22 2026 PAKETLEME'!$H$2:$H$501))</f>
        <v>0</v>
      </c>
      <c r="H355" s="81" t="e">
        <f t="shared" si="25"/>
        <v>#VALUE!</v>
      </c>
      <c r="I355" s="82">
        <f>IF(A355="","",SUMIF('23 2026 SEVKİYAT'!$E$2:$E$501,A355,'23 2026 SEVKİYAT'!$H$2:$H$501))</f>
        <v>0</v>
      </c>
      <c r="J355" s="81">
        <f t="shared" si="26"/>
        <v>0</v>
      </c>
      <c r="K355" s="81" t="e">
        <f t="shared" si="27"/>
        <v>#VALUE!</v>
      </c>
      <c r="L355" s="58" t="e">
        <f t="shared" si="28"/>
        <v>#VALUE!</v>
      </c>
      <c r="M355" s="56" t="e">
        <f t="shared" si="29"/>
        <v>#VALUE!</v>
      </c>
    </row>
    <row r="356" spans="1:13" ht="15" customHeight="1" x14ac:dyDescent="0.2">
      <c r="A356" s="60">
        <f>'21 2026 ÜRETİM'!A356</f>
        <v>0</v>
      </c>
      <c r="B356" s="81" t="str">
        <f>IF(A356="","",'21 2026 ÜRETİM'!D356)</f>
        <v/>
      </c>
      <c r="C356" s="81">
        <f>IF(A356="","",'21 2026 ÜRETİM'!E356)</f>
        <v>0</v>
      </c>
      <c r="D356" s="82" t="str">
        <f>IF(A356="","",'21 2026 ÜRETİM'!F356)</f>
        <v/>
      </c>
      <c r="E356" s="81">
        <f>IF(A356="","",SUMIF('22 2026 PAKETLEME'!$B$2:$B$501,A356,'22 2026 PAKETLEME'!$E$2:$E$501))</f>
        <v>0</v>
      </c>
      <c r="F356" s="82">
        <f>IF(A356="","",SUMIF('22 2026 PAKETLEME'!$B$2:$B$501,A356,'22 2026 PAKETLEME'!$G$2:$G$501))</f>
        <v>0</v>
      </c>
      <c r="G356" s="81">
        <f>IF(A356="","",SUMIF('22 2026 PAKETLEME'!$B$2:$B$501,A356,'22 2026 PAKETLEME'!$H$2:$H$501))</f>
        <v>0</v>
      </c>
      <c r="H356" s="81" t="e">
        <f t="shared" si="25"/>
        <v>#VALUE!</v>
      </c>
      <c r="I356" s="82">
        <f>IF(A356="","",SUMIF('23 2026 SEVKİYAT'!$E$2:$E$501,A356,'23 2026 SEVKİYAT'!$H$2:$H$501))</f>
        <v>0</v>
      </c>
      <c r="J356" s="81">
        <f t="shared" si="26"/>
        <v>0</v>
      </c>
      <c r="K356" s="81" t="e">
        <f t="shared" si="27"/>
        <v>#VALUE!</v>
      </c>
      <c r="L356" s="58" t="e">
        <f t="shared" si="28"/>
        <v>#VALUE!</v>
      </c>
      <c r="M356" s="56" t="e">
        <f t="shared" si="29"/>
        <v>#VALUE!</v>
      </c>
    </row>
    <row r="357" spans="1:13" ht="15" customHeight="1" x14ac:dyDescent="0.2">
      <c r="A357" s="60">
        <f>'21 2026 ÜRETİM'!A357</f>
        <v>0</v>
      </c>
      <c r="B357" s="81" t="str">
        <f>IF(A357="","",'21 2026 ÜRETİM'!D357)</f>
        <v/>
      </c>
      <c r="C357" s="81">
        <f>IF(A357="","",'21 2026 ÜRETİM'!E357)</f>
        <v>0</v>
      </c>
      <c r="D357" s="82" t="str">
        <f>IF(A357="","",'21 2026 ÜRETİM'!F357)</f>
        <v/>
      </c>
      <c r="E357" s="81">
        <f>IF(A357="","",SUMIF('22 2026 PAKETLEME'!$B$2:$B$501,A357,'22 2026 PAKETLEME'!$E$2:$E$501))</f>
        <v>0</v>
      </c>
      <c r="F357" s="82">
        <f>IF(A357="","",SUMIF('22 2026 PAKETLEME'!$B$2:$B$501,A357,'22 2026 PAKETLEME'!$G$2:$G$501))</f>
        <v>0</v>
      </c>
      <c r="G357" s="81">
        <f>IF(A357="","",SUMIF('22 2026 PAKETLEME'!$B$2:$B$501,A357,'22 2026 PAKETLEME'!$H$2:$H$501))</f>
        <v>0</v>
      </c>
      <c r="H357" s="81" t="e">
        <f t="shared" si="25"/>
        <v>#VALUE!</v>
      </c>
      <c r="I357" s="82">
        <f>IF(A357="","",SUMIF('23 2026 SEVKİYAT'!$E$2:$E$501,A357,'23 2026 SEVKİYAT'!$H$2:$H$501))</f>
        <v>0</v>
      </c>
      <c r="J357" s="81">
        <f t="shared" si="26"/>
        <v>0</v>
      </c>
      <c r="K357" s="81" t="e">
        <f t="shared" si="27"/>
        <v>#VALUE!</v>
      </c>
      <c r="L357" s="58" t="e">
        <f t="shared" si="28"/>
        <v>#VALUE!</v>
      </c>
      <c r="M357" s="56" t="e">
        <f t="shared" si="29"/>
        <v>#VALUE!</v>
      </c>
    </row>
    <row r="358" spans="1:13" ht="15" customHeight="1" x14ac:dyDescent="0.2">
      <c r="A358" s="60">
        <f>'21 2026 ÜRETİM'!A358</f>
        <v>0</v>
      </c>
      <c r="B358" s="81" t="str">
        <f>IF(A358="","",'21 2026 ÜRETİM'!D358)</f>
        <v/>
      </c>
      <c r="C358" s="81">
        <f>IF(A358="","",'21 2026 ÜRETİM'!E358)</f>
        <v>0</v>
      </c>
      <c r="D358" s="82" t="str">
        <f>IF(A358="","",'21 2026 ÜRETİM'!F358)</f>
        <v/>
      </c>
      <c r="E358" s="81">
        <f>IF(A358="","",SUMIF('22 2026 PAKETLEME'!$B$2:$B$501,A358,'22 2026 PAKETLEME'!$E$2:$E$501))</f>
        <v>0</v>
      </c>
      <c r="F358" s="82">
        <f>IF(A358="","",SUMIF('22 2026 PAKETLEME'!$B$2:$B$501,A358,'22 2026 PAKETLEME'!$G$2:$G$501))</f>
        <v>0</v>
      </c>
      <c r="G358" s="81">
        <f>IF(A358="","",SUMIF('22 2026 PAKETLEME'!$B$2:$B$501,A358,'22 2026 PAKETLEME'!$H$2:$H$501))</f>
        <v>0</v>
      </c>
      <c r="H358" s="81" t="e">
        <f t="shared" si="25"/>
        <v>#VALUE!</v>
      </c>
      <c r="I358" s="82">
        <f>IF(A358="","",SUMIF('23 2026 SEVKİYAT'!$E$2:$E$501,A358,'23 2026 SEVKİYAT'!$H$2:$H$501))</f>
        <v>0</v>
      </c>
      <c r="J358" s="81">
        <f t="shared" si="26"/>
        <v>0</v>
      </c>
      <c r="K358" s="81" t="e">
        <f t="shared" si="27"/>
        <v>#VALUE!</v>
      </c>
      <c r="L358" s="58" t="e">
        <f t="shared" si="28"/>
        <v>#VALUE!</v>
      </c>
      <c r="M358" s="56" t="e">
        <f t="shared" si="29"/>
        <v>#VALUE!</v>
      </c>
    </row>
    <row r="359" spans="1:13" ht="15" customHeight="1" x14ac:dyDescent="0.2">
      <c r="A359" s="60">
        <f>'21 2026 ÜRETİM'!A359</f>
        <v>0</v>
      </c>
      <c r="B359" s="81" t="str">
        <f>IF(A359="","",'21 2026 ÜRETİM'!D359)</f>
        <v/>
      </c>
      <c r="C359" s="81">
        <f>IF(A359="","",'21 2026 ÜRETİM'!E359)</f>
        <v>0</v>
      </c>
      <c r="D359" s="82" t="str">
        <f>IF(A359="","",'21 2026 ÜRETİM'!F359)</f>
        <v/>
      </c>
      <c r="E359" s="81">
        <f>IF(A359="","",SUMIF('22 2026 PAKETLEME'!$B$2:$B$501,A359,'22 2026 PAKETLEME'!$E$2:$E$501))</f>
        <v>0</v>
      </c>
      <c r="F359" s="82">
        <f>IF(A359="","",SUMIF('22 2026 PAKETLEME'!$B$2:$B$501,A359,'22 2026 PAKETLEME'!$G$2:$G$501))</f>
        <v>0</v>
      </c>
      <c r="G359" s="81">
        <f>IF(A359="","",SUMIF('22 2026 PAKETLEME'!$B$2:$B$501,A359,'22 2026 PAKETLEME'!$H$2:$H$501))</f>
        <v>0</v>
      </c>
      <c r="H359" s="81" t="e">
        <f t="shared" si="25"/>
        <v>#VALUE!</v>
      </c>
      <c r="I359" s="82">
        <f>IF(A359="","",SUMIF('23 2026 SEVKİYAT'!$E$2:$E$501,A359,'23 2026 SEVKİYAT'!$H$2:$H$501))</f>
        <v>0</v>
      </c>
      <c r="J359" s="81">
        <f t="shared" si="26"/>
        <v>0</v>
      </c>
      <c r="K359" s="81" t="e">
        <f t="shared" si="27"/>
        <v>#VALUE!</v>
      </c>
      <c r="L359" s="58" t="e">
        <f t="shared" si="28"/>
        <v>#VALUE!</v>
      </c>
      <c r="M359" s="56" t="e">
        <f t="shared" si="29"/>
        <v>#VALUE!</v>
      </c>
    </row>
    <row r="360" spans="1:13" ht="15" customHeight="1" x14ac:dyDescent="0.2">
      <c r="A360" s="60">
        <f>'21 2026 ÜRETİM'!A360</f>
        <v>0</v>
      </c>
      <c r="B360" s="81" t="str">
        <f>IF(A360="","",'21 2026 ÜRETİM'!D360)</f>
        <v/>
      </c>
      <c r="C360" s="81">
        <f>IF(A360="","",'21 2026 ÜRETİM'!E360)</f>
        <v>0</v>
      </c>
      <c r="D360" s="82" t="str">
        <f>IF(A360="","",'21 2026 ÜRETİM'!F360)</f>
        <v/>
      </c>
      <c r="E360" s="81">
        <f>IF(A360="","",SUMIF('22 2026 PAKETLEME'!$B$2:$B$501,A360,'22 2026 PAKETLEME'!$E$2:$E$501))</f>
        <v>0</v>
      </c>
      <c r="F360" s="82">
        <f>IF(A360="","",SUMIF('22 2026 PAKETLEME'!$B$2:$B$501,A360,'22 2026 PAKETLEME'!$G$2:$G$501))</f>
        <v>0</v>
      </c>
      <c r="G360" s="81">
        <f>IF(A360="","",SUMIF('22 2026 PAKETLEME'!$B$2:$B$501,A360,'22 2026 PAKETLEME'!$H$2:$H$501))</f>
        <v>0</v>
      </c>
      <c r="H360" s="81" t="e">
        <f t="shared" si="25"/>
        <v>#VALUE!</v>
      </c>
      <c r="I360" s="82">
        <f>IF(A360="","",SUMIF('23 2026 SEVKİYAT'!$E$2:$E$501,A360,'23 2026 SEVKİYAT'!$H$2:$H$501))</f>
        <v>0</v>
      </c>
      <c r="J360" s="81">
        <f t="shared" si="26"/>
        <v>0</v>
      </c>
      <c r="K360" s="81" t="e">
        <f t="shared" si="27"/>
        <v>#VALUE!</v>
      </c>
      <c r="L360" s="58" t="e">
        <f t="shared" si="28"/>
        <v>#VALUE!</v>
      </c>
      <c r="M360" s="56" t="e">
        <f t="shared" si="29"/>
        <v>#VALUE!</v>
      </c>
    </row>
    <row r="361" spans="1:13" ht="15" customHeight="1" x14ac:dyDescent="0.2">
      <c r="A361" s="60">
        <f>'21 2026 ÜRETİM'!A361</f>
        <v>0</v>
      </c>
      <c r="B361" s="81" t="str">
        <f>IF(A361="","",'21 2026 ÜRETİM'!D361)</f>
        <v/>
      </c>
      <c r="C361" s="81">
        <f>IF(A361="","",'21 2026 ÜRETİM'!E361)</f>
        <v>0</v>
      </c>
      <c r="D361" s="82" t="str">
        <f>IF(A361="","",'21 2026 ÜRETİM'!F361)</f>
        <v/>
      </c>
      <c r="E361" s="81">
        <f>IF(A361="","",SUMIF('22 2026 PAKETLEME'!$B$2:$B$501,A361,'22 2026 PAKETLEME'!$E$2:$E$501))</f>
        <v>0</v>
      </c>
      <c r="F361" s="82">
        <f>IF(A361="","",SUMIF('22 2026 PAKETLEME'!$B$2:$B$501,A361,'22 2026 PAKETLEME'!$G$2:$G$501))</f>
        <v>0</v>
      </c>
      <c r="G361" s="81">
        <f>IF(A361="","",SUMIF('22 2026 PAKETLEME'!$B$2:$B$501,A361,'22 2026 PAKETLEME'!$H$2:$H$501))</f>
        <v>0</v>
      </c>
      <c r="H361" s="81" t="e">
        <f t="shared" si="25"/>
        <v>#VALUE!</v>
      </c>
      <c r="I361" s="82">
        <f>IF(A361="","",SUMIF('23 2026 SEVKİYAT'!$E$2:$E$501,A361,'23 2026 SEVKİYAT'!$H$2:$H$501))</f>
        <v>0</v>
      </c>
      <c r="J361" s="81">
        <f t="shared" si="26"/>
        <v>0</v>
      </c>
      <c r="K361" s="81" t="e">
        <f t="shared" si="27"/>
        <v>#VALUE!</v>
      </c>
      <c r="L361" s="58" t="e">
        <f t="shared" si="28"/>
        <v>#VALUE!</v>
      </c>
      <c r="M361" s="56" t="e">
        <f t="shared" si="29"/>
        <v>#VALUE!</v>
      </c>
    </row>
    <row r="362" spans="1:13" ht="15" customHeight="1" x14ac:dyDescent="0.2">
      <c r="A362" s="60">
        <f>'21 2026 ÜRETİM'!A362</f>
        <v>0</v>
      </c>
      <c r="B362" s="81" t="str">
        <f>IF(A362="","",'21 2026 ÜRETİM'!D362)</f>
        <v/>
      </c>
      <c r="C362" s="81">
        <f>IF(A362="","",'21 2026 ÜRETİM'!E362)</f>
        <v>0</v>
      </c>
      <c r="D362" s="82" t="str">
        <f>IF(A362="","",'21 2026 ÜRETİM'!F362)</f>
        <v/>
      </c>
      <c r="E362" s="81">
        <f>IF(A362="","",SUMIF('22 2026 PAKETLEME'!$B$2:$B$501,A362,'22 2026 PAKETLEME'!$E$2:$E$501))</f>
        <v>0</v>
      </c>
      <c r="F362" s="82">
        <f>IF(A362="","",SUMIF('22 2026 PAKETLEME'!$B$2:$B$501,A362,'22 2026 PAKETLEME'!$G$2:$G$501))</f>
        <v>0</v>
      </c>
      <c r="G362" s="81">
        <f>IF(A362="","",SUMIF('22 2026 PAKETLEME'!$B$2:$B$501,A362,'22 2026 PAKETLEME'!$H$2:$H$501))</f>
        <v>0</v>
      </c>
      <c r="H362" s="81" t="e">
        <f t="shared" si="25"/>
        <v>#VALUE!</v>
      </c>
      <c r="I362" s="82">
        <f>IF(A362="","",SUMIF('23 2026 SEVKİYAT'!$E$2:$E$501,A362,'23 2026 SEVKİYAT'!$H$2:$H$501))</f>
        <v>0</v>
      </c>
      <c r="J362" s="81">
        <f t="shared" si="26"/>
        <v>0</v>
      </c>
      <c r="K362" s="81" t="e">
        <f t="shared" si="27"/>
        <v>#VALUE!</v>
      </c>
      <c r="L362" s="58" t="e">
        <f t="shared" si="28"/>
        <v>#VALUE!</v>
      </c>
      <c r="M362" s="56" t="e">
        <f t="shared" si="29"/>
        <v>#VALUE!</v>
      </c>
    </row>
    <row r="363" spans="1:13" ht="15" customHeight="1" x14ac:dyDescent="0.2">
      <c r="A363" s="60">
        <f>'21 2026 ÜRETİM'!A363</f>
        <v>0</v>
      </c>
      <c r="B363" s="81" t="str">
        <f>IF(A363="","",'21 2026 ÜRETİM'!D363)</f>
        <v/>
      </c>
      <c r="C363" s="81">
        <f>IF(A363="","",'21 2026 ÜRETİM'!E363)</f>
        <v>0</v>
      </c>
      <c r="D363" s="82" t="str">
        <f>IF(A363="","",'21 2026 ÜRETİM'!F363)</f>
        <v/>
      </c>
      <c r="E363" s="81">
        <f>IF(A363="","",SUMIF('22 2026 PAKETLEME'!$B$2:$B$501,A363,'22 2026 PAKETLEME'!$E$2:$E$501))</f>
        <v>0</v>
      </c>
      <c r="F363" s="82">
        <f>IF(A363="","",SUMIF('22 2026 PAKETLEME'!$B$2:$B$501,A363,'22 2026 PAKETLEME'!$G$2:$G$501))</f>
        <v>0</v>
      </c>
      <c r="G363" s="81">
        <f>IF(A363="","",SUMIF('22 2026 PAKETLEME'!$B$2:$B$501,A363,'22 2026 PAKETLEME'!$H$2:$H$501))</f>
        <v>0</v>
      </c>
      <c r="H363" s="81" t="e">
        <f t="shared" si="25"/>
        <v>#VALUE!</v>
      </c>
      <c r="I363" s="82">
        <f>IF(A363="","",SUMIF('23 2026 SEVKİYAT'!$E$2:$E$501,A363,'23 2026 SEVKİYAT'!$H$2:$H$501))</f>
        <v>0</v>
      </c>
      <c r="J363" s="81">
        <f t="shared" si="26"/>
        <v>0</v>
      </c>
      <c r="K363" s="81" t="e">
        <f t="shared" si="27"/>
        <v>#VALUE!</v>
      </c>
      <c r="L363" s="58" t="e">
        <f t="shared" si="28"/>
        <v>#VALUE!</v>
      </c>
      <c r="M363" s="56" t="e">
        <f t="shared" si="29"/>
        <v>#VALUE!</v>
      </c>
    </row>
    <row r="364" spans="1:13" ht="15" customHeight="1" x14ac:dyDescent="0.2">
      <c r="A364" s="60">
        <f>'21 2026 ÜRETİM'!A364</f>
        <v>0</v>
      </c>
      <c r="B364" s="81" t="str">
        <f>IF(A364="","",'21 2026 ÜRETİM'!D364)</f>
        <v/>
      </c>
      <c r="C364" s="81">
        <f>IF(A364="","",'21 2026 ÜRETİM'!E364)</f>
        <v>0</v>
      </c>
      <c r="D364" s="82" t="str">
        <f>IF(A364="","",'21 2026 ÜRETİM'!F364)</f>
        <v/>
      </c>
      <c r="E364" s="81">
        <f>IF(A364="","",SUMIF('22 2026 PAKETLEME'!$B$2:$B$501,A364,'22 2026 PAKETLEME'!$E$2:$E$501))</f>
        <v>0</v>
      </c>
      <c r="F364" s="82">
        <f>IF(A364="","",SUMIF('22 2026 PAKETLEME'!$B$2:$B$501,A364,'22 2026 PAKETLEME'!$G$2:$G$501))</f>
        <v>0</v>
      </c>
      <c r="G364" s="81">
        <f>IF(A364="","",SUMIF('22 2026 PAKETLEME'!$B$2:$B$501,A364,'22 2026 PAKETLEME'!$H$2:$H$501))</f>
        <v>0</v>
      </c>
      <c r="H364" s="81" t="e">
        <f t="shared" si="25"/>
        <v>#VALUE!</v>
      </c>
      <c r="I364" s="82">
        <f>IF(A364="","",SUMIF('23 2026 SEVKİYAT'!$E$2:$E$501,A364,'23 2026 SEVKİYAT'!$H$2:$H$501))</f>
        <v>0</v>
      </c>
      <c r="J364" s="81">
        <f t="shared" si="26"/>
        <v>0</v>
      </c>
      <c r="K364" s="81" t="e">
        <f t="shared" si="27"/>
        <v>#VALUE!</v>
      </c>
      <c r="L364" s="58" t="e">
        <f t="shared" si="28"/>
        <v>#VALUE!</v>
      </c>
      <c r="M364" s="56" t="e">
        <f t="shared" si="29"/>
        <v>#VALUE!</v>
      </c>
    </row>
    <row r="365" spans="1:13" ht="15" customHeight="1" x14ac:dyDescent="0.2">
      <c r="A365" s="60">
        <f>'21 2026 ÜRETİM'!A365</f>
        <v>0</v>
      </c>
      <c r="B365" s="81" t="str">
        <f>IF(A365="","",'21 2026 ÜRETİM'!D365)</f>
        <v/>
      </c>
      <c r="C365" s="81">
        <f>IF(A365="","",'21 2026 ÜRETİM'!E365)</f>
        <v>0</v>
      </c>
      <c r="D365" s="82" t="str">
        <f>IF(A365="","",'21 2026 ÜRETİM'!F365)</f>
        <v/>
      </c>
      <c r="E365" s="81">
        <f>IF(A365="","",SUMIF('22 2026 PAKETLEME'!$B$2:$B$501,A365,'22 2026 PAKETLEME'!$E$2:$E$501))</f>
        <v>0</v>
      </c>
      <c r="F365" s="82">
        <f>IF(A365="","",SUMIF('22 2026 PAKETLEME'!$B$2:$B$501,A365,'22 2026 PAKETLEME'!$G$2:$G$501))</f>
        <v>0</v>
      </c>
      <c r="G365" s="81">
        <f>IF(A365="","",SUMIF('22 2026 PAKETLEME'!$B$2:$B$501,A365,'22 2026 PAKETLEME'!$H$2:$H$501))</f>
        <v>0</v>
      </c>
      <c r="H365" s="81" t="e">
        <f t="shared" si="25"/>
        <v>#VALUE!</v>
      </c>
      <c r="I365" s="82">
        <f>IF(A365="","",SUMIF('23 2026 SEVKİYAT'!$E$2:$E$501,A365,'23 2026 SEVKİYAT'!$H$2:$H$501))</f>
        <v>0</v>
      </c>
      <c r="J365" s="81">
        <f t="shared" si="26"/>
        <v>0</v>
      </c>
      <c r="K365" s="81" t="e">
        <f t="shared" si="27"/>
        <v>#VALUE!</v>
      </c>
      <c r="L365" s="58" t="e">
        <f t="shared" si="28"/>
        <v>#VALUE!</v>
      </c>
      <c r="M365" s="56" t="e">
        <f t="shared" si="29"/>
        <v>#VALUE!</v>
      </c>
    </row>
    <row r="366" spans="1:13" ht="15" customHeight="1" x14ac:dyDescent="0.2">
      <c r="A366" s="60">
        <f>'21 2026 ÜRETİM'!A366</f>
        <v>0</v>
      </c>
      <c r="B366" s="81" t="str">
        <f>IF(A366="","",'21 2026 ÜRETİM'!D366)</f>
        <v/>
      </c>
      <c r="C366" s="81">
        <f>IF(A366="","",'21 2026 ÜRETİM'!E366)</f>
        <v>0</v>
      </c>
      <c r="D366" s="82" t="str">
        <f>IF(A366="","",'21 2026 ÜRETİM'!F366)</f>
        <v/>
      </c>
      <c r="E366" s="81">
        <f>IF(A366="","",SUMIF('22 2026 PAKETLEME'!$B$2:$B$501,A366,'22 2026 PAKETLEME'!$E$2:$E$501))</f>
        <v>0</v>
      </c>
      <c r="F366" s="82">
        <f>IF(A366="","",SUMIF('22 2026 PAKETLEME'!$B$2:$B$501,A366,'22 2026 PAKETLEME'!$G$2:$G$501))</f>
        <v>0</v>
      </c>
      <c r="G366" s="81">
        <f>IF(A366="","",SUMIF('22 2026 PAKETLEME'!$B$2:$B$501,A366,'22 2026 PAKETLEME'!$H$2:$H$501))</f>
        <v>0</v>
      </c>
      <c r="H366" s="81" t="e">
        <f t="shared" si="25"/>
        <v>#VALUE!</v>
      </c>
      <c r="I366" s="82">
        <f>IF(A366="","",SUMIF('23 2026 SEVKİYAT'!$E$2:$E$501,A366,'23 2026 SEVKİYAT'!$H$2:$H$501))</f>
        <v>0</v>
      </c>
      <c r="J366" s="81">
        <f t="shared" si="26"/>
        <v>0</v>
      </c>
      <c r="K366" s="81" t="e">
        <f t="shared" si="27"/>
        <v>#VALUE!</v>
      </c>
      <c r="L366" s="58" t="e">
        <f t="shared" si="28"/>
        <v>#VALUE!</v>
      </c>
      <c r="M366" s="56" t="e">
        <f t="shared" si="29"/>
        <v>#VALUE!</v>
      </c>
    </row>
    <row r="367" spans="1:13" ht="15" customHeight="1" x14ac:dyDescent="0.2">
      <c r="A367" s="60">
        <f>'21 2026 ÜRETİM'!A367</f>
        <v>0</v>
      </c>
      <c r="B367" s="81" t="str">
        <f>IF(A367="","",'21 2026 ÜRETİM'!D367)</f>
        <v/>
      </c>
      <c r="C367" s="81">
        <f>IF(A367="","",'21 2026 ÜRETİM'!E367)</f>
        <v>0</v>
      </c>
      <c r="D367" s="82" t="str">
        <f>IF(A367="","",'21 2026 ÜRETİM'!F367)</f>
        <v/>
      </c>
      <c r="E367" s="81">
        <f>IF(A367="","",SUMIF('22 2026 PAKETLEME'!$B$2:$B$501,A367,'22 2026 PAKETLEME'!$E$2:$E$501))</f>
        <v>0</v>
      </c>
      <c r="F367" s="82">
        <f>IF(A367="","",SUMIF('22 2026 PAKETLEME'!$B$2:$B$501,A367,'22 2026 PAKETLEME'!$G$2:$G$501))</f>
        <v>0</v>
      </c>
      <c r="G367" s="81">
        <f>IF(A367="","",SUMIF('22 2026 PAKETLEME'!$B$2:$B$501,A367,'22 2026 PAKETLEME'!$H$2:$H$501))</f>
        <v>0</v>
      </c>
      <c r="H367" s="81" t="e">
        <f t="shared" si="25"/>
        <v>#VALUE!</v>
      </c>
      <c r="I367" s="82">
        <f>IF(A367="","",SUMIF('23 2026 SEVKİYAT'!$E$2:$E$501,A367,'23 2026 SEVKİYAT'!$H$2:$H$501))</f>
        <v>0</v>
      </c>
      <c r="J367" s="81">
        <f t="shared" si="26"/>
        <v>0</v>
      </c>
      <c r="K367" s="81" t="e">
        <f t="shared" si="27"/>
        <v>#VALUE!</v>
      </c>
      <c r="L367" s="58" t="e">
        <f t="shared" si="28"/>
        <v>#VALUE!</v>
      </c>
      <c r="M367" s="56" t="e">
        <f t="shared" si="29"/>
        <v>#VALUE!</v>
      </c>
    </row>
    <row r="368" spans="1:13" ht="15" customHeight="1" x14ac:dyDescent="0.2">
      <c r="A368" s="60">
        <f>'21 2026 ÜRETİM'!A368</f>
        <v>0</v>
      </c>
      <c r="B368" s="81" t="str">
        <f>IF(A368="","",'21 2026 ÜRETİM'!D368)</f>
        <v/>
      </c>
      <c r="C368" s="81">
        <f>IF(A368="","",'21 2026 ÜRETİM'!E368)</f>
        <v>0</v>
      </c>
      <c r="D368" s="82" t="str">
        <f>IF(A368="","",'21 2026 ÜRETİM'!F368)</f>
        <v/>
      </c>
      <c r="E368" s="81">
        <f>IF(A368="","",SUMIF('22 2026 PAKETLEME'!$B$2:$B$501,A368,'22 2026 PAKETLEME'!$E$2:$E$501))</f>
        <v>0</v>
      </c>
      <c r="F368" s="82">
        <f>IF(A368="","",SUMIF('22 2026 PAKETLEME'!$B$2:$B$501,A368,'22 2026 PAKETLEME'!$G$2:$G$501))</f>
        <v>0</v>
      </c>
      <c r="G368" s="81">
        <f>IF(A368="","",SUMIF('22 2026 PAKETLEME'!$B$2:$B$501,A368,'22 2026 PAKETLEME'!$H$2:$H$501))</f>
        <v>0</v>
      </c>
      <c r="H368" s="81" t="e">
        <f t="shared" si="25"/>
        <v>#VALUE!</v>
      </c>
      <c r="I368" s="82">
        <f>IF(A368="","",SUMIF('23 2026 SEVKİYAT'!$E$2:$E$501,A368,'23 2026 SEVKİYAT'!$H$2:$H$501))</f>
        <v>0</v>
      </c>
      <c r="J368" s="81">
        <f t="shared" si="26"/>
        <v>0</v>
      </c>
      <c r="K368" s="81" t="e">
        <f t="shared" si="27"/>
        <v>#VALUE!</v>
      </c>
      <c r="L368" s="58" t="e">
        <f t="shared" si="28"/>
        <v>#VALUE!</v>
      </c>
      <c r="M368" s="56" t="e">
        <f t="shared" si="29"/>
        <v>#VALUE!</v>
      </c>
    </row>
    <row r="369" spans="1:13" ht="15" customHeight="1" x14ac:dyDescent="0.2">
      <c r="A369" s="60">
        <f>'21 2026 ÜRETİM'!A369</f>
        <v>0</v>
      </c>
      <c r="B369" s="81" t="str">
        <f>IF(A369="","",'21 2026 ÜRETİM'!D369)</f>
        <v/>
      </c>
      <c r="C369" s="81">
        <f>IF(A369="","",'21 2026 ÜRETİM'!E369)</f>
        <v>0</v>
      </c>
      <c r="D369" s="82" t="str">
        <f>IF(A369="","",'21 2026 ÜRETİM'!F369)</f>
        <v/>
      </c>
      <c r="E369" s="81">
        <f>IF(A369="","",SUMIF('22 2026 PAKETLEME'!$B$2:$B$501,A369,'22 2026 PAKETLEME'!$E$2:$E$501))</f>
        <v>0</v>
      </c>
      <c r="F369" s="82">
        <f>IF(A369="","",SUMIF('22 2026 PAKETLEME'!$B$2:$B$501,A369,'22 2026 PAKETLEME'!$G$2:$G$501))</f>
        <v>0</v>
      </c>
      <c r="G369" s="81">
        <f>IF(A369="","",SUMIF('22 2026 PAKETLEME'!$B$2:$B$501,A369,'22 2026 PAKETLEME'!$H$2:$H$501))</f>
        <v>0</v>
      </c>
      <c r="H369" s="81" t="e">
        <f t="shared" si="25"/>
        <v>#VALUE!</v>
      </c>
      <c r="I369" s="82">
        <f>IF(A369="","",SUMIF('23 2026 SEVKİYAT'!$E$2:$E$501,A369,'23 2026 SEVKİYAT'!$H$2:$H$501))</f>
        <v>0</v>
      </c>
      <c r="J369" s="81">
        <f t="shared" si="26"/>
        <v>0</v>
      </c>
      <c r="K369" s="81" t="e">
        <f t="shared" si="27"/>
        <v>#VALUE!</v>
      </c>
      <c r="L369" s="58" t="e">
        <f t="shared" si="28"/>
        <v>#VALUE!</v>
      </c>
      <c r="M369" s="56" t="e">
        <f t="shared" si="29"/>
        <v>#VALUE!</v>
      </c>
    </row>
    <row r="370" spans="1:13" ht="15" customHeight="1" x14ac:dyDescent="0.2">
      <c r="A370" s="60">
        <f>'21 2026 ÜRETİM'!A370</f>
        <v>0</v>
      </c>
      <c r="B370" s="81" t="str">
        <f>IF(A370="","",'21 2026 ÜRETİM'!D370)</f>
        <v/>
      </c>
      <c r="C370" s="81">
        <f>IF(A370="","",'21 2026 ÜRETİM'!E370)</f>
        <v>0</v>
      </c>
      <c r="D370" s="82" t="str">
        <f>IF(A370="","",'21 2026 ÜRETİM'!F370)</f>
        <v/>
      </c>
      <c r="E370" s="81">
        <f>IF(A370="","",SUMIF('22 2026 PAKETLEME'!$B$2:$B$501,A370,'22 2026 PAKETLEME'!$E$2:$E$501))</f>
        <v>0</v>
      </c>
      <c r="F370" s="82">
        <f>IF(A370="","",SUMIF('22 2026 PAKETLEME'!$B$2:$B$501,A370,'22 2026 PAKETLEME'!$G$2:$G$501))</f>
        <v>0</v>
      </c>
      <c r="G370" s="81">
        <f>IF(A370="","",SUMIF('22 2026 PAKETLEME'!$B$2:$B$501,A370,'22 2026 PAKETLEME'!$H$2:$H$501))</f>
        <v>0</v>
      </c>
      <c r="H370" s="81" t="e">
        <f t="shared" si="25"/>
        <v>#VALUE!</v>
      </c>
      <c r="I370" s="82">
        <f>IF(A370="","",SUMIF('23 2026 SEVKİYAT'!$E$2:$E$501,A370,'23 2026 SEVKİYAT'!$H$2:$H$501))</f>
        <v>0</v>
      </c>
      <c r="J370" s="81">
        <f t="shared" si="26"/>
        <v>0</v>
      </c>
      <c r="K370" s="81" t="e">
        <f t="shared" si="27"/>
        <v>#VALUE!</v>
      </c>
      <c r="L370" s="58" t="e">
        <f t="shared" si="28"/>
        <v>#VALUE!</v>
      </c>
      <c r="M370" s="56" t="e">
        <f t="shared" si="29"/>
        <v>#VALUE!</v>
      </c>
    </row>
    <row r="371" spans="1:13" ht="15" customHeight="1" x14ac:dyDescent="0.2">
      <c r="A371" s="60">
        <f>'21 2026 ÜRETİM'!A371</f>
        <v>0</v>
      </c>
      <c r="B371" s="81" t="str">
        <f>IF(A371="","",'21 2026 ÜRETİM'!D371)</f>
        <v/>
      </c>
      <c r="C371" s="81">
        <f>IF(A371="","",'21 2026 ÜRETİM'!E371)</f>
        <v>0</v>
      </c>
      <c r="D371" s="82" t="str">
        <f>IF(A371="","",'21 2026 ÜRETİM'!F371)</f>
        <v/>
      </c>
      <c r="E371" s="81">
        <f>IF(A371="","",SUMIF('22 2026 PAKETLEME'!$B$2:$B$501,A371,'22 2026 PAKETLEME'!$E$2:$E$501))</f>
        <v>0</v>
      </c>
      <c r="F371" s="82">
        <f>IF(A371="","",SUMIF('22 2026 PAKETLEME'!$B$2:$B$501,A371,'22 2026 PAKETLEME'!$G$2:$G$501))</f>
        <v>0</v>
      </c>
      <c r="G371" s="81">
        <f>IF(A371="","",SUMIF('22 2026 PAKETLEME'!$B$2:$B$501,A371,'22 2026 PAKETLEME'!$H$2:$H$501))</f>
        <v>0</v>
      </c>
      <c r="H371" s="81" t="e">
        <f t="shared" si="25"/>
        <v>#VALUE!</v>
      </c>
      <c r="I371" s="82">
        <f>IF(A371="","",SUMIF('23 2026 SEVKİYAT'!$E$2:$E$501,A371,'23 2026 SEVKİYAT'!$H$2:$H$501))</f>
        <v>0</v>
      </c>
      <c r="J371" s="81">
        <f t="shared" si="26"/>
        <v>0</v>
      </c>
      <c r="K371" s="81" t="e">
        <f t="shared" si="27"/>
        <v>#VALUE!</v>
      </c>
      <c r="L371" s="58" t="e">
        <f t="shared" si="28"/>
        <v>#VALUE!</v>
      </c>
      <c r="M371" s="56" t="e">
        <f t="shared" si="29"/>
        <v>#VALUE!</v>
      </c>
    </row>
    <row r="372" spans="1:13" ht="15" customHeight="1" x14ac:dyDescent="0.2">
      <c r="A372" s="60">
        <f>'21 2026 ÜRETİM'!A372</f>
        <v>0</v>
      </c>
      <c r="B372" s="81" t="str">
        <f>IF(A372="","",'21 2026 ÜRETİM'!D372)</f>
        <v/>
      </c>
      <c r="C372" s="81">
        <f>IF(A372="","",'21 2026 ÜRETİM'!E372)</f>
        <v>0</v>
      </c>
      <c r="D372" s="82" t="str">
        <f>IF(A372="","",'21 2026 ÜRETİM'!F372)</f>
        <v/>
      </c>
      <c r="E372" s="81">
        <f>IF(A372="","",SUMIF('22 2026 PAKETLEME'!$B$2:$B$501,A372,'22 2026 PAKETLEME'!$E$2:$E$501))</f>
        <v>0</v>
      </c>
      <c r="F372" s="82">
        <f>IF(A372="","",SUMIF('22 2026 PAKETLEME'!$B$2:$B$501,A372,'22 2026 PAKETLEME'!$G$2:$G$501))</f>
        <v>0</v>
      </c>
      <c r="G372" s="81">
        <f>IF(A372="","",SUMIF('22 2026 PAKETLEME'!$B$2:$B$501,A372,'22 2026 PAKETLEME'!$H$2:$H$501))</f>
        <v>0</v>
      </c>
      <c r="H372" s="81" t="e">
        <f t="shared" si="25"/>
        <v>#VALUE!</v>
      </c>
      <c r="I372" s="82">
        <f>IF(A372="","",SUMIF('23 2026 SEVKİYAT'!$E$2:$E$501,A372,'23 2026 SEVKİYAT'!$H$2:$H$501))</f>
        <v>0</v>
      </c>
      <c r="J372" s="81">
        <f t="shared" si="26"/>
        <v>0</v>
      </c>
      <c r="K372" s="81" t="e">
        <f t="shared" si="27"/>
        <v>#VALUE!</v>
      </c>
      <c r="L372" s="58" t="e">
        <f t="shared" si="28"/>
        <v>#VALUE!</v>
      </c>
      <c r="M372" s="56" t="e">
        <f t="shared" si="29"/>
        <v>#VALUE!</v>
      </c>
    </row>
    <row r="373" spans="1:13" ht="15" customHeight="1" x14ac:dyDescent="0.2">
      <c r="A373" s="60">
        <f>'21 2026 ÜRETİM'!A373</f>
        <v>0</v>
      </c>
      <c r="B373" s="81" t="str">
        <f>IF(A373="","",'21 2026 ÜRETİM'!D373)</f>
        <v/>
      </c>
      <c r="C373" s="81">
        <f>IF(A373="","",'21 2026 ÜRETİM'!E373)</f>
        <v>0</v>
      </c>
      <c r="D373" s="82" t="str">
        <f>IF(A373="","",'21 2026 ÜRETİM'!F373)</f>
        <v/>
      </c>
      <c r="E373" s="81">
        <f>IF(A373="","",SUMIF('22 2026 PAKETLEME'!$B$2:$B$501,A373,'22 2026 PAKETLEME'!$E$2:$E$501))</f>
        <v>0</v>
      </c>
      <c r="F373" s="82">
        <f>IF(A373="","",SUMIF('22 2026 PAKETLEME'!$B$2:$B$501,A373,'22 2026 PAKETLEME'!$G$2:$G$501))</f>
        <v>0</v>
      </c>
      <c r="G373" s="81">
        <f>IF(A373="","",SUMIF('22 2026 PAKETLEME'!$B$2:$B$501,A373,'22 2026 PAKETLEME'!$H$2:$H$501))</f>
        <v>0</v>
      </c>
      <c r="H373" s="81" t="e">
        <f t="shared" si="25"/>
        <v>#VALUE!</v>
      </c>
      <c r="I373" s="82">
        <f>IF(A373="","",SUMIF('23 2026 SEVKİYAT'!$E$2:$E$501,A373,'23 2026 SEVKİYAT'!$H$2:$H$501))</f>
        <v>0</v>
      </c>
      <c r="J373" s="81">
        <f t="shared" si="26"/>
        <v>0</v>
      </c>
      <c r="K373" s="81" t="e">
        <f t="shared" si="27"/>
        <v>#VALUE!</v>
      </c>
      <c r="L373" s="58" t="e">
        <f t="shared" si="28"/>
        <v>#VALUE!</v>
      </c>
      <c r="M373" s="56" t="e">
        <f t="shared" si="29"/>
        <v>#VALUE!</v>
      </c>
    </row>
    <row r="374" spans="1:13" ht="15" customHeight="1" x14ac:dyDescent="0.2">
      <c r="A374" s="60">
        <f>'21 2026 ÜRETİM'!A374</f>
        <v>0</v>
      </c>
      <c r="B374" s="81" t="str">
        <f>IF(A374="","",'21 2026 ÜRETİM'!D374)</f>
        <v/>
      </c>
      <c r="C374" s="81">
        <f>IF(A374="","",'21 2026 ÜRETİM'!E374)</f>
        <v>0</v>
      </c>
      <c r="D374" s="82" t="str">
        <f>IF(A374="","",'21 2026 ÜRETİM'!F374)</f>
        <v/>
      </c>
      <c r="E374" s="81">
        <f>IF(A374="","",SUMIF('22 2026 PAKETLEME'!$B$2:$B$501,A374,'22 2026 PAKETLEME'!$E$2:$E$501))</f>
        <v>0</v>
      </c>
      <c r="F374" s="82">
        <f>IF(A374="","",SUMIF('22 2026 PAKETLEME'!$B$2:$B$501,A374,'22 2026 PAKETLEME'!$G$2:$G$501))</f>
        <v>0</v>
      </c>
      <c r="G374" s="81">
        <f>IF(A374="","",SUMIF('22 2026 PAKETLEME'!$B$2:$B$501,A374,'22 2026 PAKETLEME'!$H$2:$H$501))</f>
        <v>0</v>
      </c>
      <c r="H374" s="81" t="e">
        <f t="shared" si="25"/>
        <v>#VALUE!</v>
      </c>
      <c r="I374" s="82">
        <f>IF(A374="","",SUMIF('23 2026 SEVKİYAT'!$E$2:$E$501,A374,'23 2026 SEVKİYAT'!$H$2:$H$501))</f>
        <v>0</v>
      </c>
      <c r="J374" s="81">
        <f t="shared" si="26"/>
        <v>0</v>
      </c>
      <c r="K374" s="81" t="e">
        <f t="shared" si="27"/>
        <v>#VALUE!</v>
      </c>
      <c r="L374" s="58" t="e">
        <f t="shared" si="28"/>
        <v>#VALUE!</v>
      </c>
      <c r="M374" s="56" t="e">
        <f t="shared" si="29"/>
        <v>#VALUE!</v>
      </c>
    </row>
    <row r="375" spans="1:13" ht="15" customHeight="1" x14ac:dyDescent="0.2">
      <c r="A375" s="60">
        <f>'21 2026 ÜRETİM'!A375</f>
        <v>0</v>
      </c>
      <c r="B375" s="81" t="str">
        <f>IF(A375="","",'21 2026 ÜRETİM'!D375)</f>
        <v/>
      </c>
      <c r="C375" s="81">
        <f>IF(A375="","",'21 2026 ÜRETİM'!E375)</f>
        <v>0</v>
      </c>
      <c r="D375" s="82" t="str">
        <f>IF(A375="","",'21 2026 ÜRETİM'!F375)</f>
        <v/>
      </c>
      <c r="E375" s="81">
        <f>IF(A375="","",SUMIF('22 2026 PAKETLEME'!$B$2:$B$501,A375,'22 2026 PAKETLEME'!$E$2:$E$501))</f>
        <v>0</v>
      </c>
      <c r="F375" s="82">
        <f>IF(A375="","",SUMIF('22 2026 PAKETLEME'!$B$2:$B$501,A375,'22 2026 PAKETLEME'!$G$2:$G$501))</f>
        <v>0</v>
      </c>
      <c r="G375" s="81">
        <f>IF(A375="","",SUMIF('22 2026 PAKETLEME'!$B$2:$B$501,A375,'22 2026 PAKETLEME'!$H$2:$H$501))</f>
        <v>0</v>
      </c>
      <c r="H375" s="81" t="e">
        <f t="shared" si="25"/>
        <v>#VALUE!</v>
      </c>
      <c r="I375" s="82">
        <f>IF(A375="","",SUMIF('23 2026 SEVKİYAT'!$E$2:$E$501,A375,'23 2026 SEVKİYAT'!$H$2:$H$501))</f>
        <v>0</v>
      </c>
      <c r="J375" s="81">
        <f t="shared" si="26"/>
        <v>0</v>
      </c>
      <c r="K375" s="81" t="e">
        <f t="shared" si="27"/>
        <v>#VALUE!</v>
      </c>
      <c r="L375" s="58" t="e">
        <f t="shared" si="28"/>
        <v>#VALUE!</v>
      </c>
      <c r="M375" s="56" t="e">
        <f t="shared" si="29"/>
        <v>#VALUE!</v>
      </c>
    </row>
    <row r="376" spans="1:13" ht="15" customHeight="1" x14ac:dyDescent="0.2">
      <c r="A376" s="60">
        <f>'21 2026 ÜRETİM'!A376</f>
        <v>0</v>
      </c>
      <c r="B376" s="81" t="str">
        <f>IF(A376="","",'21 2026 ÜRETİM'!D376)</f>
        <v/>
      </c>
      <c r="C376" s="81">
        <f>IF(A376="","",'21 2026 ÜRETİM'!E376)</f>
        <v>0</v>
      </c>
      <c r="D376" s="82" t="str">
        <f>IF(A376="","",'21 2026 ÜRETİM'!F376)</f>
        <v/>
      </c>
      <c r="E376" s="81">
        <f>IF(A376="","",SUMIF('22 2026 PAKETLEME'!$B$2:$B$501,A376,'22 2026 PAKETLEME'!$E$2:$E$501))</f>
        <v>0</v>
      </c>
      <c r="F376" s="82">
        <f>IF(A376="","",SUMIF('22 2026 PAKETLEME'!$B$2:$B$501,A376,'22 2026 PAKETLEME'!$G$2:$G$501))</f>
        <v>0</v>
      </c>
      <c r="G376" s="81">
        <f>IF(A376="","",SUMIF('22 2026 PAKETLEME'!$B$2:$B$501,A376,'22 2026 PAKETLEME'!$H$2:$H$501))</f>
        <v>0</v>
      </c>
      <c r="H376" s="81" t="e">
        <f t="shared" si="25"/>
        <v>#VALUE!</v>
      </c>
      <c r="I376" s="82">
        <f>IF(A376="","",SUMIF('23 2026 SEVKİYAT'!$E$2:$E$501,A376,'23 2026 SEVKİYAT'!$H$2:$H$501))</f>
        <v>0</v>
      </c>
      <c r="J376" s="81">
        <f t="shared" si="26"/>
        <v>0</v>
      </c>
      <c r="K376" s="81" t="e">
        <f t="shared" si="27"/>
        <v>#VALUE!</v>
      </c>
      <c r="L376" s="58" t="e">
        <f t="shared" si="28"/>
        <v>#VALUE!</v>
      </c>
      <c r="M376" s="56" t="e">
        <f t="shared" si="29"/>
        <v>#VALUE!</v>
      </c>
    </row>
    <row r="377" spans="1:13" ht="15" customHeight="1" x14ac:dyDescent="0.2">
      <c r="A377" s="60">
        <f>'21 2026 ÜRETİM'!A377</f>
        <v>0</v>
      </c>
      <c r="B377" s="81" t="str">
        <f>IF(A377="","",'21 2026 ÜRETİM'!D377)</f>
        <v/>
      </c>
      <c r="C377" s="81">
        <f>IF(A377="","",'21 2026 ÜRETİM'!E377)</f>
        <v>0</v>
      </c>
      <c r="D377" s="82" t="str">
        <f>IF(A377="","",'21 2026 ÜRETİM'!F377)</f>
        <v/>
      </c>
      <c r="E377" s="81">
        <f>IF(A377="","",SUMIF('22 2026 PAKETLEME'!$B$2:$B$501,A377,'22 2026 PAKETLEME'!$E$2:$E$501))</f>
        <v>0</v>
      </c>
      <c r="F377" s="82">
        <f>IF(A377="","",SUMIF('22 2026 PAKETLEME'!$B$2:$B$501,A377,'22 2026 PAKETLEME'!$G$2:$G$501))</f>
        <v>0</v>
      </c>
      <c r="G377" s="81">
        <f>IF(A377="","",SUMIF('22 2026 PAKETLEME'!$B$2:$B$501,A377,'22 2026 PAKETLEME'!$H$2:$H$501))</f>
        <v>0</v>
      </c>
      <c r="H377" s="81" t="e">
        <f t="shared" si="25"/>
        <v>#VALUE!</v>
      </c>
      <c r="I377" s="82">
        <f>IF(A377="","",SUMIF('23 2026 SEVKİYAT'!$E$2:$E$501,A377,'23 2026 SEVKİYAT'!$H$2:$H$501))</f>
        <v>0</v>
      </c>
      <c r="J377" s="81">
        <f t="shared" si="26"/>
        <v>0</v>
      </c>
      <c r="K377" s="81" t="e">
        <f t="shared" si="27"/>
        <v>#VALUE!</v>
      </c>
      <c r="L377" s="58" t="e">
        <f t="shared" si="28"/>
        <v>#VALUE!</v>
      </c>
      <c r="M377" s="56" t="e">
        <f t="shared" si="29"/>
        <v>#VALUE!</v>
      </c>
    </row>
    <row r="378" spans="1:13" ht="15" customHeight="1" x14ac:dyDescent="0.2">
      <c r="A378" s="60">
        <f>'21 2026 ÜRETİM'!A378</f>
        <v>0</v>
      </c>
      <c r="B378" s="81" t="str">
        <f>IF(A378="","",'21 2026 ÜRETİM'!D378)</f>
        <v/>
      </c>
      <c r="C378" s="81">
        <f>IF(A378="","",'21 2026 ÜRETİM'!E378)</f>
        <v>0</v>
      </c>
      <c r="D378" s="82" t="str">
        <f>IF(A378="","",'21 2026 ÜRETİM'!F378)</f>
        <v/>
      </c>
      <c r="E378" s="81">
        <f>IF(A378="","",SUMIF('22 2026 PAKETLEME'!$B$2:$B$501,A378,'22 2026 PAKETLEME'!$E$2:$E$501))</f>
        <v>0</v>
      </c>
      <c r="F378" s="82">
        <f>IF(A378="","",SUMIF('22 2026 PAKETLEME'!$B$2:$B$501,A378,'22 2026 PAKETLEME'!$G$2:$G$501))</f>
        <v>0</v>
      </c>
      <c r="G378" s="81">
        <f>IF(A378="","",SUMIF('22 2026 PAKETLEME'!$B$2:$B$501,A378,'22 2026 PAKETLEME'!$H$2:$H$501))</f>
        <v>0</v>
      </c>
      <c r="H378" s="81" t="e">
        <f t="shared" si="25"/>
        <v>#VALUE!</v>
      </c>
      <c r="I378" s="82">
        <f>IF(A378="","",SUMIF('23 2026 SEVKİYAT'!$E$2:$E$501,A378,'23 2026 SEVKİYAT'!$H$2:$H$501))</f>
        <v>0</v>
      </c>
      <c r="J378" s="81">
        <f t="shared" si="26"/>
        <v>0</v>
      </c>
      <c r="K378" s="81" t="e">
        <f t="shared" si="27"/>
        <v>#VALUE!</v>
      </c>
      <c r="L378" s="58" t="e">
        <f t="shared" si="28"/>
        <v>#VALUE!</v>
      </c>
      <c r="M378" s="56" t="e">
        <f t="shared" si="29"/>
        <v>#VALUE!</v>
      </c>
    </row>
    <row r="379" spans="1:13" ht="15" customHeight="1" x14ac:dyDescent="0.2">
      <c r="A379" s="60">
        <f>'21 2026 ÜRETİM'!A379</f>
        <v>0</v>
      </c>
      <c r="B379" s="81" t="str">
        <f>IF(A379="","",'21 2026 ÜRETİM'!D379)</f>
        <v/>
      </c>
      <c r="C379" s="81">
        <f>IF(A379="","",'21 2026 ÜRETİM'!E379)</f>
        <v>0</v>
      </c>
      <c r="D379" s="82" t="str">
        <f>IF(A379="","",'21 2026 ÜRETİM'!F379)</f>
        <v/>
      </c>
      <c r="E379" s="81">
        <f>IF(A379="","",SUMIF('22 2026 PAKETLEME'!$B$2:$B$501,A379,'22 2026 PAKETLEME'!$E$2:$E$501))</f>
        <v>0</v>
      </c>
      <c r="F379" s="82">
        <f>IF(A379="","",SUMIF('22 2026 PAKETLEME'!$B$2:$B$501,A379,'22 2026 PAKETLEME'!$G$2:$G$501))</f>
        <v>0</v>
      </c>
      <c r="G379" s="81">
        <f>IF(A379="","",SUMIF('22 2026 PAKETLEME'!$B$2:$B$501,A379,'22 2026 PAKETLEME'!$H$2:$H$501))</f>
        <v>0</v>
      </c>
      <c r="H379" s="81" t="e">
        <f t="shared" si="25"/>
        <v>#VALUE!</v>
      </c>
      <c r="I379" s="82">
        <f>IF(A379="","",SUMIF('23 2026 SEVKİYAT'!$E$2:$E$501,A379,'23 2026 SEVKİYAT'!$H$2:$H$501))</f>
        <v>0</v>
      </c>
      <c r="J379" s="81">
        <f t="shared" si="26"/>
        <v>0</v>
      </c>
      <c r="K379" s="81" t="e">
        <f t="shared" si="27"/>
        <v>#VALUE!</v>
      </c>
      <c r="L379" s="58" t="e">
        <f t="shared" si="28"/>
        <v>#VALUE!</v>
      </c>
      <c r="M379" s="56" t="e">
        <f t="shared" si="29"/>
        <v>#VALUE!</v>
      </c>
    </row>
    <row r="380" spans="1:13" ht="15" customHeight="1" x14ac:dyDescent="0.2">
      <c r="A380" s="60">
        <f>'21 2026 ÜRETİM'!A380</f>
        <v>0</v>
      </c>
      <c r="B380" s="81" t="str">
        <f>IF(A380="","",'21 2026 ÜRETİM'!D380)</f>
        <v/>
      </c>
      <c r="C380" s="81">
        <f>IF(A380="","",'21 2026 ÜRETİM'!E380)</f>
        <v>0</v>
      </c>
      <c r="D380" s="82" t="str">
        <f>IF(A380="","",'21 2026 ÜRETİM'!F380)</f>
        <v/>
      </c>
      <c r="E380" s="81">
        <f>IF(A380="","",SUMIF('22 2026 PAKETLEME'!$B$2:$B$501,A380,'22 2026 PAKETLEME'!$E$2:$E$501))</f>
        <v>0</v>
      </c>
      <c r="F380" s="82">
        <f>IF(A380="","",SUMIF('22 2026 PAKETLEME'!$B$2:$B$501,A380,'22 2026 PAKETLEME'!$G$2:$G$501))</f>
        <v>0</v>
      </c>
      <c r="G380" s="81">
        <f>IF(A380="","",SUMIF('22 2026 PAKETLEME'!$B$2:$B$501,A380,'22 2026 PAKETLEME'!$H$2:$H$501))</f>
        <v>0</v>
      </c>
      <c r="H380" s="81" t="e">
        <f t="shared" si="25"/>
        <v>#VALUE!</v>
      </c>
      <c r="I380" s="82">
        <f>IF(A380="","",SUMIF('23 2026 SEVKİYAT'!$E$2:$E$501,A380,'23 2026 SEVKİYAT'!$H$2:$H$501))</f>
        <v>0</v>
      </c>
      <c r="J380" s="81">
        <f t="shared" si="26"/>
        <v>0</v>
      </c>
      <c r="K380" s="81" t="e">
        <f t="shared" si="27"/>
        <v>#VALUE!</v>
      </c>
      <c r="L380" s="58" t="e">
        <f t="shared" si="28"/>
        <v>#VALUE!</v>
      </c>
      <c r="M380" s="56" t="e">
        <f t="shared" si="29"/>
        <v>#VALUE!</v>
      </c>
    </row>
    <row r="381" spans="1:13" ht="15" customHeight="1" x14ac:dyDescent="0.2">
      <c r="A381" s="60">
        <f>'21 2026 ÜRETİM'!A381</f>
        <v>0</v>
      </c>
      <c r="B381" s="81" t="str">
        <f>IF(A381="","",'21 2026 ÜRETİM'!D381)</f>
        <v/>
      </c>
      <c r="C381" s="81">
        <f>IF(A381="","",'21 2026 ÜRETİM'!E381)</f>
        <v>0</v>
      </c>
      <c r="D381" s="82" t="str">
        <f>IF(A381="","",'21 2026 ÜRETİM'!F381)</f>
        <v/>
      </c>
      <c r="E381" s="81">
        <f>IF(A381="","",SUMIF('22 2026 PAKETLEME'!$B$2:$B$501,A381,'22 2026 PAKETLEME'!$E$2:$E$501))</f>
        <v>0</v>
      </c>
      <c r="F381" s="82">
        <f>IF(A381="","",SUMIF('22 2026 PAKETLEME'!$B$2:$B$501,A381,'22 2026 PAKETLEME'!$G$2:$G$501))</f>
        <v>0</v>
      </c>
      <c r="G381" s="81">
        <f>IF(A381="","",SUMIF('22 2026 PAKETLEME'!$B$2:$B$501,A381,'22 2026 PAKETLEME'!$H$2:$H$501))</f>
        <v>0</v>
      </c>
      <c r="H381" s="81" t="e">
        <f t="shared" si="25"/>
        <v>#VALUE!</v>
      </c>
      <c r="I381" s="82">
        <f>IF(A381="","",SUMIF('23 2026 SEVKİYAT'!$E$2:$E$501,A381,'23 2026 SEVKİYAT'!$H$2:$H$501))</f>
        <v>0</v>
      </c>
      <c r="J381" s="81">
        <f t="shared" si="26"/>
        <v>0</v>
      </c>
      <c r="K381" s="81" t="e">
        <f t="shared" si="27"/>
        <v>#VALUE!</v>
      </c>
      <c r="L381" s="58" t="e">
        <f t="shared" si="28"/>
        <v>#VALUE!</v>
      </c>
      <c r="M381" s="56" t="e">
        <f t="shared" si="29"/>
        <v>#VALUE!</v>
      </c>
    </row>
    <row r="382" spans="1:13" ht="15" customHeight="1" x14ac:dyDescent="0.2">
      <c r="A382" s="60">
        <f>'21 2026 ÜRETİM'!A382</f>
        <v>0</v>
      </c>
      <c r="B382" s="81" t="str">
        <f>IF(A382="","",'21 2026 ÜRETİM'!D382)</f>
        <v/>
      </c>
      <c r="C382" s="81">
        <f>IF(A382="","",'21 2026 ÜRETİM'!E382)</f>
        <v>0</v>
      </c>
      <c r="D382" s="82" t="str">
        <f>IF(A382="","",'21 2026 ÜRETİM'!F382)</f>
        <v/>
      </c>
      <c r="E382" s="81">
        <f>IF(A382="","",SUMIF('22 2026 PAKETLEME'!$B$2:$B$501,A382,'22 2026 PAKETLEME'!$E$2:$E$501))</f>
        <v>0</v>
      </c>
      <c r="F382" s="82">
        <f>IF(A382="","",SUMIF('22 2026 PAKETLEME'!$B$2:$B$501,A382,'22 2026 PAKETLEME'!$G$2:$G$501))</f>
        <v>0</v>
      </c>
      <c r="G382" s="81">
        <f>IF(A382="","",SUMIF('22 2026 PAKETLEME'!$B$2:$B$501,A382,'22 2026 PAKETLEME'!$H$2:$H$501))</f>
        <v>0</v>
      </c>
      <c r="H382" s="81" t="e">
        <f t="shared" si="25"/>
        <v>#VALUE!</v>
      </c>
      <c r="I382" s="82">
        <f>IF(A382="","",SUMIF('23 2026 SEVKİYAT'!$E$2:$E$501,A382,'23 2026 SEVKİYAT'!$H$2:$H$501))</f>
        <v>0</v>
      </c>
      <c r="J382" s="81">
        <f t="shared" si="26"/>
        <v>0</v>
      </c>
      <c r="K382" s="81" t="e">
        <f t="shared" si="27"/>
        <v>#VALUE!</v>
      </c>
      <c r="L382" s="58" t="e">
        <f t="shared" si="28"/>
        <v>#VALUE!</v>
      </c>
      <c r="M382" s="56" t="e">
        <f t="shared" si="29"/>
        <v>#VALUE!</v>
      </c>
    </row>
    <row r="383" spans="1:13" ht="15" customHeight="1" x14ac:dyDescent="0.2">
      <c r="A383" s="60">
        <f>'21 2026 ÜRETİM'!A383</f>
        <v>0</v>
      </c>
      <c r="B383" s="81" t="str">
        <f>IF(A383="","",'21 2026 ÜRETİM'!D383)</f>
        <v/>
      </c>
      <c r="C383" s="81">
        <f>IF(A383="","",'21 2026 ÜRETİM'!E383)</f>
        <v>0</v>
      </c>
      <c r="D383" s="82" t="str">
        <f>IF(A383="","",'21 2026 ÜRETİM'!F383)</f>
        <v/>
      </c>
      <c r="E383" s="81">
        <f>IF(A383="","",SUMIF('22 2026 PAKETLEME'!$B$2:$B$501,A383,'22 2026 PAKETLEME'!$E$2:$E$501))</f>
        <v>0</v>
      </c>
      <c r="F383" s="82">
        <f>IF(A383="","",SUMIF('22 2026 PAKETLEME'!$B$2:$B$501,A383,'22 2026 PAKETLEME'!$G$2:$G$501))</f>
        <v>0</v>
      </c>
      <c r="G383" s="81">
        <f>IF(A383="","",SUMIF('22 2026 PAKETLEME'!$B$2:$B$501,A383,'22 2026 PAKETLEME'!$H$2:$H$501))</f>
        <v>0</v>
      </c>
      <c r="H383" s="81" t="e">
        <f t="shared" si="25"/>
        <v>#VALUE!</v>
      </c>
      <c r="I383" s="82">
        <f>IF(A383="","",SUMIF('23 2026 SEVKİYAT'!$E$2:$E$501,A383,'23 2026 SEVKİYAT'!$H$2:$H$501))</f>
        <v>0</v>
      </c>
      <c r="J383" s="81">
        <f t="shared" si="26"/>
        <v>0</v>
      </c>
      <c r="K383" s="81" t="e">
        <f t="shared" si="27"/>
        <v>#VALUE!</v>
      </c>
      <c r="L383" s="58" t="e">
        <f t="shared" si="28"/>
        <v>#VALUE!</v>
      </c>
      <c r="M383" s="56" t="e">
        <f t="shared" si="29"/>
        <v>#VALUE!</v>
      </c>
    </row>
    <row r="384" spans="1:13" ht="15" customHeight="1" x14ac:dyDescent="0.2">
      <c r="A384" s="60">
        <f>'21 2026 ÜRETİM'!A384</f>
        <v>0</v>
      </c>
      <c r="B384" s="81" t="str">
        <f>IF(A384="","",'21 2026 ÜRETİM'!D384)</f>
        <v/>
      </c>
      <c r="C384" s="81">
        <f>IF(A384="","",'21 2026 ÜRETİM'!E384)</f>
        <v>0</v>
      </c>
      <c r="D384" s="82" t="str">
        <f>IF(A384="","",'21 2026 ÜRETİM'!F384)</f>
        <v/>
      </c>
      <c r="E384" s="81">
        <f>IF(A384="","",SUMIF('22 2026 PAKETLEME'!$B$2:$B$501,A384,'22 2026 PAKETLEME'!$E$2:$E$501))</f>
        <v>0</v>
      </c>
      <c r="F384" s="82">
        <f>IF(A384="","",SUMIF('22 2026 PAKETLEME'!$B$2:$B$501,A384,'22 2026 PAKETLEME'!$G$2:$G$501))</f>
        <v>0</v>
      </c>
      <c r="G384" s="81">
        <f>IF(A384="","",SUMIF('22 2026 PAKETLEME'!$B$2:$B$501,A384,'22 2026 PAKETLEME'!$H$2:$H$501))</f>
        <v>0</v>
      </c>
      <c r="H384" s="81" t="e">
        <f t="shared" si="25"/>
        <v>#VALUE!</v>
      </c>
      <c r="I384" s="82">
        <f>IF(A384="","",SUMIF('23 2026 SEVKİYAT'!$E$2:$E$501,A384,'23 2026 SEVKİYAT'!$H$2:$H$501))</f>
        <v>0</v>
      </c>
      <c r="J384" s="81">
        <f t="shared" si="26"/>
        <v>0</v>
      </c>
      <c r="K384" s="81" t="e">
        <f t="shared" si="27"/>
        <v>#VALUE!</v>
      </c>
      <c r="L384" s="58" t="e">
        <f t="shared" si="28"/>
        <v>#VALUE!</v>
      </c>
      <c r="M384" s="56" t="e">
        <f t="shared" si="29"/>
        <v>#VALUE!</v>
      </c>
    </row>
    <row r="385" spans="1:13" ht="15" customHeight="1" x14ac:dyDescent="0.2">
      <c r="A385" s="60">
        <f>'21 2026 ÜRETİM'!A385</f>
        <v>0</v>
      </c>
      <c r="B385" s="81" t="str">
        <f>IF(A385="","",'21 2026 ÜRETİM'!D385)</f>
        <v/>
      </c>
      <c r="C385" s="81">
        <f>IF(A385="","",'21 2026 ÜRETİM'!E385)</f>
        <v>0</v>
      </c>
      <c r="D385" s="82" t="str">
        <f>IF(A385="","",'21 2026 ÜRETİM'!F385)</f>
        <v/>
      </c>
      <c r="E385" s="81">
        <f>IF(A385="","",SUMIF('22 2026 PAKETLEME'!$B$2:$B$501,A385,'22 2026 PAKETLEME'!$E$2:$E$501))</f>
        <v>0</v>
      </c>
      <c r="F385" s="82">
        <f>IF(A385="","",SUMIF('22 2026 PAKETLEME'!$B$2:$B$501,A385,'22 2026 PAKETLEME'!$G$2:$G$501))</f>
        <v>0</v>
      </c>
      <c r="G385" s="81">
        <f>IF(A385="","",SUMIF('22 2026 PAKETLEME'!$B$2:$B$501,A385,'22 2026 PAKETLEME'!$H$2:$H$501))</f>
        <v>0</v>
      </c>
      <c r="H385" s="81" t="e">
        <f t="shared" si="25"/>
        <v>#VALUE!</v>
      </c>
      <c r="I385" s="82">
        <f>IF(A385="","",SUMIF('23 2026 SEVKİYAT'!$E$2:$E$501,A385,'23 2026 SEVKİYAT'!$H$2:$H$501))</f>
        <v>0</v>
      </c>
      <c r="J385" s="81">
        <f t="shared" si="26"/>
        <v>0</v>
      </c>
      <c r="K385" s="81" t="e">
        <f t="shared" si="27"/>
        <v>#VALUE!</v>
      </c>
      <c r="L385" s="58" t="e">
        <f t="shared" si="28"/>
        <v>#VALUE!</v>
      </c>
      <c r="M385" s="56" t="e">
        <f t="shared" si="29"/>
        <v>#VALUE!</v>
      </c>
    </row>
    <row r="386" spans="1:13" ht="15" customHeight="1" x14ac:dyDescent="0.2">
      <c r="A386" s="60">
        <f>'21 2026 ÜRETİM'!A386</f>
        <v>0</v>
      </c>
      <c r="B386" s="81" t="str">
        <f>IF(A386="","",'21 2026 ÜRETİM'!D386)</f>
        <v/>
      </c>
      <c r="C386" s="81">
        <f>IF(A386="","",'21 2026 ÜRETİM'!E386)</f>
        <v>0</v>
      </c>
      <c r="D386" s="82" t="str">
        <f>IF(A386="","",'21 2026 ÜRETİM'!F386)</f>
        <v/>
      </c>
      <c r="E386" s="81">
        <f>IF(A386="","",SUMIF('22 2026 PAKETLEME'!$B$2:$B$501,A386,'22 2026 PAKETLEME'!$E$2:$E$501))</f>
        <v>0</v>
      </c>
      <c r="F386" s="82">
        <f>IF(A386="","",SUMIF('22 2026 PAKETLEME'!$B$2:$B$501,A386,'22 2026 PAKETLEME'!$G$2:$G$501))</f>
        <v>0</v>
      </c>
      <c r="G386" s="81">
        <f>IF(A386="","",SUMIF('22 2026 PAKETLEME'!$B$2:$B$501,A386,'22 2026 PAKETLEME'!$H$2:$H$501))</f>
        <v>0</v>
      </c>
      <c r="H386" s="81" t="e">
        <f t="shared" ref="H386:H449" si="30">IF(A386="","",D386-E386-F386-G386)</f>
        <v>#VALUE!</v>
      </c>
      <c r="I386" s="82">
        <f>IF(A386="","",SUMIF('23 2026 SEVKİYAT'!$E$2:$E$501,A386,'23 2026 SEVKİYAT'!$H$2:$H$501))</f>
        <v>0</v>
      </c>
      <c r="J386" s="81">
        <f t="shared" ref="J386:J449" si="31">IF(A386="","",E386+F386-I386)</f>
        <v>0</v>
      </c>
      <c r="K386" s="81" t="e">
        <f t="shared" ref="K386:K449" si="32">IF(A386="","",D386-E386-F386-G386-H386)</f>
        <v>#VALUE!</v>
      </c>
      <c r="L386" s="58" t="e">
        <f t="shared" ref="L386:L449" si="33">IF(A386="","",IF(ABS(K386)&lt;0.001,"KAPALI","KONTROL"))</f>
        <v>#VALUE!</v>
      </c>
      <c r="M386" s="56" t="e">
        <f t="shared" ref="M386:M449" si="34">IF(A386="","",IF(J386&lt;0,"SEVK PAKETLEMEYİ AŞIYOR",IF(H386&lt;&gt;0,"PAKETLEME BAKİYESİ VAR","DENKLİK KAPALI")))</f>
        <v>#VALUE!</v>
      </c>
    </row>
    <row r="387" spans="1:13" ht="15" customHeight="1" x14ac:dyDescent="0.2">
      <c r="A387" s="60">
        <f>'21 2026 ÜRETİM'!A387</f>
        <v>0</v>
      </c>
      <c r="B387" s="81" t="str">
        <f>IF(A387="","",'21 2026 ÜRETİM'!D387)</f>
        <v/>
      </c>
      <c r="C387" s="81">
        <f>IF(A387="","",'21 2026 ÜRETİM'!E387)</f>
        <v>0</v>
      </c>
      <c r="D387" s="82" t="str">
        <f>IF(A387="","",'21 2026 ÜRETİM'!F387)</f>
        <v/>
      </c>
      <c r="E387" s="81">
        <f>IF(A387="","",SUMIF('22 2026 PAKETLEME'!$B$2:$B$501,A387,'22 2026 PAKETLEME'!$E$2:$E$501))</f>
        <v>0</v>
      </c>
      <c r="F387" s="82">
        <f>IF(A387="","",SUMIF('22 2026 PAKETLEME'!$B$2:$B$501,A387,'22 2026 PAKETLEME'!$G$2:$G$501))</f>
        <v>0</v>
      </c>
      <c r="G387" s="81">
        <f>IF(A387="","",SUMIF('22 2026 PAKETLEME'!$B$2:$B$501,A387,'22 2026 PAKETLEME'!$H$2:$H$501))</f>
        <v>0</v>
      </c>
      <c r="H387" s="81" t="e">
        <f t="shared" si="30"/>
        <v>#VALUE!</v>
      </c>
      <c r="I387" s="82">
        <f>IF(A387="","",SUMIF('23 2026 SEVKİYAT'!$E$2:$E$501,A387,'23 2026 SEVKİYAT'!$H$2:$H$501))</f>
        <v>0</v>
      </c>
      <c r="J387" s="81">
        <f t="shared" si="31"/>
        <v>0</v>
      </c>
      <c r="K387" s="81" t="e">
        <f t="shared" si="32"/>
        <v>#VALUE!</v>
      </c>
      <c r="L387" s="58" t="e">
        <f t="shared" si="33"/>
        <v>#VALUE!</v>
      </c>
      <c r="M387" s="56" t="e">
        <f t="shared" si="34"/>
        <v>#VALUE!</v>
      </c>
    </row>
    <row r="388" spans="1:13" ht="15" customHeight="1" x14ac:dyDescent="0.2">
      <c r="A388" s="60">
        <f>'21 2026 ÜRETİM'!A388</f>
        <v>0</v>
      </c>
      <c r="B388" s="81" t="str">
        <f>IF(A388="","",'21 2026 ÜRETİM'!D388)</f>
        <v/>
      </c>
      <c r="C388" s="81">
        <f>IF(A388="","",'21 2026 ÜRETİM'!E388)</f>
        <v>0</v>
      </c>
      <c r="D388" s="82" t="str">
        <f>IF(A388="","",'21 2026 ÜRETİM'!F388)</f>
        <v/>
      </c>
      <c r="E388" s="81">
        <f>IF(A388="","",SUMIF('22 2026 PAKETLEME'!$B$2:$B$501,A388,'22 2026 PAKETLEME'!$E$2:$E$501))</f>
        <v>0</v>
      </c>
      <c r="F388" s="82">
        <f>IF(A388="","",SUMIF('22 2026 PAKETLEME'!$B$2:$B$501,A388,'22 2026 PAKETLEME'!$G$2:$G$501))</f>
        <v>0</v>
      </c>
      <c r="G388" s="81">
        <f>IF(A388="","",SUMIF('22 2026 PAKETLEME'!$B$2:$B$501,A388,'22 2026 PAKETLEME'!$H$2:$H$501))</f>
        <v>0</v>
      </c>
      <c r="H388" s="81" t="e">
        <f t="shared" si="30"/>
        <v>#VALUE!</v>
      </c>
      <c r="I388" s="82">
        <f>IF(A388="","",SUMIF('23 2026 SEVKİYAT'!$E$2:$E$501,A388,'23 2026 SEVKİYAT'!$H$2:$H$501))</f>
        <v>0</v>
      </c>
      <c r="J388" s="81">
        <f t="shared" si="31"/>
        <v>0</v>
      </c>
      <c r="K388" s="81" t="e">
        <f t="shared" si="32"/>
        <v>#VALUE!</v>
      </c>
      <c r="L388" s="58" t="e">
        <f t="shared" si="33"/>
        <v>#VALUE!</v>
      </c>
      <c r="M388" s="56" t="e">
        <f t="shared" si="34"/>
        <v>#VALUE!</v>
      </c>
    </row>
    <row r="389" spans="1:13" ht="15" customHeight="1" x14ac:dyDescent="0.2">
      <c r="A389" s="60">
        <f>'21 2026 ÜRETİM'!A389</f>
        <v>0</v>
      </c>
      <c r="B389" s="81" t="str">
        <f>IF(A389="","",'21 2026 ÜRETİM'!D389)</f>
        <v/>
      </c>
      <c r="C389" s="81">
        <f>IF(A389="","",'21 2026 ÜRETİM'!E389)</f>
        <v>0</v>
      </c>
      <c r="D389" s="82" t="str">
        <f>IF(A389="","",'21 2026 ÜRETİM'!F389)</f>
        <v/>
      </c>
      <c r="E389" s="81">
        <f>IF(A389="","",SUMIF('22 2026 PAKETLEME'!$B$2:$B$501,A389,'22 2026 PAKETLEME'!$E$2:$E$501))</f>
        <v>0</v>
      </c>
      <c r="F389" s="82">
        <f>IF(A389="","",SUMIF('22 2026 PAKETLEME'!$B$2:$B$501,A389,'22 2026 PAKETLEME'!$G$2:$G$501))</f>
        <v>0</v>
      </c>
      <c r="G389" s="81">
        <f>IF(A389="","",SUMIF('22 2026 PAKETLEME'!$B$2:$B$501,A389,'22 2026 PAKETLEME'!$H$2:$H$501))</f>
        <v>0</v>
      </c>
      <c r="H389" s="81" t="e">
        <f t="shared" si="30"/>
        <v>#VALUE!</v>
      </c>
      <c r="I389" s="82">
        <f>IF(A389="","",SUMIF('23 2026 SEVKİYAT'!$E$2:$E$501,A389,'23 2026 SEVKİYAT'!$H$2:$H$501))</f>
        <v>0</v>
      </c>
      <c r="J389" s="81">
        <f t="shared" si="31"/>
        <v>0</v>
      </c>
      <c r="K389" s="81" t="e">
        <f t="shared" si="32"/>
        <v>#VALUE!</v>
      </c>
      <c r="L389" s="58" t="e">
        <f t="shared" si="33"/>
        <v>#VALUE!</v>
      </c>
      <c r="M389" s="56" t="e">
        <f t="shared" si="34"/>
        <v>#VALUE!</v>
      </c>
    </row>
    <row r="390" spans="1:13" ht="15" customHeight="1" x14ac:dyDescent="0.2">
      <c r="A390" s="60">
        <f>'21 2026 ÜRETİM'!A390</f>
        <v>0</v>
      </c>
      <c r="B390" s="81" t="str">
        <f>IF(A390="","",'21 2026 ÜRETİM'!D390)</f>
        <v/>
      </c>
      <c r="C390" s="81">
        <f>IF(A390="","",'21 2026 ÜRETİM'!E390)</f>
        <v>0</v>
      </c>
      <c r="D390" s="82" t="str">
        <f>IF(A390="","",'21 2026 ÜRETİM'!F390)</f>
        <v/>
      </c>
      <c r="E390" s="81">
        <f>IF(A390="","",SUMIF('22 2026 PAKETLEME'!$B$2:$B$501,A390,'22 2026 PAKETLEME'!$E$2:$E$501))</f>
        <v>0</v>
      </c>
      <c r="F390" s="82">
        <f>IF(A390="","",SUMIF('22 2026 PAKETLEME'!$B$2:$B$501,A390,'22 2026 PAKETLEME'!$G$2:$G$501))</f>
        <v>0</v>
      </c>
      <c r="G390" s="81">
        <f>IF(A390="","",SUMIF('22 2026 PAKETLEME'!$B$2:$B$501,A390,'22 2026 PAKETLEME'!$H$2:$H$501))</f>
        <v>0</v>
      </c>
      <c r="H390" s="81" t="e">
        <f t="shared" si="30"/>
        <v>#VALUE!</v>
      </c>
      <c r="I390" s="82">
        <f>IF(A390="","",SUMIF('23 2026 SEVKİYAT'!$E$2:$E$501,A390,'23 2026 SEVKİYAT'!$H$2:$H$501))</f>
        <v>0</v>
      </c>
      <c r="J390" s="81">
        <f t="shared" si="31"/>
        <v>0</v>
      </c>
      <c r="K390" s="81" t="e">
        <f t="shared" si="32"/>
        <v>#VALUE!</v>
      </c>
      <c r="L390" s="58" t="e">
        <f t="shared" si="33"/>
        <v>#VALUE!</v>
      </c>
      <c r="M390" s="56" t="e">
        <f t="shared" si="34"/>
        <v>#VALUE!</v>
      </c>
    </row>
    <row r="391" spans="1:13" ht="15" customHeight="1" x14ac:dyDescent="0.2">
      <c r="A391" s="60">
        <f>'21 2026 ÜRETİM'!A391</f>
        <v>0</v>
      </c>
      <c r="B391" s="81" t="str">
        <f>IF(A391="","",'21 2026 ÜRETİM'!D391)</f>
        <v/>
      </c>
      <c r="C391" s="81">
        <f>IF(A391="","",'21 2026 ÜRETİM'!E391)</f>
        <v>0</v>
      </c>
      <c r="D391" s="82" t="str">
        <f>IF(A391="","",'21 2026 ÜRETİM'!F391)</f>
        <v/>
      </c>
      <c r="E391" s="81">
        <f>IF(A391="","",SUMIF('22 2026 PAKETLEME'!$B$2:$B$501,A391,'22 2026 PAKETLEME'!$E$2:$E$501))</f>
        <v>0</v>
      </c>
      <c r="F391" s="82">
        <f>IF(A391="","",SUMIF('22 2026 PAKETLEME'!$B$2:$B$501,A391,'22 2026 PAKETLEME'!$G$2:$G$501))</f>
        <v>0</v>
      </c>
      <c r="G391" s="81">
        <f>IF(A391="","",SUMIF('22 2026 PAKETLEME'!$B$2:$B$501,A391,'22 2026 PAKETLEME'!$H$2:$H$501))</f>
        <v>0</v>
      </c>
      <c r="H391" s="81" t="e">
        <f t="shared" si="30"/>
        <v>#VALUE!</v>
      </c>
      <c r="I391" s="82">
        <f>IF(A391="","",SUMIF('23 2026 SEVKİYAT'!$E$2:$E$501,A391,'23 2026 SEVKİYAT'!$H$2:$H$501))</f>
        <v>0</v>
      </c>
      <c r="J391" s="81">
        <f t="shared" si="31"/>
        <v>0</v>
      </c>
      <c r="K391" s="81" t="e">
        <f t="shared" si="32"/>
        <v>#VALUE!</v>
      </c>
      <c r="L391" s="58" t="e">
        <f t="shared" si="33"/>
        <v>#VALUE!</v>
      </c>
      <c r="M391" s="56" t="e">
        <f t="shared" si="34"/>
        <v>#VALUE!</v>
      </c>
    </row>
    <row r="392" spans="1:13" ht="15" customHeight="1" x14ac:dyDescent="0.2">
      <c r="A392" s="60">
        <f>'21 2026 ÜRETİM'!A392</f>
        <v>0</v>
      </c>
      <c r="B392" s="81" t="str">
        <f>IF(A392="","",'21 2026 ÜRETİM'!D392)</f>
        <v/>
      </c>
      <c r="C392" s="81">
        <f>IF(A392="","",'21 2026 ÜRETİM'!E392)</f>
        <v>0</v>
      </c>
      <c r="D392" s="82" t="str">
        <f>IF(A392="","",'21 2026 ÜRETİM'!F392)</f>
        <v/>
      </c>
      <c r="E392" s="81">
        <f>IF(A392="","",SUMIF('22 2026 PAKETLEME'!$B$2:$B$501,A392,'22 2026 PAKETLEME'!$E$2:$E$501))</f>
        <v>0</v>
      </c>
      <c r="F392" s="82">
        <f>IF(A392="","",SUMIF('22 2026 PAKETLEME'!$B$2:$B$501,A392,'22 2026 PAKETLEME'!$G$2:$G$501))</f>
        <v>0</v>
      </c>
      <c r="G392" s="81">
        <f>IF(A392="","",SUMIF('22 2026 PAKETLEME'!$B$2:$B$501,A392,'22 2026 PAKETLEME'!$H$2:$H$501))</f>
        <v>0</v>
      </c>
      <c r="H392" s="81" t="e">
        <f t="shared" si="30"/>
        <v>#VALUE!</v>
      </c>
      <c r="I392" s="82">
        <f>IF(A392="","",SUMIF('23 2026 SEVKİYAT'!$E$2:$E$501,A392,'23 2026 SEVKİYAT'!$H$2:$H$501))</f>
        <v>0</v>
      </c>
      <c r="J392" s="81">
        <f t="shared" si="31"/>
        <v>0</v>
      </c>
      <c r="K392" s="81" t="e">
        <f t="shared" si="32"/>
        <v>#VALUE!</v>
      </c>
      <c r="L392" s="58" t="e">
        <f t="shared" si="33"/>
        <v>#VALUE!</v>
      </c>
      <c r="M392" s="56" t="e">
        <f t="shared" si="34"/>
        <v>#VALUE!</v>
      </c>
    </row>
    <row r="393" spans="1:13" ht="15" customHeight="1" x14ac:dyDescent="0.2">
      <c r="A393" s="60">
        <f>'21 2026 ÜRETİM'!A393</f>
        <v>0</v>
      </c>
      <c r="B393" s="81" t="str">
        <f>IF(A393="","",'21 2026 ÜRETİM'!D393)</f>
        <v/>
      </c>
      <c r="C393" s="81">
        <f>IF(A393="","",'21 2026 ÜRETİM'!E393)</f>
        <v>0</v>
      </c>
      <c r="D393" s="82" t="str">
        <f>IF(A393="","",'21 2026 ÜRETİM'!F393)</f>
        <v/>
      </c>
      <c r="E393" s="81">
        <f>IF(A393="","",SUMIF('22 2026 PAKETLEME'!$B$2:$B$501,A393,'22 2026 PAKETLEME'!$E$2:$E$501))</f>
        <v>0</v>
      </c>
      <c r="F393" s="82">
        <f>IF(A393="","",SUMIF('22 2026 PAKETLEME'!$B$2:$B$501,A393,'22 2026 PAKETLEME'!$G$2:$G$501))</f>
        <v>0</v>
      </c>
      <c r="G393" s="81">
        <f>IF(A393="","",SUMIF('22 2026 PAKETLEME'!$B$2:$B$501,A393,'22 2026 PAKETLEME'!$H$2:$H$501))</f>
        <v>0</v>
      </c>
      <c r="H393" s="81" t="e">
        <f t="shared" si="30"/>
        <v>#VALUE!</v>
      </c>
      <c r="I393" s="82">
        <f>IF(A393="","",SUMIF('23 2026 SEVKİYAT'!$E$2:$E$501,A393,'23 2026 SEVKİYAT'!$H$2:$H$501))</f>
        <v>0</v>
      </c>
      <c r="J393" s="81">
        <f t="shared" si="31"/>
        <v>0</v>
      </c>
      <c r="K393" s="81" t="e">
        <f t="shared" si="32"/>
        <v>#VALUE!</v>
      </c>
      <c r="L393" s="58" t="e">
        <f t="shared" si="33"/>
        <v>#VALUE!</v>
      </c>
      <c r="M393" s="56" t="e">
        <f t="shared" si="34"/>
        <v>#VALUE!</v>
      </c>
    </row>
    <row r="394" spans="1:13" ht="15" customHeight="1" x14ac:dyDescent="0.2">
      <c r="A394" s="60">
        <f>'21 2026 ÜRETİM'!A394</f>
        <v>0</v>
      </c>
      <c r="B394" s="81" t="str">
        <f>IF(A394="","",'21 2026 ÜRETİM'!D394)</f>
        <v/>
      </c>
      <c r="C394" s="81">
        <f>IF(A394="","",'21 2026 ÜRETİM'!E394)</f>
        <v>0</v>
      </c>
      <c r="D394" s="82" t="str">
        <f>IF(A394="","",'21 2026 ÜRETİM'!F394)</f>
        <v/>
      </c>
      <c r="E394" s="81">
        <f>IF(A394="","",SUMIF('22 2026 PAKETLEME'!$B$2:$B$501,A394,'22 2026 PAKETLEME'!$E$2:$E$501))</f>
        <v>0</v>
      </c>
      <c r="F394" s="82">
        <f>IF(A394="","",SUMIF('22 2026 PAKETLEME'!$B$2:$B$501,A394,'22 2026 PAKETLEME'!$G$2:$G$501))</f>
        <v>0</v>
      </c>
      <c r="G394" s="81">
        <f>IF(A394="","",SUMIF('22 2026 PAKETLEME'!$B$2:$B$501,A394,'22 2026 PAKETLEME'!$H$2:$H$501))</f>
        <v>0</v>
      </c>
      <c r="H394" s="81" t="e">
        <f t="shared" si="30"/>
        <v>#VALUE!</v>
      </c>
      <c r="I394" s="82">
        <f>IF(A394="","",SUMIF('23 2026 SEVKİYAT'!$E$2:$E$501,A394,'23 2026 SEVKİYAT'!$H$2:$H$501))</f>
        <v>0</v>
      </c>
      <c r="J394" s="81">
        <f t="shared" si="31"/>
        <v>0</v>
      </c>
      <c r="K394" s="81" t="e">
        <f t="shared" si="32"/>
        <v>#VALUE!</v>
      </c>
      <c r="L394" s="58" t="e">
        <f t="shared" si="33"/>
        <v>#VALUE!</v>
      </c>
      <c r="M394" s="56" t="e">
        <f t="shared" si="34"/>
        <v>#VALUE!</v>
      </c>
    </row>
    <row r="395" spans="1:13" ht="15" customHeight="1" x14ac:dyDescent="0.2">
      <c r="A395" s="60">
        <f>'21 2026 ÜRETİM'!A395</f>
        <v>0</v>
      </c>
      <c r="B395" s="81" t="str">
        <f>IF(A395="","",'21 2026 ÜRETİM'!D395)</f>
        <v/>
      </c>
      <c r="C395" s="81">
        <f>IF(A395="","",'21 2026 ÜRETİM'!E395)</f>
        <v>0</v>
      </c>
      <c r="D395" s="82" t="str">
        <f>IF(A395="","",'21 2026 ÜRETİM'!F395)</f>
        <v/>
      </c>
      <c r="E395" s="81">
        <f>IF(A395="","",SUMIF('22 2026 PAKETLEME'!$B$2:$B$501,A395,'22 2026 PAKETLEME'!$E$2:$E$501))</f>
        <v>0</v>
      </c>
      <c r="F395" s="82">
        <f>IF(A395="","",SUMIF('22 2026 PAKETLEME'!$B$2:$B$501,A395,'22 2026 PAKETLEME'!$G$2:$G$501))</f>
        <v>0</v>
      </c>
      <c r="G395" s="81">
        <f>IF(A395="","",SUMIF('22 2026 PAKETLEME'!$B$2:$B$501,A395,'22 2026 PAKETLEME'!$H$2:$H$501))</f>
        <v>0</v>
      </c>
      <c r="H395" s="81" t="e">
        <f t="shared" si="30"/>
        <v>#VALUE!</v>
      </c>
      <c r="I395" s="82">
        <f>IF(A395="","",SUMIF('23 2026 SEVKİYAT'!$E$2:$E$501,A395,'23 2026 SEVKİYAT'!$H$2:$H$501))</f>
        <v>0</v>
      </c>
      <c r="J395" s="81">
        <f t="shared" si="31"/>
        <v>0</v>
      </c>
      <c r="K395" s="81" t="e">
        <f t="shared" si="32"/>
        <v>#VALUE!</v>
      </c>
      <c r="L395" s="58" t="e">
        <f t="shared" si="33"/>
        <v>#VALUE!</v>
      </c>
      <c r="M395" s="56" t="e">
        <f t="shared" si="34"/>
        <v>#VALUE!</v>
      </c>
    </row>
    <row r="396" spans="1:13" ht="15" customHeight="1" x14ac:dyDescent="0.2">
      <c r="A396" s="60">
        <f>'21 2026 ÜRETİM'!A396</f>
        <v>0</v>
      </c>
      <c r="B396" s="81" t="str">
        <f>IF(A396="","",'21 2026 ÜRETİM'!D396)</f>
        <v/>
      </c>
      <c r="C396" s="81">
        <f>IF(A396="","",'21 2026 ÜRETİM'!E396)</f>
        <v>0</v>
      </c>
      <c r="D396" s="82" t="str">
        <f>IF(A396="","",'21 2026 ÜRETİM'!F396)</f>
        <v/>
      </c>
      <c r="E396" s="81">
        <f>IF(A396="","",SUMIF('22 2026 PAKETLEME'!$B$2:$B$501,A396,'22 2026 PAKETLEME'!$E$2:$E$501))</f>
        <v>0</v>
      </c>
      <c r="F396" s="82">
        <f>IF(A396="","",SUMIF('22 2026 PAKETLEME'!$B$2:$B$501,A396,'22 2026 PAKETLEME'!$G$2:$G$501))</f>
        <v>0</v>
      </c>
      <c r="G396" s="81">
        <f>IF(A396="","",SUMIF('22 2026 PAKETLEME'!$B$2:$B$501,A396,'22 2026 PAKETLEME'!$H$2:$H$501))</f>
        <v>0</v>
      </c>
      <c r="H396" s="81" t="e">
        <f t="shared" si="30"/>
        <v>#VALUE!</v>
      </c>
      <c r="I396" s="82">
        <f>IF(A396="","",SUMIF('23 2026 SEVKİYAT'!$E$2:$E$501,A396,'23 2026 SEVKİYAT'!$H$2:$H$501))</f>
        <v>0</v>
      </c>
      <c r="J396" s="81">
        <f t="shared" si="31"/>
        <v>0</v>
      </c>
      <c r="K396" s="81" t="e">
        <f t="shared" si="32"/>
        <v>#VALUE!</v>
      </c>
      <c r="L396" s="58" t="e">
        <f t="shared" si="33"/>
        <v>#VALUE!</v>
      </c>
      <c r="M396" s="56" t="e">
        <f t="shared" si="34"/>
        <v>#VALUE!</v>
      </c>
    </row>
    <row r="397" spans="1:13" ht="15" customHeight="1" x14ac:dyDescent="0.2">
      <c r="A397" s="60">
        <f>'21 2026 ÜRETİM'!A397</f>
        <v>0</v>
      </c>
      <c r="B397" s="81" t="str">
        <f>IF(A397="","",'21 2026 ÜRETİM'!D397)</f>
        <v/>
      </c>
      <c r="C397" s="81">
        <f>IF(A397="","",'21 2026 ÜRETİM'!E397)</f>
        <v>0</v>
      </c>
      <c r="D397" s="82" t="str">
        <f>IF(A397="","",'21 2026 ÜRETİM'!F397)</f>
        <v/>
      </c>
      <c r="E397" s="81">
        <f>IF(A397="","",SUMIF('22 2026 PAKETLEME'!$B$2:$B$501,A397,'22 2026 PAKETLEME'!$E$2:$E$501))</f>
        <v>0</v>
      </c>
      <c r="F397" s="82">
        <f>IF(A397="","",SUMIF('22 2026 PAKETLEME'!$B$2:$B$501,A397,'22 2026 PAKETLEME'!$G$2:$G$501))</f>
        <v>0</v>
      </c>
      <c r="G397" s="81">
        <f>IF(A397="","",SUMIF('22 2026 PAKETLEME'!$B$2:$B$501,A397,'22 2026 PAKETLEME'!$H$2:$H$501))</f>
        <v>0</v>
      </c>
      <c r="H397" s="81" t="e">
        <f t="shared" si="30"/>
        <v>#VALUE!</v>
      </c>
      <c r="I397" s="82">
        <f>IF(A397="","",SUMIF('23 2026 SEVKİYAT'!$E$2:$E$501,A397,'23 2026 SEVKİYAT'!$H$2:$H$501))</f>
        <v>0</v>
      </c>
      <c r="J397" s="81">
        <f t="shared" si="31"/>
        <v>0</v>
      </c>
      <c r="K397" s="81" t="e">
        <f t="shared" si="32"/>
        <v>#VALUE!</v>
      </c>
      <c r="L397" s="58" t="e">
        <f t="shared" si="33"/>
        <v>#VALUE!</v>
      </c>
      <c r="M397" s="56" t="e">
        <f t="shared" si="34"/>
        <v>#VALUE!</v>
      </c>
    </row>
    <row r="398" spans="1:13" ht="15" customHeight="1" x14ac:dyDescent="0.2">
      <c r="A398" s="60">
        <f>'21 2026 ÜRETİM'!A398</f>
        <v>0</v>
      </c>
      <c r="B398" s="81" t="str">
        <f>IF(A398="","",'21 2026 ÜRETİM'!D398)</f>
        <v/>
      </c>
      <c r="C398" s="81">
        <f>IF(A398="","",'21 2026 ÜRETİM'!E398)</f>
        <v>0</v>
      </c>
      <c r="D398" s="82" t="str">
        <f>IF(A398="","",'21 2026 ÜRETİM'!F398)</f>
        <v/>
      </c>
      <c r="E398" s="81">
        <f>IF(A398="","",SUMIF('22 2026 PAKETLEME'!$B$2:$B$501,A398,'22 2026 PAKETLEME'!$E$2:$E$501))</f>
        <v>0</v>
      </c>
      <c r="F398" s="82">
        <f>IF(A398="","",SUMIF('22 2026 PAKETLEME'!$B$2:$B$501,A398,'22 2026 PAKETLEME'!$G$2:$G$501))</f>
        <v>0</v>
      </c>
      <c r="G398" s="81">
        <f>IF(A398="","",SUMIF('22 2026 PAKETLEME'!$B$2:$B$501,A398,'22 2026 PAKETLEME'!$H$2:$H$501))</f>
        <v>0</v>
      </c>
      <c r="H398" s="81" t="e">
        <f t="shared" si="30"/>
        <v>#VALUE!</v>
      </c>
      <c r="I398" s="82">
        <f>IF(A398="","",SUMIF('23 2026 SEVKİYAT'!$E$2:$E$501,A398,'23 2026 SEVKİYAT'!$H$2:$H$501))</f>
        <v>0</v>
      </c>
      <c r="J398" s="81">
        <f t="shared" si="31"/>
        <v>0</v>
      </c>
      <c r="K398" s="81" t="e">
        <f t="shared" si="32"/>
        <v>#VALUE!</v>
      </c>
      <c r="L398" s="58" t="e">
        <f t="shared" si="33"/>
        <v>#VALUE!</v>
      </c>
      <c r="M398" s="56" t="e">
        <f t="shared" si="34"/>
        <v>#VALUE!</v>
      </c>
    </row>
    <row r="399" spans="1:13" ht="15" customHeight="1" x14ac:dyDescent="0.2">
      <c r="A399" s="60">
        <f>'21 2026 ÜRETİM'!A399</f>
        <v>0</v>
      </c>
      <c r="B399" s="81" t="str">
        <f>IF(A399="","",'21 2026 ÜRETİM'!D399)</f>
        <v/>
      </c>
      <c r="C399" s="81">
        <f>IF(A399="","",'21 2026 ÜRETİM'!E399)</f>
        <v>0</v>
      </c>
      <c r="D399" s="82" t="str">
        <f>IF(A399="","",'21 2026 ÜRETİM'!F399)</f>
        <v/>
      </c>
      <c r="E399" s="81">
        <f>IF(A399="","",SUMIF('22 2026 PAKETLEME'!$B$2:$B$501,A399,'22 2026 PAKETLEME'!$E$2:$E$501))</f>
        <v>0</v>
      </c>
      <c r="F399" s="82">
        <f>IF(A399="","",SUMIF('22 2026 PAKETLEME'!$B$2:$B$501,A399,'22 2026 PAKETLEME'!$G$2:$G$501))</f>
        <v>0</v>
      </c>
      <c r="G399" s="81">
        <f>IF(A399="","",SUMIF('22 2026 PAKETLEME'!$B$2:$B$501,A399,'22 2026 PAKETLEME'!$H$2:$H$501))</f>
        <v>0</v>
      </c>
      <c r="H399" s="81" t="e">
        <f t="shared" si="30"/>
        <v>#VALUE!</v>
      </c>
      <c r="I399" s="82">
        <f>IF(A399="","",SUMIF('23 2026 SEVKİYAT'!$E$2:$E$501,A399,'23 2026 SEVKİYAT'!$H$2:$H$501))</f>
        <v>0</v>
      </c>
      <c r="J399" s="81">
        <f t="shared" si="31"/>
        <v>0</v>
      </c>
      <c r="K399" s="81" t="e">
        <f t="shared" si="32"/>
        <v>#VALUE!</v>
      </c>
      <c r="L399" s="58" t="e">
        <f t="shared" si="33"/>
        <v>#VALUE!</v>
      </c>
      <c r="M399" s="56" t="e">
        <f t="shared" si="34"/>
        <v>#VALUE!</v>
      </c>
    </row>
    <row r="400" spans="1:13" ht="15" customHeight="1" x14ac:dyDescent="0.2">
      <c r="A400" s="60">
        <f>'21 2026 ÜRETİM'!A400</f>
        <v>0</v>
      </c>
      <c r="B400" s="81" t="str">
        <f>IF(A400="","",'21 2026 ÜRETİM'!D400)</f>
        <v/>
      </c>
      <c r="C400" s="81">
        <f>IF(A400="","",'21 2026 ÜRETİM'!E400)</f>
        <v>0</v>
      </c>
      <c r="D400" s="82" t="str">
        <f>IF(A400="","",'21 2026 ÜRETİM'!F400)</f>
        <v/>
      </c>
      <c r="E400" s="81">
        <f>IF(A400="","",SUMIF('22 2026 PAKETLEME'!$B$2:$B$501,A400,'22 2026 PAKETLEME'!$E$2:$E$501))</f>
        <v>0</v>
      </c>
      <c r="F400" s="82">
        <f>IF(A400="","",SUMIF('22 2026 PAKETLEME'!$B$2:$B$501,A400,'22 2026 PAKETLEME'!$G$2:$G$501))</f>
        <v>0</v>
      </c>
      <c r="G400" s="81">
        <f>IF(A400="","",SUMIF('22 2026 PAKETLEME'!$B$2:$B$501,A400,'22 2026 PAKETLEME'!$H$2:$H$501))</f>
        <v>0</v>
      </c>
      <c r="H400" s="81" t="e">
        <f t="shared" si="30"/>
        <v>#VALUE!</v>
      </c>
      <c r="I400" s="82">
        <f>IF(A400="","",SUMIF('23 2026 SEVKİYAT'!$E$2:$E$501,A400,'23 2026 SEVKİYAT'!$H$2:$H$501))</f>
        <v>0</v>
      </c>
      <c r="J400" s="81">
        <f t="shared" si="31"/>
        <v>0</v>
      </c>
      <c r="K400" s="81" t="e">
        <f t="shared" si="32"/>
        <v>#VALUE!</v>
      </c>
      <c r="L400" s="58" t="e">
        <f t="shared" si="33"/>
        <v>#VALUE!</v>
      </c>
      <c r="M400" s="56" t="e">
        <f t="shared" si="34"/>
        <v>#VALUE!</v>
      </c>
    </row>
    <row r="401" spans="1:13" ht="15" customHeight="1" x14ac:dyDescent="0.2">
      <c r="A401" s="60">
        <f>'21 2026 ÜRETİM'!A401</f>
        <v>0</v>
      </c>
      <c r="B401" s="81" t="str">
        <f>IF(A401="","",'21 2026 ÜRETİM'!D401)</f>
        <v/>
      </c>
      <c r="C401" s="81">
        <f>IF(A401="","",'21 2026 ÜRETİM'!E401)</f>
        <v>0</v>
      </c>
      <c r="D401" s="82" t="str">
        <f>IF(A401="","",'21 2026 ÜRETİM'!F401)</f>
        <v/>
      </c>
      <c r="E401" s="81">
        <f>IF(A401="","",SUMIF('22 2026 PAKETLEME'!$B$2:$B$501,A401,'22 2026 PAKETLEME'!$E$2:$E$501))</f>
        <v>0</v>
      </c>
      <c r="F401" s="82">
        <f>IF(A401="","",SUMIF('22 2026 PAKETLEME'!$B$2:$B$501,A401,'22 2026 PAKETLEME'!$G$2:$G$501))</f>
        <v>0</v>
      </c>
      <c r="G401" s="81">
        <f>IF(A401="","",SUMIF('22 2026 PAKETLEME'!$B$2:$B$501,A401,'22 2026 PAKETLEME'!$H$2:$H$501))</f>
        <v>0</v>
      </c>
      <c r="H401" s="81" t="e">
        <f t="shared" si="30"/>
        <v>#VALUE!</v>
      </c>
      <c r="I401" s="82">
        <f>IF(A401="","",SUMIF('23 2026 SEVKİYAT'!$E$2:$E$501,A401,'23 2026 SEVKİYAT'!$H$2:$H$501))</f>
        <v>0</v>
      </c>
      <c r="J401" s="81">
        <f t="shared" si="31"/>
        <v>0</v>
      </c>
      <c r="K401" s="81" t="e">
        <f t="shared" si="32"/>
        <v>#VALUE!</v>
      </c>
      <c r="L401" s="58" t="e">
        <f t="shared" si="33"/>
        <v>#VALUE!</v>
      </c>
      <c r="M401" s="56" t="e">
        <f t="shared" si="34"/>
        <v>#VALUE!</v>
      </c>
    </row>
    <row r="402" spans="1:13" ht="15" customHeight="1" x14ac:dyDescent="0.2">
      <c r="A402" s="60">
        <f>'21 2026 ÜRETİM'!A402</f>
        <v>0</v>
      </c>
      <c r="B402" s="81" t="str">
        <f>IF(A402="","",'21 2026 ÜRETİM'!D402)</f>
        <v/>
      </c>
      <c r="C402" s="81">
        <f>IF(A402="","",'21 2026 ÜRETİM'!E402)</f>
        <v>0</v>
      </c>
      <c r="D402" s="82" t="str">
        <f>IF(A402="","",'21 2026 ÜRETİM'!F402)</f>
        <v/>
      </c>
      <c r="E402" s="81">
        <f>IF(A402="","",SUMIF('22 2026 PAKETLEME'!$B$2:$B$501,A402,'22 2026 PAKETLEME'!$E$2:$E$501))</f>
        <v>0</v>
      </c>
      <c r="F402" s="82">
        <f>IF(A402="","",SUMIF('22 2026 PAKETLEME'!$B$2:$B$501,A402,'22 2026 PAKETLEME'!$G$2:$G$501))</f>
        <v>0</v>
      </c>
      <c r="G402" s="81">
        <f>IF(A402="","",SUMIF('22 2026 PAKETLEME'!$B$2:$B$501,A402,'22 2026 PAKETLEME'!$H$2:$H$501))</f>
        <v>0</v>
      </c>
      <c r="H402" s="81" t="e">
        <f t="shared" si="30"/>
        <v>#VALUE!</v>
      </c>
      <c r="I402" s="82">
        <f>IF(A402="","",SUMIF('23 2026 SEVKİYAT'!$E$2:$E$501,A402,'23 2026 SEVKİYAT'!$H$2:$H$501))</f>
        <v>0</v>
      </c>
      <c r="J402" s="81">
        <f t="shared" si="31"/>
        <v>0</v>
      </c>
      <c r="K402" s="81" t="e">
        <f t="shared" si="32"/>
        <v>#VALUE!</v>
      </c>
      <c r="L402" s="58" t="e">
        <f t="shared" si="33"/>
        <v>#VALUE!</v>
      </c>
      <c r="M402" s="56" t="e">
        <f t="shared" si="34"/>
        <v>#VALUE!</v>
      </c>
    </row>
    <row r="403" spans="1:13" ht="15" customHeight="1" x14ac:dyDescent="0.2">
      <c r="A403" s="60">
        <f>'21 2026 ÜRETİM'!A403</f>
        <v>0</v>
      </c>
      <c r="B403" s="81" t="str">
        <f>IF(A403="","",'21 2026 ÜRETİM'!D403)</f>
        <v/>
      </c>
      <c r="C403" s="81">
        <f>IF(A403="","",'21 2026 ÜRETİM'!E403)</f>
        <v>0</v>
      </c>
      <c r="D403" s="82" t="str">
        <f>IF(A403="","",'21 2026 ÜRETİM'!F403)</f>
        <v/>
      </c>
      <c r="E403" s="81">
        <f>IF(A403="","",SUMIF('22 2026 PAKETLEME'!$B$2:$B$501,A403,'22 2026 PAKETLEME'!$E$2:$E$501))</f>
        <v>0</v>
      </c>
      <c r="F403" s="82">
        <f>IF(A403="","",SUMIF('22 2026 PAKETLEME'!$B$2:$B$501,A403,'22 2026 PAKETLEME'!$G$2:$G$501))</f>
        <v>0</v>
      </c>
      <c r="G403" s="81">
        <f>IF(A403="","",SUMIF('22 2026 PAKETLEME'!$B$2:$B$501,A403,'22 2026 PAKETLEME'!$H$2:$H$501))</f>
        <v>0</v>
      </c>
      <c r="H403" s="81" t="e">
        <f t="shared" si="30"/>
        <v>#VALUE!</v>
      </c>
      <c r="I403" s="82">
        <f>IF(A403="","",SUMIF('23 2026 SEVKİYAT'!$E$2:$E$501,A403,'23 2026 SEVKİYAT'!$H$2:$H$501))</f>
        <v>0</v>
      </c>
      <c r="J403" s="81">
        <f t="shared" si="31"/>
        <v>0</v>
      </c>
      <c r="K403" s="81" t="e">
        <f t="shared" si="32"/>
        <v>#VALUE!</v>
      </c>
      <c r="L403" s="58" t="e">
        <f t="shared" si="33"/>
        <v>#VALUE!</v>
      </c>
      <c r="M403" s="56" t="e">
        <f t="shared" si="34"/>
        <v>#VALUE!</v>
      </c>
    </row>
    <row r="404" spans="1:13" ht="15" customHeight="1" x14ac:dyDescent="0.2">
      <c r="A404" s="60">
        <f>'21 2026 ÜRETİM'!A404</f>
        <v>0</v>
      </c>
      <c r="B404" s="81" t="str">
        <f>IF(A404="","",'21 2026 ÜRETİM'!D404)</f>
        <v/>
      </c>
      <c r="C404" s="81">
        <f>IF(A404="","",'21 2026 ÜRETİM'!E404)</f>
        <v>0</v>
      </c>
      <c r="D404" s="82" t="str">
        <f>IF(A404="","",'21 2026 ÜRETİM'!F404)</f>
        <v/>
      </c>
      <c r="E404" s="81">
        <f>IF(A404="","",SUMIF('22 2026 PAKETLEME'!$B$2:$B$501,A404,'22 2026 PAKETLEME'!$E$2:$E$501))</f>
        <v>0</v>
      </c>
      <c r="F404" s="82">
        <f>IF(A404="","",SUMIF('22 2026 PAKETLEME'!$B$2:$B$501,A404,'22 2026 PAKETLEME'!$G$2:$G$501))</f>
        <v>0</v>
      </c>
      <c r="G404" s="81">
        <f>IF(A404="","",SUMIF('22 2026 PAKETLEME'!$B$2:$B$501,A404,'22 2026 PAKETLEME'!$H$2:$H$501))</f>
        <v>0</v>
      </c>
      <c r="H404" s="81" t="e">
        <f t="shared" si="30"/>
        <v>#VALUE!</v>
      </c>
      <c r="I404" s="82">
        <f>IF(A404="","",SUMIF('23 2026 SEVKİYAT'!$E$2:$E$501,A404,'23 2026 SEVKİYAT'!$H$2:$H$501))</f>
        <v>0</v>
      </c>
      <c r="J404" s="81">
        <f t="shared" si="31"/>
        <v>0</v>
      </c>
      <c r="K404" s="81" t="e">
        <f t="shared" si="32"/>
        <v>#VALUE!</v>
      </c>
      <c r="L404" s="58" t="e">
        <f t="shared" si="33"/>
        <v>#VALUE!</v>
      </c>
      <c r="M404" s="56" t="e">
        <f t="shared" si="34"/>
        <v>#VALUE!</v>
      </c>
    </row>
    <row r="405" spans="1:13" ht="15" customHeight="1" x14ac:dyDescent="0.2">
      <c r="A405" s="60">
        <f>'21 2026 ÜRETİM'!A405</f>
        <v>0</v>
      </c>
      <c r="B405" s="81" t="str">
        <f>IF(A405="","",'21 2026 ÜRETİM'!D405)</f>
        <v/>
      </c>
      <c r="C405" s="81">
        <f>IF(A405="","",'21 2026 ÜRETİM'!E405)</f>
        <v>0</v>
      </c>
      <c r="D405" s="82" t="str">
        <f>IF(A405="","",'21 2026 ÜRETİM'!F405)</f>
        <v/>
      </c>
      <c r="E405" s="81">
        <f>IF(A405="","",SUMIF('22 2026 PAKETLEME'!$B$2:$B$501,A405,'22 2026 PAKETLEME'!$E$2:$E$501))</f>
        <v>0</v>
      </c>
      <c r="F405" s="82">
        <f>IF(A405="","",SUMIF('22 2026 PAKETLEME'!$B$2:$B$501,A405,'22 2026 PAKETLEME'!$G$2:$G$501))</f>
        <v>0</v>
      </c>
      <c r="G405" s="81">
        <f>IF(A405="","",SUMIF('22 2026 PAKETLEME'!$B$2:$B$501,A405,'22 2026 PAKETLEME'!$H$2:$H$501))</f>
        <v>0</v>
      </c>
      <c r="H405" s="81" t="e">
        <f t="shared" si="30"/>
        <v>#VALUE!</v>
      </c>
      <c r="I405" s="82">
        <f>IF(A405="","",SUMIF('23 2026 SEVKİYAT'!$E$2:$E$501,A405,'23 2026 SEVKİYAT'!$H$2:$H$501))</f>
        <v>0</v>
      </c>
      <c r="J405" s="81">
        <f t="shared" si="31"/>
        <v>0</v>
      </c>
      <c r="K405" s="81" t="e">
        <f t="shared" si="32"/>
        <v>#VALUE!</v>
      </c>
      <c r="L405" s="58" t="e">
        <f t="shared" si="33"/>
        <v>#VALUE!</v>
      </c>
      <c r="M405" s="56" t="e">
        <f t="shared" si="34"/>
        <v>#VALUE!</v>
      </c>
    </row>
    <row r="406" spans="1:13" ht="15" customHeight="1" x14ac:dyDescent="0.2">
      <c r="A406" s="60">
        <f>'21 2026 ÜRETİM'!A406</f>
        <v>0</v>
      </c>
      <c r="B406" s="81" t="str">
        <f>IF(A406="","",'21 2026 ÜRETİM'!D406)</f>
        <v/>
      </c>
      <c r="C406" s="81">
        <f>IF(A406="","",'21 2026 ÜRETİM'!E406)</f>
        <v>0</v>
      </c>
      <c r="D406" s="82" t="str">
        <f>IF(A406="","",'21 2026 ÜRETİM'!F406)</f>
        <v/>
      </c>
      <c r="E406" s="81">
        <f>IF(A406="","",SUMIF('22 2026 PAKETLEME'!$B$2:$B$501,A406,'22 2026 PAKETLEME'!$E$2:$E$501))</f>
        <v>0</v>
      </c>
      <c r="F406" s="82">
        <f>IF(A406="","",SUMIF('22 2026 PAKETLEME'!$B$2:$B$501,A406,'22 2026 PAKETLEME'!$G$2:$G$501))</f>
        <v>0</v>
      </c>
      <c r="G406" s="81">
        <f>IF(A406="","",SUMIF('22 2026 PAKETLEME'!$B$2:$B$501,A406,'22 2026 PAKETLEME'!$H$2:$H$501))</f>
        <v>0</v>
      </c>
      <c r="H406" s="81" t="e">
        <f t="shared" si="30"/>
        <v>#VALUE!</v>
      </c>
      <c r="I406" s="82">
        <f>IF(A406="","",SUMIF('23 2026 SEVKİYAT'!$E$2:$E$501,A406,'23 2026 SEVKİYAT'!$H$2:$H$501))</f>
        <v>0</v>
      </c>
      <c r="J406" s="81">
        <f t="shared" si="31"/>
        <v>0</v>
      </c>
      <c r="K406" s="81" t="e">
        <f t="shared" si="32"/>
        <v>#VALUE!</v>
      </c>
      <c r="L406" s="58" t="e">
        <f t="shared" si="33"/>
        <v>#VALUE!</v>
      </c>
      <c r="M406" s="56" t="e">
        <f t="shared" si="34"/>
        <v>#VALUE!</v>
      </c>
    </row>
    <row r="407" spans="1:13" ht="15" customHeight="1" x14ac:dyDescent="0.2">
      <c r="A407" s="60">
        <f>'21 2026 ÜRETİM'!A407</f>
        <v>0</v>
      </c>
      <c r="B407" s="81" t="str">
        <f>IF(A407="","",'21 2026 ÜRETİM'!D407)</f>
        <v/>
      </c>
      <c r="C407" s="81">
        <f>IF(A407="","",'21 2026 ÜRETİM'!E407)</f>
        <v>0</v>
      </c>
      <c r="D407" s="82" t="str">
        <f>IF(A407="","",'21 2026 ÜRETİM'!F407)</f>
        <v/>
      </c>
      <c r="E407" s="81">
        <f>IF(A407="","",SUMIF('22 2026 PAKETLEME'!$B$2:$B$501,A407,'22 2026 PAKETLEME'!$E$2:$E$501))</f>
        <v>0</v>
      </c>
      <c r="F407" s="82">
        <f>IF(A407="","",SUMIF('22 2026 PAKETLEME'!$B$2:$B$501,A407,'22 2026 PAKETLEME'!$G$2:$G$501))</f>
        <v>0</v>
      </c>
      <c r="G407" s="81">
        <f>IF(A407="","",SUMIF('22 2026 PAKETLEME'!$B$2:$B$501,A407,'22 2026 PAKETLEME'!$H$2:$H$501))</f>
        <v>0</v>
      </c>
      <c r="H407" s="81" t="e">
        <f t="shared" si="30"/>
        <v>#VALUE!</v>
      </c>
      <c r="I407" s="82">
        <f>IF(A407="","",SUMIF('23 2026 SEVKİYAT'!$E$2:$E$501,A407,'23 2026 SEVKİYAT'!$H$2:$H$501))</f>
        <v>0</v>
      </c>
      <c r="J407" s="81">
        <f t="shared" si="31"/>
        <v>0</v>
      </c>
      <c r="K407" s="81" t="e">
        <f t="shared" si="32"/>
        <v>#VALUE!</v>
      </c>
      <c r="L407" s="58" t="e">
        <f t="shared" si="33"/>
        <v>#VALUE!</v>
      </c>
      <c r="M407" s="56" t="e">
        <f t="shared" si="34"/>
        <v>#VALUE!</v>
      </c>
    </row>
    <row r="408" spans="1:13" ht="15" customHeight="1" x14ac:dyDescent="0.2">
      <c r="A408" s="60">
        <f>'21 2026 ÜRETİM'!A408</f>
        <v>0</v>
      </c>
      <c r="B408" s="81" t="str">
        <f>IF(A408="","",'21 2026 ÜRETİM'!D408)</f>
        <v/>
      </c>
      <c r="C408" s="81">
        <f>IF(A408="","",'21 2026 ÜRETİM'!E408)</f>
        <v>0</v>
      </c>
      <c r="D408" s="82" t="str">
        <f>IF(A408="","",'21 2026 ÜRETİM'!F408)</f>
        <v/>
      </c>
      <c r="E408" s="81">
        <f>IF(A408="","",SUMIF('22 2026 PAKETLEME'!$B$2:$B$501,A408,'22 2026 PAKETLEME'!$E$2:$E$501))</f>
        <v>0</v>
      </c>
      <c r="F408" s="82">
        <f>IF(A408="","",SUMIF('22 2026 PAKETLEME'!$B$2:$B$501,A408,'22 2026 PAKETLEME'!$G$2:$G$501))</f>
        <v>0</v>
      </c>
      <c r="G408" s="81">
        <f>IF(A408="","",SUMIF('22 2026 PAKETLEME'!$B$2:$B$501,A408,'22 2026 PAKETLEME'!$H$2:$H$501))</f>
        <v>0</v>
      </c>
      <c r="H408" s="81" t="e">
        <f t="shared" si="30"/>
        <v>#VALUE!</v>
      </c>
      <c r="I408" s="82">
        <f>IF(A408="","",SUMIF('23 2026 SEVKİYAT'!$E$2:$E$501,A408,'23 2026 SEVKİYAT'!$H$2:$H$501))</f>
        <v>0</v>
      </c>
      <c r="J408" s="81">
        <f t="shared" si="31"/>
        <v>0</v>
      </c>
      <c r="K408" s="81" t="e">
        <f t="shared" si="32"/>
        <v>#VALUE!</v>
      </c>
      <c r="L408" s="58" t="e">
        <f t="shared" si="33"/>
        <v>#VALUE!</v>
      </c>
      <c r="M408" s="56" t="e">
        <f t="shared" si="34"/>
        <v>#VALUE!</v>
      </c>
    </row>
    <row r="409" spans="1:13" ht="15" customHeight="1" x14ac:dyDescent="0.2">
      <c r="A409" s="60">
        <f>'21 2026 ÜRETİM'!A409</f>
        <v>0</v>
      </c>
      <c r="B409" s="81" t="str">
        <f>IF(A409="","",'21 2026 ÜRETİM'!D409)</f>
        <v/>
      </c>
      <c r="C409" s="81">
        <f>IF(A409="","",'21 2026 ÜRETİM'!E409)</f>
        <v>0</v>
      </c>
      <c r="D409" s="82" t="str">
        <f>IF(A409="","",'21 2026 ÜRETİM'!F409)</f>
        <v/>
      </c>
      <c r="E409" s="81">
        <f>IF(A409="","",SUMIF('22 2026 PAKETLEME'!$B$2:$B$501,A409,'22 2026 PAKETLEME'!$E$2:$E$501))</f>
        <v>0</v>
      </c>
      <c r="F409" s="82">
        <f>IF(A409="","",SUMIF('22 2026 PAKETLEME'!$B$2:$B$501,A409,'22 2026 PAKETLEME'!$G$2:$G$501))</f>
        <v>0</v>
      </c>
      <c r="G409" s="81">
        <f>IF(A409="","",SUMIF('22 2026 PAKETLEME'!$B$2:$B$501,A409,'22 2026 PAKETLEME'!$H$2:$H$501))</f>
        <v>0</v>
      </c>
      <c r="H409" s="81" t="e">
        <f t="shared" si="30"/>
        <v>#VALUE!</v>
      </c>
      <c r="I409" s="82">
        <f>IF(A409="","",SUMIF('23 2026 SEVKİYAT'!$E$2:$E$501,A409,'23 2026 SEVKİYAT'!$H$2:$H$501))</f>
        <v>0</v>
      </c>
      <c r="J409" s="81">
        <f t="shared" si="31"/>
        <v>0</v>
      </c>
      <c r="K409" s="81" t="e">
        <f t="shared" si="32"/>
        <v>#VALUE!</v>
      </c>
      <c r="L409" s="58" t="e">
        <f t="shared" si="33"/>
        <v>#VALUE!</v>
      </c>
      <c r="M409" s="56" t="e">
        <f t="shared" si="34"/>
        <v>#VALUE!</v>
      </c>
    </row>
    <row r="410" spans="1:13" ht="15" customHeight="1" x14ac:dyDescent="0.2">
      <c r="A410" s="60">
        <f>'21 2026 ÜRETİM'!A410</f>
        <v>0</v>
      </c>
      <c r="B410" s="81" t="str">
        <f>IF(A410="","",'21 2026 ÜRETİM'!D410)</f>
        <v/>
      </c>
      <c r="C410" s="81">
        <f>IF(A410="","",'21 2026 ÜRETİM'!E410)</f>
        <v>0</v>
      </c>
      <c r="D410" s="82" t="str">
        <f>IF(A410="","",'21 2026 ÜRETİM'!F410)</f>
        <v/>
      </c>
      <c r="E410" s="81">
        <f>IF(A410="","",SUMIF('22 2026 PAKETLEME'!$B$2:$B$501,A410,'22 2026 PAKETLEME'!$E$2:$E$501))</f>
        <v>0</v>
      </c>
      <c r="F410" s="82">
        <f>IF(A410="","",SUMIF('22 2026 PAKETLEME'!$B$2:$B$501,A410,'22 2026 PAKETLEME'!$G$2:$G$501))</f>
        <v>0</v>
      </c>
      <c r="G410" s="81">
        <f>IF(A410="","",SUMIF('22 2026 PAKETLEME'!$B$2:$B$501,A410,'22 2026 PAKETLEME'!$H$2:$H$501))</f>
        <v>0</v>
      </c>
      <c r="H410" s="81" t="e">
        <f t="shared" si="30"/>
        <v>#VALUE!</v>
      </c>
      <c r="I410" s="82">
        <f>IF(A410="","",SUMIF('23 2026 SEVKİYAT'!$E$2:$E$501,A410,'23 2026 SEVKİYAT'!$H$2:$H$501))</f>
        <v>0</v>
      </c>
      <c r="J410" s="81">
        <f t="shared" si="31"/>
        <v>0</v>
      </c>
      <c r="K410" s="81" t="e">
        <f t="shared" si="32"/>
        <v>#VALUE!</v>
      </c>
      <c r="L410" s="58" t="e">
        <f t="shared" si="33"/>
        <v>#VALUE!</v>
      </c>
      <c r="M410" s="56" t="e">
        <f t="shared" si="34"/>
        <v>#VALUE!</v>
      </c>
    </row>
    <row r="411" spans="1:13" ht="15" customHeight="1" x14ac:dyDescent="0.2">
      <c r="A411" s="60">
        <f>'21 2026 ÜRETİM'!A411</f>
        <v>0</v>
      </c>
      <c r="B411" s="81" t="str">
        <f>IF(A411="","",'21 2026 ÜRETİM'!D411)</f>
        <v/>
      </c>
      <c r="C411" s="81">
        <f>IF(A411="","",'21 2026 ÜRETİM'!E411)</f>
        <v>0</v>
      </c>
      <c r="D411" s="82" t="str">
        <f>IF(A411="","",'21 2026 ÜRETİM'!F411)</f>
        <v/>
      </c>
      <c r="E411" s="81">
        <f>IF(A411="","",SUMIF('22 2026 PAKETLEME'!$B$2:$B$501,A411,'22 2026 PAKETLEME'!$E$2:$E$501))</f>
        <v>0</v>
      </c>
      <c r="F411" s="82">
        <f>IF(A411="","",SUMIF('22 2026 PAKETLEME'!$B$2:$B$501,A411,'22 2026 PAKETLEME'!$G$2:$G$501))</f>
        <v>0</v>
      </c>
      <c r="G411" s="81">
        <f>IF(A411="","",SUMIF('22 2026 PAKETLEME'!$B$2:$B$501,A411,'22 2026 PAKETLEME'!$H$2:$H$501))</f>
        <v>0</v>
      </c>
      <c r="H411" s="81" t="e">
        <f t="shared" si="30"/>
        <v>#VALUE!</v>
      </c>
      <c r="I411" s="82">
        <f>IF(A411="","",SUMIF('23 2026 SEVKİYAT'!$E$2:$E$501,A411,'23 2026 SEVKİYAT'!$H$2:$H$501))</f>
        <v>0</v>
      </c>
      <c r="J411" s="81">
        <f t="shared" si="31"/>
        <v>0</v>
      </c>
      <c r="K411" s="81" t="e">
        <f t="shared" si="32"/>
        <v>#VALUE!</v>
      </c>
      <c r="L411" s="58" t="e">
        <f t="shared" si="33"/>
        <v>#VALUE!</v>
      </c>
      <c r="M411" s="56" t="e">
        <f t="shared" si="34"/>
        <v>#VALUE!</v>
      </c>
    </row>
    <row r="412" spans="1:13" ht="15" customHeight="1" x14ac:dyDescent="0.2">
      <c r="A412" s="60">
        <f>'21 2026 ÜRETİM'!A412</f>
        <v>0</v>
      </c>
      <c r="B412" s="81" t="str">
        <f>IF(A412="","",'21 2026 ÜRETİM'!D412)</f>
        <v/>
      </c>
      <c r="C412" s="81">
        <f>IF(A412="","",'21 2026 ÜRETİM'!E412)</f>
        <v>0</v>
      </c>
      <c r="D412" s="82" t="str">
        <f>IF(A412="","",'21 2026 ÜRETİM'!F412)</f>
        <v/>
      </c>
      <c r="E412" s="81">
        <f>IF(A412="","",SUMIF('22 2026 PAKETLEME'!$B$2:$B$501,A412,'22 2026 PAKETLEME'!$E$2:$E$501))</f>
        <v>0</v>
      </c>
      <c r="F412" s="82">
        <f>IF(A412="","",SUMIF('22 2026 PAKETLEME'!$B$2:$B$501,A412,'22 2026 PAKETLEME'!$G$2:$G$501))</f>
        <v>0</v>
      </c>
      <c r="G412" s="81">
        <f>IF(A412="","",SUMIF('22 2026 PAKETLEME'!$B$2:$B$501,A412,'22 2026 PAKETLEME'!$H$2:$H$501))</f>
        <v>0</v>
      </c>
      <c r="H412" s="81" t="e">
        <f t="shared" si="30"/>
        <v>#VALUE!</v>
      </c>
      <c r="I412" s="82">
        <f>IF(A412="","",SUMIF('23 2026 SEVKİYAT'!$E$2:$E$501,A412,'23 2026 SEVKİYAT'!$H$2:$H$501))</f>
        <v>0</v>
      </c>
      <c r="J412" s="81">
        <f t="shared" si="31"/>
        <v>0</v>
      </c>
      <c r="K412" s="81" t="e">
        <f t="shared" si="32"/>
        <v>#VALUE!</v>
      </c>
      <c r="L412" s="58" t="e">
        <f t="shared" si="33"/>
        <v>#VALUE!</v>
      </c>
      <c r="M412" s="56" t="e">
        <f t="shared" si="34"/>
        <v>#VALUE!</v>
      </c>
    </row>
    <row r="413" spans="1:13" ht="15" customHeight="1" x14ac:dyDescent="0.2">
      <c r="A413" s="60">
        <f>'21 2026 ÜRETİM'!A413</f>
        <v>0</v>
      </c>
      <c r="B413" s="81" t="str">
        <f>IF(A413="","",'21 2026 ÜRETİM'!D413)</f>
        <v/>
      </c>
      <c r="C413" s="81">
        <f>IF(A413="","",'21 2026 ÜRETİM'!E413)</f>
        <v>0</v>
      </c>
      <c r="D413" s="82" t="str">
        <f>IF(A413="","",'21 2026 ÜRETİM'!F413)</f>
        <v/>
      </c>
      <c r="E413" s="81">
        <f>IF(A413="","",SUMIF('22 2026 PAKETLEME'!$B$2:$B$501,A413,'22 2026 PAKETLEME'!$E$2:$E$501))</f>
        <v>0</v>
      </c>
      <c r="F413" s="82">
        <f>IF(A413="","",SUMIF('22 2026 PAKETLEME'!$B$2:$B$501,A413,'22 2026 PAKETLEME'!$G$2:$G$501))</f>
        <v>0</v>
      </c>
      <c r="G413" s="81">
        <f>IF(A413="","",SUMIF('22 2026 PAKETLEME'!$B$2:$B$501,A413,'22 2026 PAKETLEME'!$H$2:$H$501))</f>
        <v>0</v>
      </c>
      <c r="H413" s="81" t="e">
        <f t="shared" si="30"/>
        <v>#VALUE!</v>
      </c>
      <c r="I413" s="82">
        <f>IF(A413="","",SUMIF('23 2026 SEVKİYAT'!$E$2:$E$501,A413,'23 2026 SEVKİYAT'!$H$2:$H$501))</f>
        <v>0</v>
      </c>
      <c r="J413" s="81">
        <f t="shared" si="31"/>
        <v>0</v>
      </c>
      <c r="K413" s="81" t="e">
        <f t="shared" si="32"/>
        <v>#VALUE!</v>
      </c>
      <c r="L413" s="58" t="e">
        <f t="shared" si="33"/>
        <v>#VALUE!</v>
      </c>
      <c r="M413" s="56" t="e">
        <f t="shared" si="34"/>
        <v>#VALUE!</v>
      </c>
    </row>
    <row r="414" spans="1:13" ht="15" customHeight="1" x14ac:dyDescent="0.2">
      <c r="A414" s="60">
        <f>'21 2026 ÜRETİM'!A414</f>
        <v>0</v>
      </c>
      <c r="B414" s="81" t="str">
        <f>IF(A414="","",'21 2026 ÜRETİM'!D414)</f>
        <v/>
      </c>
      <c r="C414" s="81">
        <f>IF(A414="","",'21 2026 ÜRETİM'!E414)</f>
        <v>0</v>
      </c>
      <c r="D414" s="82" t="str">
        <f>IF(A414="","",'21 2026 ÜRETİM'!F414)</f>
        <v/>
      </c>
      <c r="E414" s="81">
        <f>IF(A414="","",SUMIF('22 2026 PAKETLEME'!$B$2:$B$501,A414,'22 2026 PAKETLEME'!$E$2:$E$501))</f>
        <v>0</v>
      </c>
      <c r="F414" s="82">
        <f>IF(A414="","",SUMIF('22 2026 PAKETLEME'!$B$2:$B$501,A414,'22 2026 PAKETLEME'!$G$2:$G$501))</f>
        <v>0</v>
      </c>
      <c r="G414" s="81">
        <f>IF(A414="","",SUMIF('22 2026 PAKETLEME'!$B$2:$B$501,A414,'22 2026 PAKETLEME'!$H$2:$H$501))</f>
        <v>0</v>
      </c>
      <c r="H414" s="81" t="e">
        <f t="shared" si="30"/>
        <v>#VALUE!</v>
      </c>
      <c r="I414" s="82">
        <f>IF(A414="","",SUMIF('23 2026 SEVKİYAT'!$E$2:$E$501,A414,'23 2026 SEVKİYAT'!$H$2:$H$501))</f>
        <v>0</v>
      </c>
      <c r="J414" s="81">
        <f t="shared" si="31"/>
        <v>0</v>
      </c>
      <c r="K414" s="81" t="e">
        <f t="shared" si="32"/>
        <v>#VALUE!</v>
      </c>
      <c r="L414" s="58" t="e">
        <f t="shared" si="33"/>
        <v>#VALUE!</v>
      </c>
      <c r="M414" s="56" t="e">
        <f t="shared" si="34"/>
        <v>#VALUE!</v>
      </c>
    </row>
    <row r="415" spans="1:13" ht="15" customHeight="1" x14ac:dyDescent="0.2">
      <c r="A415" s="60">
        <f>'21 2026 ÜRETİM'!A415</f>
        <v>0</v>
      </c>
      <c r="B415" s="81" t="str">
        <f>IF(A415="","",'21 2026 ÜRETİM'!D415)</f>
        <v/>
      </c>
      <c r="C415" s="81">
        <f>IF(A415="","",'21 2026 ÜRETİM'!E415)</f>
        <v>0</v>
      </c>
      <c r="D415" s="82" t="str">
        <f>IF(A415="","",'21 2026 ÜRETİM'!F415)</f>
        <v/>
      </c>
      <c r="E415" s="81">
        <f>IF(A415="","",SUMIF('22 2026 PAKETLEME'!$B$2:$B$501,A415,'22 2026 PAKETLEME'!$E$2:$E$501))</f>
        <v>0</v>
      </c>
      <c r="F415" s="82">
        <f>IF(A415="","",SUMIF('22 2026 PAKETLEME'!$B$2:$B$501,A415,'22 2026 PAKETLEME'!$G$2:$G$501))</f>
        <v>0</v>
      </c>
      <c r="G415" s="81">
        <f>IF(A415="","",SUMIF('22 2026 PAKETLEME'!$B$2:$B$501,A415,'22 2026 PAKETLEME'!$H$2:$H$501))</f>
        <v>0</v>
      </c>
      <c r="H415" s="81" t="e">
        <f t="shared" si="30"/>
        <v>#VALUE!</v>
      </c>
      <c r="I415" s="82">
        <f>IF(A415="","",SUMIF('23 2026 SEVKİYAT'!$E$2:$E$501,A415,'23 2026 SEVKİYAT'!$H$2:$H$501))</f>
        <v>0</v>
      </c>
      <c r="J415" s="81">
        <f t="shared" si="31"/>
        <v>0</v>
      </c>
      <c r="K415" s="81" t="e">
        <f t="shared" si="32"/>
        <v>#VALUE!</v>
      </c>
      <c r="L415" s="58" t="e">
        <f t="shared" si="33"/>
        <v>#VALUE!</v>
      </c>
      <c r="M415" s="56" t="e">
        <f t="shared" si="34"/>
        <v>#VALUE!</v>
      </c>
    </row>
    <row r="416" spans="1:13" ht="15" customHeight="1" x14ac:dyDescent="0.2">
      <c r="A416" s="60">
        <f>'21 2026 ÜRETİM'!A416</f>
        <v>0</v>
      </c>
      <c r="B416" s="81" t="str">
        <f>IF(A416="","",'21 2026 ÜRETİM'!D416)</f>
        <v/>
      </c>
      <c r="C416" s="81">
        <f>IF(A416="","",'21 2026 ÜRETİM'!E416)</f>
        <v>0</v>
      </c>
      <c r="D416" s="82" t="str">
        <f>IF(A416="","",'21 2026 ÜRETİM'!F416)</f>
        <v/>
      </c>
      <c r="E416" s="81">
        <f>IF(A416="","",SUMIF('22 2026 PAKETLEME'!$B$2:$B$501,A416,'22 2026 PAKETLEME'!$E$2:$E$501))</f>
        <v>0</v>
      </c>
      <c r="F416" s="82">
        <f>IF(A416="","",SUMIF('22 2026 PAKETLEME'!$B$2:$B$501,A416,'22 2026 PAKETLEME'!$G$2:$G$501))</f>
        <v>0</v>
      </c>
      <c r="G416" s="81">
        <f>IF(A416="","",SUMIF('22 2026 PAKETLEME'!$B$2:$B$501,A416,'22 2026 PAKETLEME'!$H$2:$H$501))</f>
        <v>0</v>
      </c>
      <c r="H416" s="81" t="e">
        <f t="shared" si="30"/>
        <v>#VALUE!</v>
      </c>
      <c r="I416" s="82">
        <f>IF(A416="","",SUMIF('23 2026 SEVKİYAT'!$E$2:$E$501,A416,'23 2026 SEVKİYAT'!$H$2:$H$501))</f>
        <v>0</v>
      </c>
      <c r="J416" s="81">
        <f t="shared" si="31"/>
        <v>0</v>
      </c>
      <c r="K416" s="81" t="e">
        <f t="shared" si="32"/>
        <v>#VALUE!</v>
      </c>
      <c r="L416" s="58" t="e">
        <f t="shared" si="33"/>
        <v>#VALUE!</v>
      </c>
      <c r="M416" s="56" t="e">
        <f t="shared" si="34"/>
        <v>#VALUE!</v>
      </c>
    </row>
    <row r="417" spans="1:13" ht="15" customHeight="1" x14ac:dyDescent="0.2">
      <c r="A417" s="60">
        <f>'21 2026 ÜRETİM'!A417</f>
        <v>0</v>
      </c>
      <c r="B417" s="81" t="str">
        <f>IF(A417="","",'21 2026 ÜRETİM'!D417)</f>
        <v/>
      </c>
      <c r="C417" s="81">
        <f>IF(A417="","",'21 2026 ÜRETİM'!E417)</f>
        <v>0</v>
      </c>
      <c r="D417" s="82" t="str">
        <f>IF(A417="","",'21 2026 ÜRETİM'!F417)</f>
        <v/>
      </c>
      <c r="E417" s="81">
        <f>IF(A417="","",SUMIF('22 2026 PAKETLEME'!$B$2:$B$501,A417,'22 2026 PAKETLEME'!$E$2:$E$501))</f>
        <v>0</v>
      </c>
      <c r="F417" s="82">
        <f>IF(A417="","",SUMIF('22 2026 PAKETLEME'!$B$2:$B$501,A417,'22 2026 PAKETLEME'!$G$2:$G$501))</f>
        <v>0</v>
      </c>
      <c r="G417" s="81">
        <f>IF(A417="","",SUMIF('22 2026 PAKETLEME'!$B$2:$B$501,A417,'22 2026 PAKETLEME'!$H$2:$H$501))</f>
        <v>0</v>
      </c>
      <c r="H417" s="81" t="e">
        <f t="shared" si="30"/>
        <v>#VALUE!</v>
      </c>
      <c r="I417" s="82">
        <f>IF(A417="","",SUMIF('23 2026 SEVKİYAT'!$E$2:$E$501,A417,'23 2026 SEVKİYAT'!$H$2:$H$501))</f>
        <v>0</v>
      </c>
      <c r="J417" s="81">
        <f t="shared" si="31"/>
        <v>0</v>
      </c>
      <c r="K417" s="81" t="e">
        <f t="shared" si="32"/>
        <v>#VALUE!</v>
      </c>
      <c r="L417" s="58" t="e">
        <f t="shared" si="33"/>
        <v>#VALUE!</v>
      </c>
      <c r="M417" s="56" t="e">
        <f t="shared" si="34"/>
        <v>#VALUE!</v>
      </c>
    </row>
    <row r="418" spans="1:13" ht="15" customHeight="1" x14ac:dyDescent="0.2">
      <c r="A418" s="60">
        <f>'21 2026 ÜRETİM'!A418</f>
        <v>0</v>
      </c>
      <c r="B418" s="81" t="str">
        <f>IF(A418="","",'21 2026 ÜRETİM'!D418)</f>
        <v/>
      </c>
      <c r="C418" s="81">
        <f>IF(A418="","",'21 2026 ÜRETİM'!E418)</f>
        <v>0</v>
      </c>
      <c r="D418" s="82" t="str">
        <f>IF(A418="","",'21 2026 ÜRETİM'!F418)</f>
        <v/>
      </c>
      <c r="E418" s="81">
        <f>IF(A418="","",SUMIF('22 2026 PAKETLEME'!$B$2:$B$501,A418,'22 2026 PAKETLEME'!$E$2:$E$501))</f>
        <v>0</v>
      </c>
      <c r="F418" s="82">
        <f>IF(A418="","",SUMIF('22 2026 PAKETLEME'!$B$2:$B$501,A418,'22 2026 PAKETLEME'!$G$2:$G$501))</f>
        <v>0</v>
      </c>
      <c r="G418" s="81">
        <f>IF(A418="","",SUMIF('22 2026 PAKETLEME'!$B$2:$B$501,A418,'22 2026 PAKETLEME'!$H$2:$H$501))</f>
        <v>0</v>
      </c>
      <c r="H418" s="81" t="e">
        <f t="shared" si="30"/>
        <v>#VALUE!</v>
      </c>
      <c r="I418" s="82">
        <f>IF(A418="","",SUMIF('23 2026 SEVKİYAT'!$E$2:$E$501,A418,'23 2026 SEVKİYAT'!$H$2:$H$501))</f>
        <v>0</v>
      </c>
      <c r="J418" s="81">
        <f t="shared" si="31"/>
        <v>0</v>
      </c>
      <c r="K418" s="81" t="e">
        <f t="shared" si="32"/>
        <v>#VALUE!</v>
      </c>
      <c r="L418" s="58" t="e">
        <f t="shared" si="33"/>
        <v>#VALUE!</v>
      </c>
      <c r="M418" s="56" t="e">
        <f t="shared" si="34"/>
        <v>#VALUE!</v>
      </c>
    </row>
    <row r="419" spans="1:13" ht="15" customHeight="1" x14ac:dyDescent="0.2">
      <c r="A419" s="60">
        <f>'21 2026 ÜRETİM'!A419</f>
        <v>0</v>
      </c>
      <c r="B419" s="81" t="str">
        <f>IF(A419="","",'21 2026 ÜRETİM'!D419)</f>
        <v/>
      </c>
      <c r="C419" s="81">
        <f>IF(A419="","",'21 2026 ÜRETİM'!E419)</f>
        <v>0</v>
      </c>
      <c r="D419" s="82" t="str">
        <f>IF(A419="","",'21 2026 ÜRETİM'!F419)</f>
        <v/>
      </c>
      <c r="E419" s="81">
        <f>IF(A419="","",SUMIF('22 2026 PAKETLEME'!$B$2:$B$501,A419,'22 2026 PAKETLEME'!$E$2:$E$501))</f>
        <v>0</v>
      </c>
      <c r="F419" s="82">
        <f>IF(A419="","",SUMIF('22 2026 PAKETLEME'!$B$2:$B$501,A419,'22 2026 PAKETLEME'!$G$2:$G$501))</f>
        <v>0</v>
      </c>
      <c r="G419" s="81">
        <f>IF(A419="","",SUMIF('22 2026 PAKETLEME'!$B$2:$B$501,A419,'22 2026 PAKETLEME'!$H$2:$H$501))</f>
        <v>0</v>
      </c>
      <c r="H419" s="81" t="e">
        <f t="shared" si="30"/>
        <v>#VALUE!</v>
      </c>
      <c r="I419" s="82">
        <f>IF(A419="","",SUMIF('23 2026 SEVKİYAT'!$E$2:$E$501,A419,'23 2026 SEVKİYAT'!$H$2:$H$501))</f>
        <v>0</v>
      </c>
      <c r="J419" s="81">
        <f t="shared" si="31"/>
        <v>0</v>
      </c>
      <c r="K419" s="81" t="e">
        <f t="shared" si="32"/>
        <v>#VALUE!</v>
      </c>
      <c r="L419" s="58" t="e">
        <f t="shared" si="33"/>
        <v>#VALUE!</v>
      </c>
      <c r="M419" s="56" t="e">
        <f t="shared" si="34"/>
        <v>#VALUE!</v>
      </c>
    </row>
    <row r="420" spans="1:13" ht="15" customHeight="1" x14ac:dyDescent="0.2">
      <c r="A420" s="60">
        <f>'21 2026 ÜRETİM'!A420</f>
        <v>0</v>
      </c>
      <c r="B420" s="81" t="str">
        <f>IF(A420="","",'21 2026 ÜRETİM'!D420)</f>
        <v/>
      </c>
      <c r="C420" s="81">
        <f>IF(A420="","",'21 2026 ÜRETİM'!E420)</f>
        <v>0</v>
      </c>
      <c r="D420" s="82" t="str">
        <f>IF(A420="","",'21 2026 ÜRETİM'!F420)</f>
        <v/>
      </c>
      <c r="E420" s="81">
        <f>IF(A420="","",SUMIF('22 2026 PAKETLEME'!$B$2:$B$501,A420,'22 2026 PAKETLEME'!$E$2:$E$501))</f>
        <v>0</v>
      </c>
      <c r="F420" s="82">
        <f>IF(A420="","",SUMIF('22 2026 PAKETLEME'!$B$2:$B$501,A420,'22 2026 PAKETLEME'!$G$2:$G$501))</f>
        <v>0</v>
      </c>
      <c r="G420" s="81">
        <f>IF(A420="","",SUMIF('22 2026 PAKETLEME'!$B$2:$B$501,A420,'22 2026 PAKETLEME'!$H$2:$H$501))</f>
        <v>0</v>
      </c>
      <c r="H420" s="81" t="e">
        <f t="shared" si="30"/>
        <v>#VALUE!</v>
      </c>
      <c r="I420" s="82">
        <f>IF(A420="","",SUMIF('23 2026 SEVKİYAT'!$E$2:$E$501,A420,'23 2026 SEVKİYAT'!$H$2:$H$501))</f>
        <v>0</v>
      </c>
      <c r="J420" s="81">
        <f t="shared" si="31"/>
        <v>0</v>
      </c>
      <c r="K420" s="81" t="e">
        <f t="shared" si="32"/>
        <v>#VALUE!</v>
      </c>
      <c r="L420" s="58" t="e">
        <f t="shared" si="33"/>
        <v>#VALUE!</v>
      </c>
      <c r="M420" s="56" t="e">
        <f t="shared" si="34"/>
        <v>#VALUE!</v>
      </c>
    </row>
    <row r="421" spans="1:13" ht="15" customHeight="1" x14ac:dyDescent="0.2">
      <c r="A421" s="60">
        <f>'21 2026 ÜRETİM'!A421</f>
        <v>0</v>
      </c>
      <c r="B421" s="81" t="str">
        <f>IF(A421="","",'21 2026 ÜRETİM'!D421)</f>
        <v/>
      </c>
      <c r="C421" s="81">
        <f>IF(A421="","",'21 2026 ÜRETİM'!E421)</f>
        <v>0</v>
      </c>
      <c r="D421" s="82" t="str">
        <f>IF(A421="","",'21 2026 ÜRETİM'!F421)</f>
        <v/>
      </c>
      <c r="E421" s="81">
        <f>IF(A421="","",SUMIF('22 2026 PAKETLEME'!$B$2:$B$501,A421,'22 2026 PAKETLEME'!$E$2:$E$501))</f>
        <v>0</v>
      </c>
      <c r="F421" s="82">
        <f>IF(A421="","",SUMIF('22 2026 PAKETLEME'!$B$2:$B$501,A421,'22 2026 PAKETLEME'!$G$2:$G$501))</f>
        <v>0</v>
      </c>
      <c r="G421" s="81">
        <f>IF(A421="","",SUMIF('22 2026 PAKETLEME'!$B$2:$B$501,A421,'22 2026 PAKETLEME'!$H$2:$H$501))</f>
        <v>0</v>
      </c>
      <c r="H421" s="81" t="e">
        <f t="shared" si="30"/>
        <v>#VALUE!</v>
      </c>
      <c r="I421" s="82">
        <f>IF(A421="","",SUMIF('23 2026 SEVKİYAT'!$E$2:$E$501,A421,'23 2026 SEVKİYAT'!$H$2:$H$501))</f>
        <v>0</v>
      </c>
      <c r="J421" s="81">
        <f t="shared" si="31"/>
        <v>0</v>
      </c>
      <c r="K421" s="81" t="e">
        <f t="shared" si="32"/>
        <v>#VALUE!</v>
      </c>
      <c r="L421" s="58" t="e">
        <f t="shared" si="33"/>
        <v>#VALUE!</v>
      </c>
      <c r="M421" s="56" t="e">
        <f t="shared" si="34"/>
        <v>#VALUE!</v>
      </c>
    </row>
    <row r="422" spans="1:13" ht="15" customHeight="1" x14ac:dyDescent="0.2">
      <c r="A422" s="60">
        <f>'21 2026 ÜRETİM'!A422</f>
        <v>0</v>
      </c>
      <c r="B422" s="81" t="str">
        <f>IF(A422="","",'21 2026 ÜRETİM'!D422)</f>
        <v/>
      </c>
      <c r="C422" s="81">
        <f>IF(A422="","",'21 2026 ÜRETİM'!E422)</f>
        <v>0</v>
      </c>
      <c r="D422" s="82" t="str">
        <f>IF(A422="","",'21 2026 ÜRETİM'!F422)</f>
        <v/>
      </c>
      <c r="E422" s="81">
        <f>IF(A422="","",SUMIF('22 2026 PAKETLEME'!$B$2:$B$501,A422,'22 2026 PAKETLEME'!$E$2:$E$501))</f>
        <v>0</v>
      </c>
      <c r="F422" s="82">
        <f>IF(A422="","",SUMIF('22 2026 PAKETLEME'!$B$2:$B$501,A422,'22 2026 PAKETLEME'!$G$2:$G$501))</f>
        <v>0</v>
      </c>
      <c r="G422" s="81">
        <f>IF(A422="","",SUMIF('22 2026 PAKETLEME'!$B$2:$B$501,A422,'22 2026 PAKETLEME'!$H$2:$H$501))</f>
        <v>0</v>
      </c>
      <c r="H422" s="81" t="e">
        <f t="shared" si="30"/>
        <v>#VALUE!</v>
      </c>
      <c r="I422" s="82">
        <f>IF(A422="","",SUMIF('23 2026 SEVKİYAT'!$E$2:$E$501,A422,'23 2026 SEVKİYAT'!$H$2:$H$501))</f>
        <v>0</v>
      </c>
      <c r="J422" s="81">
        <f t="shared" si="31"/>
        <v>0</v>
      </c>
      <c r="K422" s="81" t="e">
        <f t="shared" si="32"/>
        <v>#VALUE!</v>
      </c>
      <c r="L422" s="58" t="e">
        <f t="shared" si="33"/>
        <v>#VALUE!</v>
      </c>
      <c r="M422" s="56" t="e">
        <f t="shared" si="34"/>
        <v>#VALUE!</v>
      </c>
    </row>
    <row r="423" spans="1:13" ht="15" customHeight="1" x14ac:dyDescent="0.2">
      <c r="A423" s="60">
        <f>'21 2026 ÜRETİM'!A423</f>
        <v>0</v>
      </c>
      <c r="B423" s="81" t="str">
        <f>IF(A423="","",'21 2026 ÜRETİM'!D423)</f>
        <v/>
      </c>
      <c r="C423" s="81">
        <f>IF(A423="","",'21 2026 ÜRETİM'!E423)</f>
        <v>0</v>
      </c>
      <c r="D423" s="82" t="str">
        <f>IF(A423="","",'21 2026 ÜRETİM'!F423)</f>
        <v/>
      </c>
      <c r="E423" s="81">
        <f>IF(A423="","",SUMIF('22 2026 PAKETLEME'!$B$2:$B$501,A423,'22 2026 PAKETLEME'!$E$2:$E$501))</f>
        <v>0</v>
      </c>
      <c r="F423" s="82">
        <f>IF(A423="","",SUMIF('22 2026 PAKETLEME'!$B$2:$B$501,A423,'22 2026 PAKETLEME'!$G$2:$G$501))</f>
        <v>0</v>
      </c>
      <c r="G423" s="81">
        <f>IF(A423="","",SUMIF('22 2026 PAKETLEME'!$B$2:$B$501,A423,'22 2026 PAKETLEME'!$H$2:$H$501))</f>
        <v>0</v>
      </c>
      <c r="H423" s="81" t="e">
        <f t="shared" si="30"/>
        <v>#VALUE!</v>
      </c>
      <c r="I423" s="82">
        <f>IF(A423="","",SUMIF('23 2026 SEVKİYAT'!$E$2:$E$501,A423,'23 2026 SEVKİYAT'!$H$2:$H$501))</f>
        <v>0</v>
      </c>
      <c r="J423" s="81">
        <f t="shared" si="31"/>
        <v>0</v>
      </c>
      <c r="K423" s="81" t="e">
        <f t="shared" si="32"/>
        <v>#VALUE!</v>
      </c>
      <c r="L423" s="58" t="e">
        <f t="shared" si="33"/>
        <v>#VALUE!</v>
      </c>
      <c r="M423" s="56" t="e">
        <f t="shared" si="34"/>
        <v>#VALUE!</v>
      </c>
    </row>
    <row r="424" spans="1:13" ht="15" customHeight="1" x14ac:dyDescent="0.2">
      <c r="A424" s="60">
        <f>'21 2026 ÜRETİM'!A424</f>
        <v>0</v>
      </c>
      <c r="B424" s="81" t="str">
        <f>IF(A424="","",'21 2026 ÜRETİM'!D424)</f>
        <v/>
      </c>
      <c r="C424" s="81">
        <f>IF(A424="","",'21 2026 ÜRETİM'!E424)</f>
        <v>0</v>
      </c>
      <c r="D424" s="82" t="str">
        <f>IF(A424="","",'21 2026 ÜRETİM'!F424)</f>
        <v/>
      </c>
      <c r="E424" s="81">
        <f>IF(A424="","",SUMIF('22 2026 PAKETLEME'!$B$2:$B$501,A424,'22 2026 PAKETLEME'!$E$2:$E$501))</f>
        <v>0</v>
      </c>
      <c r="F424" s="82">
        <f>IF(A424="","",SUMIF('22 2026 PAKETLEME'!$B$2:$B$501,A424,'22 2026 PAKETLEME'!$G$2:$G$501))</f>
        <v>0</v>
      </c>
      <c r="G424" s="81">
        <f>IF(A424="","",SUMIF('22 2026 PAKETLEME'!$B$2:$B$501,A424,'22 2026 PAKETLEME'!$H$2:$H$501))</f>
        <v>0</v>
      </c>
      <c r="H424" s="81" t="e">
        <f t="shared" si="30"/>
        <v>#VALUE!</v>
      </c>
      <c r="I424" s="82">
        <f>IF(A424="","",SUMIF('23 2026 SEVKİYAT'!$E$2:$E$501,A424,'23 2026 SEVKİYAT'!$H$2:$H$501))</f>
        <v>0</v>
      </c>
      <c r="J424" s="81">
        <f t="shared" si="31"/>
        <v>0</v>
      </c>
      <c r="K424" s="81" t="e">
        <f t="shared" si="32"/>
        <v>#VALUE!</v>
      </c>
      <c r="L424" s="58" t="e">
        <f t="shared" si="33"/>
        <v>#VALUE!</v>
      </c>
      <c r="M424" s="56" t="e">
        <f t="shared" si="34"/>
        <v>#VALUE!</v>
      </c>
    </row>
    <row r="425" spans="1:13" ht="15" customHeight="1" x14ac:dyDescent="0.2">
      <c r="A425" s="60">
        <f>'21 2026 ÜRETİM'!A425</f>
        <v>0</v>
      </c>
      <c r="B425" s="81" t="str">
        <f>IF(A425="","",'21 2026 ÜRETİM'!D425)</f>
        <v/>
      </c>
      <c r="C425" s="81">
        <f>IF(A425="","",'21 2026 ÜRETİM'!E425)</f>
        <v>0</v>
      </c>
      <c r="D425" s="82" t="str">
        <f>IF(A425="","",'21 2026 ÜRETİM'!F425)</f>
        <v/>
      </c>
      <c r="E425" s="81">
        <f>IF(A425="","",SUMIF('22 2026 PAKETLEME'!$B$2:$B$501,A425,'22 2026 PAKETLEME'!$E$2:$E$501))</f>
        <v>0</v>
      </c>
      <c r="F425" s="82">
        <f>IF(A425="","",SUMIF('22 2026 PAKETLEME'!$B$2:$B$501,A425,'22 2026 PAKETLEME'!$G$2:$G$501))</f>
        <v>0</v>
      </c>
      <c r="G425" s="81">
        <f>IF(A425="","",SUMIF('22 2026 PAKETLEME'!$B$2:$B$501,A425,'22 2026 PAKETLEME'!$H$2:$H$501))</f>
        <v>0</v>
      </c>
      <c r="H425" s="81" t="e">
        <f t="shared" si="30"/>
        <v>#VALUE!</v>
      </c>
      <c r="I425" s="82">
        <f>IF(A425="","",SUMIF('23 2026 SEVKİYAT'!$E$2:$E$501,A425,'23 2026 SEVKİYAT'!$H$2:$H$501))</f>
        <v>0</v>
      </c>
      <c r="J425" s="81">
        <f t="shared" si="31"/>
        <v>0</v>
      </c>
      <c r="K425" s="81" t="e">
        <f t="shared" si="32"/>
        <v>#VALUE!</v>
      </c>
      <c r="L425" s="58" t="e">
        <f t="shared" si="33"/>
        <v>#VALUE!</v>
      </c>
      <c r="M425" s="56" t="e">
        <f t="shared" si="34"/>
        <v>#VALUE!</v>
      </c>
    </row>
    <row r="426" spans="1:13" ht="15" customHeight="1" x14ac:dyDescent="0.2">
      <c r="A426" s="60">
        <f>'21 2026 ÜRETİM'!A426</f>
        <v>0</v>
      </c>
      <c r="B426" s="81" t="str">
        <f>IF(A426="","",'21 2026 ÜRETİM'!D426)</f>
        <v/>
      </c>
      <c r="C426" s="81">
        <f>IF(A426="","",'21 2026 ÜRETİM'!E426)</f>
        <v>0</v>
      </c>
      <c r="D426" s="82" t="str">
        <f>IF(A426="","",'21 2026 ÜRETİM'!F426)</f>
        <v/>
      </c>
      <c r="E426" s="81">
        <f>IF(A426="","",SUMIF('22 2026 PAKETLEME'!$B$2:$B$501,A426,'22 2026 PAKETLEME'!$E$2:$E$501))</f>
        <v>0</v>
      </c>
      <c r="F426" s="82">
        <f>IF(A426="","",SUMIF('22 2026 PAKETLEME'!$B$2:$B$501,A426,'22 2026 PAKETLEME'!$G$2:$G$501))</f>
        <v>0</v>
      </c>
      <c r="G426" s="81">
        <f>IF(A426="","",SUMIF('22 2026 PAKETLEME'!$B$2:$B$501,A426,'22 2026 PAKETLEME'!$H$2:$H$501))</f>
        <v>0</v>
      </c>
      <c r="H426" s="81" t="e">
        <f t="shared" si="30"/>
        <v>#VALUE!</v>
      </c>
      <c r="I426" s="82">
        <f>IF(A426="","",SUMIF('23 2026 SEVKİYAT'!$E$2:$E$501,A426,'23 2026 SEVKİYAT'!$H$2:$H$501))</f>
        <v>0</v>
      </c>
      <c r="J426" s="81">
        <f t="shared" si="31"/>
        <v>0</v>
      </c>
      <c r="K426" s="81" t="e">
        <f t="shared" si="32"/>
        <v>#VALUE!</v>
      </c>
      <c r="L426" s="58" t="e">
        <f t="shared" si="33"/>
        <v>#VALUE!</v>
      </c>
      <c r="M426" s="56" t="e">
        <f t="shared" si="34"/>
        <v>#VALUE!</v>
      </c>
    </row>
    <row r="427" spans="1:13" ht="15" customHeight="1" x14ac:dyDescent="0.2">
      <c r="A427" s="60">
        <f>'21 2026 ÜRETİM'!A427</f>
        <v>0</v>
      </c>
      <c r="B427" s="81" t="str">
        <f>IF(A427="","",'21 2026 ÜRETİM'!D427)</f>
        <v/>
      </c>
      <c r="C427" s="81">
        <f>IF(A427="","",'21 2026 ÜRETİM'!E427)</f>
        <v>0</v>
      </c>
      <c r="D427" s="82" t="str">
        <f>IF(A427="","",'21 2026 ÜRETİM'!F427)</f>
        <v/>
      </c>
      <c r="E427" s="81">
        <f>IF(A427="","",SUMIF('22 2026 PAKETLEME'!$B$2:$B$501,A427,'22 2026 PAKETLEME'!$E$2:$E$501))</f>
        <v>0</v>
      </c>
      <c r="F427" s="82">
        <f>IF(A427="","",SUMIF('22 2026 PAKETLEME'!$B$2:$B$501,A427,'22 2026 PAKETLEME'!$G$2:$G$501))</f>
        <v>0</v>
      </c>
      <c r="G427" s="81">
        <f>IF(A427="","",SUMIF('22 2026 PAKETLEME'!$B$2:$B$501,A427,'22 2026 PAKETLEME'!$H$2:$H$501))</f>
        <v>0</v>
      </c>
      <c r="H427" s="81" t="e">
        <f t="shared" si="30"/>
        <v>#VALUE!</v>
      </c>
      <c r="I427" s="82">
        <f>IF(A427="","",SUMIF('23 2026 SEVKİYAT'!$E$2:$E$501,A427,'23 2026 SEVKİYAT'!$H$2:$H$501))</f>
        <v>0</v>
      </c>
      <c r="J427" s="81">
        <f t="shared" si="31"/>
        <v>0</v>
      </c>
      <c r="K427" s="81" t="e">
        <f t="shared" si="32"/>
        <v>#VALUE!</v>
      </c>
      <c r="L427" s="58" t="e">
        <f t="shared" si="33"/>
        <v>#VALUE!</v>
      </c>
      <c r="M427" s="56" t="e">
        <f t="shared" si="34"/>
        <v>#VALUE!</v>
      </c>
    </row>
    <row r="428" spans="1:13" ht="15" customHeight="1" x14ac:dyDescent="0.2">
      <c r="A428" s="60">
        <f>'21 2026 ÜRETİM'!A428</f>
        <v>0</v>
      </c>
      <c r="B428" s="81" t="str">
        <f>IF(A428="","",'21 2026 ÜRETİM'!D428)</f>
        <v/>
      </c>
      <c r="C428" s="81">
        <f>IF(A428="","",'21 2026 ÜRETİM'!E428)</f>
        <v>0</v>
      </c>
      <c r="D428" s="82" t="str">
        <f>IF(A428="","",'21 2026 ÜRETİM'!F428)</f>
        <v/>
      </c>
      <c r="E428" s="81">
        <f>IF(A428="","",SUMIF('22 2026 PAKETLEME'!$B$2:$B$501,A428,'22 2026 PAKETLEME'!$E$2:$E$501))</f>
        <v>0</v>
      </c>
      <c r="F428" s="82">
        <f>IF(A428="","",SUMIF('22 2026 PAKETLEME'!$B$2:$B$501,A428,'22 2026 PAKETLEME'!$G$2:$G$501))</f>
        <v>0</v>
      </c>
      <c r="G428" s="81">
        <f>IF(A428="","",SUMIF('22 2026 PAKETLEME'!$B$2:$B$501,A428,'22 2026 PAKETLEME'!$H$2:$H$501))</f>
        <v>0</v>
      </c>
      <c r="H428" s="81" t="e">
        <f t="shared" si="30"/>
        <v>#VALUE!</v>
      </c>
      <c r="I428" s="82">
        <f>IF(A428="","",SUMIF('23 2026 SEVKİYAT'!$E$2:$E$501,A428,'23 2026 SEVKİYAT'!$H$2:$H$501))</f>
        <v>0</v>
      </c>
      <c r="J428" s="81">
        <f t="shared" si="31"/>
        <v>0</v>
      </c>
      <c r="K428" s="81" t="e">
        <f t="shared" si="32"/>
        <v>#VALUE!</v>
      </c>
      <c r="L428" s="58" t="e">
        <f t="shared" si="33"/>
        <v>#VALUE!</v>
      </c>
      <c r="M428" s="56" t="e">
        <f t="shared" si="34"/>
        <v>#VALUE!</v>
      </c>
    </row>
    <row r="429" spans="1:13" ht="15" customHeight="1" x14ac:dyDescent="0.2">
      <c r="A429" s="60">
        <f>'21 2026 ÜRETİM'!A429</f>
        <v>0</v>
      </c>
      <c r="B429" s="81" t="str">
        <f>IF(A429="","",'21 2026 ÜRETİM'!D429)</f>
        <v/>
      </c>
      <c r="C429" s="81">
        <f>IF(A429="","",'21 2026 ÜRETİM'!E429)</f>
        <v>0</v>
      </c>
      <c r="D429" s="82" t="str">
        <f>IF(A429="","",'21 2026 ÜRETİM'!F429)</f>
        <v/>
      </c>
      <c r="E429" s="81">
        <f>IF(A429="","",SUMIF('22 2026 PAKETLEME'!$B$2:$B$501,A429,'22 2026 PAKETLEME'!$E$2:$E$501))</f>
        <v>0</v>
      </c>
      <c r="F429" s="82">
        <f>IF(A429="","",SUMIF('22 2026 PAKETLEME'!$B$2:$B$501,A429,'22 2026 PAKETLEME'!$G$2:$G$501))</f>
        <v>0</v>
      </c>
      <c r="G429" s="81">
        <f>IF(A429="","",SUMIF('22 2026 PAKETLEME'!$B$2:$B$501,A429,'22 2026 PAKETLEME'!$H$2:$H$501))</f>
        <v>0</v>
      </c>
      <c r="H429" s="81" t="e">
        <f t="shared" si="30"/>
        <v>#VALUE!</v>
      </c>
      <c r="I429" s="82">
        <f>IF(A429="","",SUMIF('23 2026 SEVKİYAT'!$E$2:$E$501,A429,'23 2026 SEVKİYAT'!$H$2:$H$501))</f>
        <v>0</v>
      </c>
      <c r="J429" s="81">
        <f t="shared" si="31"/>
        <v>0</v>
      </c>
      <c r="K429" s="81" t="e">
        <f t="shared" si="32"/>
        <v>#VALUE!</v>
      </c>
      <c r="L429" s="58" t="e">
        <f t="shared" si="33"/>
        <v>#VALUE!</v>
      </c>
      <c r="M429" s="56" t="e">
        <f t="shared" si="34"/>
        <v>#VALUE!</v>
      </c>
    </row>
    <row r="430" spans="1:13" ht="15" customHeight="1" x14ac:dyDescent="0.2">
      <c r="A430" s="60">
        <f>'21 2026 ÜRETİM'!A430</f>
        <v>0</v>
      </c>
      <c r="B430" s="81" t="str">
        <f>IF(A430="","",'21 2026 ÜRETİM'!D430)</f>
        <v/>
      </c>
      <c r="C430" s="81">
        <f>IF(A430="","",'21 2026 ÜRETİM'!E430)</f>
        <v>0</v>
      </c>
      <c r="D430" s="82" t="str">
        <f>IF(A430="","",'21 2026 ÜRETİM'!F430)</f>
        <v/>
      </c>
      <c r="E430" s="81">
        <f>IF(A430="","",SUMIF('22 2026 PAKETLEME'!$B$2:$B$501,A430,'22 2026 PAKETLEME'!$E$2:$E$501))</f>
        <v>0</v>
      </c>
      <c r="F430" s="82">
        <f>IF(A430="","",SUMIF('22 2026 PAKETLEME'!$B$2:$B$501,A430,'22 2026 PAKETLEME'!$G$2:$G$501))</f>
        <v>0</v>
      </c>
      <c r="G430" s="81">
        <f>IF(A430="","",SUMIF('22 2026 PAKETLEME'!$B$2:$B$501,A430,'22 2026 PAKETLEME'!$H$2:$H$501))</f>
        <v>0</v>
      </c>
      <c r="H430" s="81" t="e">
        <f t="shared" si="30"/>
        <v>#VALUE!</v>
      </c>
      <c r="I430" s="82">
        <f>IF(A430="","",SUMIF('23 2026 SEVKİYAT'!$E$2:$E$501,A430,'23 2026 SEVKİYAT'!$H$2:$H$501))</f>
        <v>0</v>
      </c>
      <c r="J430" s="81">
        <f t="shared" si="31"/>
        <v>0</v>
      </c>
      <c r="K430" s="81" t="e">
        <f t="shared" si="32"/>
        <v>#VALUE!</v>
      </c>
      <c r="L430" s="58" t="e">
        <f t="shared" si="33"/>
        <v>#VALUE!</v>
      </c>
      <c r="M430" s="56" t="e">
        <f t="shared" si="34"/>
        <v>#VALUE!</v>
      </c>
    </row>
    <row r="431" spans="1:13" ht="15" customHeight="1" x14ac:dyDescent="0.2">
      <c r="A431" s="60">
        <f>'21 2026 ÜRETİM'!A431</f>
        <v>0</v>
      </c>
      <c r="B431" s="81" t="str">
        <f>IF(A431="","",'21 2026 ÜRETİM'!D431)</f>
        <v/>
      </c>
      <c r="C431" s="81">
        <f>IF(A431="","",'21 2026 ÜRETİM'!E431)</f>
        <v>0</v>
      </c>
      <c r="D431" s="82" t="str">
        <f>IF(A431="","",'21 2026 ÜRETİM'!F431)</f>
        <v/>
      </c>
      <c r="E431" s="81">
        <f>IF(A431="","",SUMIF('22 2026 PAKETLEME'!$B$2:$B$501,A431,'22 2026 PAKETLEME'!$E$2:$E$501))</f>
        <v>0</v>
      </c>
      <c r="F431" s="82">
        <f>IF(A431="","",SUMIF('22 2026 PAKETLEME'!$B$2:$B$501,A431,'22 2026 PAKETLEME'!$G$2:$G$501))</f>
        <v>0</v>
      </c>
      <c r="G431" s="81">
        <f>IF(A431="","",SUMIF('22 2026 PAKETLEME'!$B$2:$B$501,A431,'22 2026 PAKETLEME'!$H$2:$H$501))</f>
        <v>0</v>
      </c>
      <c r="H431" s="81" t="e">
        <f t="shared" si="30"/>
        <v>#VALUE!</v>
      </c>
      <c r="I431" s="82">
        <f>IF(A431="","",SUMIF('23 2026 SEVKİYAT'!$E$2:$E$501,A431,'23 2026 SEVKİYAT'!$H$2:$H$501))</f>
        <v>0</v>
      </c>
      <c r="J431" s="81">
        <f t="shared" si="31"/>
        <v>0</v>
      </c>
      <c r="K431" s="81" t="e">
        <f t="shared" si="32"/>
        <v>#VALUE!</v>
      </c>
      <c r="L431" s="58" t="e">
        <f t="shared" si="33"/>
        <v>#VALUE!</v>
      </c>
      <c r="M431" s="56" t="e">
        <f t="shared" si="34"/>
        <v>#VALUE!</v>
      </c>
    </row>
    <row r="432" spans="1:13" ht="15" customHeight="1" x14ac:dyDescent="0.2">
      <c r="A432" s="60">
        <f>'21 2026 ÜRETİM'!A432</f>
        <v>0</v>
      </c>
      <c r="B432" s="81" t="str">
        <f>IF(A432="","",'21 2026 ÜRETİM'!D432)</f>
        <v/>
      </c>
      <c r="C432" s="81">
        <f>IF(A432="","",'21 2026 ÜRETİM'!E432)</f>
        <v>0</v>
      </c>
      <c r="D432" s="82" t="str">
        <f>IF(A432="","",'21 2026 ÜRETİM'!F432)</f>
        <v/>
      </c>
      <c r="E432" s="81">
        <f>IF(A432="","",SUMIF('22 2026 PAKETLEME'!$B$2:$B$501,A432,'22 2026 PAKETLEME'!$E$2:$E$501))</f>
        <v>0</v>
      </c>
      <c r="F432" s="82">
        <f>IF(A432="","",SUMIF('22 2026 PAKETLEME'!$B$2:$B$501,A432,'22 2026 PAKETLEME'!$G$2:$G$501))</f>
        <v>0</v>
      </c>
      <c r="G432" s="81">
        <f>IF(A432="","",SUMIF('22 2026 PAKETLEME'!$B$2:$B$501,A432,'22 2026 PAKETLEME'!$H$2:$H$501))</f>
        <v>0</v>
      </c>
      <c r="H432" s="81" t="e">
        <f t="shared" si="30"/>
        <v>#VALUE!</v>
      </c>
      <c r="I432" s="82">
        <f>IF(A432="","",SUMIF('23 2026 SEVKİYAT'!$E$2:$E$501,A432,'23 2026 SEVKİYAT'!$H$2:$H$501))</f>
        <v>0</v>
      </c>
      <c r="J432" s="81">
        <f t="shared" si="31"/>
        <v>0</v>
      </c>
      <c r="K432" s="81" t="e">
        <f t="shared" si="32"/>
        <v>#VALUE!</v>
      </c>
      <c r="L432" s="58" t="e">
        <f t="shared" si="33"/>
        <v>#VALUE!</v>
      </c>
      <c r="M432" s="56" t="e">
        <f t="shared" si="34"/>
        <v>#VALUE!</v>
      </c>
    </row>
    <row r="433" spans="1:13" ht="15" customHeight="1" x14ac:dyDescent="0.2">
      <c r="A433" s="60">
        <f>'21 2026 ÜRETİM'!A433</f>
        <v>0</v>
      </c>
      <c r="B433" s="81" t="str">
        <f>IF(A433="","",'21 2026 ÜRETİM'!D433)</f>
        <v/>
      </c>
      <c r="C433" s="81">
        <f>IF(A433="","",'21 2026 ÜRETİM'!E433)</f>
        <v>0</v>
      </c>
      <c r="D433" s="82" t="str">
        <f>IF(A433="","",'21 2026 ÜRETİM'!F433)</f>
        <v/>
      </c>
      <c r="E433" s="81">
        <f>IF(A433="","",SUMIF('22 2026 PAKETLEME'!$B$2:$B$501,A433,'22 2026 PAKETLEME'!$E$2:$E$501))</f>
        <v>0</v>
      </c>
      <c r="F433" s="82">
        <f>IF(A433="","",SUMIF('22 2026 PAKETLEME'!$B$2:$B$501,A433,'22 2026 PAKETLEME'!$G$2:$G$501))</f>
        <v>0</v>
      </c>
      <c r="G433" s="81">
        <f>IF(A433="","",SUMIF('22 2026 PAKETLEME'!$B$2:$B$501,A433,'22 2026 PAKETLEME'!$H$2:$H$501))</f>
        <v>0</v>
      </c>
      <c r="H433" s="81" t="e">
        <f t="shared" si="30"/>
        <v>#VALUE!</v>
      </c>
      <c r="I433" s="82">
        <f>IF(A433="","",SUMIF('23 2026 SEVKİYAT'!$E$2:$E$501,A433,'23 2026 SEVKİYAT'!$H$2:$H$501))</f>
        <v>0</v>
      </c>
      <c r="J433" s="81">
        <f t="shared" si="31"/>
        <v>0</v>
      </c>
      <c r="K433" s="81" t="e">
        <f t="shared" si="32"/>
        <v>#VALUE!</v>
      </c>
      <c r="L433" s="58" t="e">
        <f t="shared" si="33"/>
        <v>#VALUE!</v>
      </c>
      <c r="M433" s="56" t="e">
        <f t="shared" si="34"/>
        <v>#VALUE!</v>
      </c>
    </row>
    <row r="434" spans="1:13" ht="15" customHeight="1" x14ac:dyDescent="0.2">
      <c r="A434" s="60">
        <f>'21 2026 ÜRETİM'!A434</f>
        <v>0</v>
      </c>
      <c r="B434" s="81" t="str">
        <f>IF(A434="","",'21 2026 ÜRETİM'!D434)</f>
        <v/>
      </c>
      <c r="C434" s="81">
        <f>IF(A434="","",'21 2026 ÜRETİM'!E434)</f>
        <v>0</v>
      </c>
      <c r="D434" s="82" t="str">
        <f>IF(A434="","",'21 2026 ÜRETİM'!F434)</f>
        <v/>
      </c>
      <c r="E434" s="81">
        <f>IF(A434="","",SUMIF('22 2026 PAKETLEME'!$B$2:$B$501,A434,'22 2026 PAKETLEME'!$E$2:$E$501))</f>
        <v>0</v>
      </c>
      <c r="F434" s="82">
        <f>IF(A434="","",SUMIF('22 2026 PAKETLEME'!$B$2:$B$501,A434,'22 2026 PAKETLEME'!$G$2:$G$501))</f>
        <v>0</v>
      </c>
      <c r="G434" s="81">
        <f>IF(A434="","",SUMIF('22 2026 PAKETLEME'!$B$2:$B$501,A434,'22 2026 PAKETLEME'!$H$2:$H$501))</f>
        <v>0</v>
      </c>
      <c r="H434" s="81" t="e">
        <f t="shared" si="30"/>
        <v>#VALUE!</v>
      </c>
      <c r="I434" s="82">
        <f>IF(A434="","",SUMIF('23 2026 SEVKİYAT'!$E$2:$E$501,A434,'23 2026 SEVKİYAT'!$H$2:$H$501))</f>
        <v>0</v>
      </c>
      <c r="J434" s="81">
        <f t="shared" si="31"/>
        <v>0</v>
      </c>
      <c r="K434" s="81" t="e">
        <f t="shared" si="32"/>
        <v>#VALUE!</v>
      </c>
      <c r="L434" s="58" t="e">
        <f t="shared" si="33"/>
        <v>#VALUE!</v>
      </c>
      <c r="M434" s="56" t="e">
        <f t="shared" si="34"/>
        <v>#VALUE!</v>
      </c>
    </row>
    <row r="435" spans="1:13" ht="15" customHeight="1" x14ac:dyDescent="0.2">
      <c r="A435" s="60">
        <f>'21 2026 ÜRETİM'!A435</f>
        <v>0</v>
      </c>
      <c r="B435" s="81" t="str">
        <f>IF(A435="","",'21 2026 ÜRETİM'!D435)</f>
        <v/>
      </c>
      <c r="C435" s="81">
        <f>IF(A435="","",'21 2026 ÜRETİM'!E435)</f>
        <v>0</v>
      </c>
      <c r="D435" s="82" t="str">
        <f>IF(A435="","",'21 2026 ÜRETİM'!F435)</f>
        <v/>
      </c>
      <c r="E435" s="81">
        <f>IF(A435="","",SUMIF('22 2026 PAKETLEME'!$B$2:$B$501,A435,'22 2026 PAKETLEME'!$E$2:$E$501))</f>
        <v>0</v>
      </c>
      <c r="F435" s="82">
        <f>IF(A435="","",SUMIF('22 2026 PAKETLEME'!$B$2:$B$501,A435,'22 2026 PAKETLEME'!$G$2:$G$501))</f>
        <v>0</v>
      </c>
      <c r="G435" s="81">
        <f>IF(A435="","",SUMIF('22 2026 PAKETLEME'!$B$2:$B$501,A435,'22 2026 PAKETLEME'!$H$2:$H$501))</f>
        <v>0</v>
      </c>
      <c r="H435" s="81" t="e">
        <f t="shared" si="30"/>
        <v>#VALUE!</v>
      </c>
      <c r="I435" s="82">
        <f>IF(A435="","",SUMIF('23 2026 SEVKİYAT'!$E$2:$E$501,A435,'23 2026 SEVKİYAT'!$H$2:$H$501))</f>
        <v>0</v>
      </c>
      <c r="J435" s="81">
        <f t="shared" si="31"/>
        <v>0</v>
      </c>
      <c r="K435" s="81" t="e">
        <f t="shared" si="32"/>
        <v>#VALUE!</v>
      </c>
      <c r="L435" s="58" t="e">
        <f t="shared" si="33"/>
        <v>#VALUE!</v>
      </c>
      <c r="M435" s="56" t="e">
        <f t="shared" si="34"/>
        <v>#VALUE!</v>
      </c>
    </row>
    <row r="436" spans="1:13" ht="15" customHeight="1" x14ac:dyDescent="0.2">
      <c r="A436" s="60">
        <f>'21 2026 ÜRETİM'!A436</f>
        <v>0</v>
      </c>
      <c r="B436" s="81" t="str">
        <f>IF(A436="","",'21 2026 ÜRETİM'!D436)</f>
        <v/>
      </c>
      <c r="C436" s="81">
        <f>IF(A436="","",'21 2026 ÜRETİM'!E436)</f>
        <v>0</v>
      </c>
      <c r="D436" s="82" t="str">
        <f>IF(A436="","",'21 2026 ÜRETİM'!F436)</f>
        <v/>
      </c>
      <c r="E436" s="81">
        <f>IF(A436="","",SUMIF('22 2026 PAKETLEME'!$B$2:$B$501,A436,'22 2026 PAKETLEME'!$E$2:$E$501))</f>
        <v>0</v>
      </c>
      <c r="F436" s="82">
        <f>IF(A436="","",SUMIF('22 2026 PAKETLEME'!$B$2:$B$501,A436,'22 2026 PAKETLEME'!$G$2:$G$501))</f>
        <v>0</v>
      </c>
      <c r="G436" s="81">
        <f>IF(A436="","",SUMIF('22 2026 PAKETLEME'!$B$2:$B$501,A436,'22 2026 PAKETLEME'!$H$2:$H$501))</f>
        <v>0</v>
      </c>
      <c r="H436" s="81" t="e">
        <f t="shared" si="30"/>
        <v>#VALUE!</v>
      </c>
      <c r="I436" s="82">
        <f>IF(A436="","",SUMIF('23 2026 SEVKİYAT'!$E$2:$E$501,A436,'23 2026 SEVKİYAT'!$H$2:$H$501))</f>
        <v>0</v>
      </c>
      <c r="J436" s="81">
        <f t="shared" si="31"/>
        <v>0</v>
      </c>
      <c r="K436" s="81" t="e">
        <f t="shared" si="32"/>
        <v>#VALUE!</v>
      </c>
      <c r="L436" s="58" t="e">
        <f t="shared" si="33"/>
        <v>#VALUE!</v>
      </c>
      <c r="M436" s="56" t="e">
        <f t="shared" si="34"/>
        <v>#VALUE!</v>
      </c>
    </row>
    <row r="437" spans="1:13" ht="15" customHeight="1" x14ac:dyDescent="0.2">
      <c r="A437" s="60">
        <f>'21 2026 ÜRETİM'!A437</f>
        <v>0</v>
      </c>
      <c r="B437" s="81" t="str">
        <f>IF(A437="","",'21 2026 ÜRETİM'!D437)</f>
        <v/>
      </c>
      <c r="C437" s="81">
        <f>IF(A437="","",'21 2026 ÜRETİM'!E437)</f>
        <v>0</v>
      </c>
      <c r="D437" s="82" t="str">
        <f>IF(A437="","",'21 2026 ÜRETİM'!F437)</f>
        <v/>
      </c>
      <c r="E437" s="81">
        <f>IF(A437="","",SUMIF('22 2026 PAKETLEME'!$B$2:$B$501,A437,'22 2026 PAKETLEME'!$E$2:$E$501))</f>
        <v>0</v>
      </c>
      <c r="F437" s="82">
        <f>IF(A437="","",SUMIF('22 2026 PAKETLEME'!$B$2:$B$501,A437,'22 2026 PAKETLEME'!$G$2:$G$501))</f>
        <v>0</v>
      </c>
      <c r="G437" s="81">
        <f>IF(A437="","",SUMIF('22 2026 PAKETLEME'!$B$2:$B$501,A437,'22 2026 PAKETLEME'!$H$2:$H$501))</f>
        <v>0</v>
      </c>
      <c r="H437" s="81" t="e">
        <f t="shared" si="30"/>
        <v>#VALUE!</v>
      </c>
      <c r="I437" s="82">
        <f>IF(A437="","",SUMIF('23 2026 SEVKİYAT'!$E$2:$E$501,A437,'23 2026 SEVKİYAT'!$H$2:$H$501))</f>
        <v>0</v>
      </c>
      <c r="J437" s="81">
        <f t="shared" si="31"/>
        <v>0</v>
      </c>
      <c r="K437" s="81" t="e">
        <f t="shared" si="32"/>
        <v>#VALUE!</v>
      </c>
      <c r="L437" s="58" t="e">
        <f t="shared" si="33"/>
        <v>#VALUE!</v>
      </c>
      <c r="M437" s="56" t="e">
        <f t="shared" si="34"/>
        <v>#VALUE!</v>
      </c>
    </row>
    <row r="438" spans="1:13" ht="15" customHeight="1" x14ac:dyDescent="0.2">
      <c r="A438" s="60">
        <f>'21 2026 ÜRETİM'!A438</f>
        <v>0</v>
      </c>
      <c r="B438" s="81" t="str">
        <f>IF(A438="","",'21 2026 ÜRETİM'!D438)</f>
        <v/>
      </c>
      <c r="C438" s="81">
        <f>IF(A438="","",'21 2026 ÜRETİM'!E438)</f>
        <v>0</v>
      </c>
      <c r="D438" s="82" t="str">
        <f>IF(A438="","",'21 2026 ÜRETİM'!F438)</f>
        <v/>
      </c>
      <c r="E438" s="81">
        <f>IF(A438="","",SUMIF('22 2026 PAKETLEME'!$B$2:$B$501,A438,'22 2026 PAKETLEME'!$E$2:$E$501))</f>
        <v>0</v>
      </c>
      <c r="F438" s="82">
        <f>IF(A438="","",SUMIF('22 2026 PAKETLEME'!$B$2:$B$501,A438,'22 2026 PAKETLEME'!$G$2:$G$501))</f>
        <v>0</v>
      </c>
      <c r="G438" s="81">
        <f>IF(A438="","",SUMIF('22 2026 PAKETLEME'!$B$2:$B$501,A438,'22 2026 PAKETLEME'!$H$2:$H$501))</f>
        <v>0</v>
      </c>
      <c r="H438" s="81" t="e">
        <f t="shared" si="30"/>
        <v>#VALUE!</v>
      </c>
      <c r="I438" s="82">
        <f>IF(A438="","",SUMIF('23 2026 SEVKİYAT'!$E$2:$E$501,A438,'23 2026 SEVKİYAT'!$H$2:$H$501))</f>
        <v>0</v>
      </c>
      <c r="J438" s="81">
        <f t="shared" si="31"/>
        <v>0</v>
      </c>
      <c r="K438" s="81" t="e">
        <f t="shared" si="32"/>
        <v>#VALUE!</v>
      </c>
      <c r="L438" s="58" t="e">
        <f t="shared" si="33"/>
        <v>#VALUE!</v>
      </c>
      <c r="M438" s="56" t="e">
        <f t="shared" si="34"/>
        <v>#VALUE!</v>
      </c>
    </row>
    <row r="439" spans="1:13" ht="15" customHeight="1" x14ac:dyDescent="0.2">
      <c r="A439" s="60">
        <f>'21 2026 ÜRETİM'!A439</f>
        <v>0</v>
      </c>
      <c r="B439" s="81" t="str">
        <f>IF(A439="","",'21 2026 ÜRETİM'!D439)</f>
        <v/>
      </c>
      <c r="C439" s="81">
        <f>IF(A439="","",'21 2026 ÜRETİM'!E439)</f>
        <v>0</v>
      </c>
      <c r="D439" s="82" t="str">
        <f>IF(A439="","",'21 2026 ÜRETİM'!F439)</f>
        <v/>
      </c>
      <c r="E439" s="81">
        <f>IF(A439="","",SUMIF('22 2026 PAKETLEME'!$B$2:$B$501,A439,'22 2026 PAKETLEME'!$E$2:$E$501))</f>
        <v>0</v>
      </c>
      <c r="F439" s="82">
        <f>IF(A439="","",SUMIF('22 2026 PAKETLEME'!$B$2:$B$501,A439,'22 2026 PAKETLEME'!$G$2:$G$501))</f>
        <v>0</v>
      </c>
      <c r="G439" s="81">
        <f>IF(A439="","",SUMIF('22 2026 PAKETLEME'!$B$2:$B$501,A439,'22 2026 PAKETLEME'!$H$2:$H$501))</f>
        <v>0</v>
      </c>
      <c r="H439" s="81" t="e">
        <f t="shared" si="30"/>
        <v>#VALUE!</v>
      </c>
      <c r="I439" s="82">
        <f>IF(A439="","",SUMIF('23 2026 SEVKİYAT'!$E$2:$E$501,A439,'23 2026 SEVKİYAT'!$H$2:$H$501))</f>
        <v>0</v>
      </c>
      <c r="J439" s="81">
        <f t="shared" si="31"/>
        <v>0</v>
      </c>
      <c r="K439" s="81" t="e">
        <f t="shared" si="32"/>
        <v>#VALUE!</v>
      </c>
      <c r="L439" s="58" t="e">
        <f t="shared" si="33"/>
        <v>#VALUE!</v>
      </c>
      <c r="M439" s="56" t="e">
        <f t="shared" si="34"/>
        <v>#VALUE!</v>
      </c>
    </row>
    <row r="440" spans="1:13" ht="15" customHeight="1" x14ac:dyDescent="0.2">
      <c r="A440" s="60">
        <f>'21 2026 ÜRETİM'!A440</f>
        <v>0</v>
      </c>
      <c r="B440" s="81" t="str">
        <f>IF(A440="","",'21 2026 ÜRETİM'!D440)</f>
        <v/>
      </c>
      <c r="C440" s="81">
        <f>IF(A440="","",'21 2026 ÜRETİM'!E440)</f>
        <v>0</v>
      </c>
      <c r="D440" s="82" t="str">
        <f>IF(A440="","",'21 2026 ÜRETİM'!F440)</f>
        <v/>
      </c>
      <c r="E440" s="81">
        <f>IF(A440="","",SUMIF('22 2026 PAKETLEME'!$B$2:$B$501,A440,'22 2026 PAKETLEME'!$E$2:$E$501))</f>
        <v>0</v>
      </c>
      <c r="F440" s="82">
        <f>IF(A440="","",SUMIF('22 2026 PAKETLEME'!$B$2:$B$501,A440,'22 2026 PAKETLEME'!$G$2:$G$501))</f>
        <v>0</v>
      </c>
      <c r="G440" s="81">
        <f>IF(A440="","",SUMIF('22 2026 PAKETLEME'!$B$2:$B$501,A440,'22 2026 PAKETLEME'!$H$2:$H$501))</f>
        <v>0</v>
      </c>
      <c r="H440" s="81" t="e">
        <f t="shared" si="30"/>
        <v>#VALUE!</v>
      </c>
      <c r="I440" s="82">
        <f>IF(A440="","",SUMIF('23 2026 SEVKİYAT'!$E$2:$E$501,A440,'23 2026 SEVKİYAT'!$H$2:$H$501))</f>
        <v>0</v>
      </c>
      <c r="J440" s="81">
        <f t="shared" si="31"/>
        <v>0</v>
      </c>
      <c r="K440" s="81" t="e">
        <f t="shared" si="32"/>
        <v>#VALUE!</v>
      </c>
      <c r="L440" s="58" t="e">
        <f t="shared" si="33"/>
        <v>#VALUE!</v>
      </c>
      <c r="M440" s="56" t="e">
        <f t="shared" si="34"/>
        <v>#VALUE!</v>
      </c>
    </row>
    <row r="441" spans="1:13" ht="15" customHeight="1" x14ac:dyDescent="0.2">
      <c r="A441" s="60">
        <f>'21 2026 ÜRETİM'!A441</f>
        <v>0</v>
      </c>
      <c r="B441" s="81" t="str">
        <f>IF(A441="","",'21 2026 ÜRETİM'!D441)</f>
        <v/>
      </c>
      <c r="C441" s="81">
        <f>IF(A441="","",'21 2026 ÜRETİM'!E441)</f>
        <v>0</v>
      </c>
      <c r="D441" s="82" t="str">
        <f>IF(A441="","",'21 2026 ÜRETİM'!F441)</f>
        <v/>
      </c>
      <c r="E441" s="81">
        <f>IF(A441="","",SUMIF('22 2026 PAKETLEME'!$B$2:$B$501,A441,'22 2026 PAKETLEME'!$E$2:$E$501))</f>
        <v>0</v>
      </c>
      <c r="F441" s="82">
        <f>IF(A441="","",SUMIF('22 2026 PAKETLEME'!$B$2:$B$501,A441,'22 2026 PAKETLEME'!$G$2:$G$501))</f>
        <v>0</v>
      </c>
      <c r="G441" s="81">
        <f>IF(A441="","",SUMIF('22 2026 PAKETLEME'!$B$2:$B$501,A441,'22 2026 PAKETLEME'!$H$2:$H$501))</f>
        <v>0</v>
      </c>
      <c r="H441" s="81" t="e">
        <f t="shared" si="30"/>
        <v>#VALUE!</v>
      </c>
      <c r="I441" s="82">
        <f>IF(A441="","",SUMIF('23 2026 SEVKİYAT'!$E$2:$E$501,A441,'23 2026 SEVKİYAT'!$H$2:$H$501))</f>
        <v>0</v>
      </c>
      <c r="J441" s="81">
        <f t="shared" si="31"/>
        <v>0</v>
      </c>
      <c r="K441" s="81" t="e">
        <f t="shared" si="32"/>
        <v>#VALUE!</v>
      </c>
      <c r="L441" s="58" t="e">
        <f t="shared" si="33"/>
        <v>#VALUE!</v>
      </c>
      <c r="M441" s="56" t="e">
        <f t="shared" si="34"/>
        <v>#VALUE!</v>
      </c>
    </row>
    <row r="442" spans="1:13" ht="15" customHeight="1" x14ac:dyDescent="0.2">
      <c r="A442" s="60">
        <f>'21 2026 ÜRETİM'!A442</f>
        <v>0</v>
      </c>
      <c r="B442" s="81" t="str">
        <f>IF(A442="","",'21 2026 ÜRETİM'!D442)</f>
        <v/>
      </c>
      <c r="C442" s="81">
        <f>IF(A442="","",'21 2026 ÜRETİM'!E442)</f>
        <v>0</v>
      </c>
      <c r="D442" s="82" t="str">
        <f>IF(A442="","",'21 2026 ÜRETİM'!F442)</f>
        <v/>
      </c>
      <c r="E442" s="81">
        <f>IF(A442="","",SUMIF('22 2026 PAKETLEME'!$B$2:$B$501,A442,'22 2026 PAKETLEME'!$E$2:$E$501))</f>
        <v>0</v>
      </c>
      <c r="F442" s="82">
        <f>IF(A442="","",SUMIF('22 2026 PAKETLEME'!$B$2:$B$501,A442,'22 2026 PAKETLEME'!$G$2:$G$501))</f>
        <v>0</v>
      </c>
      <c r="G442" s="81">
        <f>IF(A442="","",SUMIF('22 2026 PAKETLEME'!$B$2:$B$501,A442,'22 2026 PAKETLEME'!$H$2:$H$501))</f>
        <v>0</v>
      </c>
      <c r="H442" s="81" t="e">
        <f t="shared" si="30"/>
        <v>#VALUE!</v>
      </c>
      <c r="I442" s="82">
        <f>IF(A442="","",SUMIF('23 2026 SEVKİYAT'!$E$2:$E$501,A442,'23 2026 SEVKİYAT'!$H$2:$H$501))</f>
        <v>0</v>
      </c>
      <c r="J442" s="81">
        <f t="shared" si="31"/>
        <v>0</v>
      </c>
      <c r="K442" s="81" t="e">
        <f t="shared" si="32"/>
        <v>#VALUE!</v>
      </c>
      <c r="L442" s="58" t="e">
        <f t="shared" si="33"/>
        <v>#VALUE!</v>
      </c>
      <c r="M442" s="56" t="e">
        <f t="shared" si="34"/>
        <v>#VALUE!</v>
      </c>
    </row>
    <row r="443" spans="1:13" ht="15" customHeight="1" x14ac:dyDescent="0.2">
      <c r="A443" s="60">
        <f>'21 2026 ÜRETİM'!A443</f>
        <v>0</v>
      </c>
      <c r="B443" s="81" t="str">
        <f>IF(A443="","",'21 2026 ÜRETİM'!D443)</f>
        <v/>
      </c>
      <c r="C443" s="81">
        <f>IF(A443="","",'21 2026 ÜRETİM'!E443)</f>
        <v>0</v>
      </c>
      <c r="D443" s="82" t="str">
        <f>IF(A443="","",'21 2026 ÜRETİM'!F443)</f>
        <v/>
      </c>
      <c r="E443" s="81">
        <f>IF(A443="","",SUMIF('22 2026 PAKETLEME'!$B$2:$B$501,A443,'22 2026 PAKETLEME'!$E$2:$E$501))</f>
        <v>0</v>
      </c>
      <c r="F443" s="82">
        <f>IF(A443="","",SUMIF('22 2026 PAKETLEME'!$B$2:$B$501,A443,'22 2026 PAKETLEME'!$G$2:$G$501))</f>
        <v>0</v>
      </c>
      <c r="G443" s="81">
        <f>IF(A443="","",SUMIF('22 2026 PAKETLEME'!$B$2:$B$501,A443,'22 2026 PAKETLEME'!$H$2:$H$501))</f>
        <v>0</v>
      </c>
      <c r="H443" s="81" t="e">
        <f t="shared" si="30"/>
        <v>#VALUE!</v>
      </c>
      <c r="I443" s="82">
        <f>IF(A443="","",SUMIF('23 2026 SEVKİYAT'!$E$2:$E$501,A443,'23 2026 SEVKİYAT'!$H$2:$H$501))</f>
        <v>0</v>
      </c>
      <c r="J443" s="81">
        <f t="shared" si="31"/>
        <v>0</v>
      </c>
      <c r="K443" s="81" t="e">
        <f t="shared" si="32"/>
        <v>#VALUE!</v>
      </c>
      <c r="L443" s="58" t="e">
        <f t="shared" si="33"/>
        <v>#VALUE!</v>
      </c>
      <c r="M443" s="56" t="e">
        <f t="shared" si="34"/>
        <v>#VALUE!</v>
      </c>
    </row>
    <row r="444" spans="1:13" ht="15" customHeight="1" x14ac:dyDescent="0.2">
      <c r="A444" s="60">
        <f>'21 2026 ÜRETİM'!A444</f>
        <v>0</v>
      </c>
      <c r="B444" s="81" t="str">
        <f>IF(A444="","",'21 2026 ÜRETİM'!D444)</f>
        <v/>
      </c>
      <c r="C444" s="81">
        <f>IF(A444="","",'21 2026 ÜRETİM'!E444)</f>
        <v>0</v>
      </c>
      <c r="D444" s="82" t="str">
        <f>IF(A444="","",'21 2026 ÜRETİM'!F444)</f>
        <v/>
      </c>
      <c r="E444" s="81">
        <f>IF(A444="","",SUMIF('22 2026 PAKETLEME'!$B$2:$B$501,A444,'22 2026 PAKETLEME'!$E$2:$E$501))</f>
        <v>0</v>
      </c>
      <c r="F444" s="82">
        <f>IF(A444="","",SUMIF('22 2026 PAKETLEME'!$B$2:$B$501,A444,'22 2026 PAKETLEME'!$G$2:$G$501))</f>
        <v>0</v>
      </c>
      <c r="G444" s="81">
        <f>IF(A444="","",SUMIF('22 2026 PAKETLEME'!$B$2:$B$501,A444,'22 2026 PAKETLEME'!$H$2:$H$501))</f>
        <v>0</v>
      </c>
      <c r="H444" s="81" t="e">
        <f t="shared" si="30"/>
        <v>#VALUE!</v>
      </c>
      <c r="I444" s="82">
        <f>IF(A444="","",SUMIF('23 2026 SEVKİYAT'!$E$2:$E$501,A444,'23 2026 SEVKİYAT'!$H$2:$H$501))</f>
        <v>0</v>
      </c>
      <c r="J444" s="81">
        <f t="shared" si="31"/>
        <v>0</v>
      </c>
      <c r="K444" s="81" t="e">
        <f t="shared" si="32"/>
        <v>#VALUE!</v>
      </c>
      <c r="L444" s="58" t="e">
        <f t="shared" si="33"/>
        <v>#VALUE!</v>
      </c>
      <c r="M444" s="56" t="e">
        <f t="shared" si="34"/>
        <v>#VALUE!</v>
      </c>
    </row>
    <row r="445" spans="1:13" ht="15" customHeight="1" x14ac:dyDescent="0.2">
      <c r="A445" s="60">
        <f>'21 2026 ÜRETİM'!A445</f>
        <v>0</v>
      </c>
      <c r="B445" s="81" t="str">
        <f>IF(A445="","",'21 2026 ÜRETİM'!D445)</f>
        <v/>
      </c>
      <c r="C445" s="81">
        <f>IF(A445="","",'21 2026 ÜRETİM'!E445)</f>
        <v>0</v>
      </c>
      <c r="D445" s="82" t="str">
        <f>IF(A445="","",'21 2026 ÜRETİM'!F445)</f>
        <v/>
      </c>
      <c r="E445" s="81">
        <f>IF(A445="","",SUMIF('22 2026 PAKETLEME'!$B$2:$B$501,A445,'22 2026 PAKETLEME'!$E$2:$E$501))</f>
        <v>0</v>
      </c>
      <c r="F445" s="82">
        <f>IF(A445="","",SUMIF('22 2026 PAKETLEME'!$B$2:$B$501,A445,'22 2026 PAKETLEME'!$G$2:$G$501))</f>
        <v>0</v>
      </c>
      <c r="G445" s="81">
        <f>IF(A445="","",SUMIF('22 2026 PAKETLEME'!$B$2:$B$501,A445,'22 2026 PAKETLEME'!$H$2:$H$501))</f>
        <v>0</v>
      </c>
      <c r="H445" s="81" t="e">
        <f t="shared" si="30"/>
        <v>#VALUE!</v>
      </c>
      <c r="I445" s="82">
        <f>IF(A445="","",SUMIF('23 2026 SEVKİYAT'!$E$2:$E$501,A445,'23 2026 SEVKİYAT'!$H$2:$H$501))</f>
        <v>0</v>
      </c>
      <c r="J445" s="81">
        <f t="shared" si="31"/>
        <v>0</v>
      </c>
      <c r="K445" s="81" t="e">
        <f t="shared" si="32"/>
        <v>#VALUE!</v>
      </c>
      <c r="L445" s="58" t="e">
        <f t="shared" si="33"/>
        <v>#VALUE!</v>
      </c>
      <c r="M445" s="56" t="e">
        <f t="shared" si="34"/>
        <v>#VALUE!</v>
      </c>
    </row>
    <row r="446" spans="1:13" ht="15" customHeight="1" x14ac:dyDescent="0.2">
      <c r="A446" s="60">
        <f>'21 2026 ÜRETİM'!A446</f>
        <v>0</v>
      </c>
      <c r="B446" s="81" t="str">
        <f>IF(A446="","",'21 2026 ÜRETİM'!D446)</f>
        <v/>
      </c>
      <c r="C446" s="81">
        <f>IF(A446="","",'21 2026 ÜRETİM'!E446)</f>
        <v>0</v>
      </c>
      <c r="D446" s="82" t="str">
        <f>IF(A446="","",'21 2026 ÜRETİM'!F446)</f>
        <v/>
      </c>
      <c r="E446" s="81">
        <f>IF(A446="","",SUMIF('22 2026 PAKETLEME'!$B$2:$B$501,A446,'22 2026 PAKETLEME'!$E$2:$E$501))</f>
        <v>0</v>
      </c>
      <c r="F446" s="82">
        <f>IF(A446="","",SUMIF('22 2026 PAKETLEME'!$B$2:$B$501,A446,'22 2026 PAKETLEME'!$G$2:$G$501))</f>
        <v>0</v>
      </c>
      <c r="G446" s="81">
        <f>IF(A446="","",SUMIF('22 2026 PAKETLEME'!$B$2:$B$501,A446,'22 2026 PAKETLEME'!$H$2:$H$501))</f>
        <v>0</v>
      </c>
      <c r="H446" s="81" t="e">
        <f t="shared" si="30"/>
        <v>#VALUE!</v>
      </c>
      <c r="I446" s="82">
        <f>IF(A446="","",SUMIF('23 2026 SEVKİYAT'!$E$2:$E$501,A446,'23 2026 SEVKİYAT'!$H$2:$H$501))</f>
        <v>0</v>
      </c>
      <c r="J446" s="81">
        <f t="shared" si="31"/>
        <v>0</v>
      </c>
      <c r="K446" s="81" t="e">
        <f t="shared" si="32"/>
        <v>#VALUE!</v>
      </c>
      <c r="L446" s="58" t="e">
        <f t="shared" si="33"/>
        <v>#VALUE!</v>
      </c>
      <c r="M446" s="56" t="e">
        <f t="shared" si="34"/>
        <v>#VALUE!</v>
      </c>
    </row>
    <row r="447" spans="1:13" ht="15" customHeight="1" x14ac:dyDescent="0.2">
      <c r="A447" s="60">
        <f>'21 2026 ÜRETİM'!A447</f>
        <v>0</v>
      </c>
      <c r="B447" s="81" t="str">
        <f>IF(A447="","",'21 2026 ÜRETİM'!D447)</f>
        <v/>
      </c>
      <c r="C447" s="81">
        <f>IF(A447="","",'21 2026 ÜRETİM'!E447)</f>
        <v>0</v>
      </c>
      <c r="D447" s="82" t="str">
        <f>IF(A447="","",'21 2026 ÜRETİM'!F447)</f>
        <v/>
      </c>
      <c r="E447" s="81">
        <f>IF(A447="","",SUMIF('22 2026 PAKETLEME'!$B$2:$B$501,A447,'22 2026 PAKETLEME'!$E$2:$E$501))</f>
        <v>0</v>
      </c>
      <c r="F447" s="82">
        <f>IF(A447="","",SUMIF('22 2026 PAKETLEME'!$B$2:$B$501,A447,'22 2026 PAKETLEME'!$G$2:$G$501))</f>
        <v>0</v>
      </c>
      <c r="G447" s="81">
        <f>IF(A447="","",SUMIF('22 2026 PAKETLEME'!$B$2:$B$501,A447,'22 2026 PAKETLEME'!$H$2:$H$501))</f>
        <v>0</v>
      </c>
      <c r="H447" s="81" t="e">
        <f t="shared" si="30"/>
        <v>#VALUE!</v>
      </c>
      <c r="I447" s="82">
        <f>IF(A447="","",SUMIF('23 2026 SEVKİYAT'!$E$2:$E$501,A447,'23 2026 SEVKİYAT'!$H$2:$H$501))</f>
        <v>0</v>
      </c>
      <c r="J447" s="81">
        <f t="shared" si="31"/>
        <v>0</v>
      </c>
      <c r="K447" s="81" t="e">
        <f t="shared" si="32"/>
        <v>#VALUE!</v>
      </c>
      <c r="L447" s="58" t="e">
        <f t="shared" si="33"/>
        <v>#VALUE!</v>
      </c>
      <c r="M447" s="56" t="e">
        <f t="shared" si="34"/>
        <v>#VALUE!</v>
      </c>
    </row>
    <row r="448" spans="1:13" ht="15" customHeight="1" x14ac:dyDescent="0.2">
      <c r="A448" s="60">
        <f>'21 2026 ÜRETİM'!A448</f>
        <v>0</v>
      </c>
      <c r="B448" s="81" t="str">
        <f>IF(A448="","",'21 2026 ÜRETİM'!D448)</f>
        <v/>
      </c>
      <c r="C448" s="81">
        <f>IF(A448="","",'21 2026 ÜRETİM'!E448)</f>
        <v>0</v>
      </c>
      <c r="D448" s="82" t="str">
        <f>IF(A448="","",'21 2026 ÜRETİM'!F448)</f>
        <v/>
      </c>
      <c r="E448" s="81">
        <f>IF(A448="","",SUMIF('22 2026 PAKETLEME'!$B$2:$B$501,A448,'22 2026 PAKETLEME'!$E$2:$E$501))</f>
        <v>0</v>
      </c>
      <c r="F448" s="82">
        <f>IF(A448="","",SUMIF('22 2026 PAKETLEME'!$B$2:$B$501,A448,'22 2026 PAKETLEME'!$G$2:$G$501))</f>
        <v>0</v>
      </c>
      <c r="G448" s="81">
        <f>IF(A448="","",SUMIF('22 2026 PAKETLEME'!$B$2:$B$501,A448,'22 2026 PAKETLEME'!$H$2:$H$501))</f>
        <v>0</v>
      </c>
      <c r="H448" s="81" t="e">
        <f t="shared" si="30"/>
        <v>#VALUE!</v>
      </c>
      <c r="I448" s="82">
        <f>IF(A448="","",SUMIF('23 2026 SEVKİYAT'!$E$2:$E$501,A448,'23 2026 SEVKİYAT'!$H$2:$H$501))</f>
        <v>0</v>
      </c>
      <c r="J448" s="81">
        <f t="shared" si="31"/>
        <v>0</v>
      </c>
      <c r="K448" s="81" t="e">
        <f t="shared" si="32"/>
        <v>#VALUE!</v>
      </c>
      <c r="L448" s="58" t="e">
        <f t="shared" si="33"/>
        <v>#VALUE!</v>
      </c>
      <c r="M448" s="56" t="e">
        <f t="shared" si="34"/>
        <v>#VALUE!</v>
      </c>
    </row>
    <row r="449" spans="1:13" ht="15" customHeight="1" x14ac:dyDescent="0.2">
      <c r="A449" s="60">
        <f>'21 2026 ÜRETİM'!A449</f>
        <v>0</v>
      </c>
      <c r="B449" s="81" t="str">
        <f>IF(A449="","",'21 2026 ÜRETİM'!D449)</f>
        <v/>
      </c>
      <c r="C449" s="81">
        <f>IF(A449="","",'21 2026 ÜRETİM'!E449)</f>
        <v>0</v>
      </c>
      <c r="D449" s="82" t="str">
        <f>IF(A449="","",'21 2026 ÜRETİM'!F449)</f>
        <v/>
      </c>
      <c r="E449" s="81">
        <f>IF(A449="","",SUMIF('22 2026 PAKETLEME'!$B$2:$B$501,A449,'22 2026 PAKETLEME'!$E$2:$E$501))</f>
        <v>0</v>
      </c>
      <c r="F449" s="82">
        <f>IF(A449="","",SUMIF('22 2026 PAKETLEME'!$B$2:$B$501,A449,'22 2026 PAKETLEME'!$G$2:$G$501))</f>
        <v>0</v>
      </c>
      <c r="G449" s="81">
        <f>IF(A449="","",SUMIF('22 2026 PAKETLEME'!$B$2:$B$501,A449,'22 2026 PAKETLEME'!$H$2:$H$501))</f>
        <v>0</v>
      </c>
      <c r="H449" s="81" t="e">
        <f t="shared" si="30"/>
        <v>#VALUE!</v>
      </c>
      <c r="I449" s="82">
        <f>IF(A449="","",SUMIF('23 2026 SEVKİYAT'!$E$2:$E$501,A449,'23 2026 SEVKİYAT'!$H$2:$H$501))</f>
        <v>0</v>
      </c>
      <c r="J449" s="81">
        <f t="shared" si="31"/>
        <v>0</v>
      </c>
      <c r="K449" s="81" t="e">
        <f t="shared" si="32"/>
        <v>#VALUE!</v>
      </c>
      <c r="L449" s="58" t="e">
        <f t="shared" si="33"/>
        <v>#VALUE!</v>
      </c>
      <c r="M449" s="56" t="e">
        <f t="shared" si="34"/>
        <v>#VALUE!</v>
      </c>
    </row>
    <row r="450" spans="1:13" ht="15" customHeight="1" x14ac:dyDescent="0.2">
      <c r="A450" s="60">
        <f>'21 2026 ÜRETİM'!A450</f>
        <v>0</v>
      </c>
      <c r="B450" s="81" t="str">
        <f>IF(A450="","",'21 2026 ÜRETİM'!D450)</f>
        <v/>
      </c>
      <c r="C450" s="81">
        <f>IF(A450="","",'21 2026 ÜRETİM'!E450)</f>
        <v>0</v>
      </c>
      <c r="D450" s="82" t="str">
        <f>IF(A450="","",'21 2026 ÜRETİM'!F450)</f>
        <v/>
      </c>
      <c r="E450" s="81">
        <f>IF(A450="","",SUMIF('22 2026 PAKETLEME'!$B$2:$B$501,A450,'22 2026 PAKETLEME'!$E$2:$E$501))</f>
        <v>0</v>
      </c>
      <c r="F450" s="82">
        <f>IF(A450="","",SUMIF('22 2026 PAKETLEME'!$B$2:$B$501,A450,'22 2026 PAKETLEME'!$G$2:$G$501))</f>
        <v>0</v>
      </c>
      <c r="G450" s="81">
        <f>IF(A450="","",SUMIF('22 2026 PAKETLEME'!$B$2:$B$501,A450,'22 2026 PAKETLEME'!$H$2:$H$501))</f>
        <v>0</v>
      </c>
      <c r="H450" s="81" t="e">
        <f t="shared" ref="H450:H513" si="35">IF(A450="","",D450-E450-F450-G450)</f>
        <v>#VALUE!</v>
      </c>
      <c r="I450" s="82">
        <f>IF(A450="","",SUMIF('23 2026 SEVKİYAT'!$E$2:$E$501,A450,'23 2026 SEVKİYAT'!$H$2:$H$501))</f>
        <v>0</v>
      </c>
      <c r="J450" s="81">
        <f t="shared" ref="J450:J513" si="36">IF(A450="","",E450+F450-I450)</f>
        <v>0</v>
      </c>
      <c r="K450" s="81" t="e">
        <f t="shared" ref="K450:K501" si="37">IF(A450="","",D450-E450-F450-G450-H450)</f>
        <v>#VALUE!</v>
      </c>
      <c r="L450" s="58" t="e">
        <f t="shared" ref="L450:L513" si="38">IF(A450="","",IF(ABS(K450)&lt;0.001,"KAPALI","KONTROL"))</f>
        <v>#VALUE!</v>
      </c>
      <c r="M450" s="56" t="e">
        <f t="shared" ref="M450:M501" si="39">IF(A450="","",IF(J450&lt;0,"SEVK PAKETLEMEYİ AŞIYOR",IF(H450&lt;&gt;0,"PAKETLEME BAKİYESİ VAR","DENKLİK KAPALI")))</f>
        <v>#VALUE!</v>
      </c>
    </row>
    <row r="451" spans="1:13" ht="15" customHeight="1" x14ac:dyDescent="0.2">
      <c r="A451" s="60">
        <f>'21 2026 ÜRETİM'!A451</f>
        <v>0</v>
      </c>
      <c r="B451" s="81" t="str">
        <f>IF(A451="","",'21 2026 ÜRETİM'!D451)</f>
        <v/>
      </c>
      <c r="C451" s="81">
        <f>IF(A451="","",'21 2026 ÜRETİM'!E451)</f>
        <v>0</v>
      </c>
      <c r="D451" s="82" t="str">
        <f>IF(A451="","",'21 2026 ÜRETİM'!F451)</f>
        <v/>
      </c>
      <c r="E451" s="81">
        <f>IF(A451="","",SUMIF('22 2026 PAKETLEME'!$B$2:$B$501,A451,'22 2026 PAKETLEME'!$E$2:$E$501))</f>
        <v>0</v>
      </c>
      <c r="F451" s="82">
        <f>IF(A451="","",SUMIF('22 2026 PAKETLEME'!$B$2:$B$501,A451,'22 2026 PAKETLEME'!$G$2:$G$501))</f>
        <v>0</v>
      </c>
      <c r="G451" s="81">
        <f>IF(A451="","",SUMIF('22 2026 PAKETLEME'!$B$2:$B$501,A451,'22 2026 PAKETLEME'!$H$2:$H$501))</f>
        <v>0</v>
      </c>
      <c r="H451" s="81" t="e">
        <f t="shared" si="35"/>
        <v>#VALUE!</v>
      </c>
      <c r="I451" s="82">
        <f>IF(A451="","",SUMIF('23 2026 SEVKİYAT'!$E$2:$E$501,A451,'23 2026 SEVKİYAT'!$H$2:$H$501))</f>
        <v>0</v>
      </c>
      <c r="J451" s="81">
        <f t="shared" si="36"/>
        <v>0</v>
      </c>
      <c r="K451" s="81" t="e">
        <f t="shared" si="37"/>
        <v>#VALUE!</v>
      </c>
      <c r="L451" s="58" t="e">
        <f t="shared" si="38"/>
        <v>#VALUE!</v>
      </c>
      <c r="M451" s="56" t="e">
        <f t="shared" si="39"/>
        <v>#VALUE!</v>
      </c>
    </row>
    <row r="452" spans="1:13" ht="15" customHeight="1" x14ac:dyDescent="0.2">
      <c r="A452" s="60">
        <f>'21 2026 ÜRETİM'!A452</f>
        <v>0</v>
      </c>
      <c r="B452" s="81" t="str">
        <f>IF(A452="","",'21 2026 ÜRETİM'!D452)</f>
        <v/>
      </c>
      <c r="C452" s="81">
        <f>IF(A452="","",'21 2026 ÜRETİM'!E452)</f>
        <v>0</v>
      </c>
      <c r="D452" s="82" t="str">
        <f>IF(A452="","",'21 2026 ÜRETİM'!F452)</f>
        <v/>
      </c>
      <c r="E452" s="81">
        <f>IF(A452="","",SUMIF('22 2026 PAKETLEME'!$B$2:$B$501,A452,'22 2026 PAKETLEME'!$E$2:$E$501))</f>
        <v>0</v>
      </c>
      <c r="F452" s="82">
        <f>IF(A452="","",SUMIF('22 2026 PAKETLEME'!$B$2:$B$501,A452,'22 2026 PAKETLEME'!$G$2:$G$501))</f>
        <v>0</v>
      </c>
      <c r="G452" s="81">
        <f>IF(A452="","",SUMIF('22 2026 PAKETLEME'!$B$2:$B$501,A452,'22 2026 PAKETLEME'!$H$2:$H$501))</f>
        <v>0</v>
      </c>
      <c r="H452" s="81" t="e">
        <f t="shared" si="35"/>
        <v>#VALUE!</v>
      </c>
      <c r="I452" s="82">
        <f>IF(A452="","",SUMIF('23 2026 SEVKİYAT'!$E$2:$E$501,A452,'23 2026 SEVKİYAT'!$H$2:$H$501))</f>
        <v>0</v>
      </c>
      <c r="J452" s="81">
        <f t="shared" si="36"/>
        <v>0</v>
      </c>
      <c r="K452" s="81" t="e">
        <f t="shared" si="37"/>
        <v>#VALUE!</v>
      </c>
      <c r="L452" s="58" t="e">
        <f t="shared" si="38"/>
        <v>#VALUE!</v>
      </c>
      <c r="M452" s="56" t="e">
        <f t="shared" si="39"/>
        <v>#VALUE!</v>
      </c>
    </row>
    <row r="453" spans="1:13" ht="15" customHeight="1" x14ac:dyDescent="0.2">
      <c r="A453" s="60">
        <f>'21 2026 ÜRETİM'!A453</f>
        <v>0</v>
      </c>
      <c r="B453" s="81" t="str">
        <f>IF(A453="","",'21 2026 ÜRETİM'!D453)</f>
        <v/>
      </c>
      <c r="C453" s="81">
        <f>IF(A453="","",'21 2026 ÜRETİM'!E453)</f>
        <v>0</v>
      </c>
      <c r="D453" s="82" t="str">
        <f>IF(A453="","",'21 2026 ÜRETİM'!F453)</f>
        <v/>
      </c>
      <c r="E453" s="81">
        <f>IF(A453="","",SUMIF('22 2026 PAKETLEME'!$B$2:$B$501,A453,'22 2026 PAKETLEME'!$E$2:$E$501))</f>
        <v>0</v>
      </c>
      <c r="F453" s="82">
        <f>IF(A453="","",SUMIF('22 2026 PAKETLEME'!$B$2:$B$501,A453,'22 2026 PAKETLEME'!$G$2:$G$501))</f>
        <v>0</v>
      </c>
      <c r="G453" s="81">
        <f>IF(A453="","",SUMIF('22 2026 PAKETLEME'!$B$2:$B$501,A453,'22 2026 PAKETLEME'!$H$2:$H$501))</f>
        <v>0</v>
      </c>
      <c r="H453" s="81" t="e">
        <f t="shared" si="35"/>
        <v>#VALUE!</v>
      </c>
      <c r="I453" s="82">
        <f>IF(A453="","",SUMIF('23 2026 SEVKİYAT'!$E$2:$E$501,A453,'23 2026 SEVKİYAT'!$H$2:$H$501))</f>
        <v>0</v>
      </c>
      <c r="J453" s="81">
        <f t="shared" si="36"/>
        <v>0</v>
      </c>
      <c r="K453" s="81" t="e">
        <f t="shared" si="37"/>
        <v>#VALUE!</v>
      </c>
      <c r="L453" s="58" t="e">
        <f t="shared" si="38"/>
        <v>#VALUE!</v>
      </c>
      <c r="M453" s="56" t="e">
        <f t="shared" si="39"/>
        <v>#VALUE!</v>
      </c>
    </row>
    <row r="454" spans="1:13" ht="15" customHeight="1" x14ac:dyDescent="0.2">
      <c r="A454" s="60">
        <f>'21 2026 ÜRETİM'!A454</f>
        <v>0</v>
      </c>
      <c r="B454" s="81" t="str">
        <f>IF(A454="","",'21 2026 ÜRETİM'!D454)</f>
        <v/>
      </c>
      <c r="C454" s="81">
        <f>IF(A454="","",'21 2026 ÜRETİM'!E454)</f>
        <v>0</v>
      </c>
      <c r="D454" s="82" t="str">
        <f>IF(A454="","",'21 2026 ÜRETİM'!F454)</f>
        <v/>
      </c>
      <c r="E454" s="81">
        <f>IF(A454="","",SUMIF('22 2026 PAKETLEME'!$B$2:$B$501,A454,'22 2026 PAKETLEME'!$E$2:$E$501))</f>
        <v>0</v>
      </c>
      <c r="F454" s="82">
        <f>IF(A454="","",SUMIF('22 2026 PAKETLEME'!$B$2:$B$501,A454,'22 2026 PAKETLEME'!$G$2:$G$501))</f>
        <v>0</v>
      </c>
      <c r="G454" s="81">
        <f>IF(A454="","",SUMIF('22 2026 PAKETLEME'!$B$2:$B$501,A454,'22 2026 PAKETLEME'!$H$2:$H$501))</f>
        <v>0</v>
      </c>
      <c r="H454" s="81" t="e">
        <f t="shared" si="35"/>
        <v>#VALUE!</v>
      </c>
      <c r="I454" s="82">
        <f>IF(A454="","",SUMIF('23 2026 SEVKİYAT'!$E$2:$E$501,A454,'23 2026 SEVKİYAT'!$H$2:$H$501))</f>
        <v>0</v>
      </c>
      <c r="J454" s="81">
        <f t="shared" si="36"/>
        <v>0</v>
      </c>
      <c r="K454" s="81" t="e">
        <f t="shared" si="37"/>
        <v>#VALUE!</v>
      </c>
      <c r="L454" s="58" t="e">
        <f t="shared" si="38"/>
        <v>#VALUE!</v>
      </c>
      <c r="M454" s="56" t="e">
        <f t="shared" si="39"/>
        <v>#VALUE!</v>
      </c>
    </row>
    <row r="455" spans="1:13" ht="15" customHeight="1" x14ac:dyDescent="0.2">
      <c r="A455" s="60">
        <f>'21 2026 ÜRETİM'!A455</f>
        <v>0</v>
      </c>
      <c r="B455" s="81" t="str">
        <f>IF(A455="","",'21 2026 ÜRETİM'!D455)</f>
        <v/>
      </c>
      <c r="C455" s="81">
        <f>IF(A455="","",'21 2026 ÜRETİM'!E455)</f>
        <v>0</v>
      </c>
      <c r="D455" s="82" t="str">
        <f>IF(A455="","",'21 2026 ÜRETİM'!F455)</f>
        <v/>
      </c>
      <c r="E455" s="81">
        <f>IF(A455="","",SUMIF('22 2026 PAKETLEME'!$B$2:$B$501,A455,'22 2026 PAKETLEME'!$E$2:$E$501))</f>
        <v>0</v>
      </c>
      <c r="F455" s="82">
        <f>IF(A455="","",SUMIF('22 2026 PAKETLEME'!$B$2:$B$501,A455,'22 2026 PAKETLEME'!$G$2:$G$501))</f>
        <v>0</v>
      </c>
      <c r="G455" s="81">
        <f>IF(A455="","",SUMIF('22 2026 PAKETLEME'!$B$2:$B$501,A455,'22 2026 PAKETLEME'!$H$2:$H$501))</f>
        <v>0</v>
      </c>
      <c r="H455" s="81" t="e">
        <f t="shared" si="35"/>
        <v>#VALUE!</v>
      </c>
      <c r="I455" s="82">
        <f>IF(A455="","",SUMIF('23 2026 SEVKİYAT'!$E$2:$E$501,A455,'23 2026 SEVKİYAT'!$H$2:$H$501))</f>
        <v>0</v>
      </c>
      <c r="J455" s="81">
        <f t="shared" si="36"/>
        <v>0</v>
      </c>
      <c r="K455" s="81" t="e">
        <f t="shared" si="37"/>
        <v>#VALUE!</v>
      </c>
      <c r="L455" s="58" t="e">
        <f t="shared" si="38"/>
        <v>#VALUE!</v>
      </c>
      <c r="M455" s="56" t="e">
        <f t="shared" si="39"/>
        <v>#VALUE!</v>
      </c>
    </row>
    <row r="456" spans="1:13" ht="15" customHeight="1" x14ac:dyDescent="0.2">
      <c r="A456" s="60">
        <f>'21 2026 ÜRETİM'!A456</f>
        <v>0</v>
      </c>
      <c r="B456" s="81" t="str">
        <f>IF(A456="","",'21 2026 ÜRETİM'!D456)</f>
        <v/>
      </c>
      <c r="C456" s="81">
        <f>IF(A456="","",'21 2026 ÜRETİM'!E456)</f>
        <v>0</v>
      </c>
      <c r="D456" s="82" t="str">
        <f>IF(A456="","",'21 2026 ÜRETİM'!F456)</f>
        <v/>
      </c>
      <c r="E456" s="81">
        <f>IF(A456="","",SUMIF('22 2026 PAKETLEME'!$B$2:$B$501,A456,'22 2026 PAKETLEME'!$E$2:$E$501))</f>
        <v>0</v>
      </c>
      <c r="F456" s="82">
        <f>IF(A456="","",SUMIF('22 2026 PAKETLEME'!$B$2:$B$501,A456,'22 2026 PAKETLEME'!$G$2:$G$501))</f>
        <v>0</v>
      </c>
      <c r="G456" s="81">
        <f>IF(A456="","",SUMIF('22 2026 PAKETLEME'!$B$2:$B$501,A456,'22 2026 PAKETLEME'!$H$2:$H$501))</f>
        <v>0</v>
      </c>
      <c r="H456" s="81" t="e">
        <f t="shared" si="35"/>
        <v>#VALUE!</v>
      </c>
      <c r="I456" s="82">
        <f>IF(A456="","",SUMIF('23 2026 SEVKİYAT'!$E$2:$E$501,A456,'23 2026 SEVKİYAT'!$H$2:$H$501))</f>
        <v>0</v>
      </c>
      <c r="J456" s="81">
        <f t="shared" si="36"/>
        <v>0</v>
      </c>
      <c r="K456" s="81" t="e">
        <f t="shared" si="37"/>
        <v>#VALUE!</v>
      </c>
      <c r="L456" s="58" t="e">
        <f t="shared" si="38"/>
        <v>#VALUE!</v>
      </c>
      <c r="M456" s="56" t="e">
        <f t="shared" si="39"/>
        <v>#VALUE!</v>
      </c>
    </row>
    <row r="457" spans="1:13" ht="15" customHeight="1" x14ac:dyDescent="0.2">
      <c r="A457" s="60">
        <f>'21 2026 ÜRETİM'!A457</f>
        <v>0</v>
      </c>
      <c r="B457" s="81" t="str">
        <f>IF(A457="","",'21 2026 ÜRETİM'!D457)</f>
        <v/>
      </c>
      <c r="C457" s="81">
        <f>IF(A457="","",'21 2026 ÜRETİM'!E457)</f>
        <v>0</v>
      </c>
      <c r="D457" s="82" t="str">
        <f>IF(A457="","",'21 2026 ÜRETİM'!F457)</f>
        <v/>
      </c>
      <c r="E457" s="81">
        <f>IF(A457="","",SUMIF('22 2026 PAKETLEME'!$B$2:$B$501,A457,'22 2026 PAKETLEME'!$E$2:$E$501))</f>
        <v>0</v>
      </c>
      <c r="F457" s="82">
        <f>IF(A457="","",SUMIF('22 2026 PAKETLEME'!$B$2:$B$501,A457,'22 2026 PAKETLEME'!$G$2:$G$501))</f>
        <v>0</v>
      </c>
      <c r="G457" s="81">
        <f>IF(A457="","",SUMIF('22 2026 PAKETLEME'!$B$2:$B$501,A457,'22 2026 PAKETLEME'!$H$2:$H$501))</f>
        <v>0</v>
      </c>
      <c r="H457" s="81" t="e">
        <f t="shared" si="35"/>
        <v>#VALUE!</v>
      </c>
      <c r="I457" s="82">
        <f>IF(A457="","",SUMIF('23 2026 SEVKİYAT'!$E$2:$E$501,A457,'23 2026 SEVKİYAT'!$H$2:$H$501))</f>
        <v>0</v>
      </c>
      <c r="J457" s="81">
        <f t="shared" si="36"/>
        <v>0</v>
      </c>
      <c r="K457" s="81" t="e">
        <f t="shared" si="37"/>
        <v>#VALUE!</v>
      </c>
      <c r="L457" s="58" t="e">
        <f t="shared" si="38"/>
        <v>#VALUE!</v>
      </c>
      <c r="M457" s="56" t="e">
        <f t="shared" si="39"/>
        <v>#VALUE!</v>
      </c>
    </row>
    <row r="458" spans="1:13" ht="15" customHeight="1" x14ac:dyDescent="0.2">
      <c r="A458" s="60">
        <f>'21 2026 ÜRETİM'!A458</f>
        <v>0</v>
      </c>
      <c r="B458" s="81" t="str">
        <f>IF(A458="","",'21 2026 ÜRETİM'!D458)</f>
        <v/>
      </c>
      <c r="C458" s="81">
        <f>IF(A458="","",'21 2026 ÜRETİM'!E458)</f>
        <v>0</v>
      </c>
      <c r="D458" s="82" t="str">
        <f>IF(A458="","",'21 2026 ÜRETİM'!F458)</f>
        <v/>
      </c>
      <c r="E458" s="81">
        <f>IF(A458="","",SUMIF('22 2026 PAKETLEME'!$B$2:$B$501,A458,'22 2026 PAKETLEME'!$E$2:$E$501))</f>
        <v>0</v>
      </c>
      <c r="F458" s="82">
        <f>IF(A458="","",SUMIF('22 2026 PAKETLEME'!$B$2:$B$501,A458,'22 2026 PAKETLEME'!$G$2:$G$501))</f>
        <v>0</v>
      </c>
      <c r="G458" s="81">
        <f>IF(A458="","",SUMIF('22 2026 PAKETLEME'!$B$2:$B$501,A458,'22 2026 PAKETLEME'!$H$2:$H$501))</f>
        <v>0</v>
      </c>
      <c r="H458" s="81" t="e">
        <f t="shared" si="35"/>
        <v>#VALUE!</v>
      </c>
      <c r="I458" s="82">
        <f>IF(A458="","",SUMIF('23 2026 SEVKİYAT'!$E$2:$E$501,A458,'23 2026 SEVKİYAT'!$H$2:$H$501))</f>
        <v>0</v>
      </c>
      <c r="J458" s="81">
        <f t="shared" si="36"/>
        <v>0</v>
      </c>
      <c r="K458" s="81" t="e">
        <f t="shared" si="37"/>
        <v>#VALUE!</v>
      </c>
      <c r="L458" s="58" t="e">
        <f t="shared" si="38"/>
        <v>#VALUE!</v>
      </c>
      <c r="M458" s="56" t="e">
        <f t="shared" si="39"/>
        <v>#VALUE!</v>
      </c>
    </row>
    <row r="459" spans="1:13" ht="15" customHeight="1" x14ac:dyDescent="0.2">
      <c r="A459" s="60">
        <f>'21 2026 ÜRETİM'!A459</f>
        <v>0</v>
      </c>
      <c r="B459" s="81" t="str">
        <f>IF(A459="","",'21 2026 ÜRETİM'!D459)</f>
        <v/>
      </c>
      <c r="C459" s="81">
        <f>IF(A459="","",'21 2026 ÜRETİM'!E459)</f>
        <v>0</v>
      </c>
      <c r="D459" s="82" t="str">
        <f>IF(A459="","",'21 2026 ÜRETİM'!F459)</f>
        <v/>
      </c>
      <c r="E459" s="81">
        <f>IF(A459="","",SUMIF('22 2026 PAKETLEME'!$B$2:$B$501,A459,'22 2026 PAKETLEME'!$E$2:$E$501))</f>
        <v>0</v>
      </c>
      <c r="F459" s="82">
        <f>IF(A459="","",SUMIF('22 2026 PAKETLEME'!$B$2:$B$501,A459,'22 2026 PAKETLEME'!$G$2:$G$501))</f>
        <v>0</v>
      </c>
      <c r="G459" s="81">
        <f>IF(A459="","",SUMIF('22 2026 PAKETLEME'!$B$2:$B$501,A459,'22 2026 PAKETLEME'!$H$2:$H$501))</f>
        <v>0</v>
      </c>
      <c r="H459" s="81" t="e">
        <f t="shared" si="35"/>
        <v>#VALUE!</v>
      </c>
      <c r="I459" s="82">
        <f>IF(A459="","",SUMIF('23 2026 SEVKİYAT'!$E$2:$E$501,A459,'23 2026 SEVKİYAT'!$H$2:$H$501))</f>
        <v>0</v>
      </c>
      <c r="J459" s="81">
        <f t="shared" si="36"/>
        <v>0</v>
      </c>
      <c r="K459" s="81" t="e">
        <f t="shared" si="37"/>
        <v>#VALUE!</v>
      </c>
      <c r="L459" s="58" t="e">
        <f t="shared" si="38"/>
        <v>#VALUE!</v>
      </c>
      <c r="M459" s="56" t="e">
        <f t="shared" si="39"/>
        <v>#VALUE!</v>
      </c>
    </row>
    <row r="460" spans="1:13" ht="15" customHeight="1" x14ac:dyDescent="0.2">
      <c r="A460" s="60">
        <f>'21 2026 ÜRETİM'!A460</f>
        <v>0</v>
      </c>
      <c r="B460" s="81" t="str">
        <f>IF(A460="","",'21 2026 ÜRETİM'!D460)</f>
        <v/>
      </c>
      <c r="C460" s="81">
        <f>IF(A460="","",'21 2026 ÜRETİM'!E460)</f>
        <v>0</v>
      </c>
      <c r="D460" s="82" t="str">
        <f>IF(A460="","",'21 2026 ÜRETİM'!F460)</f>
        <v/>
      </c>
      <c r="E460" s="81">
        <f>IF(A460="","",SUMIF('22 2026 PAKETLEME'!$B$2:$B$501,A460,'22 2026 PAKETLEME'!$E$2:$E$501))</f>
        <v>0</v>
      </c>
      <c r="F460" s="82">
        <f>IF(A460="","",SUMIF('22 2026 PAKETLEME'!$B$2:$B$501,A460,'22 2026 PAKETLEME'!$G$2:$G$501))</f>
        <v>0</v>
      </c>
      <c r="G460" s="81">
        <f>IF(A460="","",SUMIF('22 2026 PAKETLEME'!$B$2:$B$501,A460,'22 2026 PAKETLEME'!$H$2:$H$501))</f>
        <v>0</v>
      </c>
      <c r="H460" s="81" t="e">
        <f t="shared" si="35"/>
        <v>#VALUE!</v>
      </c>
      <c r="I460" s="82">
        <f>IF(A460="","",SUMIF('23 2026 SEVKİYAT'!$E$2:$E$501,A460,'23 2026 SEVKİYAT'!$H$2:$H$501))</f>
        <v>0</v>
      </c>
      <c r="J460" s="81">
        <f t="shared" si="36"/>
        <v>0</v>
      </c>
      <c r="K460" s="81" t="e">
        <f t="shared" si="37"/>
        <v>#VALUE!</v>
      </c>
      <c r="L460" s="58" t="e">
        <f t="shared" si="38"/>
        <v>#VALUE!</v>
      </c>
      <c r="M460" s="56" t="e">
        <f t="shared" si="39"/>
        <v>#VALUE!</v>
      </c>
    </row>
    <row r="461" spans="1:13" ht="15" customHeight="1" x14ac:dyDescent="0.2">
      <c r="A461" s="60">
        <f>'21 2026 ÜRETİM'!A461</f>
        <v>0</v>
      </c>
      <c r="B461" s="81" t="str">
        <f>IF(A461="","",'21 2026 ÜRETİM'!D461)</f>
        <v/>
      </c>
      <c r="C461" s="81">
        <f>IF(A461="","",'21 2026 ÜRETİM'!E461)</f>
        <v>0</v>
      </c>
      <c r="D461" s="82" t="str">
        <f>IF(A461="","",'21 2026 ÜRETİM'!F461)</f>
        <v/>
      </c>
      <c r="E461" s="81">
        <f>IF(A461="","",SUMIF('22 2026 PAKETLEME'!$B$2:$B$501,A461,'22 2026 PAKETLEME'!$E$2:$E$501))</f>
        <v>0</v>
      </c>
      <c r="F461" s="82">
        <f>IF(A461="","",SUMIF('22 2026 PAKETLEME'!$B$2:$B$501,A461,'22 2026 PAKETLEME'!$G$2:$G$501))</f>
        <v>0</v>
      </c>
      <c r="G461" s="81">
        <f>IF(A461="","",SUMIF('22 2026 PAKETLEME'!$B$2:$B$501,A461,'22 2026 PAKETLEME'!$H$2:$H$501))</f>
        <v>0</v>
      </c>
      <c r="H461" s="81" t="e">
        <f t="shared" si="35"/>
        <v>#VALUE!</v>
      </c>
      <c r="I461" s="82">
        <f>IF(A461="","",SUMIF('23 2026 SEVKİYAT'!$E$2:$E$501,A461,'23 2026 SEVKİYAT'!$H$2:$H$501))</f>
        <v>0</v>
      </c>
      <c r="J461" s="81">
        <f t="shared" si="36"/>
        <v>0</v>
      </c>
      <c r="K461" s="81" t="e">
        <f t="shared" si="37"/>
        <v>#VALUE!</v>
      </c>
      <c r="L461" s="58" t="e">
        <f t="shared" si="38"/>
        <v>#VALUE!</v>
      </c>
      <c r="M461" s="56" t="e">
        <f t="shared" si="39"/>
        <v>#VALUE!</v>
      </c>
    </row>
    <row r="462" spans="1:13" ht="15" customHeight="1" x14ac:dyDescent="0.2">
      <c r="A462" s="60">
        <f>'21 2026 ÜRETİM'!A462</f>
        <v>0</v>
      </c>
      <c r="B462" s="81" t="str">
        <f>IF(A462="","",'21 2026 ÜRETİM'!D462)</f>
        <v/>
      </c>
      <c r="C462" s="81">
        <f>IF(A462="","",'21 2026 ÜRETİM'!E462)</f>
        <v>0</v>
      </c>
      <c r="D462" s="82" t="str">
        <f>IF(A462="","",'21 2026 ÜRETİM'!F462)</f>
        <v/>
      </c>
      <c r="E462" s="81">
        <f>IF(A462="","",SUMIF('22 2026 PAKETLEME'!$B$2:$B$501,A462,'22 2026 PAKETLEME'!$E$2:$E$501))</f>
        <v>0</v>
      </c>
      <c r="F462" s="82">
        <f>IF(A462="","",SUMIF('22 2026 PAKETLEME'!$B$2:$B$501,A462,'22 2026 PAKETLEME'!$G$2:$G$501))</f>
        <v>0</v>
      </c>
      <c r="G462" s="81">
        <f>IF(A462="","",SUMIF('22 2026 PAKETLEME'!$B$2:$B$501,A462,'22 2026 PAKETLEME'!$H$2:$H$501))</f>
        <v>0</v>
      </c>
      <c r="H462" s="81" t="e">
        <f t="shared" si="35"/>
        <v>#VALUE!</v>
      </c>
      <c r="I462" s="82">
        <f>IF(A462="","",SUMIF('23 2026 SEVKİYAT'!$E$2:$E$501,A462,'23 2026 SEVKİYAT'!$H$2:$H$501))</f>
        <v>0</v>
      </c>
      <c r="J462" s="81">
        <f t="shared" si="36"/>
        <v>0</v>
      </c>
      <c r="K462" s="81" t="e">
        <f t="shared" si="37"/>
        <v>#VALUE!</v>
      </c>
      <c r="L462" s="58" t="e">
        <f t="shared" si="38"/>
        <v>#VALUE!</v>
      </c>
      <c r="M462" s="56" t="e">
        <f t="shared" si="39"/>
        <v>#VALUE!</v>
      </c>
    </row>
    <row r="463" spans="1:13" ht="15" customHeight="1" x14ac:dyDescent="0.2">
      <c r="A463" s="60">
        <f>'21 2026 ÜRETİM'!A463</f>
        <v>0</v>
      </c>
      <c r="B463" s="81" t="str">
        <f>IF(A463="","",'21 2026 ÜRETİM'!D463)</f>
        <v/>
      </c>
      <c r="C463" s="81">
        <f>IF(A463="","",'21 2026 ÜRETİM'!E463)</f>
        <v>0</v>
      </c>
      <c r="D463" s="82" t="str">
        <f>IF(A463="","",'21 2026 ÜRETİM'!F463)</f>
        <v/>
      </c>
      <c r="E463" s="81">
        <f>IF(A463="","",SUMIF('22 2026 PAKETLEME'!$B$2:$B$501,A463,'22 2026 PAKETLEME'!$E$2:$E$501))</f>
        <v>0</v>
      </c>
      <c r="F463" s="82">
        <f>IF(A463="","",SUMIF('22 2026 PAKETLEME'!$B$2:$B$501,A463,'22 2026 PAKETLEME'!$G$2:$G$501))</f>
        <v>0</v>
      </c>
      <c r="G463" s="81">
        <f>IF(A463="","",SUMIF('22 2026 PAKETLEME'!$B$2:$B$501,A463,'22 2026 PAKETLEME'!$H$2:$H$501))</f>
        <v>0</v>
      </c>
      <c r="H463" s="81" t="e">
        <f t="shared" si="35"/>
        <v>#VALUE!</v>
      </c>
      <c r="I463" s="82">
        <f>IF(A463="","",SUMIF('23 2026 SEVKİYAT'!$E$2:$E$501,A463,'23 2026 SEVKİYAT'!$H$2:$H$501))</f>
        <v>0</v>
      </c>
      <c r="J463" s="81">
        <f t="shared" si="36"/>
        <v>0</v>
      </c>
      <c r="K463" s="81" t="e">
        <f t="shared" si="37"/>
        <v>#VALUE!</v>
      </c>
      <c r="L463" s="58" t="e">
        <f t="shared" si="38"/>
        <v>#VALUE!</v>
      </c>
      <c r="M463" s="56" t="e">
        <f t="shared" si="39"/>
        <v>#VALUE!</v>
      </c>
    </row>
    <row r="464" spans="1:13" ht="15" customHeight="1" x14ac:dyDescent="0.2">
      <c r="A464" s="60">
        <f>'21 2026 ÜRETİM'!A464</f>
        <v>0</v>
      </c>
      <c r="B464" s="81" t="str">
        <f>IF(A464="","",'21 2026 ÜRETİM'!D464)</f>
        <v/>
      </c>
      <c r="C464" s="81">
        <f>IF(A464="","",'21 2026 ÜRETİM'!E464)</f>
        <v>0</v>
      </c>
      <c r="D464" s="82" t="str">
        <f>IF(A464="","",'21 2026 ÜRETİM'!F464)</f>
        <v/>
      </c>
      <c r="E464" s="81">
        <f>IF(A464="","",SUMIF('22 2026 PAKETLEME'!$B$2:$B$501,A464,'22 2026 PAKETLEME'!$E$2:$E$501))</f>
        <v>0</v>
      </c>
      <c r="F464" s="82">
        <f>IF(A464="","",SUMIF('22 2026 PAKETLEME'!$B$2:$B$501,A464,'22 2026 PAKETLEME'!$G$2:$G$501))</f>
        <v>0</v>
      </c>
      <c r="G464" s="81">
        <f>IF(A464="","",SUMIF('22 2026 PAKETLEME'!$B$2:$B$501,A464,'22 2026 PAKETLEME'!$H$2:$H$501))</f>
        <v>0</v>
      </c>
      <c r="H464" s="81" t="e">
        <f t="shared" si="35"/>
        <v>#VALUE!</v>
      </c>
      <c r="I464" s="82">
        <f>IF(A464="","",SUMIF('23 2026 SEVKİYAT'!$E$2:$E$501,A464,'23 2026 SEVKİYAT'!$H$2:$H$501))</f>
        <v>0</v>
      </c>
      <c r="J464" s="81">
        <f t="shared" si="36"/>
        <v>0</v>
      </c>
      <c r="K464" s="81" t="e">
        <f t="shared" si="37"/>
        <v>#VALUE!</v>
      </c>
      <c r="L464" s="58" t="e">
        <f t="shared" si="38"/>
        <v>#VALUE!</v>
      </c>
      <c r="M464" s="56" t="e">
        <f t="shared" si="39"/>
        <v>#VALUE!</v>
      </c>
    </row>
    <row r="465" spans="1:13" ht="15" customHeight="1" x14ac:dyDescent="0.2">
      <c r="A465" s="60">
        <f>'21 2026 ÜRETİM'!A465</f>
        <v>0</v>
      </c>
      <c r="B465" s="81" t="str">
        <f>IF(A465="","",'21 2026 ÜRETİM'!D465)</f>
        <v/>
      </c>
      <c r="C465" s="81">
        <f>IF(A465="","",'21 2026 ÜRETİM'!E465)</f>
        <v>0</v>
      </c>
      <c r="D465" s="82" t="str">
        <f>IF(A465="","",'21 2026 ÜRETİM'!F465)</f>
        <v/>
      </c>
      <c r="E465" s="81">
        <f>IF(A465="","",SUMIF('22 2026 PAKETLEME'!$B$2:$B$501,A465,'22 2026 PAKETLEME'!$E$2:$E$501))</f>
        <v>0</v>
      </c>
      <c r="F465" s="82">
        <f>IF(A465="","",SUMIF('22 2026 PAKETLEME'!$B$2:$B$501,A465,'22 2026 PAKETLEME'!$G$2:$G$501))</f>
        <v>0</v>
      </c>
      <c r="G465" s="81">
        <f>IF(A465="","",SUMIF('22 2026 PAKETLEME'!$B$2:$B$501,A465,'22 2026 PAKETLEME'!$H$2:$H$501))</f>
        <v>0</v>
      </c>
      <c r="H465" s="81" t="e">
        <f t="shared" si="35"/>
        <v>#VALUE!</v>
      </c>
      <c r="I465" s="82">
        <f>IF(A465="","",SUMIF('23 2026 SEVKİYAT'!$E$2:$E$501,A465,'23 2026 SEVKİYAT'!$H$2:$H$501))</f>
        <v>0</v>
      </c>
      <c r="J465" s="81">
        <f t="shared" si="36"/>
        <v>0</v>
      </c>
      <c r="K465" s="81" t="e">
        <f t="shared" si="37"/>
        <v>#VALUE!</v>
      </c>
      <c r="L465" s="58" t="e">
        <f t="shared" si="38"/>
        <v>#VALUE!</v>
      </c>
      <c r="M465" s="56" t="e">
        <f t="shared" si="39"/>
        <v>#VALUE!</v>
      </c>
    </row>
    <row r="466" spans="1:13" ht="15" customHeight="1" x14ac:dyDescent="0.2">
      <c r="A466" s="60">
        <f>'21 2026 ÜRETİM'!A466</f>
        <v>0</v>
      </c>
      <c r="B466" s="81" t="str">
        <f>IF(A466="","",'21 2026 ÜRETİM'!D466)</f>
        <v/>
      </c>
      <c r="C466" s="81">
        <f>IF(A466="","",'21 2026 ÜRETİM'!E466)</f>
        <v>0</v>
      </c>
      <c r="D466" s="82" t="str">
        <f>IF(A466="","",'21 2026 ÜRETİM'!F466)</f>
        <v/>
      </c>
      <c r="E466" s="81">
        <f>IF(A466="","",SUMIF('22 2026 PAKETLEME'!$B$2:$B$501,A466,'22 2026 PAKETLEME'!$E$2:$E$501))</f>
        <v>0</v>
      </c>
      <c r="F466" s="82">
        <f>IF(A466="","",SUMIF('22 2026 PAKETLEME'!$B$2:$B$501,A466,'22 2026 PAKETLEME'!$G$2:$G$501))</f>
        <v>0</v>
      </c>
      <c r="G466" s="81">
        <f>IF(A466="","",SUMIF('22 2026 PAKETLEME'!$B$2:$B$501,A466,'22 2026 PAKETLEME'!$H$2:$H$501))</f>
        <v>0</v>
      </c>
      <c r="H466" s="81" t="e">
        <f t="shared" si="35"/>
        <v>#VALUE!</v>
      </c>
      <c r="I466" s="82">
        <f>IF(A466="","",SUMIF('23 2026 SEVKİYAT'!$E$2:$E$501,A466,'23 2026 SEVKİYAT'!$H$2:$H$501))</f>
        <v>0</v>
      </c>
      <c r="J466" s="81">
        <f t="shared" si="36"/>
        <v>0</v>
      </c>
      <c r="K466" s="81" t="e">
        <f t="shared" si="37"/>
        <v>#VALUE!</v>
      </c>
      <c r="L466" s="58" t="e">
        <f t="shared" si="38"/>
        <v>#VALUE!</v>
      </c>
      <c r="M466" s="56" t="e">
        <f t="shared" si="39"/>
        <v>#VALUE!</v>
      </c>
    </row>
    <row r="467" spans="1:13" ht="15" customHeight="1" x14ac:dyDescent="0.2">
      <c r="A467" s="60">
        <f>'21 2026 ÜRETİM'!A467</f>
        <v>0</v>
      </c>
      <c r="B467" s="81" t="str">
        <f>IF(A467="","",'21 2026 ÜRETİM'!D467)</f>
        <v/>
      </c>
      <c r="C467" s="81">
        <f>IF(A467="","",'21 2026 ÜRETİM'!E467)</f>
        <v>0</v>
      </c>
      <c r="D467" s="82" t="str">
        <f>IF(A467="","",'21 2026 ÜRETİM'!F467)</f>
        <v/>
      </c>
      <c r="E467" s="81">
        <f>IF(A467="","",SUMIF('22 2026 PAKETLEME'!$B$2:$B$501,A467,'22 2026 PAKETLEME'!$E$2:$E$501))</f>
        <v>0</v>
      </c>
      <c r="F467" s="82">
        <f>IF(A467="","",SUMIF('22 2026 PAKETLEME'!$B$2:$B$501,A467,'22 2026 PAKETLEME'!$G$2:$G$501))</f>
        <v>0</v>
      </c>
      <c r="G467" s="81">
        <f>IF(A467="","",SUMIF('22 2026 PAKETLEME'!$B$2:$B$501,A467,'22 2026 PAKETLEME'!$H$2:$H$501))</f>
        <v>0</v>
      </c>
      <c r="H467" s="81" t="e">
        <f t="shared" si="35"/>
        <v>#VALUE!</v>
      </c>
      <c r="I467" s="82">
        <f>IF(A467="","",SUMIF('23 2026 SEVKİYAT'!$E$2:$E$501,A467,'23 2026 SEVKİYAT'!$H$2:$H$501))</f>
        <v>0</v>
      </c>
      <c r="J467" s="81">
        <f t="shared" si="36"/>
        <v>0</v>
      </c>
      <c r="K467" s="81" t="e">
        <f t="shared" si="37"/>
        <v>#VALUE!</v>
      </c>
      <c r="L467" s="58" t="e">
        <f t="shared" si="38"/>
        <v>#VALUE!</v>
      </c>
      <c r="M467" s="56" t="e">
        <f t="shared" si="39"/>
        <v>#VALUE!</v>
      </c>
    </row>
    <row r="468" spans="1:13" ht="15" customHeight="1" x14ac:dyDescent="0.2">
      <c r="A468" s="60">
        <f>'21 2026 ÜRETİM'!A468</f>
        <v>0</v>
      </c>
      <c r="B468" s="81" t="str">
        <f>IF(A468="","",'21 2026 ÜRETİM'!D468)</f>
        <v/>
      </c>
      <c r="C468" s="81">
        <f>IF(A468="","",'21 2026 ÜRETİM'!E468)</f>
        <v>0</v>
      </c>
      <c r="D468" s="82" t="str">
        <f>IF(A468="","",'21 2026 ÜRETİM'!F468)</f>
        <v/>
      </c>
      <c r="E468" s="81">
        <f>IF(A468="","",SUMIF('22 2026 PAKETLEME'!$B$2:$B$501,A468,'22 2026 PAKETLEME'!$E$2:$E$501))</f>
        <v>0</v>
      </c>
      <c r="F468" s="82">
        <f>IF(A468="","",SUMIF('22 2026 PAKETLEME'!$B$2:$B$501,A468,'22 2026 PAKETLEME'!$G$2:$G$501))</f>
        <v>0</v>
      </c>
      <c r="G468" s="81">
        <f>IF(A468="","",SUMIF('22 2026 PAKETLEME'!$B$2:$B$501,A468,'22 2026 PAKETLEME'!$H$2:$H$501))</f>
        <v>0</v>
      </c>
      <c r="H468" s="81" t="e">
        <f t="shared" si="35"/>
        <v>#VALUE!</v>
      </c>
      <c r="I468" s="82">
        <f>IF(A468="","",SUMIF('23 2026 SEVKİYAT'!$E$2:$E$501,A468,'23 2026 SEVKİYAT'!$H$2:$H$501))</f>
        <v>0</v>
      </c>
      <c r="J468" s="81">
        <f t="shared" si="36"/>
        <v>0</v>
      </c>
      <c r="K468" s="81" t="e">
        <f t="shared" si="37"/>
        <v>#VALUE!</v>
      </c>
      <c r="L468" s="58" t="e">
        <f t="shared" si="38"/>
        <v>#VALUE!</v>
      </c>
      <c r="M468" s="56" t="e">
        <f t="shared" si="39"/>
        <v>#VALUE!</v>
      </c>
    </row>
    <row r="469" spans="1:13" ht="15" customHeight="1" x14ac:dyDescent="0.2">
      <c r="A469" s="60">
        <f>'21 2026 ÜRETİM'!A469</f>
        <v>0</v>
      </c>
      <c r="B469" s="81" t="str">
        <f>IF(A469="","",'21 2026 ÜRETİM'!D469)</f>
        <v/>
      </c>
      <c r="C469" s="81">
        <f>IF(A469="","",'21 2026 ÜRETİM'!E469)</f>
        <v>0</v>
      </c>
      <c r="D469" s="82" t="str">
        <f>IF(A469="","",'21 2026 ÜRETİM'!F469)</f>
        <v/>
      </c>
      <c r="E469" s="81">
        <f>IF(A469="","",SUMIF('22 2026 PAKETLEME'!$B$2:$B$501,A469,'22 2026 PAKETLEME'!$E$2:$E$501))</f>
        <v>0</v>
      </c>
      <c r="F469" s="82">
        <f>IF(A469="","",SUMIF('22 2026 PAKETLEME'!$B$2:$B$501,A469,'22 2026 PAKETLEME'!$G$2:$G$501))</f>
        <v>0</v>
      </c>
      <c r="G469" s="81">
        <f>IF(A469="","",SUMIF('22 2026 PAKETLEME'!$B$2:$B$501,A469,'22 2026 PAKETLEME'!$H$2:$H$501))</f>
        <v>0</v>
      </c>
      <c r="H469" s="81" t="e">
        <f t="shared" si="35"/>
        <v>#VALUE!</v>
      </c>
      <c r="I469" s="82">
        <f>IF(A469="","",SUMIF('23 2026 SEVKİYAT'!$E$2:$E$501,A469,'23 2026 SEVKİYAT'!$H$2:$H$501))</f>
        <v>0</v>
      </c>
      <c r="J469" s="81">
        <f t="shared" si="36"/>
        <v>0</v>
      </c>
      <c r="K469" s="81" t="e">
        <f t="shared" si="37"/>
        <v>#VALUE!</v>
      </c>
      <c r="L469" s="58" t="e">
        <f t="shared" si="38"/>
        <v>#VALUE!</v>
      </c>
      <c r="M469" s="56" t="e">
        <f t="shared" si="39"/>
        <v>#VALUE!</v>
      </c>
    </row>
    <row r="470" spans="1:13" ht="15" customHeight="1" x14ac:dyDescent="0.2">
      <c r="A470" s="60">
        <f>'21 2026 ÜRETİM'!A470</f>
        <v>0</v>
      </c>
      <c r="B470" s="81" t="str">
        <f>IF(A470="","",'21 2026 ÜRETİM'!D470)</f>
        <v/>
      </c>
      <c r="C470" s="81">
        <f>IF(A470="","",'21 2026 ÜRETİM'!E470)</f>
        <v>0</v>
      </c>
      <c r="D470" s="82" t="str">
        <f>IF(A470="","",'21 2026 ÜRETİM'!F470)</f>
        <v/>
      </c>
      <c r="E470" s="81">
        <f>IF(A470="","",SUMIF('22 2026 PAKETLEME'!$B$2:$B$501,A470,'22 2026 PAKETLEME'!$E$2:$E$501))</f>
        <v>0</v>
      </c>
      <c r="F470" s="82">
        <f>IF(A470="","",SUMIF('22 2026 PAKETLEME'!$B$2:$B$501,A470,'22 2026 PAKETLEME'!$G$2:$G$501))</f>
        <v>0</v>
      </c>
      <c r="G470" s="81">
        <f>IF(A470="","",SUMIF('22 2026 PAKETLEME'!$B$2:$B$501,A470,'22 2026 PAKETLEME'!$H$2:$H$501))</f>
        <v>0</v>
      </c>
      <c r="H470" s="81" t="e">
        <f t="shared" si="35"/>
        <v>#VALUE!</v>
      </c>
      <c r="I470" s="82">
        <f>IF(A470="","",SUMIF('23 2026 SEVKİYAT'!$E$2:$E$501,A470,'23 2026 SEVKİYAT'!$H$2:$H$501))</f>
        <v>0</v>
      </c>
      <c r="J470" s="81">
        <f t="shared" si="36"/>
        <v>0</v>
      </c>
      <c r="K470" s="81" t="e">
        <f t="shared" si="37"/>
        <v>#VALUE!</v>
      </c>
      <c r="L470" s="58" t="e">
        <f t="shared" si="38"/>
        <v>#VALUE!</v>
      </c>
      <c r="M470" s="56" t="e">
        <f t="shared" si="39"/>
        <v>#VALUE!</v>
      </c>
    </row>
    <row r="471" spans="1:13" ht="15" customHeight="1" x14ac:dyDescent="0.2">
      <c r="A471" s="60">
        <f>'21 2026 ÜRETİM'!A471</f>
        <v>0</v>
      </c>
      <c r="B471" s="81" t="str">
        <f>IF(A471="","",'21 2026 ÜRETİM'!D471)</f>
        <v/>
      </c>
      <c r="C471" s="81">
        <f>IF(A471="","",'21 2026 ÜRETİM'!E471)</f>
        <v>0</v>
      </c>
      <c r="D471" s="82" t="str">
        <f>IF(A471="","",'21 2026 ÜRETİM'!F471)</f>
        <v/>
      </c>
      <c r="E471" s="81">
        <f>IF(A471="","",SUMIF('22 2026 PAKETLEME'!$B$2:$B$501,A471,'22 2026 PAKETLEME'!$E$2:$E$501))</f>
        <v>0</v>
      </c>
      <c r="F471" s="82">
        <f>IF(A471="","",SUMIF('22 2026 PAKETLEME'!$B$2:$B$501,A471,'22 2026 PAKETLEME'!$G$2:$G$501))</f>
        <v>0</v>
      </c>
      <c r="G471" s="81">
        <f>IF(A471="","",SUMIF('22 2026 PAKETLEME'!$B$2:$B$501,A471,'22 2026 PAKETLEME'!$H$2:$H$501))</f>
        <v>0</v>
      </c>
      <c r="H471" s="81" t="e">
        <f t="shared" si="35"/>
        <v>#VALUE!</v>
      </c>
      <c r="I471" s="82">
        <f>IF(A471="","",SUMIF('23 2026 SEVKİYAT'!$E$2:$E$501,A471,'23 2026 SEVKİYAT'!$H$2:$H$501))</f>
        <v>0</v>
      </c>
      <c r="J471" s="81">
        <f t="shared" si="36"/>
        <v>0</v>
      </c>
      <c r="K471" s="81" t="e">
        <f t="shared" si="37"/>
        <v>#VALUE!</v>
      </c>
      <c r="L471" s="58" t="e">
        <f t="shared" si="38"/>
        <v>#VALUE!</v>
      </c>
      <c r="M471" s="56" t="e">
        <f t="shared" si="39"/>
        <v>#VALUE!</v>
      </c>
    </row>
    <row r="472" spans="1:13" ht="15" customHeight="1" x14ac:dyDescent="0.2">
      <c r="A472" s="60">
        <f>'21 2026 ÜRETİM'!A472</f>
        <v>0</v>
      </c>
      <c r="B472" s="81" t="str">
        <f>IF(A472="","",'21 2026 ÜRETİM'!D472)</f>
        <v/>
      </c>
      <c r="C472" s="81">
        <f>IF(A472="","",'21 2026 ÜRETİM'!E472)</f>
        <v>0</v>
      </c>
      <c r="D472" s="82" t="str">
        <f>IF(A472="","",'21 2026 ÜRETİM'!F472)</f>
        <v/>
      </c>
      <c r="E472" s="81">
        <f>IF(A472="","",SUMIF('22 2026 PAKETLEME'!$B$2:$B$501,A472,'22 2026 PAKETLEME'!$E$2:$E$501))</f>
        <v>0</v>
      </c>
      <c r="F472" s="82">
        <f>IF(A472="","",SUMIF('22 2026 PAKETLEME'!$B$2:$B$501,A472,'22 2026 PAKETLEME'!$G$2:$G$501))</f>
        <v>0</v>
      </c>
      <c r="G472" s="81">
        <f>IF(A472="","",SUMIF('22 2026 PAKETLEME'!$B$2:$B$501,A472,'22 2026 PAKETLEME'!$H$2:$H$501))</f>
        <v>0</v>
      </c>
      <c r="H472" s="81" t="e">
        <f t="shared" si="35"/>
        <v>#VALUE!</v>
      </c>
      <c r="I472" s="82">
        <f>IF(A472="","",SUMIF('23 2026 SEVKİYAT'!$E$2:$E$501,A472,'23 2026 SEVKİYAT'!$H$2:$H$501))</f>
        <v>0</v>
      </c>
      <c r="J472" s="81">
        <f t="shared" si="36"/>
        <v>0</v>
      </c>
      <c r="K472" s="81" t="e">
        <f t="shared" si="37"/>
        <v>#VALUE!</v>
      </c>
      <c r="L472" s="58" t="e">
        <f t="shared" si="38"/>
        <v>#VALUE!</v>
      </c>
      <c r="M472" s="56" t="e">
        <f t="shared" si="39"/>
        <v>#VALUE!</v>
      </c>
    </row>
    <row r="473" spans="1:13" ht="15" customHeight="1" x14ac:dyDescent="0.2">
      <c r="A473" s="60">
        <f>'21 2026 ÜRETİM'!A473</f>
        <v>0</v>
      </c>
      <c r="B473" s="81" t="str">
        <f>IF(A473="","",'21 2026 ÜRETİM'!D473)</f>
        <v/>
      </c>
      <c r="C473" s="81">
        <f>IF(A473="","",'21 2026 ÜRETİM'!E473)</f>
        <v>0</v>
      </c>
      <c r="D473" s="82" t="str">
        <f>IF(A473="","",'21 2026 ÜRETİM'!F473)</f>
        <v/>
      </c>
      <c r="E473" s="81">
        <f>IF(A473="","",SUMIF('22 2026 PAKETLEME'!$B$2:$B$501,A473,'22 2026 PAKETLEME'!$E$2:$E$501))</f>
        <v>0</v>
      </c>
      <c r="F473" s="82">
        <f>IF(A473="","",SUMIF('22 2026 PAKETLEME'!$B$2:$B$501,A473,'22 2026 PAKETLEME'!$G$2:$G$501))</f>
        <v>0</v>
      </c>
      <c r="G473" s="81">
        <f>IF(A473="","",SUMIF('22 2026 PAKETLEME'!$B$2:$B$501,A473,'22 2026 PAKETLEME'!$H$2:$H$501))</f>
        <v>0</v>
      </c>
      <c r="H473" s="81" t="e">
        <f t="shared" si="35"/>
        <v>#VALUE!</v>
      </c>
      <c r="I473" s="82">
        <f>IF(A473="","",SUMIF('23 2026 SEVKİYAT'!$E$2:$E$501,A473,'23 2026 SEVKİYAT'!$H$2:$H$501))</f>
        <v>0</v>
      </c>
      <c r="J473" s="81">
        <f t="shared" si="36"/>
        <v>0</v>
      </c>
      <c r="K473" s="81" t="e">
        <f t="shared" si="37"/>
        <v>#VALUE!</v>
      </c>
      <c r="L473" s="58" t="e">
        <f t="shared" si="38"/>
        <v>#VALUE!</v>
      </c>
      <c r="M473" s="56" t="e">
        <f t="shared" si="39"/>
        <v>#VALUE!</v>
      </c>
    </row>
    <row r="474" spans="1:13" ht="15" customHeight="1" x14ac:dyDescent="0.2">
      <c r="A474" s="60">
        <f>'21 2026 ÜRETİM'!A474</f>
        <v>0</v>
      </c>
      <c r="B474" s="81" t="str">
        <f>IF(A474="","",'21 2026 ÜRETİM'!D474)</f>
        <v/>
      </c>
      <c r="C474" s="81">
        <f>IF(A474="","",'21 2026 ÜRETİM'!E474)</f>
        <v>0</v>
      </c>
      <c r="D474" s="82" t="str">
        <f>IF(A474="","",'21 2026 ÜRETİM'!F474)</f>
        <v/>
      </c>
      <c r="E474" s="81">
        <f>IF(A474="","",SUMIF('22 2026 PAKETLEME'!$B$2:$B$501,A474,'22 2026 PAKETLEME'!$E$2:$E$501))</f>
        <v>0</v>
      </c>
      <c r="F474" s="82">
        <f>IF(A474="","",SUMIF('22 2026 PAKETLEME'!$B$2:$B$501,A474,'22 2026 PAKETLEME'!$G$2:$G$501))</f>
        <v>0</v>
      </c>
      <c r="G474" s="81">
        <f>IF(A474="","",SUMIF('22 2026 PAKETLEME'!$B$2:$B$501,A474,'22 2026 PAKETLEME'!$H$2:$H$501))</f>
        <v>0</v>
      </c>
      <c r="H474" s="81" t="e">
        <f t="shared" si="35"/>
        <v>#VALUE!</v>
      </c>
      <c r="I474" s="82">
        <f>IF(A474="","",SUMIF('23 2026 SEVKİYAT'!$E$2:$E$501,A474,'23 2026 SEVKİYAT'!$H$2:$H$501))</f>
        <v>0</v>
      </c>
      <c r="J474" s="81">
        <f t="shared" si="36"/>
        <v>0</v>
      </c>
      <c r="K474" s="81" t="e">
        <f t="shared" si="37"/>
        <v>#VALUE!</v>
      </c>
      <c r="L474" s="58" t="e">
        <f t="shared" si="38"/>
        <v>#VALUE!</v>
      </c>
      <c r="M474" s="56" t="e">
        <f t="shared" si="39"/>
        <v>#VALUE!</v>
      </c>
    </row>
    <row r="475" spans="1:13" ht="15" customHeight="1" x14ac:dyDescent="0.2">
      <c r="A475" s="60">
        <f>'21 2026 ÜRETİM'!A475</f>
        <v>0</v>
      </c>
      <c r="B475" s="81" t="str">
        <f>IF(A475="","",'21 2026 ÜRETİM'!D475)</f>
        <v/>
      </c>
      <c r="C475" s="81">
        <f>IF(A475="","",'21 2026 ÜRETİM'!E475)</f>
        <v>0</v>
      </c>
      <c r="D475" s="82" t="str">
        <f>IF(A475="","",'21 2026 ÜRETİM'!F475)</f>
        <v/>
      </c>
      <c r="E475" s="81">
        <f>IF(A475="","",SUMIF('22 2026 PAKETLEME'!$B$2:$B$501,A475,'22 2026 PAKETLEME'!$E$2:$E$501))</f>
        <v>0</v>
      </c>
      <c r="F475" s="82">
        <f>IF(A475="","",SUMIF('22 2026 PAKETLEME'!$B$2:$B$501,A475,'22 2026 PAKETLEME'!$G$2:$G$501))</f>
        <v>0</v>
      </c>
      <c r="G475" s="81">
        <f>IF(A475="","",SUMIF('22 2026 PAKETLEME'!$B$2:$B$501,A475,'22 2026 PAKETLEME'!$H$2:$H$501))</f>
        <v>0</v>
      </c>
      <c r="H475" s="81" t="e">
        <f t="shared" si="35"/>
        <v>#VALUE!</v>
      </c>
      <c r="I475" s="82">
        <f>IF(A475="","",SUMIF('23 2026 SEVKİYAT'!$E$2:$E$501,A475,'23 2026 SEVKİYAT'!$H$2:$H$501))</f>
        <v>0</v>
      </c>
      <c r="J475" s="81">
        <f t="shared" si="36"/>
        <v>0</v>
      </c>
      <c r="K475" s="81" t="e">
        <f t="shared" si="37"/>
        <v>#VALUE!</v>
      </c>
      <c r="L475" s="58" t="e">
        <f t="shared" si="38"/>
        <v>#VALUE!</v>
      </c>
      <c r="M475" s="56" t="e">
        <f t="shared" si="39"/>
        <v>#VALUE!</v>
      </c>
    </row>
    <row r="476" spans="1:13" ht="15" customHeight="1" x14ac:dyDescent="0.2">
      <c r="A476" s="60">
        <f>'21 2026 ÜRETİM'!A476</f>
        <v>0</v>
      </c>
      <c r="B476" s="81" t="str">
        <f>IF(A476="","",'21 2026 ÜRETİM'!D476)</f>
        <v/>
      </c>
      <c r="C476" s="81">
        <f>IF(A476="","",'21 2026 ÜRETİM'!E476)</f>
        <v>0</v>
      </c>
      <c r="D476" s="82" t="str">
        <f>IF(A476="","",'21 2026 ÜRETİM'!F476)</f>
        <v/>
      </c>
      <c r="E476" s="81">
        <f>IF(A476="","",SUMIF('22 2026 PAKETLEME'!$B$2:$B$501,A476,'22 2026 PAKETLEME'!$E$2:$E$501))</f>
        <v>0</v>
      </c>
      <c r="F476" s="82">
        <f>IF(A476="","",SUMIF('22 2026 PAKETLEME'!$B$2:$B$501,A476,'22 2026 PAKETLEME'!$G$2:$G$501))</f>
        <v>0</v>
      </c>
      <c r="G476" s="81">
        <f>IF(A476="","",SUMIF('22 2026 PAKETLEME'!$B$2:$B$501,A476,'22 2026 PAKETLEME'!$H$2:$H$501))</f>
        <v>0</v>
      </c>
      <c r="H476" s="81" t="e">
        <f t="shared" si="35"/>
        <v>#VALUE!</v>
      </c>
      <c r="I476" s="82">
        <f>IF(A476="","",SUMIF('23 2026 SEVKİYAT'!$E$2:$E$501,A476,'23 2026 SEVKİYAT'!$H$2:$H$501))</f>
        <v>0</v>
      </c>
      <c r="J476" s="81">
        <f t="shared" si="36"/>
        <v>0</v>
      </c>
      <c r="K476" s="81" t="e">
        <f t="shared" si="37"/>
        <v>#VALUE!</v>
      </c>
      <c r="L476" s="58" t="e">
        <f t="shared" si="38"/>
        <v>#VALUE!</v>
      </c>
      <c r="M476" s="56" t="e">
        <f t="shared" si="39"/>
        <v>#VALUE!</v>
      </c>
    </row>
    <row r="477" spans="1:13" ht="15" customHeight="1" x14ac:dyDescent="0.2">
      <c r="A477" s="60">
        <f>'21 2026 ÜRETİM'!A477</f>
        <v>0</v>
      </c>
      <c r="B477" s="81" t="str">
        <f>IF(A477="","",'21 2026 ÜRETİM'!D477)</f>
        <v/>
      </c>
      <c r="C477" s="81">
        <f>IF(A477="","",'21 2026 ÜRETİM'!E477)</f>
        <v>0</v>
      </c>
      <c r="D477" s="82" t="str">
        <f>IF(A477="","",'21 2026 ÜRETİM'!F477)</f>
        <v/>
      </c>
      <c r="E477" s="81">
        <f>IF(A477="","",SUMIF('22 2026 PAKETLEME'!$B$2:$B$501,A477,'22 2026 PAKETLEME'!$E$2:$E$501))</f>
        <v>0</v>
      </c>
      <c r="F477" s="82">
        <f>IF(A477="","",SUMIF('22 2026 PAKETLEME'!$B$2:$B$501,A477,'22 2026 PAKETLEME'!$G$2:$G$501))</f>
        <v>0</v>
      </c>
      <c r="G477" s="81">
        <f>IF(A477="","",SUMIF('22 2026 PAKETLEME'!$B$2:$B$501,A477,'22 2026 PAKETLEME'!$H$2:$H$501))</f>
        <v>0</v>
      </c>
      <c r="H477" s="81" t="e">
        <f t="shared" si="35"/>
        <v>#VALUE!</v>
      </c>
      <c r="I477" s="82">
        <f>IF(A477="","",SUMIF('23 2026 SEVKİYAT'!$E$2:$E$501,A477,'23 2026 SEVKİYAT'!$H$2:$H$501))</f>
        <v>0</v>
      </c>
      <c r="J477" s="81">
        <f t="shared" si="36"/>
        <v>0</v>
      </c>
      <c r="K477" s="81" t="e">
        <f t="shared" si="37"/>
        <v>#VALUE!</v>
      </c>
      <c r="L477" s="58" t="e">
        <f t="shared" si="38"/>
        <v>#VALUE!</v>
      </c>
      <c r="M477" s="56" t="e">
        <f t="shared" si="39"/>
        <v>#VALUE!</v>
      </c>
    </row>
    <row r="478" spans="1:13" ht="15" customHeight="1" x14ac:dyDescent="0.2">
      <c r="A478" s="60">
        <f>'21 2026 ÜRETİM'!A478</f>
        <v>0</v>
      </c>
      <c r="B478" s="81" t="str">
        <f>IF(A478="","",'21 2026 ÜRETİM'!D478)</f>
        <v/>
      </c>
      <c r="C478" s="81">
        <f>IF(A478="","",'21 2026 ÜRETİM'!E478)</f>
        <v>0</v>
      </c>
      <c r="D478" s="82" t="str">
        <f>IF(A478="","",'21 2026 ÜRETİM'!F478)</f>
        <v/>
      </c>
      <c r="E478" s="81">
        <f>IF(A478="","",SUMIF('22 2026 PAKETLEME'!$B$2:$B$501,A478,'22 2026 PAKETLEME'!$E$2:$E$501))</f>
        <v>0</v>
      </c>
      <c r="F478" s="82">
        <f>IF(A478="","",SUMIF('22 2026 PAKETLEME'!$B$2:$B$501,A478,'22 2026 PAKETLEME'!$G$2:$G$501))</f>
        <v>0</v>
      </c>
      <c r="G478" s="81">
        <f>IF(A478="","",SUMIF('22 2026 PAKETLEME'!$B$2:$B$501,A478,'22 2026 PAKETLEME'!$H$2:$H$501))</f>
        <v>0</v>
      </c>
      <c r="H478" s="81" t="e">
        <f t="shared" si="35"/>
        <v>#VALUE!</v>
      </c>
      <c r="I478" s="82">
        <f>IF(A478="","",SUMIF('23 2026 SEVKİYAT'!$E$2:$E$501,A478,'23 2026 SEVKİYAT'!$H$2:$H$501))</f>
        <v>0</v>
      </c>
      <c r="J478" s="81">
        <f t="shared" si="36"/>
        <v>0</v>
      </c>
      <c r="K478" s="81" t="e">
        <f t="shared" si="37"/>
        <v>#VALUE!</v>
      </c>
      <c r="L478" s="58" t="e">
        <f t="shared" si="38"/>
        <v>#VALUE!</v>
      </c>
      <c r="M478" s="56" t="e">
        <f t="shared" si="39"/>
        <v>#VALUE!</v>
      </c>
    </row>
    <row r="479" spans="1:13" ht="15" customHeight="1" x14ac:dyDescent="0.2">
      <c r="A479" s="60">
        <f>'21 2026 ÜRETİM'!A479</f>
        <v>0</v>
      </c>
      <c r="B479" s="81" t="str">
        <f>IF(A479="","",'21 2026 ÜRETİM'!D479)</f>
        <v/>
      </c>
      <c r="C479" s="81">
        <f>IF(A479="","",'21 2026 ÜRETİM'!E479)</f>
        <v>0</v>
      </c>
      <c r="D479" s="82" t="str">
        <f>IF(A479="","",'21 2026 ÜRETİM'!F479)</f>
        <v/>
      </c>
      <c r="E479" s="81">
        <f>IF(A479="","",SUMIF('22 2026 PAKETLEME'!$B$2:$B$501,A479,'22 2026 PAKETLEME'!$E$2:$E$501))</f>
        <v>0</v>
      </c>
      <c r="F479" s="82">
        <f>IF(A479="","",SUMIF('22 2026 PAKETLEME'!$B$2:$B$501,A479,'22 2026 PAKETLEME'!$G$2:$G$501))</f>
        <v>0</v>
      </c>
      <c r="G479" s="81">
        <f>IF(A479="","",SUMIF('22 2026 PAKETLEME'!$B$2:$B$501,A479,'22 2026 PAKETLEME'!$H$2:$H$501))</f>
        <v>0</v>
      </c>
      <c r="H479" s="81" t="e">
        <f t="shared" si="35"/>
        <v>#VALUE!</v>
      </c>
      <c r="I479" s="82">
        <f>IF(A479="","",SUMIF('23 2026 SEVKİYAT'!$E$2:$E$501,A479,'23 2026 SEVKİYAT'!$H$2:$H$501))</f>
        <v>0</v>
      </c>
      <c r="J479" s="81">
        <f t="shared" si="36"/>
        <v>0</v>
      </c>
      <c r="K479" s="81" t="e">
        <f t="shared" si="37"/>
        <v>#VALUE!</v>
      </c>
      <c r="L479" s="58" t="e">
        <f t="shared" si="38"/>
        <v>#VALUE!</v>
      </c>
      <c r="M479" s="56" t="e">
        <f t="shared" si="39"/>
        <v>#VALUE!</v>
      </c>
    </row>
    <row r="480" spans="1:13" ht="15" customHeight="1" x14ac:dyDescent="0.2">
      <c r="A480" s="60">
        <f>'21 2026 ÜRETİM'!A480</f>
        <v>0</v>
      </c>
      <c r="B480" s="81" t="str">
        <f>IF(A480="","",'21 2026 ÜRETİM'!D480)</f>
        <v/>
      </c>
      <c r="C480" s="81">
        <f>IF(A480="","",'21 2026 ÜRETİM'!E480)</f>
        <v>0</v>
      </c>
      <c r="D480" s="82" t="str">
        <f>IF(A480="","",'21 2026 ÜRETİM'!F480)</f>
        <v/>
      </c>
      <c r="E480" s="81">
        <f>IF(A480="","",SUMIF('22 2026 PAKETLEME'!$B$2:$B$501,A480,'22 2026 PAKETLEME'!$E$2:$E$501))</f>
        <v>0</v>
      </c>
      <c r="F480" s="82">
        <f>IF(A480="","",SUMIF('22 2026 PAKETLEME'!$B$2:$B$501,A480,'22 2026 PAKETLEME'!$G$2:$G$501))</f>
        <v>0</v>
      </c>
      <c r="G480" s="81">
        <f>IF(A480="","",SUMIF('22 2026 PAKETLEME'!$B$2:$B$501,A480,'22 2026 PAKETLEME'!$H$2:$H$501))</f>
        <v>0</v>
      </c>
      <c r="H480" s="81" t="e">
        <f t="shared" si="35"/>
        <v>#VALUE!</v>
      </c>
      <c r="I480" s="82">
        <f>IF(A480="","",SUMIF('23 2026 SEVKİYAT'!$E$2:$E$501,A480,'23 2026 SEVKİYAT'!$H$2:$H$501))</f>
        <v>0</v>
      </c>
      <c r="J480" s="81">
        <f t="shared" si="36"/>
        <v>0</v>
      </c>
      <c r="K480" s="81" t="e">
        <f t="shared" si="37"/>
        <v>#VALUE!</v>
      </c>
      <c r="L480" s="58" t="e">
        <f t="shared" si="38"/>
        <v>#VALUE!</v>
      </c>
      <c r="M480" s="56" t="e">
        <f t="shared" si="39"/>
        <v>#VALUE!</v>
      </c>
    </row>
    <row r="481" spans="1:13" ht="15" customHeight="1" x14ac:dyDescent="0.2">
      <c r="A481" s="60">
        <f>'21 2026 ÜRETİM'!A481</f>
        <v>0</v>
      </c>
      <c r="B481" s="81" t="str">
        <f>IF(A481="","",'21 2026 ÜRETİM'!D481)</f>
        <v/>
      </c>
      <c r="C481" s="81">
        <f>IF(A481="","",'21 2026 ÜRETİM'!E481)</f>
        <v>0</v>
      </c>
      <c r="D481" s="82" t="str">
        <f>IF(A481="","",'21 2026 ÜRETİM'!F481)</f>
        <v/>
      </c>
      <c r="E481" s="81">
        <f>IF(A481="","",SUMIF('22 2026 PAKETLEME'!$B$2:$B$501,A481,'22 2026 PAKETLEME'!$E$2:$E$501))</f>
        <v>0</v>
      </c>
      <c r="F481" s="82">
        <f>IF(A481="","",SUMIF('22 2026 PAKETLEME'!$B$2:$B$501,A481,'22 2026 PAKETLEME'!$G$2:$G$501))</f>
        <v>0</v>
      </c>
      <c r="G481" s="81">
        <f>IF(A481="","",SUMIF('22 2026 PAKETLEME'!$B$2:$B$501,A481,'22 2026 PAKETLEME'!$H$2:$H$501))</f>
        <v>0</v>
      </c>
      <c r="H481" s="81" t="e">
        <f t="shared" si="35"/>
        <v>#VALUE!</v>
      </c>
      <c r="I481" s="82">
        <f>IF(A481="","",SUMIF('23 2026 SEVKİYAT'!$E$2:$E$501,A481,'23 2026 SEVKİYAT'!$H$2:$H$501))</f>
        <v>0</v>
      </c>
      <c r="J481" s="81">
        <f t="shared" si="36"/>
        <v>0</v>
      </c>
      <c r="K481" s="81" t="e">
        <f t="shared" si="37"/>
        <v>#VALUE!</v>
      </c>
      <c r="L481" s="58" t="e">
        <f t="shared" si="38"/>
        <v>#VALUE!</v>
      </c>
      <c r="M481" s="56" t="e">
        <f t="shared" si="39"/>
        <v>#VALUE!</v>
      </c>
    </row>
    <row r="482" spans="1:13" ht="15" customHeight="1" x14ac:dyDescent="0.2">
      <c r="A482" s="60">
        <f>'21 2026 ÜRETİM'!A482</f>
        <v>0</v>
      </c>
      <c r="B482" s="81" t="str">
        <f>IF(A482="","",'21 2026 ÜRETİM'!D482)</f>
        <v/>
      </c>
      <c r="C482" s="81">
        <f>IF(A482="","",'21 2026 ÜRETİM'!E482)</f>
        <v>0</v>
      </c>
      <c r="D482" s="82" t="str">
        <f>IF(A482="","",'21 2026 ÜRETİM'!F482)</f>
        <v/>
      </c>
      <c r="E482" s="81">
        <f>IF(A482="","",SUMIF('22 2026 PAKETLEME'!$B$2:$B$501,A482,'22 2026 PAKETLEME'!$E$2:$E$501))</f>
        <v>0</v>
      </c>
      <c r="F482" s="82">
        <f>IF(A482="","",SUMIF('22 2026 PAKETLEME'!$B$2:$B$501,A482,'22 2026 PAKETLEME'!$G$2:$G$501))</f>
        <v>0</v>
      </c>
      <c r="G482" s="81">
        <f>IF(A482="","",SUMIF('22 2026 PAKETLEME'!$B$2:$B$501,A482,'22 2026 PAKETLEME'!$H$2:$H$501))</f>
        <v>0</v>
      </c>
      <c r="H482" s="81" t="e">
        <f t="shared" si="35"/>
        <v>#VALUE!</v>
      </c>
      <c r="I482" s="82">
        <f>IF(A482="","",SUMIF('23 2026 SEVKİYAT'!$E$2:$E$501,A482,'23 2026 SEVKİYAT'!$H$2:$H$501))</f>
        <v>0</v>
      </c>
      <c r="J482" s="81">
        <f t="shared" si="36"/>
        <v>0</v>
      </c>
      <c r="K482" s="81" t="e">
        <f t="shared" si="37"/>
        <v>#VALUE!</v>
      </c>
      <c r="L482" s="58" t="e">
        <f t="shared" si="38"/>
        <v>#VALUE!</v>
      </c>
      <c r="M482" s="56" t="e">
        <f t="shared" si="39"/>
        <v>#VALUE!</v>
      </c>
    </row>
    <row r="483" spans="1:13" ht="15" customHeight="1" x14ac:dyDescent="0.2">
      <c r="A483" s="60">
        <f>'21 2026 ÜRETİM'!A483</f>
        <v>0</v>
      </c>
      <c r="B483" s="81" t="str">
        <f>IF(A483="","",'21 2026 ÜRETİM'!D483)</f>
        <v/>
      </c>
      <c r="C483" s="81">
        <f>IF(A483="","",'21 2026 ÜRETİM'!E483)</f>
        <v>0</v>
      </c>
      <c r="D483" s="82" t="str">
        <f>IF(A483="","",'21 2026 ÜRETİM'!F483)</f>
        <v/>
      </c>
      <c r="E483" s="81">
        <f>IF(A483="","",SUMIF('22 2026 PAKETLEME'!$B$2:$B$501,A483,'22 2026 PAKETLEME'!$E$2:$E$501))</f>
        <v>0</v>
      </c>
      <c r="F483" s="82">
        <f>IF(A483="","",SUMIF('22 2026 PAKETLEME'!$B$2:$B$501,A483,'22 2026 PAKETLEME'!$G$2:$G$501))</f>
        <v>0</v>
      </c>
      <c r="G483" s="81">
        <f>IF(A483="","",SUMIF('22 2026 PAKETLEME'!$B$2:$B$501,A483,'22 2026 PAKETLEME'!$H$2:$H$501))</f>
        <v>0</v>
      </c>
      <c r="H483" s="81" t="e">
        <f t="shared" si="35"/>
        <v>#VALUE!</v>
      </c>
      <c r="I483" s="82">
        <f>IF(A483="","",SUMIF('23 2026 SEVKİYAT'!$E$2:$E$501,A483,'23 2026 SEVKİYAT'!$H$2:$H$501))</f>
        <v>0</v>
      </c>
      <c r="J483" s="81">
        <f t="shared" si="36"/>
        <v>0</v>
      </c>
      <c r="K483" s="81" t="e">
        <f t="shared" si="37"/>
        <v>#VALUE!</v>
      </c>
      <c r="L483" s="58" t="e">
        <f t="shared" si="38"/>
        <v>#VALUE!</v>
      </c>
      <c r="M483" s="56" t="e">
        <f t="shared" si="39"/>
        <v>#VALUE!</v>
      </c>
    </row>
    <row r="484" spans="1:13" ht="15" customHeight="1" x14ac:dyDescent="0.2">
      <c r="A484" s="60">
        <f>'21 2026 ÜRETİM'!A484</f>
        <v>0</v>
      </c>
      <c r="B484" s="81" t="str">
        <f>IF(A484="","",'21 2026 ÜRETİM'!D484)</f>
        <v/>
      </c>
      <c r="C484" s="81">
        <f>IF(A484="","",'21 2026 ÜRETİM'!E484)</f>
        <v>0</v>
      </c>
      <c r="D484" s="82" t="str">
        <f>IF(A484="","",'21 2026 ÜRETİM'!F484)</f>
        <v/>
      </c>
      <c r="E484" s="81">
        <f>IF(A484="","",SUMIF('22 2026 PAKETLEME'!$B$2:$B$501,A484,'22 2026 PAKETLEME'!$E$2:$E$501))</f>
        <v>0</v>
      </c>
      <c r="F484" s="82">
        <f>IF(A484="","",SUMIF('22 2026 PAKETLEME'!$B$2:$B$501,A484,'22 2026 PAKETLEME'!$G$2:$G$501))</f>
        <v>0</v>
      </c>
      <c r="G484" s="81">
        <f>IF(A484="","",SUMIF('22 2026 PAKETLEME'!$B$2:$B$501,A484,'22 2026 PAKETLEME'!$H$2:$H$501))</f>
        <v>0</v>
      </c>
      <c r="H484" s="81" t="e">
        <f t="shared" si="35"/>
        <v>#VALUE!</v>
      </c>
      <c r="I484" s="82">
        <f>IF(A484="","",SUMIF('23 2026 SEVKİYAT'!$E$2:$E$501,A484,'23 2026 SEVKİYAT'!$H$2:$H$501))</f>
        <v>0</v>
      </c>
      <c r="J484" s="81">
        <f t="shared" si="36"/>
        <v>0</v>
      </c>
      <c r="K484" s="81" t="e">
        <f t="shared" si="37"/>
        <v>#VALUE!</v>
      </c>
      <c r="L484" s="58" t="e">
        <f t="shared" si="38"/>
        <v>#VALUE!</v>
      </c>
      <c r="M484" s="56" t="e">
        <f t="shared" si="39"/>
        <v>#VALUE!</v>
      </c>
    </row>
    <row r="485" spans="1:13" ht="15" customHeight="1" x14ac:dyDescent="0.2">
      <c r="A485" s="60">
        <f>'21 2026 ÜRETİM'!A485</f>
        <v>0</v>
      </c>
      <c r="B485" s="81" t="str">
        <f>IF(A485="","",'21 2026 ÜRETİM'!D485)</f>
        <v/>
      </c>
      <c r="C485" s="81">
        <f>IF(A485="","",'21 2026 ÜRETİM'!E485)</f>
        <v>0</v>
      </c>
      <c r="D485" s="82" t="str">
        <f>IF(A485="","",'21 2026 ÜRETİM'!F485)</f>
        <v/>
      </c>
      <c r="E485" s="81">
        <f>IF(A485="","",SUMIF('22 2026 PAKETLEME'!$B$2:$B$501,A485,'22 2026 PAKETLEME'!$E$2:$E$501))</f>
        <v>0</v>
      </c>
      <c r="F485" s="82">
        <f>IF(A485="","",SUMIF('22 2026 PAKETLEME'!$B$2:$B$501,A485,'22 2026 PAKETLEME'!$G$2:$G$501))</f>
        <v>0</v>
      </c>
      <c r="G485" s="81">
        <f>IF(A485="","",SUMIF('22 2026 PAKETLEME'!$B$2:$B$501,A485,'22 2026 PAKETLEME'!$H$2:$H$501))</f>
        <v>0</v>
      </c>
      <c r="H485" s="81" t="e">
        <f t="shared" si="35"/>
        <v>#VALUE!</v>
      </c>
      <c r="I485" s="82">
        <f>IF(A485="","",SUMIF('23 2026 SEVKİYAT'!$E$2:$E$501,A485,'23 2026 SEVKİYAT'!$H$2:$H$501))</f>
        <v>0</v>
      </c>
      <c r="J485" s="81">
        <f t="shared" si="36"/>
        <v>0</v>
      </c>
      <c r="K485" s="81" t="e">
        <f t="shared" si="37"/>
        <v>#VALUE!</v>
      </c>
      <c r="L485" s="58" t="e">
        <f t="shared" si="38"/>
        <v>#VALUE!</v>
      </c>
      <c r="M485" s="56" t="e">
        <f t="shared" si="39"/>
        <v>#VALUE!</v>
      </c>
    </row>
    <row r="486" spans="1:13" ht="15" customHeight="1" x14ac:dyDescent="0.2">
      <c r="A486" s="60">
        <f>'21 2026 ÜRETİM'!A486</f>
        <v>0</v>
      </c>
      <c r="B486" s="81" t="str">
        <f>IF(A486="","",'21 2026 ÜRETİM'!D486)</f>
        <v/>
      </c>
      <c r="C486" s="81">
        <f>IF(A486="","",'21 2026 ÜRETİM'!E486)</f>
        <v>0</v>
      </c>
      <c r="D486" s="82" t="str">
        <f>IF(A486="","",'21 2026 ÜRETİM'!F486)</f>
        <v/>
      </c>
      <c r="E486" s="81">
        <f>IF(A486="","",SUMIF('22 2026 PAKETLEME'!$B$2:$B$501,A486,'22 2026 PAKETLEME'!$E$2:$E$501))</f>
        <v>0</v>
      </c>
      <c r="F486" s="82">
        <f>IF(A486="","",SUMIF('22 2026 PAKETLEME'!$B$2:$B$501,A486,'22 2026 PAKETLEME'!$G$2:$G$501))</f>
        <v>0</v>
      </c>
      <c r="G486" s="81">
        <f>IF(A486="","",SUMIF('22 2026 PAKETLEME'!$B$2:$B$501,A486,'22 2026 PAKETLEME'!$H$2:$H$501))</f>
        <v>0</v>
      </c>
      <c r="H486" s="81" t="e">
        <f t="shared" si="35"/>
        <v>#VALUE!</v>
      </c>
      <c r="I486" s="82">
        <f>IF(A486="","",SUMIF('23 2026 SEVKİYAT'!$E$2:$E$501,A486,'23 2026 SEVKİYAT'!$H$2:$H$501))</f>
        <v>0</v>
      </c>
      <c r="J486" s="81">
        <f t="shared" si="36"/>
        <v>0</v>
      </c>
      <c r="K486" s="81" t="e">
        <f t="shared" si="37"/>
        <v>#VALUE!</v>
      </c>
      <c r="L486" s="58" t="e">
        <f t="shared" si="38"/>
        <v>#VALUE!</v>
      </c>
      <c r="M486" s="56" t="e">
        <f t="shared" si="39"/>
        <v>#VALUE!</v>
      </c>
    </row>
    <row r="487" spans="1:13" ht="15" customHeight="1" x14ac:dyDescent="0.2">
      <c r="A487" s="60">
        <f>'21 2026 ÜRETİM'!A487</f>
        <v>0</v>
      </c>
      <c r="B487" s="81" t="str">
        <f>IF(A487="","",'21 2026 ÜRETİM'!D487)</f>
        <v/>
      </c>
      <c r="C487" s="81">
        <f>IF(A487="","",'21 2026 ÜRETİM'!E487)</f>
        <v>0</v>
      </c>
      <c r="D487" s="82" t="str">
        <f>IF(A487="","",'21 2026 ÜRETİM'!F487)</f>
        <v/>
      </c>
      <c r="E487" s="81">
        <f>IF(A487="","",SUMIF('22 2026 PAKETLEME'!$B$2:$B$501,A487,'22 2026 PAKETLEME'!$E$2:$E$501))</f>
        <v>0</v>
      </c>
      <c r="F487" s="82">
        <f>IF(A487="","",SUMIF('22 2026 PAKETLEME'!$B$2:$B$501,A487,'22 2026 PAKETLEME'!$G$2:$G$501))</f>
        <v>0</v>
      </c>
      <c r="G487" s="81">
        <f>IF(A487="","",SUMIF('22 2026 PAKETLEME'!$B$2:$B$501,A487,'22 2026 PAKETLEME'!$H$2:$H$501))</f>
        <v>0</v>
      </c>
      <c r="H487" s="81" t="e">
        <f t="shared" si="35"/>
        <v>#VALUE!</v>
      </c>
      <c r="I487" s="82">
        <f>IF(A487="","",SUMIF('23 2026 SEVKİYAT'!$E$2:$E$501,A487,'23 2026 SEVKİYAT'!$H$2:$H$501))</f>
        <v>0</v>
      </c>
      <c r="J487" s="81">
        <f t="shared" si="36"/>
        <v>0</v>
      </c>
      <c r="K487" s="81" t="e">
        <f t="shared" si="37"/>
        <v>#VALUE!</v>
      </c>
      <c r="L487" s="58" t="e">
        <f t="shared" si="38"/>
        <v>#VALUE!</v>
      </c>
      <c r="M487" s="56" t="e">
        <f t="shared" si="39"/>
        <v>#VALUE!</v>
      </c>
    </row>
    <row r="488" spans="1:13" ht="15" customHeight="1" x14ac:dyDescent="0.2">
      <c r="A488" s="60">
        <f>'21 2026 ÜRETİM'!A488</f>
        <v>0</v>
      </c>
      <c r="B488" s="81" t="str">
        <f>IF(A488="","",'21 2026 ÜRETİM'!D488)</f>
        <v/>
      </c>
      <c r="C488" s="81">
        <f>IF(A488="","",'21 2026 ÜRETİM'!E488)</f>
        <v>0</v>
      </c>
      <c r="D488" s="82" t="str">
        <f>IF(A488="","",'21 2026 ÜRETİM'!F488)</f>
        <v/>
      </c>
      <c r="E488" s="81">
        <f>IF(A488="","",SUMIF('22 2026 PAKETLEME'!$B$2:$B$501,A488,'22 2026 PAKETLEME'!$E$2:$E$501))</f>
        <v>0</v>
      </c>
      <c r="F488" s="82">
        <f>IF(A488="","",SUMIF('22 2026 PAKETLEME'!$B$2:$B$501,A488,'22 2026 PAKETLEME'!$G$2:$G$501))</f>
        <v>0</v>
      </c>
      <c r="G488" s="81">
        <f>IF(A488="","",SUMIF('22 2026 PAKETLEME'!$B$2:$B$501,A488,'22 2026 PAKETLEME'!$H$2:$H$501))</f>
        <v>0</v>
      </c>
      <c r="H488" s="81" t="e">
        <f t="shared" si="35"/>
        <v>#VALUE!</v>
      </c>
      <c r="I488" s="82">
        <f>IF(A488="","",SUMIF('23 2026 SEVKİYAT'!$E$2:$E$501,A488,'23 2026 SEVKİYAT'!$H$2:$H$501))</f>
        <v>0</v>
      </c>
      <c r="J488" s="81">
        <f t="shared" si="36"/>
        <v>0</v>
      </c>
      <c r="K488" s="81" t="e">
        <f t="shared" si="37"/>
        <v>#VALUE!</v>
      </c>
      <c r="L488" s="58" t="e">
        <f t="shared" si="38"/>
        <v>#VALUE!</v>
      </c>
      <c r="M488" s="56" t="e">
        <f t="shared" si="39"/>
        <v>#VALUE!</v>
      </c>
    </row>
    <row r="489" spans="1:13" ht="15" customHeight="1" x14ac:dyDescent="0.2">
      <c r="A489" s="60">
        <f>'21 2026 ÜRETİM'!A489</f>
        <v>0</v>
      </c>
      <c r="B489" s="81" t="str">
        <f>IF(A489="","",'21 2026 ÜRETİM'!D489)</f>
        <v/>
      </c>
      <c r="C489" s="81">
        <f>IF(A489="","",'21 2026 ÜRETİM'!E489)</f>
        <v>0</v>
      </c>
      <c r="D489" s="82" t="str">
        <f>IF(A489="","",'21 2026 ÜRETİM'!F489)</f>
        <v/>
      </c>
      <c r="E489" s="81">
        <f>IF(A489="","",SUMIF('22 2026 PAKETLEME'!$B$2:$B$501,A489,'22 2026 PAKETLEME'!$E$2:$E$501))</f>
        <v>0</v>
      </c>
      <c r="F489" s="82">
        <f>IF(A489="","",SUMIF('22 2026 PAKETLEME'!$B$2:$B$501,A489,'22 2026 PAKETLEME'!$G$2:$G$501))</f>
        <v>0</v>
      </c>
      <c r="G489" s="81">
        <f>IF(A489="","",SUMIF('22 2026 PAKETLEME'!$B$2:$B$501,A489,'22 2026 PAKETLEME'!$H$2:$H$501))</f>
        <v>0</v>
      </c>
      <c r="H489" s="81" t="e">
        <f t="shared" si="35"/>
        <v>#VALUE!</v>
      </c>
      <c r="I489" s="82">
        <f>IF(A489="","",SUMIF('23 2026 SEVKİYAT'!$E$2:$E$501,A489,'23 2026 SEVKİYAT'!$H$2:$H$501))</f>
        <v>0</v>
      </c>
      <c r="J489" s="81">
        <f t="shared" si="36"/>
        <v>0</v>
      </c>
      <c r="K489" s="81" t="e">
        <f t="shared" si="37"/>
        <v>#VALUE!</v>
      </c>
      <c r="L489" s="58" t="e">
        <f t="shared" si="38"/>
        <v>#VALUE!</v>
      </c>
      <c r="M489" s="56" t="e">
        <f t="shared" si="39"/>
        <v>#VALUE!</v>
      </c>
    </row>
    <row r="490" spans="1:13" ht="15" customHeight="1" x14ac:dyDescent="0.2">
      <c r="A490" s="60">
        <f>'21 2026 ÜRETİM'!A490</f>
        <v>0</v>
      </c>
      <c r="B490" s="81" t="str">
        <f>IF(A490="","",'21 2026 ÜRETİM'!D490)</f>
        <v/>
      </c>
      <c r="C490" s="81">
        <f>IF(A490="","",'21 2026 ÜRETİM'!E490)</f>
        <v>0</v>
      </c>
      <c r="D490" s="82" t="str">
        <f>IF(A490="","",'21 2026 ÜRETİM'!F490)</f>
        <v/>
      </c>
      <c r="E490" s="81">
        <f>IF(A490="","",SUMIF('22 2026 PAKETLEME'!$B$2:$B$501,A490,'22 2026 PAKETLEME'!$E$2:$E$501))</f>
        <v>0</v>
      </c>
      <c r="F490" s="82">
        <f>IF(A490="","",SUMIF('22 2026 PAKETLEME'!$B$2:$B$501,A490,'22 2026 PAKETLEME'!$G$2:$G$501))</f>
        <v>0</v>
      </c>
      <c r="G490" s="81">
        <f>IF(A490="","",SUMIF('22 2026 PAKETLEME'!$B$2:$B$501,A490,'22 2026 PAKETLEME'!$H$2:$H$501))</f>
        <v>0</v>
      </c>
      <c r="H490" s="81" t="e">
        <f t="shared" si="35"/>
        <v>#VALUE!</v>
      </c>
      <c r="I490" s="82">
        <f>IF(A490="","",SUMIF('23 2026 SEVKİYAT'!$E$2:$E$501,A490,'23 2026 SEVKİYAT'!$H$2:$H$501))</f>
        <v>0</v>
      </c>
      <c r="J490" s="81">
        <f t="shared" si="36"/>
        <v>0</v>
      </c>
      <c r="K490" s="81" t="e">
        <f t="shared" si="37"/>
        <v>#VALUE!</v>
      </c>
      <c r="L490" s="58" t="e">
        <f t="shared" si="38"/>
        <v>#VALUE!</v>
      </c>
      <c r="M490" s="56" t="e">
        <f t="shared" si="39"/>
        <v>#VALUE!</v>
      </c>
    </row>
    <row r="491" spans="1:13" ht="15" customHeight="1" x14ac:dyDescent="0.2">
      <c r="A491" s="60">
        <f>'21 2026 ÜRETİM'!A491</f>
        <v>0</v>
      </c>
      <c r="B491" s="81" t="str">
        <f>IF(A491="","",'21 2026 ÜRETİM'!D491)</f>
        <v/>
      </c>
      <c r="C491" s="81">
        <f>IF(A491="","",'21 2026 ÜRETİM'!E491)</f>
        <v>0</v>
      </c>
      <c r="D491" s="82" t="str">
        <f>IF(A491="","",'21 2026 ÜRETİM'!F491)</f>
        <v/>
      </c>
      <c r="E491" s="81">
        <f>IF(A491="","",SUMIF('22 2026 PAKETLEME'!$B$2:$B$501,A491,'22 2026 PAKETLEME'!$E$2:$E$501))</f>
        <v>0</v>
      </c>
      <c r="F491" s="82">
        <f>IF(A491="","",SUMIF('22 2026 PAKETLEME'!$B$2:$B$501,A491,'22 2026 PAKETLEME'!$G$2:$G$501))</f>
        <v>0</v>
      </c>
      <c r="G491" s="81">
        <f>IF(A491="","",SUMIF('22 2026 PAKETLEME'!$B$2:$B$501,A491,'22 2026 PAKETLEME'!$H$2:$H$501))</f>
        <v>0</v>
      </c>
      <c r="H491" s="81" t="e">
        <f t="shared" si="35"/>
        <v>#VALUE!</v>
      </c>
      <c r="I491" s="82">
        <f>IF(A491="","",SUMIF('23 2026 SEVKİYAT'!$E$2:$E$501,A491,'23 2026 SEVKİYAT'!$H$2:$H$501))</f>
        <v>0</v>
      </c>
      <c r="J491" s="81">
        <f t="shared" si="36"/>
        <v>0</v>
      </c>
      <c r="K491" s="81" t="e">
        <f t="shared" si="37"/>
        <v>#VALUE!</v>
      </c>
      <c r="L491" s="58" t="e">
        <f t="shared" si="38"/>
        <v>#VALUE!</v>
      </c>
      <c r="M491" s="56" t="e">
        <f t="shared" si="39"/>
        <v>#VALUE!</v>
      </c>
    </row>
    <row r="492" spans="1:13" ht="15" customHeight="1" x14ac:dyDescent="0.2">
      <c r="A492" s="60">
        <f>'21 2026 ÜRETİM'!A492</f>
        <v>0</v>
      </c>
      <c r="B492" s="81" t="str">
        <f>IF(A492="","",'21 2026 ÜRETİM'!D492)</f>
        <v/>
      </c>
      <c r="C492" s="81">
        <f>IF(A492="","",'21 2026 ÜRETİM'!E492)</f>
        <v>0</v>
      </c>
      <c r="D492" s="82" t="str">
        <f>IF(A492="","",'21 2026 ÜRETİM'!F492)</f>
        <v/>
      </c>
      <c r="E492" s="81">
        <f>IF(A492="","",SUMIF('22 2026 PAKETLEME'!$B$2:$B$501,A492,'22 2026 PAKETLEME'!$E$2:$E$501))</f>
        <v>0</v>
      </c>
      <c r="F492" s="82">
        <f>IF(A492="","",SUMIF('22 2026 PAKETLEME'!$B$2:$B$501,A492,'22 2026 PAKETLEME'!$G$2:$G$501))</f>
        <v>0</v>
      </c>
      <c r="G492" s="81">
        <f>IF(A492="","",SUMIF('22 2026 PAKETLEME'!$B$2:$B$501,A492,'22 2026 PAKETLEME'!$H$2:$H$501))</f>
        <v>0</v>
      </c>
      <c r="H492" s="81" t="e">
        <f t="shared" si="35"/>
        <v>#VALUE!</v>
      </c>
      <c r="I492" s="82">
        <f>IF(A492="","",SUMIF('23 2026 SEVKİYAT'!$E$2:$E$501,A492,'23 2026 SEVKİYAT'!$H$2:$H$501))</f>
        <v>0</v>
      </c>
      <c r="J492" s="81">
        <f t="shared" si="36"/>
        <v>0</v>
      </c>
      <c r="K492" s="81" t="e">
        <f t="shared" si="37"/>
        <v>#VALUE!</v>
      </c>
      <c r="L492" s="58" t="e">
        <f t="shared" si="38"/>
        <v>#VALUE!</v>
      </c>
      <c r="M492" s="56" t="e">
        <f t="shared" si="39"/>
        <v>#VALUE!</v>
      </c>
    </row>
    <row r="493" spans="1:13" ht="15" customHeight="1" x14ac:dyDescent="0.2">
      <c r="A493" s="60">
        <f>'21 2026 ÜRETİM'!A493</f>
        <v>0</v>
      </c>
      <c r="B493" s="81" t="str">
        <f>IF(A493="","",'21 2026 ÜRETİM'!D493)</f>
        <v/>
      </c>
      <c r="C493" s="81">
        <f>IF(A493="","",'21 2026 ÜRETİM'!E493)</f>
        <v>0</v>
      </c>
      <c r="D493" s="82" t="str">
        <f>IF(A493="","",'21 2026 ÜRETİM'!F493)</f>
        <v/>
      </c>
      <c r="E493" s="81">
        <f>IF(A493="","",SUMIF('22 2026 PAKETLEME'!$B$2:$B$501,A493,'22 2026 PAKETLEME'!$E$2:$E$501))</f>
        <v>0</v>
      </c>
      <c r="F493" s="82">
        <f>IF(A493="","",SUMIF('22 2026 PAKETLEME'!$B$2:$B$501,A493,'22 2026 PAKETLEME'!$G$2:$G$501))</f>
        <v>0</v>
      </c>
      <c r="G493" s="81">
        <f>IF(A493="","",SUMIF('22 2026 PAKETLEME'!$B$2:$B$501,A493,'22 2026 PAKETLEME'!$H$2:$H$501))</f>
        <v>0</v>
      </c>
      <c r="H493" s="81" t="e">
        <f t="shared" si="35"/>
        <v>#VALUE!</v>
      </c>
      <c r="I493" s="82">
        <f>IF(A493="","",SUMIF('23 2026 SEVKİYAT'!$E$2:$E$501,A493,'23 2026 SEVKİYAT'!$H$2:$H$501))</f>
        <v>0</v>
      </c>
      <c r="J493" s="81">
        <f t="shared" si="36"/>
        <v>0</v>
      </c>
      <c r="K493" s="81" t="e">
        <f t="shared" si="37"/>
        <v>#VALUE!</v>
      </c>
      <c r="L493" s="58" t="e">
        <f t="shared" si="38"/>
        <v>#VALUE!</v>
      </c>
      <c r="M493" s="56" t="e">
        <f t="shared" si="39"/>
        <v>#VALUE!</v>
      </c>
    </row>
    <row r="494" spans="1:13" ht="15" customHeight="1" x14ac:dyDescent="0.2">
      <c r="A494" s="60">
        <f>'21 2026 ÜRETİM'!A494</f>
        <v>0</v>
      </c>
      <c r="B494" s="81" t="str">
        <f>IF(A494="","",'21 2026 ÜRETİM'!D494)</f>
        <v/>
      </c>
      <c r="C494" s="81">
        <f>IF(A494="","",'21 2026 ÜRETİM'!E494)</f>
        <v>0</v>
      </c>
      <c r="D494" s="82" t="str">
        <f>IF(A494="","",'21 2026 ÜRETİM'!F494)</f>
        <v/>
      </c>
      <c r="E494" s="81">
        <f>IF(A494="","",SUMIF('22 2026 PAKETLEME'!$B$2:$B$501,A494,'22 2026 PAKETLEME'!$E$2:$E$501))</f>
        <v>0</v>
      </c>
      <c r="F494" s="82">
        <f>IF(A494="","",SUMIF('22 2026 PAKETLEME'!$B$2:$B$501,A494,'22 2026 PAKETLEME'!$G$2:$G$501))</f>
        <v>0</v>
      </c>
      <c r="G494" s="81">
        <f>IF(A494="","",SUMIF('22 2026 PAKETLEME'!$B$2:$B$501,A494,'22 2026 PAKETLEME'!$H$2:$H$501))</f>
        <v>0</v>
      </c>
      <c r="H494" s="81" t="e">
        <f t="shared" si="35"/>
        <v>#VALUE!</v>
      </c>
      <c r="I494" s="82">
        <f>IF(A494="","",SUMIF('23 2026 SEVKİYAT'!$E$2:$E$501,A494,'23 2026 SEVKİYAT'!$H$2:$H$501))</f>
        <v>0</v>
      </c>
      <c r="J494" s="81">
        <f t="shared" si="36"/>
        <v>0</v>
      </c>
      <c r="K494" s="81" t="e">
        <f t="shared" si="37"/>
        <v>#VALUE!</v>
      </c>
      <c r="L494" s="58" t="e">
        <f t="shared" si="38"/>
        <v>#VALUE!</v>
      </c>
      <c r="M494" s="56" t="e">
        <f t="shared" si="39"/>
        <v>#VALUE!</v>
      </c>
    </row>
    <row r="495" spans="1:13" ht="15" customHeight="1" x14ac:dyDescent="0.2">
      <c r="A495" s="60">
        <f>'21 2026 ÜRETİM'!A495</f>
        <v>0</v>
      </c>
      <c r="B495" s="81" t="str">
        <f>IF(A495="","",'21 2026 ÜRETİM'!D495)</f>
        <v/>
      </c>
      <c r="C495" s="81">
        <f>IF(A495="","",'21 2026 ÜRETİM'!E495)</f>
        <v>0</v>
      </c>
      <c r="D495" s="82" t="str">
        <f>IF(A495="","",'21 2026 ÜRETİM'!F495)</f>
        <v/>
      </c>
      <c r="E495" s="81">
        <f>IF(A495="","",SUMIF('22 2026 PAKETLEME'!$B$2:$B$501,A495,'22 2026 PAKETLEME'!$E$2:$E$501))</f>
        <v>0</v>
      </c>
      <c r="F495" s="82">
        <f>IF(A495="","",SUMIF('22 2026 PAKETLEME'!$B$2:$B$501,A495,'22 2026 PAKETLEME'!$G$2:$G$501))</f>
        <v>0</v>
      </c>
      <c r="G495" s="81">
        <f>IF(A495="","",SUMIF('22 2026 PAKETLEME'!$B$2:$B$501,A495,'22 2026 PAKETLEME'!$H$2:$H$501))</f>
        <v>0</v>
      </c>
      <c r="H495" s="81" t="e">
        <f t="shared" si="35"/>
        <v>#VALUE!</v>
      </c>
      <c r="I495" s="82">
        <f>IF(A495="","",SUMIF('23 2026 SEVKİYAT'!$E$2:$E$501,A495,'23 2026 SEVKİYAT'!$H$2:$H$501))</f>
        <v>0</v>
      </c>
      <c r="J495" s="81">
        <f t="shared" si="36"/>
        <v>0</v>
      </c>
      <c r="K495" s="81" t="e">
        <f t="shared" si="37"/>
        <v>#VALUE!</v>
      </c>
      <c r="L495" s="58" t="e">
        <f t="shared" si="38"/>
        <v>#VALUE!</v>
      </c>
      <c r="M495" s="56" t="e">
        <f t="shared" si="39"/>
        <v>#VALUE!</v>
      </c>
    </row>
    <row r="496" spans="1:13" ht="15" customHeight="1" x14ac:dyDescent="0.2">
      <c r="A496" s="60">
        <f>'21 2026 ÜRETİM'!A496</f>
        <v>0</v>
      </c>
      <c r="B496" s="81" t="str">
        <f>IF(A496="","",'21 2026 ÜRETİM'!D496)</f>
        <v/>
      </c>
      <c r="C496" s="81">
        <f>IF(A496="","",'21 2026 ÜRETİM'!E496)</f>
        <v>0</v>
      </c>
      <c r="D496" s="82" t="str">
        <f>IF(A496="","",'21 2026 ÜRETİM'!F496)</f>
        <v/>
      </c>
      <c r="E496" s="81">
        <f>IF(A496="","",SUMIF('22 2026 PAKETLEME'!$B$2:$B$501,A496,'22 2026 PAKETLEME'!$E$2:$E$501))</f>
        <v>0</v>
      </c>
      <c r="F496" s="82">
        <f>IF(A496="","",SUMIF('22 2026 PAKETLEME'!$B$2:$B$501,A496,'22 2026 PAKETLEME'!$G$2:$G$501))</f>
        <v>0</v>
      </c>
      <c r="G496" s="81">
        <f>IF(A496="","",SUMIF('22 2026 PAKETLEME'!$B$2:$B$501,A496,'22 2026 PAKETLEME'!$H$2:$H$501))</f>
        <v>0</v>
      </c>
      <c r="H496" s="81" t="e">
        <f t="shared" si="35"/>
        <v>#VALUE!</v>
      </c>
      <c r="I496" s="82">
        <f>IF(A496="","",SUMIF('23 2026 SEVKİYAT'!$E$2:$E$501,A496,'23 2026 SEVKİYAT'!$H$2:$H$501))</f>
        <v>0</v>
      </c>
      <c r="J496" s="81">
        <f t="shared" si="36"/>
        <v>0</v>
      </c>
      <c r="K496" s="81" t="e">
        <f t="shared" si="37"/>
        <v>#VALUE!</v>
      </c>
      <c r="L496" s="58" t="e">
        <f t="shared" si="38"/>
        <v>#VALUE!</v>
      </c>
      <c r="M496" s="56" t="e">
        <f t="shared" si="39"/>
        <v>#VALUE!</v>
      </c>
    </row>
    <row r="497" spans="1:13" ht="15" customHeight="1" x14ac:dyDescent="0.2">
      <c r="A497" s="60">
        <f>'21 2026 ÜRETİM'!A497</f>
        <v>0</v>
      </c>
      <c r="B497" s="81" t="str">
        <f>IF(A497="","",'21 2026 ÜRETİM'!D497)</f>
        <v/>
      </c>
      <c r="C497" s="81">
        <f>IF(A497="","",'21 2026 ÜRETİM'!E497)</f>
        <v>0</v>
      </c>
      <c r="D497" s="82" t="str">
        <f>IF(A497="","",'21 2026 ÜRETİM'!F497)</f>
        <v/>
      </c>
      <c r="E497" s="81">
        <f>IF(A497="","",SUMIF('22 2026 PAKETLEME'!$B$2:$B$501,A497,'22 2026 PAKETLEME'!$E$2:$E$501))</f>
        <v>0</v>
      </c>
      <c r="F497" s="82">
        <f>IF(A497="","",SUMIF('22 2026 PAKETLEME'!$B$2:$B$501,A497,'22 2026 PAKETLEME'!$G$2:$G$501))</f>
        <v>0</v>
      </c>
      <c r="G497" s="81">
        <f>IF(A497="","",SUMIF('22 2026 PAKETLEME'!$B$2:$B$501,A497,'22 2026 PAKETLEME'!$H$2:$H$501))</f>
        <v>0</v>
      </c>
      <c r="H497" s="81" t="e">
        <f t="shared" si="35"/>
        <v>#VALUE!</v>
      </c>
      <c r="I497" s="82">
        <f>IF(A497="","",SUMIF('23 2026 SEVKİYAT'!$E$2:$E$501,A497,'23 2026 SEVKİYAT'!$H$2:$H$501))</f>
        <v>0</v>
      </c>
      <c r="J497" s="81">
        <f t="shared" si="36"/>
        <v>0</v>
      </c>
      <c r="K497" s="81" t="e">
        <f t="shared" si="37"/>
        <v>#VALUE!</v>
      </c>
      <c r="L497" s="58" t="e">
        <f t="shared" si="38"/>
        <v>#VALUE!</v>
      </c>
      <c r="M497" s="56" t="e">
        <f t="shared" si="39"/>
        <v>#VALUE!</v>
      </c>
    </row>
    <row r="498" spans="1:13" ht="15" customHeight="1" x14ac:dyDescent="0.2">
      <c r="A498" s="60">
        <f>'21 2026 ÜRETİM'!A498</f>
        <v>0</v>
      </c>
      <c r="B498" s="81" t="str">
        <f>IF(A498="","",'21 2026 ÜRETİM'!D498)</f>
        <v/>
      </c>
      <c r="C498" s="81">
        <f>IF(A498="","",'21 2026 ÜRETİM'!E498)</f>
        <v>0</v>
      </c>
      <c r="D498" s="82" t="str">
        <f>IF(A498="","",'21 2026 ÜRETİM'!F498)</f>
        <v/>
      </c>
      <c r="E498" s="81">
        <f>IF(A498="","",SUMIF('22 2026 PAKETLEME'!$B$2:$B$501,A498,'22 2026 PAKETLEME'!$E$2:$E$501))</f>
        <v>0</v>
      </c>
      <c r="F498" s="82">
        <f>IF(A498="","",SUMIF('22 2026 PAKETLEME'!$B$2:$B$501,A498,'22 2026 PAKETLEME'!$G$2:$G$501))</f>
        <v>0</v>
      </c>
      <c r="G498" s="81">
        <f>IF(A498="","",SUMIF('22 2026 PAKETLEME'!$B$2:$B$501,A498,'22 2026 PAKETLEME'!$H$2:$H$501))</f>
        <v>0</v>
      </c>
      <c r="H498" s="81" t="e">
        <f t="shared" si="35"/>
        <v>#VALUE!</v>
      </c>
      <c r="I498" s="82">
        <f>IF(A498="","",SUMIF('23 2026 SEVKİYAT'!$E$2:$E$501,A498,'23 2026 SEVKİYAT'!$H$2:$H$501))</f>
        <v>0</v>
      </c>
      <c r="J498" s="81">
        <f t="shared" si="36"/>
        <v>0</v>
      </c>
      <c r="K498" s="81" t="e">
        <f t="shared" si="37"/>
        <v>#VALUE!</v>
      </c>
      <c r="L498" s="58" t="e">
        <f t="shared" si="38"/>
        <v>#VALUE!</v>
      </c>
      <c r="M498" s="56" t="e">
        <f t="shared" si="39"/>
        <v>#VALUE!</v>
      </c>
    </row>
    <row r="499" spans="1:13" ht="15" customHeight="1" x14ac:dyDescent="0.2">
      <c r="A499" s="60">
        <f>'21 2026 ÜRETİM'!A499</f>
        <v>0</v>
      </c>
      <c r="B499" s="81" t="str">
        <f>IF(A499="","",'21 2026 ÜRETİM'!D499)</f>
        <v/>
      </c>
      <c r="C499" s="81">
        <f>IF(A499="","",'21 2026 ÜRETİM'!E499)</f>
        <v>0</v>
      </c>
      <c r="D499" s="82" t="str">
        <f>IF(A499="","",'21 2026 ÜRETİM'!F499)</f>
        <v/>
      </c>
      <c r="E499" s="81">
        <f>IF(A499="","",SUMIF('22 2026 PAKETLEME'!$B$2:$B$501,A499,'22 2026 PAKETLEME'!$E$2:$E$501))</f>
        <v>0</v>
      </c>
      <c r="F499" s="82">
        <f>IF(A499="","",SUMIF('22 2026 PAKETLEME'!$B$2:$B$501,A499,'22 2026 PAKETLEME'!$G$2:$G$501))</f>
        <v>0</v>
      </c>
      <c r="G499" s="81">
        <f>IF(A499="","",SUMIF('22 2026 PAKETLEME'!$B$2:$B$501,A499,'22 2026 PAKETLEME'!$H$2:$H$501))</f>
        <v>0</v>
      </c>
      <c r="H499" s="81" t="e">
        <f t="shared" si="35"/>
        <v>#VALUE!</v>
      </c>
      <c r="I499" s="82">
        <f>IF(A499="","",SUMIF('23 2026 SEVKİYAT'!$E$2:$E$501,A499,'23 2026 SEVKİYAT'!$H$2:$H$501))</f>
        <v>0</v>
      </c>
      <c r="J499" s="81">
        <f t="shared" si="36"/>
        <v>0</v>
      </c>
      <c r="K499" s="81" t="e">
        <f t="shared" si="37"/>
        <v>#VALUE!</v>
      </c>
      <c r="L499" s="58" t="e">
        <f t="shared" si="38"/>
        <v>#VALUE!</v>
      </c>
      <c r="M499" s="56" t="e">
        <f t="shared" si="39"/>
        <v>#VALUE!</v>
      </c>
    </row>
    <row r="500" spans="1:13" ht="15" customHeight="1" x14ac:dyDescent="0.2">
      <c r="A500" s="60">
        <f>'21 2026 ÜRETİM'!A500</f>
        <v>0</v>
      </c>
      <c r="B500" s="81" t="str">
        <f>IF(A500="","",'21 2026 ÜRETİM'!D500)</f>
        <v/>
      </c>
      <c r="C500" s="81">
        <f>IF(A500="","",'21 2026 ÜRETİM'!E500)</f>
        <v>0</v>
      </c>
      <c r="D500" s="82" t="str">
        <f>IF(A500="","",'21 2026 ÜRETİM'!F500)</f>
        <v/>
      </c>
      <c r="E500" s="81">
        <f>IF(A500="","",SUMIF('22 2026 PAKETLEME'!$B$2:$B$501,A500,'22 2026 PAKETLEME'!$E$2:$E$501))</f>
        <v>0</v>
      </c>
      <c r="F500" s="82">
        <f>IF(A500="","",SUMIF('22 2026 PAKETLEME'!$B$2:$B$501,A500,'22 2026 PAKETLEME'!$G$2:$G$501))</f>
        <v>0</v>
      </c>
      <c r="G500" s="81">
        <f>IF(A500="","",SUMIF('22 2026 PAKETLEME'!$B$2:$B$501,A500,'22 2026 PAKETLEME'!$H$2:$H$501))</f>
        <v>0</v>
      </c>
      <c r="H500" s="81" t="e">
        <f t="shared" si="35"/>
        <v>#VALUE!</v>
      </c>
      <c r="I500" s="82">
        <f>IF(A500="","",SUMIF('23 2026 SEVKİYAT'!$E$2:$E$501,A500,'23 2026 SEVKİYAT'!$H$2:$H$501))</f>
        <v>0</v>
      </c>
      <c r="J500" s="81">
        <f t="shared" si="36"/>
        <v>0</v>
      </c>
      <c r="K500" s="81" t="e">
        <f t="shared" si="37"/>
        <v>#VALUE!</v>
      </c>
      <c r="L500" s="58" t="e">
        <f t="shared" si="38"/>
        <v>#VALUE!</v>
      </c>
      <c r="M500" s="56" t="e">
        <f t="shared" si="39"/>
        <v>#VALUE!</v>
      </c>
    </row>
    <row r="501" spans="1:13" ht="15" customHeight="1" x14ac:dyDescent="0.2">
      <c r="A501" s="60">
        <f>'21 2026 ÜRETİM'!A501</f>
        <v>0</v>
      </c>
      <c r="B501" s="81" t="str">
        <f>IF(A501="","",'21 2026 ÜRETİM'!D501)</f>
        <v/>
      </c>
      <c r="C501" s="81">
        <f>IF(A501="","",'21 2026 ÜRETİM'!E501)</f>
        <v>0</v>
      </c>
      <c r="D501" s="82" t="str">
        <f>IF(A501="","",'21 2026 ÜRETİM'!F501)</f>
        <v/>
      </c>
      <c r="E501" s="81">
        <f>IF(A501="","",SUMIF('22 2026 PAKETLEME'!$B$2:$B$501,A501,'22 2026 PAKETLEME'!$E$2:$E$501))</f>
        <v>0</v>
      </c>
      <c r="F501" s="82">
        <f>IF(A501="","",SUMIF('22 2026 PAKETLEME'!$B$2:$B$501,A501,'22 2026 PAKETLEME'!$G$2:$G$501))</f>
        <v>0</v>
      </c>
      <c r="G501" s="81">
        <f>IF(A501="","",SUMIF('22 2026 PAKETLEME'!$B$2:$B$501,A501,'22 2026 PAKETLEME'!$H$2:$H$501))</f>
        <v>0</v>
      </c>
      <c r="H501" s="81" t="e">
        <f t="shared" si="35"/>
        <v>#VALUE!</v>
      </c>
      <c r="I501" s="82">
        <f>IF(A501="","",SUMIF('23 2026 SEVKİYAT'!$E$2:$E$501,A501,'23 2026 SEVKİYAT'!$H$2:$H$501))</f>
        <v>0</v>
      </c>
      <c r="J501" s="81">
        <f t="shared" si="36"/>
        <v>0</v>
      </c>
      <c r="K501" s="81" t="e">
        <f t="shared" si="37"/>
        <v>#VALUE!</v>
      </c>
      <c r="L501" s="58" t="e">
        <f t="shared" si="38"/>
        <v>#VALUE!</v>
      </c>
      <c r="M501" s="56" t="e">
        <f t="shared" si="39"/>
        <v>#VALUE!</v>
      </c>
    </row>
  </sheetData>
  <autoFilter ref="A1:M501" xr:uid="{00000000-0009-0000-0000-00000F000000}"/>
  <hyperlinks>
    <hyperlink ref="V1" location="'00 ANA SAYFA'!A1" display="⌂ ANA SAYFA" xr:uid="{00000000-0004-0000-0F00-000000000000}"/>
    <hyperlink ref="V2" location="'21 2026 ÜRETİM'!A1" display="→ ÜRETİM" xr:uid="{00000000-0004-0000-0F00-000001000000}"/>
    <hyperlink ref="V3" location="'25 2026 LOT BAĞI'!A1" display="→ LOT BAĞI" xr:uid="{00000000-0004-0000-0F00-000002000000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0AD47"/>
  </sheetPr>
  <dimension ref="A1:V501"/>
  <sheetViews>
    <sheetView topLeftCell="B1" workbookViewId="0">
      <pane ySplit="1" topLeftCell="A2" activePane="bottomLeft" state="frozen"/>
      <selection pane="bottomLeft" activeCell="V23" sqref="V23"/>
    </sheetView>
  </sheetViews>
  <sheetFormatPr baseColWidth="10" defaultColWidth="8.83203125" defaultRowHeight="15" x14ac:dyDescent="0.2"/>
  <cols>
    <col min="1" max="1" width="16" style="49" customWidth="1"/>
    <col min="2" max="2" width="18" style="54" customWidth="1"/>
    <col min="3" max="3" width="8.83203125" style="49"/>
    <col min="4" max="4" width="20" style="54" customWidth="1"/>
    <col min="5" max="5" width="18" style="49" customWidth="1"/>
    <col min="6" max="6" width="8.83203125" style="54"/>
    <col min="7" max="7" width="20" style="49" customWidth="1"/>
    <col min="8" max="8" width="18" style="54" customWidth="1"/>
    <col min="9" max="9" width="16" style="49" customWidth="1"/>
    <col min="10" max="10" width="20" style="54" customWidth="1"/>
    <col min="11" max="11" width="8.83203125" style="49"/>
    <col min="12" max="12" width="42" style="66" customWidth="1"/>
    <col min="13" max="20" width="13" hidden="1" customWidth="1"/>
    <col min="22" max="22" width="18" customWidth="1"/>
  </cols>
  <sheetData>
    <row r="1" spans="1:22" ht="31.5" customHeight="1" x14ac:dyDescent="0.2">
      <c r="A1" s="61" t="s">
        <v>308</v>
      </c>
      <c r="B1" s="62" t="s">
        <v>399</v>
      </c>
      <c r="C1" s="61" t="s">
        <v>470</v>
      </c>
      <c r="D1" s="62" t="s">
        <v>471</v>
      </c>
      <c r="E1" s="61" t="s">
        <v>472</v>
      </c>
      <c r="F1" s="62" t="s">
        <v>473</v>
      </c>
      <c r="G1" s="61" t="s">
        <v>474</v>
      </c>
      <c r="H1" s="62" t="s">
        <v>475</v>
      </c>
      <c r="I1" s="61" t="s">
        <v>476</v>
      </c>
      <c r="J1" s="62" t="s">
        <v>477</v>
      </c>
      <c r="K1" s="61" t="s">
        <v>478</v>
      </c>
      <c r="L1" s="63" t="s">
        <v>273</v>
      </c>
      <c r="M1" s="3" t="s">
        <v>251</v>
      </c>
      <c r="N1" s="3" t="s">
        <v>256</v>
      </c>
      <c r="O1" s="3" t="s">
        <v>260</v>
      </c>
      <c r="P1" s="3" t="s">
        <v>263</v>
      </c>
      <c r="Q1" s="3" t="s">
        <v>265</v>
      </c>
      <c r="R1" s="3" t="s">
        <v>266</v>
      </c>
      <c r="S1" s="3" t="s">
        <v>268</v>
      </c>
      <c r="T1" s="3" t="s">
        <v>269</v>
      </c>
      <c r="V1" s="19" t="s">
        <v>365</v>
      </c>
    </row>
    <row r="2" spans="1:22" ht="15" customHeight="1" x14ac:dyDescent="0.2">
      <c r="A2" s="47" t="s">
        <v>400</v>
      </c>
      <c r="B2" s="52" t="s">
        <v>401</v>
      </c>
      <c r="C2" s="47" t="s">
        <v>292</v>
      </c>
      <c r="D2" s="52" t="s">
        <v>293</v>
      </c>
      <c r="E2" s="47" t="s">
        <v>294</v>
      </c>
      <c r="F2" s="52"/>
      <c r="G2" s="47" t="s">
        <v>296</v>
      </c>
      <c r="H2" s="52" t="s">
        <v>297</v>
      </c>
      <c r="I2" s="47" t="s">
        <v>298</v>
      </c>
      <c r="J2" s="52" t="s">
        <v>299</v>
      </c>
      <c r="K2" s="47" t="s">
        <v>479</v>
      </c>
      <c r="L2" s="64" t="s">
        <v>480</v>
      </c>
      <c r="M2" s="3" t="s">
        <v>292</v>
      </c>
      <c r="N2" s="3" t="s">
        <v>293</v>
      </c>
      <c r="O2" s="3" t="s">
        <v>294</v>
      </c>
      <c r="P2" s="3" t="s">
        <v>295</v>
      </c>
      <c r="Q2" s="3" t="s">
        <v>296</v>
      </c>
      <c r="R2" s="3" t="s">
        <v>297</v>
      </c>
      <c r="S2" s="3" t="s">
        <v>298</v>
      </c>
      <c r="T2" s="3" t="s">
        <v>299</v>
      </c>
      <c r="V2" s="20" t="s">
        <v>367</v>
      </c>
    </row>
    <row r="3" spans="1:22" ht="15" customHeight="1" x14ac:dyDescent="0.2">
      <c r="A3" s="47" t="s">
        <v>393</v>
      </c>
      <c r="B3" s="52" t="s">
        <v>403</v>
      </c>
      <c r="C3" s="47" t="s">
        <v>292</v>
      </c>
      <c r="D3" s="52" t="s">
        <v>293</v>
      </c>
      <c r="E3" s="47" t="s">
        <v>294</v>
      </c>
      <c r="F3" s="52"/>
      <c r="G3" s="47" t="s">
        <v>296</v>
      </c>
      <c r="H3" s="52" t="s">
        <v>297</v>
      </c>
      <c r="I3" s="47" t="s">
        <v>298</v>
      </c>
      <c r="J3" s="52" t="s">
        <v>299</v>
      </c>
      <c r="K3" s="47" t="s">
        <v>479</v>
      </c>
      <c r="L3" s="64" t="s">
        <v>480</v>
      </c>
      <c r="M3" s="3" t="s">
        <v>300</v>
      </c>
      <c r="N3" s="3" t="s">
        <v>301</v>
      </c>
      <c r="O3" s="3" t="s">
        <v>302</v>
      </c>
      <c r="P3" s="3"/>
      <c r="Q3" s="3" t="s">
        <v>303</v>
      </c>
      <c r="R3" s="3" t="s">
        <v>304</v>
      </c>
      <c r="S3" s="3" t="s">
        <v>305</v>
      </c>
      <c r="T3" s="3"/>
      <c r="V3" s="21" t="s">
        <v>370</v>
      </c>
    </row>
    <row r="4" spans="1:22" ht="15" customHeight="1" x14ac:dyDescent="0.2">
      <c r="A4" s="47" t="s">
        <v>405</v>
      </c>
      <c r="B4" s="52" t="s">
        <v>406</v>
      </c>
      <c r="C4" s="47" t="s">
        <v>300</v>
      </c>
      <c r="D4" s="52" t="s">
        <v>301</v>
      </c>
      <c r="E4" s="47" t="s">
        <v>306</v>
      </c>
      <c r="F4" s="52" t="s">
        <v>295</v>
      </c>
      <c r="G4" s="47" t="s">
        <v>303</v>
      </c>
      <c r="H4" s="52" t="s">
        <v>307</v>
      </c>
      <c r="I4" s="47" t="s">
        <v>305</v>
      </c>
      <c r="J4" s="52" t="s">
        <v>299</v>
      </c>
      <c r="K4" s="47" t="s">
        <v>479</v>
      </c>
      <c r="L4" s="64" t="s">
        <v>481</v>
      </c>
      <c r="M4" s="3"/>
      <c r="N4" s="3"/>
      <c r="O4" s="3" t="s">
        <v>306</v>
      </c>
      <c r="P4" s="3"/>
      <c r="Q4" s="3"/>
      <c r="R4" s="3" t="s">
        <v>307</v>
      </c>
      <c r="S4" s="3"/>
      <c r="T4" s="3"/>
    </row>
    <row r="5" spans="1:22" ht="15" customHeight="1" x14ac:dyDescent="0.2">
      <c r="A5" s="47" t="s">
        <v>408</v>
      </c>
      <c r="B5" s="52" t="s">
        <v>409</v>
      </c>
      <c r="C5" s="47" t="s">
        <v>300</v>
      </c>
      <c r="D5" s="52" t="s">
        <v>301</v>
      </c>
      <c r="E5" s="47" t="s">
        <v>306</v>
      </c>
      <c r="F5" s="52" t="s">
        <v>295</v>
      </c>
      <c r="G5" s="47" t="s">
        <v>303</v>
      </c>
      <c r="H5" s="52" t="s">
        <v>307</v>
      </c>
      <c r="I5" s="47" t="s">
        <v>305</v>
      </c>
      <c r="J5" s="52" t="s">
        <v>299</v>
      </c>
      <c r="K5" s="47" t="s">
        <v>479</v>
      </c>
      <c r="L5" s="64" t="s">
        <v>481</v>
      </c>
      <c r="M5" s="3"/>
      <c r="N5" s="3"/>
      <c r="O5" s="3"/>
      <c r="P5" s="3"/>
      <c r="Q5" s="3"/>
      <c r="R5" s="3"/>
      <c r="S5" s="3"/>
      <c r="T5" s="3"/>
    </row>
    <row r="6" spans="1:22" ht="15" customHeight="1" x14ac:dyDescent="0.2">
      <c r="A6" s="47" t="s">
        <v>411</v>
      </c>
      <c r="B6" s="52" t="s">
        <v>412</v>
      </c>
      <c r="C6" s="47" t="s">
        <v>300</v>
      </c>
      <c r="D6" s="52" t="s">
        <v>301</v>
      </c>
      <c r="E6" s="47" t="s">
        <v>306</v>
      </c>
      <c r="F6" s="52" t="s">
        <v>295</v>
      </c>
      <c r="G6" s="47" t="s">
        <v>303</v>
      </c>
      <c r="H6" s="52" t="s">
        <v>307</v>
      </c>
      <c r="I6" s="47" t="s">
        <v>305</v>
      </c>
      <c r="J6" s="52" t="s">
        <v>299</v>
      </c>
      <c r="K6" s="47" t="s">
        <v>479</v>
      </c>
      <c r="L6" s="64" t="s">
        <v>481</v>
      </c>
      <c r="M6" s="3"/>
      <c r="N6" s="3"/>
      <c r="O6" s="3"/>
      <c r="P6" s="3"/>
      <c r="Q6" s="3"/>
      <c r="R6" s="3"/>
      <c r="S6" s="3"/>
      <c r="T6" s="3"/>
    </row>
    <row r="7" spans="1:22" ht="15" customHeight="1" x14ac:dyDescent="0.2">
      <c r="A7" s="47" t="s">
        <v>413</v>
      </c>
      <c r="B7" s="52" t="s">
        <v>414</v>
      </c>
      <c r="C7" s="47" t="s">
        <v>300</v>
      </c>
      <c r="D7" s="52" t="s">
        <v>301</v>
      </c>
      <c r="E7" s="47" t="s">
        <v>306</v>
      </c>
      <c r="F7" s="52" t="s">
        <v>295</v>
      </c>
      <c r="G7" s="47" t="s">
        <v>303</v>
      </c>
      <c r="H7" s="52" t="s">
        <v>307</v>
      </c>
      <c r="I7" s="47" t="s">
        <v>305</v>
      </c>
      <c r="J7" s="52" t="s">
        <v>299</v>
      </c>
      <c r="K7" s="47" t="s">
        <v>479</v>
      </c>
      <c r="L7" s="64" t="s">
        <v>481</v>
      </c>
      <c r="M7" s="3"/>
      <c r="N7" s="3"/>
      <c r="O7" s="3"/>
      <c r="P7" s="3"/>
      <c r="Q7" s="3"/>
      <c r="R7" s="3"/>
      <c r="S7" s="3"/>
      <c r="T7" s="3"/>
    </row>
    <row r="8" spans="1:22" ht="15" customHeight="1" x14ac:dyDescent="0.2">
      <c r="A8" s="47" t="s">
        <v>415</v>
      </c>
      <c r="B8" s="52" t="s">
        <v>416</v>
      </c>
      <c r="C8" s="47" t="s">
        <v>300</v>
      </c>
      <c r="D8" s="52" t="s">
        <v>301</v>
      </c>
      <c r="E8" s="47" t="s">
        <v>306</v>
      </c>
      <c r="F8" s="52" t="s">
        <v>295</v>
      </c>
      <c r="G8" s="47" t="s">
        <v>303</v>
      </c>
      <c r="H8" s="52" t="s">
        <v>307</v>
      </c>
      <c r="I8" s="47" t="s">
        <v>305</v>
      </c>
      <c r="J8" s="52" t="s">
        <v>299</v>
      </c>
      <c r="K8" s="47" t="s">
        <v>479</v>
      </c>
      <c r="L8" s="64" t="s">
        <v>481</v>
      </c>
      <c r="M8" s="3"/>
      <c r="N8" s="3"/>
      <c r="O8" s="3"/>
      <c r="P8" s="3"/>
      <c r="Q8" s="3"/>
      <c r="R8" s="3"/>
      <c r="S8" s="3"/>
      <c r="T8" s="3"/>
    </row>
    <row r="9" spans="1:22" ht="15" customHeight="1" x14ac:dyDescent="0.2">
      <c r="A9" s="47" t="s">
        <v>417</v>
      </c>
      <c r="B9" s="52" t="s">
        <v>418</v>
      </c>
      <c r="C9" s="47" t="s">
        <v>300</v>
      </c>
      <c r="D9" s="52" t="s">
        <v>301</v>
      </c>
      <c r="E9" s="47" t="s">
        <v>306</v>
      </c>
      <c r="F9" s="52" t="s">
        <v>295</v>
      </c>
      <c r="G9" s="47" t="s">
        <v>303</v>
      </c>
      <c r="H9" s="52" t="s">
        <v>307</v>
      </c>
      <c r="I9" s="47" t="s">
        <v>305</v>
      </c>
      <c r="J9" s="52" t="s">
        <v>299</v>
      </c>
      <c r="K9" s="47" t="s">
        <v>479</v>
      </c>
      <c r="L9" s="64" t="s">
        <v>481</v>
      </c>
      <c r="M9" s="3"/>
      <c r="N9" s="3"/>
      <c r="O9" s="3"/>
      <c r="P9" s="3"/>
      <c r="Q9" s="3"/>
      <c r="R9" s="3"/>
      <c r="S9" s="3"/>
      <c r="T9" s="3"/>
    </row>
    <row r="10" spans="1:22" ht="15" customHeight="1" x14ac:dyDescent="0.2">
      <c r="A10" s="47" t="s">
        <v>419</v>
      </c>
      <c r="B10" s="52" t="s">
        <v>420</v>
      </c>
      <c r="C10" s="47" t="s">
        <v>300</v>
      </c>
      <c r="D10" s="52" t="s">
        <v>301</v>
      </c>
      <c r="E10" s="47" t="s">
        <v>306</v>
      </c>
      <c r="F10" s="52" t="s">
        <v>295</v>
      </c>
      <c r="G10" s="47" t="s">
        <v>303</v>
      </c>
      <c r="H10" s="52" t="s">
        <v>307</v>
      </c>
      <c r="I10" s="47" t="s">
        <v>305</v>
      </c>
      <c r="J10" s="52" t="s">
        <v>299</v>
      </c>
      <c r="K10" s="47" t="s">
        <v>479</v>
      </c>
      <c r="L10" s="64" t="s">
        <v>481</v>
      </c>
      <c r="M10" s="3"/>
      <c r="N10" s="3"/>
      <c r="O10" s="3"/>
      <c r="P10" s="3"/>
      <c r="Q10" s="3"/>
      <c r="R10" s="3"/>
      <c r="S10" s="3"/>
      <c r="T10" s="3"/>
    </row>
    <row r="11" spans="1:22" ht="15" customHeight="1" x14ac:dyDescent="0.2">
      <c r="A11" s="47" t="s">
        <v>422</v>
      </c>
      <c r="B11" s="52" t="s">
        <v>423</v>
      </c>
      <c r="C11" s="47" t="s">
        <v>300</v>
      </c>
      <c r="D11" s="52" t="s">
        <v>301</v>
      </c>
      <c r="E11" s="47" t="s">
        <v>306</v>
      </c>
      <c r="F11" s="52" t="s">
        <v>295</v>
      </c>
      <c r="G11" s="47" t="s">
        <v>303</v>
      </c>
      <c r="H11" s="52" t="s">
        <v>307</v>
      </c>
      <c r="I11" s="47" t="s">
        <v>305</v>
      </c>
      <c r="J11" s="52" t="s">
        <v>299</v>
      </c>
      <c r="K11" s="47" t="s">
        <v>479</v>
      </c>
      <c r="L11" s="64" t="s">
        <v>481</v>
      </c>
      <c r="M11" s="3"/>
      <c r="N11" s="3"/>
      <c r="O11" s="3"/>
      <c r="P11" s="3"/>
      <c r="Q11" s="3"/>
      <c r="R11" s="3"/>
      <c r="S11" s="3"/>
      <c r="T11" s="3"/>
    </row>
    <row r="12" spans="1:22" ht="15" customHeight="1" x14ac:dyDescent="0.2">
      <c r="A12" s="47" t="s">
        <v>425</v>
      </c>
      <c r="B12" s="52" t="s">
        <v>426</v>
      </c>
      <c r="C12" s="47" t="s">
        <v>300</v>
      </c>
      <c r="D12" s="52" t="s">
        <v>301</v>
      </c>
      <c r="E12" s="47" t="s">
        <v>306</v>
      </c>
      <c r="F12" s="52" t="s">
        <v>295</v>
      </c>
      <c r="G12" s="47" t="s">
        <v>303</v>
      </c>
      <c r="H12" s="52" t="s">
        <v>307</v>
      </c>
      <c r="I12" s="47" t="s">
        <v>305</v>
      </c>
      <c r="J12" s="52" t="s">
        <v>299</v>
      </c>
      <c r="K12" s="47" t="s">
        <v>479</v>
      </c>
      <c r="L12" s="64" t="s">
        <v>481</v>
      </c>
      <c r="M12" s="3"/>
      <c r="N12" s="3"/>
      <c r="O12" s="3"/>
      <c r="P12" s="3"/>
      <c r="Q12" s="3"/>
      <c r="R12" s="3"/>
      <c r="S12" s="3"/>
      <c r="T12" s="3"/>
    </row>
    <row r="13" spans="1:22" ht="15" customHeight="1" x14ac:dyDescent="0.2">
      <c r="A13" s="56"/>
      <c r="B13" s="58"/>
      <c r="C13" s="56"/>
      <c r="D13" s="58"/>
      <c r="E13" s="56"/>
      <c r="F13" s="58"/>
      <c r="G13" s="56"/>
      <c r="H13" s="58"/>
      <c r="I13" s="56"/>
      <c r="J13" s="58"/>
      <c r="K13" s="56" t="s">
        <v>479</v>
      </c>
      <c r="L13" s="65"/>
      <c r="M13" s="3"/>
      <c r="N13" s="3"/>
      <c r="O13" s="3"/>
      <c r="P13" s="3"/>
      <c r="Q13" s="3"/>
      <c r="R13" s="3"/>
      <c r="S13" s="3"/>
      <c r="T13" s="3"/>
    </row>
    <row r="14" spans="1:22" ht="15" customHeight="1" x14ac:dyDescent="0.2">
      <c r="A14" s="56"/>
      <c r="B14" s="58"/>
      <c r="C14" s="56"/>
      <c r="D14" s="58"/>
      <c r="E14" s="56"/>
      <c r="F14" s="58"/>
      <c r="G14" s="56"/>
      <c r="H14" s="58"/>
      <c r="I14" s="56"/>
      <c r="J14" s="58"/>
      <c r="K14" s="56" t="s">
        <v>479</v>
      </c>
      <c r="L14" s="65"/>
      <c r="M14" s="3"/>
      <c r="N14" s="3"/>
      <c r="O14" s="3"/>
      <c r="P14" s="3"/>
      <c r="Q14" s="3"/>
      <c r="R14" s="3"/>
      <c r="S14" s="3"/>
      <c r="T14" s="3"/>
    </row>
    <row r="15" spans="1:22" ht="15" customHeight="1" x14ac:dyDescent="0.2">
      <c r="A15" s="56"/>
      <c r="B15" s="58"/>
      <c r="C15" s="56"/>
      <c r="D15" s="58"/>
      <c r="E15" s="56"/>
      <c r="F15" s="58"/>
      <c r="G15" s="56"/>
      <c r="H15" s="58"/>
      <c r="I15" s="56"/>
      <c r="J15" s="58"/>
      <c r="K15" s="56" t="s">
        <v>479</v>
      </c>
      <c r="L15" s="65"/>
      <c r="M15" s="3"/>
      <c r="N15" s="3"/>
      <c r="O15" s="3"/>
      <c r="P15" s="3"/>
      <c r="Q15" s="3"/>
      <c r="R15" s="3"/>
      <c r="S15" s="3"/>
      <c r="T15" s="3"/>
    </row>
    <row r="16" spans="1:22" ht="15" customHeight="1" x14ac:dyDescent="0.2">
      <c r="A16" s="56"/>
      <c r="B16" s="58"/>
      <c r="C16" s="56"/>
      <c r="D16" s="58"/>
      <c r="E16" s="56"/>
      <c r="F16" s="58"/>
      <c r="G16" s="56"/>
      <c r="H16" s="58"/>
      <c r="I16" s="56"/>
      <c r="J16" s="58"/>
      <c r="K16" s="56" t="s">
        <v>479</v>
      </c>
      <c r="L16" s="65"/>
      <c r="M16" s="3"/>
      <c r="N16" s="3"/>
      <c r="O16" s="3"/>
      <c r="P16" s="3"/>
      <c r="Q16" s="3"/>
      <c r="R16" s="3"/>
      <c r="S16" s="3"/>
      <c r="T16" s="3"/>
    </row>
    <row r="17" spans="1:20" ht="15" customHeight="1" x14ac:dyDescent="0.2">
      <c r="A17" s="56"/>
      <c r="B17" s="58"/>
      <c r="C17" s="56"/>
      <c r="D17" s="58"/>
      <c r="E17" s="56"/>
      <c r="F17" s="58"/>
      <c r="G17" s="56"/>
      <c r="H17" s="58"/>
      <c r="I17" s="56"/>
      <c r="J17" s="58"/>
      <c r="K17" s="56" t="s">
        <v>479</v>
      </c>
      <c r="L17" s="65"/>
      <c r="M17" s="3"/>
      <c r="N17" s="3"/>
      <c r="O17" s="3"/>
      <c r="P17" s="3"/>
      <c r="Q17" s="3"/>
      <c r="R17" s="3"/>
      <c r="S17" s="3"/>
      <c r="T17" s="3"/>
    </row>
    <row r="18" spans="1:20" ht="15" customHeight="1" x14ac:dyDescent="0.2">
      <c r="A18" s="56"/>
      <c r="B18" s="58"/>
      <c r="C18" s="56"/>
      <c r="D18" s="58"/>
      <c r="E18" s="56"/>
      <c r="F18" s="58"/>
      <c r="G18" s="56"/>
      <c r="H18" s="58"/>
      <c r="I18" s="56"/>
      <c r="J18" s="58"/>
      <c r="K18" s="56" t="s">
        <v>479</v>
      </c>
      <c r="L18" s="65"/>
      <c r="M18" s="3"/>
      <c r="N18" s="3"/>
      <c r="O18" s="3"/>
      <c r="P18" s="3"/>
      <c r="Q18" s="3"/>
      <c r="R18" s="3"/>
      <c r="S18" s="3"/>
      <c r="T18" s="3"/>
    </row>
    <row r="19" spans="1:20" ht="15" customHeight="1" x14ac:dyDescent="0.2">
      <c r="A19" s="56"/>
      <c r="B19" s="58"/>
      <c r="C19" s="56"/>
      <c r="D19" s="58"/>
      <c r="E19" s="56"/>
      <c r="F19" s="58"/>
      <c r="G19" s="56"/>
      <c r="H19" s="58"/>
      <c r="I19" s="56"/>
      <c r="J19" s="58"/>
      <c r="K19" s="56" t="s">
        <v>479</v>
      </c>
      <c r="L19" s="65"/>
      <c r="M19" s="3"/>
      <c r="N19" s="3"/>
      <c r="O19" s="3"/>
      <c r="P19" s="3"/>
      <c r="Q19" s="3"/>
      <c r="R19" s="3"/>
      <c r="S19" s="3"/>
      <c r="T19" s="3"/>
    </row>
    <row r="20" spans="1:20" ht="15" customHeight="1" x14ac:dyDescent="0.2">
      <c r="A20" s="56"/>
      <c r="B20" s="58"/>
      <c r="C20" s="56"/>
      <c r="D20" s="58"/>
      <c r="E20" s="56"/>
      <c r="F20" s="58"/>
      <c r="G20" s="56"/>
      <c r="H20" s="58"/>
      <c r="I20" s="56"/>
      <c r="J20" s="58"/>
      <c r="K20" s="56" t="s">
        <v>479</v>
      </c>
      <c r="L20" s="65"/>
      <c r="M20" s="3"/>
      <c r="N20" s="3"/>
      <c r="O20" s="3"/>
      <c r="P20" s="3"/>
      <c r="Q20" s="3"/>
      <c r="R20" s="3"/>
      <c r="S20" s="3"/>
      <c r="T20" s="3"/>
    </row>
    <row r="21" spans="1:20" ht="15" customHeight="1" x14ac:dyDescent="0.2">
      <c r="A21" s="56"/>
      <c r="B21" s="58"/>
      <c r="C21" s="56"/>
      <c r="D21" s="58"/>
      <c r="E21" s="56"/>
      <c r="F21" s="58"/>
      <c r="G21" s="56"/>
      <c r="H21" s="58"/>
      <c r="I21" s="56"/>
      <c r="J21" s="58"/>
      <c r="K21" s="56" t="s">
        <v>479</v>
      </c>
      <c r="L21" s="65"/>
      <c r="M21" s="3"/>
      <c r="N21" s="3"/>
      <c r="O21" s="3"/>
      <c r="P21" s="3"/>
      <c r="Q21" s="3"/>
      <c r="R21" s="3"/>
      <c r="S21" s="3"/>
      <c r="T21" s="3"/>
    </row>
    <row r="22" spans="1:20" ht="15" customHeight="1" x14ac:dyDescent="0.2">
      <c r="A22" s="56"/>
      <c r="B22" s="58"/>
      <c r="C22" s="56"/>
      <c r="D22" s="58"/>
      <c r="E22" s="56"/>
      <c r="F22" s="58"/>
      <c r="G22" s="56"/>
      <c r="H22" s="58"/>
      <c r="I22" s="56"/>
      <c r="J22" s="58"/>
      <c r="K22" s="56" t="s">
        <v>479</v>
      </c>
      <c r="L22" s="65"/>
      <c r="M22" s="3"/>
      <c r="N22" s="3"/>
      <c r="O22" s="3"/>
      <c r="P22" s="3"/>
      <c r="Q22" s="3"/>
      <c r="R22" s="3"/>
      <c r="S22" s="3"/>
      <c r="T22" s="3"/>
    </row>
    <row r="23" spans="1:20" ht="15" customHeight="1" x14ac:dyDescent="0.2">
      <c r="A23" s="56"/>
      <c r="B23" s="58"/>
      <c r="C23" s="56"/>
      <c r="D23" s="58"/>
      <c r="E23" s="56"/>
      <c r="F23" s="58"/>
      <c r="G23" s="56"/>
      <c r="H23" s="58"/>
      <c r="I23" s="56"/>
      <c r="J23" s="58"/>
      <c r="K23" s="56" t="s">
        <v>479</v>
      </c>
      <c r="L23" s="65"/>
      <c r="M23" s="3"/>
      <c r="N23" s="3"/>
      <c r="O23" s="3"/>
      <c r="P23" s="3"/>
      <c r="Q23" s="3"/>
      <c r="R23" s="3"/>
      <c r="S23" s="3"/>
      <c r="T23" s="3"/>
    </row>
    <row r="24" spans="1:20" ht="15" customHeight="1" x14ac:dyDescent="0.2">
      <c r="A24" s="56"/>
      <c r="B24" s="58"/>
      <c r="C24" s="56"/>
      <c r="D24" s="58"/>
      <c r="E24" s="56"/>
      <c r="F24" s="58"/>
      <c r="G24" s="56"/>
      <c r="H24" s="58"/>
      <c r="I24" s="56"/>
      <c r="J24" s="58"/>
      <c r="K24" s="56" t="s">
        <v>479</v>
      </c>
      <c r="L24" s="65"/>
      <c r="M24" s="3"/>
      <c r="N24" s="3"/>
      <c r="O24" s="3"/>
      <c r="P24" s="3"/>
      <c r="Q24" s="3"/>
      <c r="R24" s="3"/>
      <c r="S24" s="3"/>
      <c r="T24" s="3"/>
    </row>
    <row r="25" spans="1:20" ht="15" customHeight="1" x14ac:dyDescent="0.2">
      <c r="A25" s="56"/>
      <c r="B25" s="58"/>
      <c r="C25" s="56"/>
      <c r="D25" s="58"/>
      <c r="E25" s="56"/>
      <c r="F25" s="58"/>
      <c r="G25" s="56"/>
      <c r="H25" s="58"/>
      <c r="I25" s="56"/>
      <c r="J25" s="58"/>
      <c r="K25" s="56" t="s">
        <v>479</v>
      </c>
      <c r="L25" s="65"/>
      <c r="M25" s="3"/>
      <c r="N25" s="3"/>
      <c r="O25" s="3"/>
      <c r="P25" s="3"/>
      <c r="Q25" s="3"/>
      <c r="R25" s="3"/>
      <c r="S25" s="3"/>
      <c r="T25" s="3"/>
    </row>
    <row r="26" spans="1:20" ht="15" customHeight="1" x14ac:dyDescent="0.2">
      <c r="A26" s="56"/>
      <c r="B26" s="58"/>
      <c r="C26" s="56"/>
      <c r="D26" s="58"/>
      <c r="E26" s="56"/>
      <c r="F26" s="58"/>
      <c r="G26" s="56"/>
      <c r="H26" s="58"/>
      <c r="I26" s="56"/>
      <c r="J26" s="58"/>
      <c r="K26" s="56" t="s">
        <v>479</v>
      </c>
      <c r="L26" s="65"/>
      <c r="M26" s="3"/>
      <c r="N26" s="3"/>
      <c r="O26" s="3"/>
      <c r="P26" s="3"/>
      <c r="Q26" s="3"/>
      <c r="R26" s="3"/>
      <c r="S26" s="3"/>
      <c r="T26" s="3"/>
    </row>
    <row r="27" spans="1:20" ht="15" customHeight="1" x14ac:dyDescent="0.2">
      <c r="A27" s="56"/>
      <c r="B27" s="58"/>
      <c r="C27" s="56"/>
      <c r="D27" s="58"/>
      <c r="E27" s="56"/>
      <c r="F27" s="58"/>
      <c r="G27" s="56"/>
      <c r="H27" s="58"/>
      <c r="I27" s="56"/>
      <c r="J27" s="58"/>
      <c r="K27" s="56" t="s">
        <v>479</v>
      </c>
      <c r="L27" s="65"/>
      <c r="M27" s="3"/>
      <c r="N27" s="3"/>
      <c r="O27" s="3"/>
      <c r="P27" s="3"/>
      <c r="Q27" s="3"/>
      <c r="R27" s="3"/>
      <c r="S27" s="3"/>
      <c r="T27" s="3"/>
    </row>
    <row r="28" spans="1:20" ht="15" customHeight="1" x14ac:dyDescent="0.2">
      <c r="A28" s="56"/>
      <c r="B28" s="58"/>
      <c r="C28" s="56"/>
      <c r="D28" s="58"/>
      <c r="E28" s="56"/>
      <c r="F28" s="58"/>
      <c r="G28" s="56"/>
      <c r="H28" s="58"/>
      <c r="I28" s="56"/>
      <c r="J28" s="58"/>
      <c r="K28" s="56" t="s">
        <v>479</v>
      </c>
      <c r="L28" s="65"/>
      <c r="M28" s="3"/>
      <c r="N28" s="3"/>
      <c r="O28" s="3"/>
      <c r="P28" s="3"/>
      <c r="Q28" s="3"/>
      <c r="R28" s="3"/>
      <c r="S28" s="3"/>
      <c r="T28" s="3"/>
    </row>
    <row r="29" spans="1:20" ht="15" customHeight="1" x14ac:dyDescent="0.2">
      <c r="A29" s="56"/>
      <c r="B29" s="58"/>
      <c r="C29" s="56"/>
      <c r="D29" s="58"/>
      <c r="E29" s="56"/>
      <c r="F29" s="58"/>
      <c r="G29" s="56"/>
      <c r="H29" s="58"/>
      <c r="I29" s="56"/>
      <c r="J29" s="58"/>
      <c r="K29" s="56" t="s">
        <v>479</v>
      </c>
      <c r="L29" s="65"/>
      <c r="M29" s="3"/>
      <c r="N29" s="3"/>
      <c r="O29" s="3"/>
      <c r="P29" s="3"/>
      <c r="Q29" s="3"/>
      <c r="R29" s="3"/>
      <c r="S29" s="3"/>
      <c r="T29" s="3"/>
    </row>
    <row r="30" spans="1:20" ht="15" customHeight="1" x14ac:dyDescent="0.2">
      <c r="A30" s="56"/>
      <c r="B30" s="58"/>
      <c r="C30" s="56"/>
      <c r="D30" s="58"/>
      <c r="E30" s="56"/>
      <c r="F30" s="58"/>
      <c r="G30" s="56"/>
      <c r="H30" s="58"/>
      <c r="I30" s="56"/>
      <c r="J30" s="58"/>
      <c r="K30" s="56" t="s">
        <v>479</v>
      </c>
      <c r="L30" s="65"/>
      <c r="M30" s="3"/>
      <c r="N30" s="3"/>
      <c r="O30" s="3"/>
      <c r="P30" s="3"/>
      <c r="Q30" s="3"/>
      <c r="R30" s="3"/>
      <c r="S30" s="3"/>
      <c r="T30" s="3"/>
    </row>
    <row r="31" spans="1:20" ht="15" customHeight="1" x14ac:dyDescent="0.2">
      <c r="A31" s="56"/>
      <c r="B31" s="58"/>
      <c r="C31" s="56"/>
      <c r="D31" s="58"/>
      <c r="E31" s="56"/>
      <c r="F31" s="58"/>
      <c r="G31" s="56"/>
      <c r="H31" s="58"/>
      <c r="I31" s="56"/>
      <c r="J31" s="58"/>
      <c r="K31" s="56" t="s">
        <v>479</v>
      </c>
      <c r="L31" s="65"/>
      <c r="M31" s="3"/>
      <c r="N31" s="3"/>
      <c r="O31" s="3"/>
      <c r="P31" s="3"/>
      <c r="Q31" s="3"/>
      <c r="R31" s="3"/>
      <c r="S31" s="3"/>
      <c r="T31" s="3"/>
    </row>
    <row r="32" spans="1:20" ht="15" customHeight="1" x14ac:dyDescent="0.2">
      <c r="A32" s="56"/>
      <c r="B32" s="58"/>
      <c r="C32" s="56"/>
      <c r="D32" s="58"/>
      <c r="E32" s="56"/>
      <c r="F32" s="58"/>
      <c r="G32" s="56"/>
      <c r="H32" s="58"/>
      <c r="I32" s="56"/>
      <c r="J32" s="58"/>
      <c r="K32" s="56" t="s">
        <v>479</v>
      </c>
      <c r="L32" s="65"/>
      <c r="M32" s="3"/>
      <c r="N32" s="3"/>
      <c r="O32" s="3"/>
      <c r="P32" s="3"/>
      <c r="Q32" s="3"/>
      <c r="R32" s="3"/>
      <c r="S32" s="3"/>
      <c r="T32" s="3"/>
    </row>
    <row r="33" spans="1:20" ht="15" customHeight="1" x14ac:dyDescent="0.2">
      <c r="A33" s="56"/>
      <c r="B33" s="58"/>
      <c r="C33" s="56"/>
      <c r="D33" s="58"/>
      <c r="E33" s="56"/>
      <c r="F33" s="58"/>
      <c r="G33" s="56"/>
      <c r="H33" s="58"/>
      <c r="I33" s="56"/>
      <c r="J33" s="58"/>
      <c r="K33" s="56" t="s">
        <v>479</v>
      </c>
      <c r="L33" s="65"/>
      <c r="M33" s="3"/>
      <c r="N33" s="3"/>
      <c r="O33" s="3"/>
      <c r="P33" s="3"/>
      <c r="Q33" s="3"/>
      <c r="R33" s="3"/>
      <c r="S33" s="3"/>
      <c r="T33" s="3"/>
    </row>
    <row r="34" spans="1:20" ht="15" customHeight="1" x14ac:dyDescent="0.2">
      <c r="A34" s="56"/>
      <c r="B34" s="58"/>
      <c r="C34" s="56"/>
      <c r="D34" s="58"/>
      <c r="E34" s="56"/>
      <c r="F34" s="58"/>
      <c r="G34" s="56"/>
      <c r="H34" s="58"/>
      <c r="I34" s="56"/>
      <c r="J34" s="58"/>
      <c r="K34" s="56" t="s">
        <v>479</v>
      </c>
      <c r="L34" s="65"/>
      <c r="M34" s="3"/>
      <c r="N34" s="3"/>
      <c r="O34" s="3"/>
      <c r="P34" s="3"/>
      <c r="Q34" s="3"/>
      <c r="R34" s="3"/>
      <c r="S34" s="3"/>
      <c r="T34" s="3"/>
    </row>
    <row r="35" spans="1:20" ht="15" customHeight="1" x14ac:dyDescent="0.2">
      <c r="A35" s="56"/>
      <c r="B35" s="58"/>
      <c r="C35" s="56"/>
      <c r="D35" s="58"/>
      <c r="E35" s="56"/>
      <c r="F35" s="58"/>
      <c r="G35" s="56"/>
      <c r="H35" s="58"/>
      <c r="I35" s="56"/>
      <c r="J35" s="58"/>
      <c r="K35" s="56" t="s">
        <v>479</v>
      </c>
      <c r="L35" s="65"/>
      <c r="M35" s="3"/>
      <c r="N35" s="3"/>
      <c r="O35" s="3"/>
      <c r="P35" s="3"/>
      <c r="Q35" s="3"/>
      <c r="R35" s="3"/>
      <c r="S35" s="3"/>
      <c r="T35" s="3"/>
    </row>
    <row r="36" spans="1:20" ht="15" customHeight="1" x14ac:dyDescent="0.2">
      <c r="A36" s="56"/>
      <c r="B36" s="58"/>
      <c r="C36" s="56"/>
      <c r="D36" s="58"/>
      <c r="E36" s="56"/>
      <c r="F36" s="58"/>
      <c r="G36" s="56"/>
      <c r="H36" s="58"/>
      <c r="I36" s="56"/>
      <c r="J36" s="58"/>
      <c r="K36" s="56" t="s">
        <v>479</v>
      </c>
      <c r="L36" s="65"/>
      <c r="M36" s="3"/>
      <c r="N36" s="3"/>
      <c r="O36" s="3"/>
      <c r="P36" s="3"/>
      <c r="Q36" s="3"/>
      <c r="R36" s="3"/>
      <c r="S36" s="3"/>
      <c r="T36" s="3"/>
    </row>
    <row r="37" spans="1:20" ht="15" customHeight="1" x14ac:dyDescent="0.2">
      <c r="A37" s="56"/>
      <c r="B37" s="58"/>
      <c r="C37" s="56"/>
      <c r="D37" s="58"/>
      <c r="E37" s="56"/>
      <c r="F37" s="58"/>
      <c r="G37" s="56"/>
      <c r="H37" s="58"/>
      <c r="I37" s="56"/>
      <c r="J37" s="58"/>
      <c r="K37" s="56" t="s">
        <v>479</v>
      </c>
      <c r="L37" s="65"/>
      <c r="M37" s="3"/>
      <c r="N37" s="3"/>
      <c r="O37" s="3"/>
      <c r="P37" s="3"/>
      <c r="Q37" s="3"/>
      <c r="R37" s="3"/>
      <c r="S37" s="3"/>
      <c r="T37" s="3"/>
    </row>
    <row r="38" spans="1:20" ht="15" customHeight="1" x14ac:dyDescent="0.2">
      <c r="A38" s="56"/>
      <c r="B38" s="58"/>
      <c r="C38" s="56"/>
      <c r="D38" s="58"/>
      <c r="E38" s="56"/>
      <c r="F38" s="58"/>
      <c r="G38" s="56"/>
      <c r="H38" s="58"/>
      <c r="I38" s="56"/>
      <c r="J38" s="58"/>
      <c r="K38" s="56" t="s">
        <v>479</v>
      </c>
      <c r="L38" s="65"/>
      <c r="M38" s="3"/>
      <c r="N38" s="3"/>
      <c r="O38" s="3"/>
      <c r="P38" s="3"/>
      <c r="Q38" s="3"/>
      <c r="R38" s="3"/>
      <c r="S38" s="3"/>
      <c r="T38" s="3"/>
    </row>
    <row r="39" spans="1:20" ht="15" customHeight="1" x14ac:dyDescent="0.2">
      <c r="A39" s="56"/>
      <c r="B39" s="58"/>
      <c r="C39" s="56"/>
      <c r="D39" s="58"/>
      <c r="E39" s="56"/>
      <c r="F39" s="58"/>
      <c r="G39" s="56"/>
      <c r="H39" s="58"/>
      <c r="I39" s="56"/>
      <c r="J39" s="58"/>
      <c r="K39" s="56" t="s">
        <v>479</v>
      </c>
      <c r="L39" s="65"/>
      <c r="M39" s="3"/>
      <c r="N39" s="3"/>
      <c r="O39" s="3"/>
      <c r="P39" s="3"/>
      <c r="Q39" s="3"/>
      <c r="R39" s="3"/>
      <c r="S39" s="3"/>
      <c r="T39" s="3"/>
    </row>
    <row r="40" spans="1:20" ht="15" customHeight="1" x14ac:dyDescent="0.2">
      <c r="A40" s="56"/>
      <c r="B40" s="58"/>
      <c r="C40" s="56"/>
      <c r="D40" s="58"/>
      <c r="E40" s="56"/>
      <c r="F40" s="58"/>
      <c r="G40" s="56"/>
      <c r="H40" s="58"/>
      <c r="I40" s="56"/>
      <c r="J40" s="58"/>
      <c r="K40" s="56" t="s">
        <v>479</v>
      </c>
      <c r="L40" s="65"/>
      <c r="M40" s="3"/>
      <c r="N40" s="3"/>
      <c r="O40" s="3"/>
      <c r="P40" s="3"/>
      <c r="Q40" s="3"/>
      <c r="R40" s="3"/>
      <c r="S40" s="3"/>
      <c r="T40" s="3"/>
    </row>
    <row r="41" spans="1:20" ht="15" customHeight="1" x14ac:dyDescent="0.2">
      <c r="A41" s="56"/>
      <c r="B41" s="58"/>
      <c r="C41" s="56"/>
      <c r="D41" s="58"/>
      <c r="E41" s="56"/>
      <c r="F41" s="58"/>
      <c r="G41" s="56"/>
      <c r="H41" s="58"/>
      <c r="I41" s="56"/>
      <c r="J41" s="58"/>
      <c r="K41" s="56" t="s">
        <v>479</v>
      </c>
      <c r="L41" s="65"/>
      <c r="M41" s="3"/>
      <c r="N41" s="3"/>
      <c r="O41" s="3"/>
      <c r="P41" s="3"/>
      <c r="Q41" s="3"/>
      <c r="R41" s="3"/>
      <c r="S41" s="3"/>
      <c r="T41" s="3"/>
    </row>
    <row r="42" spans="1:20" ht="15" customHeight="1" x14ac:dyDescent="0.2">
      <c r="A42" s="56"/>
      <c r="B42" s="58"/>
      <c r="C42" s="56"/>
      <c r="D42" s="58"/>
      <c r="E42" s="56"/>
      <c r="F42" s="58"/>
      <c r="G42" s="56"/>
      <c r="H42" s="58"/>
      <c r="I42" s="56"/>
      <c r="J42" s="58"/>
      <c r="K42" s="56" t="s">
        <v>479</v>
      </c>
      <c r="L42" s="65"/>
      <c r="M42" s="3"/>
      <c r="N42" s="3"/>
      <c r="O42" s="3"/>
      <c r="P42" s="3"/>
      <c r="Q42" s="3"/>
      <c r="R42" s="3"/>
      <c r="S42" s="3"/>
      <c r="T42" s="3"/>
    </row>
    <row r="43" spans="1:20" ht="15" customHeight="1" x14ac:dyDescent="0.2">
      <c r="A43" s="56"/>
      <c r="B43" s="58"/>
      <c r="C43" s="56"/>
      <c r="D43" s="58"/>
      <c r="E43" s="56"/>
      <c r="F43" s="58"/>
      <c r="G43" s="56"/>
      <c r="H43" s="58"/>
      <c r="I43" s="56"/>
      <c r="J43" s="58"/>
      <c r="K43" s="56" t="s">
        <v>479</v>
      </c>
      <c r="L43" s="65"/>
      <c r="M43" s="3"/>
      <c r="N43" s="3"/>
      <c r="O43" s="3"/>
      <c r="P43" s="3"/>
      <c r="Q43" s="3"/>
      <c r="R43" s="3"/>
      <c r="S43" s="3"/>
      <c r="T43" s="3"/>
    </row>
    <row r="44" spans="1:20" ht="15" customHeight="1" x14ac:dyDescent="0.2">
      <c r="A44" s="56"/>
      <c r="B44" s="58"/>
      <c r="C44" s="56"/>
      <c r="D44" s="58"/>
      <c r="E44" s="56"/>
      <c r="F44" s="58"/>
      <c r="G44" s="56"/>
      <c r="H44" s="58"/>
      <c r="I44" s="56"/>
      <c r="J44" s="58"/>
      <c r="K44" s="56" t="s">
        <v>479</v>
      </c>
      <c r="L44" s="65"/>
      <c r="M44" s="3"/>
      <c r="N44" s="3"/>
      <c r="O44" s="3"/>
      <c r="P44" s="3"/>
      <c r="Q44" s="3"/>
      <c r="R44" s="3"/>
      <c r="S44" s="3"/>
      <c r="T44" s="3"/>
    </row>
    <row r="45" spans="1:20" ht="15" customHeight="1" x14ac:dyDescent="0.2">
      <c r="A45" s="56"/>
      <c r="B45" s="58"/>
      <c r="C45" s="56"/>
      <c r="D45" s="58"/>
      <c r="E45" s="56"/>
      <c r="F45" s="58"/>
      <c r="G45" s="56"/>
      <c r="H45" s="58"/>
      <c r="I45" s="56"/>
      <c r="J45" s="58"/>
      <c r="K45" s="56" t="s">
        <v>479</v>
      </c>
      <c r="L45" s="65"/>
      <c r="M45" s="3"/>
      <c r="N45" s="3"/>
      <c r="O45" s="3"/>
      <c r="P45" s="3"/>
      <c r="Q45" s="3"/>
      <c r="R45" s="3"/>
      <c r="S45" s="3"/>
      <c r="T45" s="3"/>
    </row>
    <row r="46" spans="1:20" ht="15" customHeight="1" x14ac:dyDescent="0.2">
      <c r="A46" s="56"/>
      <c r="B46" s="58"/>
      <c r="C46" s="56"/>
      <c r="D46" s="58"/>
      <c r="E46" s="56"/>
      <c r="F46" s="58"/>
      <c r="G46" s="56"/>
      <c r="H46" s="58"/>
      <c r="I46" s="56"/>
      <c r="J46" s="58"/>
      <c r="K46" s="56" t="s">
        <v>479</v>
      </c>
      <c r="L46" s="65"/>
      <c r="M46" s="3"/>
      <c r="N46" s="3"/>
      <c r="O46" s="3"/>
      <c r="P46" s="3"/>
      <c r="Q46" s="3"/>
      <c r="R46" s="3"/>
      <c r="S46" s="3"/>
      <c r="T46" s="3"/>
    </row>
    <row r="47" spans="1:20" ht="15" customHeight="1" x14ac:dyDescent="0.2">
      <c r="A47" s="56"/>
      <c r="B47" s="58"/>
      <c r="C47" s="56"/>
      <c r="D47" s="58"/>
      <c r="E47" s="56"/>
      <c r="F47" s="58"/>
      <c r="G47" s="56"/>
      <c r="H47" s="58"/>
      <c r="I47" s="56"/>
      <c r="J47" s="58"/>
      <c r="K47" s="56" t="s">
        <v>479</v>
      </c>
      <c r="L47" s="65"/>
      <c r="M47" s="3"/>
      <c r="N47" s="3"/>
      <c r="O47" s="3"/>
      <c r="P47" s="3"/>
      <c r="Q47" s="3"/>
      <c r="R47" s="3"/>
      <c r="S47" s="3"/>
      <c r="T47" s="3"/>
    </row>
    <row r="48" spans="1:20" ht="15" customHeight="1" x14ac:dyDescent="0.2">
      <c r="A48" s="56"/>
      <c r="B48" s="58"/>
      <c r="C48" s="56"/>
      <c r="D48" s="58"/>
      <c r="E48" s="56"/>
      <c r="F48" s="58"/>
      <c r="G48" s="56"/>
      <c r="H48" s="58"/>
      <c r="I48" s="56"/>
      <c r="J48" s="58"/>
      <c r="K48" s="56" t="s">
        <v>479</v>
      </c>
      <c r="L48" s="65"/>
      <c r="M48" s="3"/>
      <c r="N48" s="3"/>
      <c r="O48" s="3"/>
      <c r="P48" s="3"/>
      <c r="Q48" s="3"/>
      <c r="R48" s="3"/>
      <c r="S48" s="3"/>
      <c r="T48" s="3"/>
    </row>
    <row r="49" spans="1:20" ht="15" customHeight="1" x14ac:dyDescent="0.2">
      <c r="A49" s="56"/>
      <c r="B49" s="58"/>
      <c r="C49" s="56"/>
      <c r="D49" s="58"/>
      <c r="E49" s="56"/>
      <c r="F49" s="58"/>
      <c r="G49" s="56"/>
      <c r="H49" s="58"/>
      <c r="I49" s="56"/>
      <c r="J49" s="58"/>
      <c r="K49" s="56" t="s">
        <v>479</v>
      </c>
      <c r="L49" s="65"/>
      <c r="M49" s="3"/>
      <c r="N49" s="3"/>
      <c r="O49" s="3"/>
      <c r="P49" s="3"/>
      <c r="Q49" s="3"/>
      <c r="R49" s="3"/>
      <c r="S49" s="3"/>
      <c r="T49" s="3"/>
    </row>
    <row r="50" spans="1:20" ht="15" customHeight="1" x14ac:dyDescent="0.2">
      <c r="A50" s="56"/>
      <c r="B50" s="58"/>
      <c r="C50" s="56"/>
      <c r="D50" s="58"/>
      <c r="E50" s="56"/>
      <c r="F50" s="58"/>
      <c r="G50" s="56"/>
      <c r="H50" s="58"/>
      <c r="I50" s="56"/>
      <c r="J50" s="58"/>
      <c r="K50" s="56" t="s">
        <v>479</v>
      </c>
      <c r="L50" s="65"/>
      <c r="M50" s="3"/>
      <c r="N50" s="3"/>
      <c r="O50" s="3"/>
      <c r="P50" s="3"/>
      <c r="Q50" s="3"/>
      <c r="R50" s="3"/>
      <c r="S50" s="3"/>
      <c r="T50" s="3"/>
    </row>
    <row r="51" spans="1:20" ht="15" customHeight="1" x14ac:dyDescent="0.2">
      <c r="A51" s="56"/>
      <c r="B51" s="58"/>
      <c r="C51" s="56"/>
      <c r="D51" s="58"/>
      <c r="E51" s="56"/>
      <c r="F51" s="58"/>
      <c r="G51" s="56"/>
      <c r="H51" s="58"/>
      <c r="I51" s="56"/>
      <c r="J51" s="58"/>
      <c r="K51" s="56" t="s">
        <v>479</v>
      </c>
      <c r="L51" s="65"/>
      <c r="M51" s="3"/>
      <c r="N51" s="3"/>
      <c r="O51" s="3"/>
      <c r="P51" s="3"/>
      <c r="Q51" s="3"/>
      <c r="R51" s="3"/>
      <c r="S51" s="3"/>
      <c r="T51" s="3"/>
    </row>
    <row r="52" spans="1:20" ht="15" customHeight="1" x14ac:dyDescent="0.2">
      <c r="A52" s="56"/>
      <c r="B52" s="58"/>
      <c r="C52" s="56"/>
      <c r="D52" s="58"/>
      <c r="E52" s="56"/>
      <c r="F52" s="58"/>
      <c r="G52" s="56"/>
      <c r="H52" s="58"/>
      <c r="I52" s="56"/>
      <c r="J52" s="58"/>
      <c r="K52" s="56" t="s">
        <v>479</v>
      </c>
      <c r="L52" s="65"/>
      <c r="M52" s="3"/>
      <c r="N52" s="3"/>
      <c r="O52" s="3"/>
      <c r="P52" s="3"/>
      <c r="Q52" s="3"/>
      <c r="R52" s="3"/>
      <c r="S52" s="3"/>
      <c r="T52" s="3"/>
    </row>
    <row r="53" spans="1:20" ht="15" customHeight="1" x14ac:dyDescent="0.2">
      <c r="A53" s="56"/>
      <c r="B53" s="58"/>
      <c r="C53" s="56"/>
      <c r="D53" s="58"/>
      <c r="E53" s="56"/>
      <c r="F53" s="58"/>
      <c r="G53" s="56"/>
      <c r="H53" s="58"/>
      <c r="I53" s="56"/>
      <c r="J53" s="58"/>
      <c r="K53" s="56" t="s">
        <v>479</v>
      </c>
      <c r="L53" s="65"/>
      <c r="M53" s="3"/>
      <c r="N53" s="3"/>
      <c r="O53" s="3"/>
      <c r="P53" s="3"/>
      <c r="Q53" s="3"/>
      <c r="R53" s="3"/>
      <c r="S53" s="3"/>
      <c r="T53" s="3"/>
    </row>
    <row r="54" spans="1:20" ht="15" customHeight="1" x14ac:dyDescent="0.2">
      <c r="A54" s="56"/>
      <c r="B54" s="58"/>
      <c r="C54" s="56"/>
      <c r="D54" s="58"/>
      <c r="E54" s="56"/>
      <c r="F54" s="58"/>
      <c r="G54" s="56"/>
      <c r="H54" s="58"/>
      <c r="I54" s="56"/>
      <c r="J54" s="58"/>
      <c r="K54" s="56" t="s">
        <v>479</v>
      </c>
      <c r="L54" s="65"/>
      <c r="M54" s="3"/>
      <c r="N54" s="3"/>
      <c r="O54" s="3"/>
      <c r="P54" s="3"/>
      <c r="Q54" s="3"/>
      <c r="R54" s="3"/>
      <c r="S54" s="3"/>
      <c r="T54" s="3"/>
    </row>
    <row r="55" spans="1:20" ht="15" customHeight="1" x14ac:dyDescent="0.2">
      <c r="A55" s="56"/>
      <c r="B55" s="58"/>
      <c r="C55" s="56"/>
      <c r="D55" s="58"/>
      <c r="E55" s="56"/>
      <c r="F55" s="58"/>
      <c r="G55" s="56"/>
      <c r="H55" s="58"/>
      <c r="I55" s="56"/>
      <c r="J55" s="58"/>
      <c r="K55" s="56" t="s">
        <v>479</v>
      </c>
      <c r="L55" s="65"/>
      <c r="M55" s="3"/>
      <c r="N55" s="3"/>
      <c r="O55" s="3"/>
      <c r="P55" s="3"/>
      <c r="Q55" s="3"/>
      <c r="R55" s="3"/>
      <c r="S55" s="3"/>
      <c r="T55" s="3"/>
    </row>
    <row r="56" spans="1:20" ht="15" customHeight="1" x14ac:dyDescent="0.2">
      <c r="A56" s="56"/>
      <c r="B56" s="58"/>
      <c r="C56" s="56"/>
      <c r="D56" s="58"/>
      <c r="E56" s="56"/>
      <c r="F56" s="58"/>
      <c r="G56" s="56"/>
      <c r="H56" s="58"/>
      <c r="I56" s="56"/>
      <c r="J56" s="58"/>
      <c r="K56" s="56" t="s">
        <v>479</v>
      </c>
      <c r="L56" s="65"/>
      <c r="M56" s="3"/>
      <c r="N56" s="3"/>
      <c r="O56" s="3"/>
      <c r="P56" s="3"/>
      <c r="Q56" s="3"/>
      <c r="R56" s="3"/>
      <c r="S56" s="3"/>
      <c r="T56" s="3"/>
    </row>
    <row r="57" spans="1:20" ht="15" customHeight="1" x14ac:dyDescent="0.2">
      <c r="A57" s="56"/>
      <c r="B57" s="58"/>
      <c r="C57" s="56"/>
      <c r="D57" s="58"/>
      <c r="E57" s="56"/>
      <c r="F57" s="58"/>
      <c r="G57" s="56"/>
      <c r="H57" s="58"/>
      <c r="I57" s="56"/>
      <c r="J57" s="58"/>
      <c r="K57" s="56" t="s">
        <v>479</v>
      </c>
      <c r="L57" s="65"/>
      <c r="M57" s="3"/>
      <c r="N57" s="3"/>
      <c r="O57" s="3"/>
      <c r="P57" s="3"/>
      <c r="Q57" s="3"/>
      <c r="R57" s="3"/>
      <c r="S57" s="3"/>
      <c r="T57" s="3"/>
    </row>
    <row r="58" spans="1:20" ht="15" customHeight="1" x14ac:dyDescent="0.2">
      <c r="A58" s="56"/>
      <c r="B58" s="58"/>
      <c r="C58" s="56"/>
      <c r="D58" s="58"/>
      <c r="E58" s="56"/>
      <c r="F58" s="58"/>
      <c r="G58" s="56"/>
      <c r="H58" s="58"/>
      <c r="I58" s="56"/>
      <c r="J58" s="58"/>
      <c r="K58" s="56" t="s">
        <v>479</v>
      </c>
      <c r="L58" s="65"/>
      <c r="M58" s="3"/>
      <c r="N58" s="3"/>
      <c r="O58" s="3"/>
      <c r="P58" s="3"/>
      <c r="Q58" s="3"/>
      <c r="R58" s="3"/>
      <c r="S58" s="3"/>
      <c r="T58" s="3"/>
    </row>
    <row r="59" spans="1:20" ht="15" customHeight="1" x14ac:dyDescent="0.2">
      <c r="A59" s="56"/>
      <c r="B59" s="58"/>
      <c r="C59" s="56"/>
      <c r="D59" s="58"/>
      <c r="E59" s="56"/>
      <c r="F59" s="58"/>
      <c r="G59" s="56"/>
      <c r="H59" s="58"/>
      <c r="I59" s="56"/>
      <c r="J59" s="58"/>
      <c r="K59" s="56" t="s">
        <v>479</v>
      </c>
      <c r="L59" s="65"/>
      <c r="M59" s="3"/>
      <c r="N59" s="3"/>
      <c r="O59" s="3"/>
      <c r="P59" s="3"/>
      <c r="Q59" s="3"/>
      <c r="R59" s="3"/>
      <c r="S59" s="3"/>
      <c r="T59" s="3"/>
    </row>
    <row r="60" spans="1:20" ht="15" customHeight="1" x14ac:dyDescent="0.2">
      <c r="A60" s="56"/>
      <c r="B60" s="58"/>
      <c r="C60" s="56"/>
      <c r="D60" s="58"/>
      <c r="E60" s="56"/>
      <c r="F60" s="58"/>
      <c r="G60" s="56"/>
      <c r="H60" s="58"/>
      <c r="I60" s="56"/>
      <c r="J60" s="58"/>
      <c r="K60" s="56" t="s">
        <v>479</v>
      </c>
      <c r="L60" s="65"/>
      <c r="M60" s="3"/>
      <c r="N60" s="3"/>
      <c r="O60" s="3"/>
      <c r="P60" s="3"/>
      <c r="Q60" s="3"/>
      <c r="R60" s="3"/>
      <c r="S60" s="3"/>
      <c r="T60" s="3"/>
    </row>
    <row r="61" spans="1:20" ht="15" customHeight="1" x14ac:dyDescent="0.2">
      <c r="A61" s="56"/>
      <c r="B61" s="58"/>
      <c r="C61" s="56"/>
      <c r="D61" s="58"/>
      <c r="E61" s="56"/>
      <c r="F61" s="58"/>
      <c r="G61" s="56"/>
      <c r="H61" s="58"/>
      <c r="I61" s="56"/>
      <c r="J61" s="58"/>
      <c r="K61" s="56" t="s">
        <v>479</v>
      </c>
      <c r="L61" s="65"/>
      <c r="M61" s="3"/>
      <c r="N61" s="3"/>
      <c r="O61" s="3"/>
      <c r="P61" s="3"/>
      <c r="Q61" s="3"/>
      <c r="R61" s="3"/>
      <c r="S61" s="3"/>
      <c r="T61" s="3"/>
    </row>
    <row r="62" spans="1:20" ht="15" customHeight="1" x14ac:dyDescent="0.2">
      <c r="A62" s="56"/>
      <c r="B62" s="58"/>
      <c r="C62" s="56"/>
      <c r="D62" s="58"/>
      <c r="E62" s="56"/>
      <c r="F62" s="58"/>
      <c r="G62" s="56"/>
      <c r="H62" s="58"/>
      <c r="I62" s="56"/>
      <c r="J62" s="58"/>
      <c r="K62" s="56" t="s">
        <v>479</v>
      </c>
      <c r="L62" s="65"/>
      <c r="M62" s="3"/>
      <c r="N62" s="3"/>
      <c r="O62" s="3"/>
      <c r="P62" s="3"/>
      <c r="Q62" s="3"/>
      <c r="R62" s="3"/>
      <c r="S62" s="3"/>
      <c r="T62" s="3"/>
    </row>
    <row r="63" spans="1:20" ht="15" customHeight="1" x14ac:dyDescent="0.2">
      <c r="A63" s="56"/>
      <c r="B63" s="58"/>
      <c r="C63" s="56"/>
      <c r="D63" s="58"/>
      <c r="E63" s="56"/>
      <c r="F63" s="58"/>
      <c r="G63" s="56"/>
      <c r="H63" s="58"/>
      <c r="I63" s="56"/>
      <c r="J63" s="58"/>
      <c r="K63" s="56" t="s">
        <v>479</v>
      </c>
      <c r="L63" s="65"/>
      <c r="M63" s="3"/>
      <c r="N63" s="3"/>
      <c r="O63" s="3"/>
      <c r="P63" s="3"/>
      <c r="Q63" s="3"/>
      <c r="R63" s="3"/>
      <c r="S63" s="3"/>
      <c r="T63" s="3"/>
    </row>
    <row r="64" spans="1:20" ht="15" customHeight="1" x14ac:dyDescent="0.2">
      <c r="A64" s="56"/>
      <c r="B64" s="58"/>
      <c r="C64" s="56"/>
      <c r="D64" s="58"/>
      <c r="E64" s="56"/>
      <c r="F64" s="58"/>
      <c r="G64" s="56"/>
      <c r="H64" s="58"/>
      <c r="I64" s="56"/>
      <c r="J64" s="58"/>
      <c r="K64" s="56" t="s">
        <v>479</v>
      </c>
      <c r="L64" s="65"/>
      <c r="M64" s="3"/>
      <c r="N64" s="3"/>
      <c r="O64" s="3"/>
      <c r="P64" s="3"/>
      <c r="Q64" s="3"/>
      <c r="R64" s="3"/>
      <c r="S64" s="3"/>
      <c r="T64" s="3"/>
    </row>
    <row r="65" spans="1:20" ht="15" customHeight="1" x14ac:dyDescent="0.2">
      <c r="A65" s="56"/>
      <c r="B65" s="58"/>
      <c r="C65" s="56"/>
      <c r="D65" s="58"/>
      <c r="E65" s="56"/>
      <c r="F65" s="58"/>
      <c r="G65" s="56"/>
      <c r="H65" s="58"/>
      <c r="I65" s="56"/>
      <c r="J65" s="58"/>
      <c r="K65" s="56" t="s">
        <v>479</v>
      </c>
      <c r="L65" s="65"/>
      <c r="M65" s="3"/>
      <c r="N65" s="3"/>
      <c r="O65" s="3"/>
      <c r="P65" s="3"/>
      <c r="Q65" s="3"/>
      <c r="R65" s="3"/>
      <c r="S65" s="3"/>
      <c r="T65" s="3"/>
    </row>
    <row r="66" spans="1:20" ht="15" customHeight="1" x14ac:dyDescent="0.2">
      <c r="A66" s="56"/>
      <c r="B66" s="58"/>
      <c r="C66" s="56"/>
      <c r="D66" s="58"/>
      <c r="E66" s="56"/>
      <c r="F66" s="58"/>
      <c r="G66" s="56"/>
      <c r="H66" s="58"/>
      <c r="I66" s="56"/>
      <c r="J66" s="58"/>
      <c r="K66" s="56" t="s">
        <v>479</v>
      </c>
      <c r="L66" s="65"/>
      <c r="M66" s="3"/>
      <c r="N66" s="3"/>
      <c r="O66" s="3"/>
      <c r="P66" s="3"/>
      <c r="Q66" s="3"/>
      <c r="R66" s="3"/>
      <c r="S66" s="3"/>
      <c r="T66" s="3"/>
    </row>
    <row r="67" spans="1:20" ht="15" customHeight="1" x14ac:dyDescent="0.2">
      <c r="A67" s="56"/>
      <c r="B67" s="58"/>
      <c r="C67" s="56"/>
      <c r="D67" s="58"/>
      <c r="E67" s="56"/>
      <c r="F67" s="58"/>
      <c r="G67" s="56"/>
      <c r="H67" s="58"/>
      <c r="I67" s="56"/>
      <c r="J67" s="58"/>
      <c r="K67" s="56" t="s">
        <v>479</v>
      </c>
      <c r="L67" s="65"/>
      <c r="M67" s="3"/>
      <c r="N67" s="3"/>
      <c r="O67" s="3"/>
      <c r="P67" s="3"/>
      <c r="Q67" s="3"/>
      <c r="R67" s="3"/>
      <c r="S67" s="3"/>
      <c r="T67" s="3"/>
    </row>
    <row r="68" spans="1:20" ht="15" customHeight="1" x14ac:dyDescent="0.2">
      <c r="A68" s="56"/>
      <c r="B68" s="58"/>
      <c r="C68" s="56"/>
      <c r="D68" s="58"/>
      <c r="E68" s="56"/>
      <c r="F68" s="58"/>
      <c r="G68" s="56"/>
      <c r="H68" s="58"/>
      <c r="I68" s="56"/>
      <c r="J68" s="58"/>
      <c r="K68" s="56" t="s">
        <v>479</v>
      </c>
      <c r="L68" s="65"/>
      <c r="M68" s="3"/>
      <c r="N68" s="3"/>
      <c r="O68" s="3"/>
      <c r="P68" s="3"/>
      <c r="Q68" s="3"/>
      <c r="R68" s="3"/>
      <c r="S68" s="3"/>
      <c r="T68" s="3"/>
    </row>
    <row r="69" spans="1:20" ht="15" customHeight="1" x14ac:dyDescent="0.2">
      <c r="A69" s="56"/>
      <c r="B69" s="58"/>
      <c r="C69" s="56"/>
      <c r="D69" s="58"/>
      <c r="E69" s="56"/>
      <c r="F69" s="58"/>
      <c r="G69" s="56"/>
      <c r="H69" s="58"/>
      <c r="I69" s="56"/>
      <c r="J69" s="58"/>
      <c r="K69" s="56" t="s">
        <v>479</v>
      </c>
      <c r="L69" s="65"/>
      <c r="M69" s="3"/>
      <c r="N69" s="3"/>
      <c r="O69" s="3"/>
      <c r="P69" s="3"/>
      <c r="Q69" s="3"/>
      <c r="R69" s="3"/>
      <c r="S69" s="3"/>
      <c r="T69" s="3"/>
    </row>
    <row r="70" spans="1:20" ht="15" customHeight="1" x14ac:dyDescent="0.2">
      <c r="A70" s="56"/>
      <c r="B70" s="58"/>
      <c r="C70" s="56"/>
      <c r="D70" s="58"/>
      <c r="E70" s="56"/>
      <c r="F70" s="58"/>
      <c r="G70" s="56"/>
      <c r="H70" s="58"/>
      <c r="I70" s="56"/>
      <c r="J70" s="58"/>
      <c r="K70" s="56" t="s">
        <v>479</v>
      </c>
      <c r="L70" s="65"/>
      <c r="M70" s="3"/>
      <c r="N70" s="3"/>
      <c r="O70" s="3"/>
      <c r="P70" s="3"/>
      <c r="Q70" s="3"/>
      <c r="R70" s="3"/>
      <c r="S70" s="3"/>
      <c r="T70" s="3"/>
    </row>
    <row r="71" spans="1:20" ht="15" customHeight="1" x14ac:dyDescent="0.2">
      <c r="A71" s="56"/>
      <c r="B71" s="58"/>
      <c r="C71" s="56"/>
      <c r="D71" s="58"/>
      <c r="E71" s="56"/>
      <c r="F71" s="58"/>
      <c r="G71" s="56"/>
      <c r="H71" s="58"/>
      <c r="I71" s="56"/>
      <c r="J71" s="58"/>
      <c r="K71" s="56" t="s">
        <v>479</v>
      </c>
      <c r="L71" s="65"/>
      <c r="M71" s="3"/>
      <c r="N71" s="3"/>
      <c r="O71" s="3"/>
      <c r="P71" s="3"/>
      <c r="Q71" s="3"/>
      <c r="R71" s="3"/>
      <c r="S71" s="3"/>
      <c r="T71" s="3"/>
    </row>
    <row r="72" spans="1:20" ht="15" customHeight="1" x14ac:dyDescent="0.2">
      <c r="A72" s="56"/>
      <c r="B72" s="58"/>
      <c r="C72" s="56"/>
      <c r="D72" s="58"/>
      <c r="E72" s="56"/>
      <c r="F72" s="58"/>
      <c r="G72" s="56"/>
      <c r="H72" s="58"/>
      <c r="I72" s="56"/>
      <c r="J72" s="58"/>
      <c r="K72" s="56" t="s">
        <v>479</v>
      </c>
      <c r="L72" s="65"/>
      <c r="M72" s="3"/>
      <c r="N72" s="3"/>
      <c r="O72" s="3"/>
      <c r="P72" s="3"/>
      <c r="Q72" s="3"/>
      <c r="R72" s="3"/>
      <c r="S72" s="3"/>
      <c r="T72" s="3"/>
    </row>
    <row r="73" spans="1:20" ht="15" customHeight="1" x14ac:dyDescent="0.2">
      <c r="A73" s="56"/>
      <c r="B73" s="58"/>
      <c r="C73" s="56"/>
      <c r="D73" s="58"/>
      <c r="E73" s="56"/>
      <c r="F73" s="58"/>
      <c r="G73" s="56"/>
      <c r="H73" s="58"/>
      <c r="I73" s="56"/>
      <c r="J73" s="58"/>
      <c r="K73" s="56" t="s">
        <v>479</v>
      </c>
      <c r="L73" s="65"/>
      <c r="M73" s="3"/>
      <c r="N73" s="3"/>
      <c r="O73" s="3"/>
      <c r="P73" s="3"/>
      <c r="Q73" s="3"/>
      <c r="R73" s="3"/>
      <c r="S73" s="3"/>
      <c r="T73" s="3"/>
    </row>
    <row r="74" spans="1:20" ht="15" customHeight="1" x14ac:dyDescent="0.2">
      <c r="A74" s="56"/>
      <c r="B74" s="58"/>
      <c r="C74" s="56"/>
      <c r="D74" s="58"/>
      <c r="E74" s="56"/>
      <c r="F74" s="58"/>
      <c r="G74" s="56"/>
      <c r="H74" s="58"/>
      <c r="I74" s="56"/>
      <c r="J74" s="58"/>
      <c r="K74" s="56" t="s">
        <v>479</v>
      </c>
      <c r="L74" s="65"/>
      <c r="M74" s="3"/>
      <c r="N74" s="3"/>
      <c r="O74" s="3"/>
      <c r="P74" s="3"/>
      <c r="Q74" s="3"/>
      <c r="R74" s="3"/>
      <c r="S74" s="3"/>
      <c r="T74" s="3"/>
    </row>
    <row r="75" spans="1:20" ht="15" customHeight="1" x14ac:dyDescent="0.2">
      <c r="A75" s="56"/>
      <c r="B75" s="58"/>
      <c r="C75" s="56"/>
      <c r="D75" s="58"/>
      <c r="E75" s="56"/>
      <c r="F75" s="58"/>
      <c r="G75" s="56"/>
      <c r="H75" s="58"/>
      <c r="I75" s="56"/>
      <c r="J75" s="58"/>
      <c r="K75" s="56" t="s">
        <v>479</v>
      </c>
      <c r="L75" s="65"/>
      <c r="M75" s="3"/>
      <c r="N75" s="3"/>
      <c r="O75" s="3"/>
      <c r="P75" s="3"/>
      <c r="Q75" s="3"/>
      <c r="R75" s="3"/>
      <c r="S75" s="3"/>
      <c r="T75" s="3"/>
    </row>
    <row r="76" spans="1:20" ht="15" customHeight="1" x14ac:dyDescent="0.2">
      <c r="A76" s="56"/>
      <c r="B76" s="58"/>
      <c r="C76" s="56"/>
      <c r="D76" s="58"/>
      <c r="E76" s="56"/>
      <c r="F76" s="58"/>
      <c r="G76" s="56"/>
      <c r="H76" s="58"/>
      <c r="I76" s="56"/>
      <c r="J76" s="58"/>
      <c r="K76" s="56" t="s">
        <v>479</v>
      </c>
      <c r="L76" s="65"/>
      <c r="M76" s="3"/>
      <c r="N76" s="3"/>
      <c r="O76" s="3"/>
      <c r="P76" s="3"/>
      <c r="Q76" s="3"/>
      <c r="R76" s="3"/>
      <c r="S76" s="3"/>
      <c r="T76" s="3"/>
    </row>
    <row r="77" spans="1:20" ht="15" customHeight="1" x14ac:dyDescent="0.2">
      <c r="A77" s="56"/>
      <c r="B77" s="58"/>
      <c r="C77" s="56"/>
      <c r="D77" s="58"/>
      <c r="E77" s="56"/>
      <c r="F77" s="58"/>
      <c r="G77" s="56"/>
      <c r="H77" s="58"/>
      <c r="I77" s="56"/>
      <c r="J77" s="58"/>
      <c r="K77" s="56" t="s">
        <v>479</v>
      </c>
      <c r="L77" s="65"/>
      <c r="M77" s="3"/>
      <c r="N77" s="3"/>
      <c r="O77" s="3"/>
      <c r="P77" s="3"/>
      <c r="Q77" s="3"/>
      <c r="R77" s="3"/>
      <c r="S77" s="3"/>
      <c r="T77" s="3"/>
    </row>
    <row r="78" spans="1:20" ht="15" customHeight="1" x14ac:dyDescent="0.2">
      <c r="A78" s="56"/>
      <c r="B78" s="58"/>
      <c r="C78" s="56"/>
      <c r="D78" s="58"/>
      <c r="E78" s="56"/>
      <c r="F78" s="58"/>
      <c r="G78" s="56"/>
      <c r="H78" s="58"/>
      <c r="I78" s="56"/>
      <c r="J78" s="58"/>
      <c r="K78" s="56" t="s">
        <v>479</v>
      </c>
      <c r="L78" s="65"/>
      <c r="M78" s="3"/>
      <c r="N78" s="3"/>
      <c r="O78" s="3"/>
      <c r="P78" s="3"/>
      <c r="Q78" s="3"/>
      <c r="R78" s="3"/>
      <c r="S78" s="3"/>
      <c r="T78" s="3"/>
    </row>
    <row r="79" spans="1:20" ht="15" customHeight="1" x14ac:dyDescent="0.2">
      <c r="A79" s="56"/>
      <c r="B79" s="58"/>
      <c r="C79" s="56"/>
      <c r="D79" s="58"/>
      <c r="E79" s="56"/>
      <c r="F79" s="58"/>
      <c r="G79" s="56"/>
      <c r="H79" s="58"/>
      <c r="I79" s="56"/>
      <c r="J79" s="58"/>
      <c r="K79" s="56" t="s">
        <v>479</v>
      </c>
      <c r="L79" s="65"/>
      <c r="M79" s="3"/>
      <c r="N79" s="3"/>
      <c r="O79" s="3"/>
      <c r="P79" s="3"/>
      <c r="Q79" s="3"/>
      <c r="R79" s="3"/>
      <c r="S79" s="3"/>
      <c r="T79" s="3"/>
    </row>
    <row r="80" spans="1:20" ht="15" customHeight="1" x14ac:dyDescent="0.2">
      <c r="A80" s="56"/>
      <c r="B80" s="58"/>
      <c r="C80" s="56"/>
      <c r="D80" s="58"/>
      <c r="E80" s="56"/>
      <c r="F80" s="58"/>
      <c r="G80" s="56"/>
      <c r="H80" s="58"/>
      <c r="I80" s="56"/>
      <c r="J80" s="58"/>
      <c r="K80" s="56" t="s">
        <v>479</v>
      </c>
      <c r="L80" s="65"/>
      <c r="M80" s="3"/>
      <c r="N80" s="3"/>
      <c r="O80" s="3"/>
      <c r="P80" s="3"/>
      <c r="Q80" s="3"/>
      <c r="R80" s="3"/>
      <c r="S80" s="3"/>
      <c r="T80" s="3"/>
    </row>
    <row r="81" spans="1:20" ht="15" customHeight="1" x14ac:dyDescent="0.2">
      <c r="A81" s="56"/>
      <c r="B81" s="58"/>
      <c r="C81" s="56"/>
      <c r="D81" s="58"/>
      <c r="E81" s="56"/>
      <c r="F81" s="58"/>
      <c r="G81" s="56"/>
      <c r="H81" s="58"/>
      <c r="I81" s="56"/>
      <c r="J81" s="58"/>
      <c r="K81" s="56" t="s">
        <v>479</v>
      </c>
      <c r="L81" s="65"/>
      <c r="M81" s="3"/>
      <c r="N81" s="3"/>
      <c r="O81" s="3"/>
      <c r="P81" s="3"/>
      <c r="Q81" s="3"/>
      <c r="R81" s="3"/>
      <c r="S81" s="3"/>
      <c r="T81" s="3"/>
    </row>
    <row r="82" spans="1:20" ht="15" customHeight="1" x14ac:dyDescent="0.2">
      <c r="A82" s="56"/>
      <c r="B82" s="58"/>
      <c r="C82" s="56"/>
      <c r="D82" s="58"/>
      <c r="E82" s="56"/>
      <c r="F82" s="58"/>
      <c r="G82" s="56"/>
      <c r="H82" s="58"/>
      <c r="I82" s="56"/>
      <c r="J82" s="58"/>
      <c r="K82" s="56" t="s">
        <v>479</v>
      </c>
      <c r="L82" s="65"/>
      <c r="M82" s="3"/>
      <c r="N82" s="3"/>
      <c r="O82" s="3"/>
      <c r="P82" s="3"/>
      <c r="Q82" s="3"/>
      <c r="R82" s="3"/>
      <c r="S82" s="3"/>
      <c r="T82" s="3"/>
    </row>
    <row r="83" spans="1:20" ht="15" customHeight="1" x14ac:dyDescent="0.2">
      <c r="A83" s="56"/>
      <c r="B83" s="58"/>
      <c r="C83" s="56"/>
      <c r="D83" s="58"/>
      <c r="E83" s="56"/>
      <c r="F83" s="58"/>
      <c r="G83" s="56"/>
      <c r="H83" s="58"/>
      <c r="I83" s="56"/>
      <c r="J83" s="58"/>
      <c r="K83" s="56" t="s">
        <v>479</v>
      </c>
      <c r="L83" s="65"/>
      <c r="M83" s="3"/>
      <c r="N83" s="3"/>
      <c r="O83" s="3"/>
      <c r="P83" s="3"/>
      <c r="Q83" s="3"/>
      <c r="R83" s="3"/>
      <c r="S83" s="3"/>
      <c r="T83" s="3"/>
    </row>
    <row r="84" spans="1:20" ht="15" customHeight="1" x14ac:dyDescent="0.2">
      <c r="A84" s="56"/>
      <c r="B84" s="58"/>
      <c r="C84" s="56"/>
      <c r="D84" s="58"/>
      <c r="E84" s="56"/>
      <c r="F84" s="58"/>
      <c r="G84" s="56"/>
      <c r="H84" s="58"/>
      <c r="I84" s="56"/>
      <c r="J84" s="58"/>
      <c r="K84" s="56" t="s">
        <v>479</v>
      </c>
      <c r="L84" s="65"/>
      <c r="M84" s="3"/>
      <c r="N84" s="3"/>
      <c r="O84" s="3"/>
      <c r="P84" s="3"/>
      <c r="Q84" s="3"/>
      <c r="R84" s="3"/>
      <c r="S84" s="3"/>
      <c r="T84" s="3"/>
    </row>
    <row r="85" spans="1:20" ht="15" customHeight="1" x14ac:dyDescent="0.2">
      <c r="A85" s="56"/>
      <c r="B85" s="58"/>
      <c r="C85" s="56"/>
      <c r="D85" s="58"/>
      <c r="E85" s="56"/>
      <c r="F85" s="58"/>
      <c r="G85" s="56"/>
      <c r="H85" s="58"/>
      <c r="I85" s="56"/>
      <c r="J85" s="58"/>
      <c r="K85" s="56" t="s">
        <v>479</v>
      </c>
      <c r="L85" s="65"/>
      <c r="M85" s="3"/>
      <c r="N85" s="3"/>
      <c r="O85" s="3"/>
      <c r="P85" s="3"/>
      <c r="Q85" s="3"/>
      <c r="R85" s="3"/>
      <c r="S85" s="3"/>
      <c r="T85" s="3"/>
    </row>
    <row r="86" spans="1:20" ht="15" customHeight="1" x14ac:dyDescent="0.2">
      <c r="A86" s="56"/>
      <c r="B86" s="58"/>
      <c r="C86" s="56"/>
      <c r="D86" s="58"/>
      <c r="E86" s="56"/>
      <c r="F86" s="58"/>
      <c r="G86" s="56"/>
      <c r="H86" s="58"/>
      <c r="I86" s="56"/>
      <c r="J86" s="58"/>
      <c r="K86" s="56" t="s">
        <v>479</v>
      </c>
      <c r="L86" s="65"/>
      <c r="M86" s="3"/>
      <c r="N86" s="3"/>
      <c r="O86" s="3"/>
      <c r="P86" s="3"/>
      <c r="Q86" s="3"/>
      <c r="R86" s="3"/>
      <c r="S86" s="3"/>
      <c r="T86" s="3"/>
    </row>
    <row r="87" spans="1:20" ht="15" customHeight="1" x14ac:dyDescent="0.2">
      <c r="A87" s="56"/>
      <c r="B87" s="58"/>
      <c r="C87" s="56"/>
      <c r="D87" s="58"/>
      <c r="E87" s="56"/>
      <c r="F87" s="58"/>
      <c r="G87" s="56"/>
      <c r="H87" s="58"/>
      <c r="I87" s="56"/>
      <c r="J87" s="58"/>
      <c r="K87" s="56" t="s">
        <v>479</v>
      </c>
      <c r="L87" s="65"/>
      <c r="M87" s="3"/>
      <c r="N87" s="3"/>
      <c r="O87" s="3"/>
      <c r="P87" s="3"/>
      <c r="Q87" s="3"/>
      <c r="R87" s="3"/>
      <c r="S87" s="3"/>
      <c r="T87" s="3"/>
    </row>
    <row r="88" spans="1:20" ht="15" customHeight="1" x14ac:dyDescent="0.2">
      <c r="A88" s="56"/>
      <c r="B88" s="58"/>
      <c r="C88" s="56"/>
      <c r="D88" s="58"/>
      <c r="E88" s="56"/>
      <c r="F88" s="58"/>
      <c r="G88" s="56"/>
      <c r="H88" s="58"/>
      <c r="I88" s="56"/>
      <c r="J88" s="58"/>
      <c r="K88" s="56" t="s">
        <v>479</v>
      </c>
      <c r="L88" s="65"/>
      <c r="M88" s="3"/>
      <c r="N88" s="3"/>
      <c r="O88" s="3"/>
      <c r="P88" s="3"/>
      <c r="Q88" s="3"/>
      <c r="R88" s="3"/>
      <c r="S88" s="3"/>
      <c r="T88" s="3"/>
    </row>
    <row r="89" spans="1:20" ht="15" customHeight="1" x14ac:dyDescent="0.2">
      <c r="A89" s="56"/>
      <c r="B89" s="58"/>
      <c r="C89" s="56"/>
      <c r="D89" s="58"/>
      <c r="E89" s="56"/>
      <c r="F89" s="58"/>
      <c r="G89" s="56"/>
      <c r="H89" s="58"/>
      <c r="I89" s="56"/>
      <c r="J89" s="58"/>
      <c r="K89" s="56" t="s">
        <v>479</v>
      </c>
      <c r="L89" s="65"/>
      <c r="M89" s="3"/>
      <c r="N89" s="3"/>
      <c r="O89" s="3"/>
      <c r="P89" s="3"/>
      <c r="Q89" s="3"/>
      <c r="R89" s="3"/>
      <c r="S89" s="3"/>
      <c r="T89" s="3"/>
    </row>
    <row r="90" spans="1:20" ht="15" customHeight="1" x14ac:dyDescent="0.2">
      <c r="A90" s="56"/>
      <c r="B90" s="58"/>
      <c r="C90" s="56"/>
      <c r="D90" s="58"/>
      <c r="E90" s="56"/>
      <c r="F90" s="58"/>
      <c r="G90" s="56"/>
      <c r="H90" s="58"/>
      <c r="I90" s="56"/>
      <c r="J90" s="58"/>
      <c r="K90" s="56" t="s">
        <v>479</v>
      </c>
      <c r="L90" s="65"/>
      <c r="M90" s="3"/>
      <c r="N90" s="3"/>
      <c r="O90" s="3"/>
      <c r="P90" s="3"/>
      <c r="Q90" s="3"/>
      <c r="R90" s="3"/>
      <c r="S90" s="3"/>
      <c r="T90" s="3"/>
    </row>
    <row r="91" spans="1:20" ht="15" customHeight="1" x14ac:dyDescent="0.2">
      <c r="A91" s="56"/>
      <c r="B91" s="58"/>
      <c r="C91" s="56"/>
      <c r="D91" s="58"/>
      <c r="E91" s="56"/>
      <c r="F91" s="58"/>
      <c r="G91" s="56"/>
      <c r="H91" s="58"/>
      <c r="I91" s="56"/>
      <c r="J91" s="58"/>
      <c r="K91" s="56" t="s">
        <v>479</v>
      </c>
      <c r="L91" s="65"/>
      <c r="M91" s="3"/>
      <c r="N91" s="3"/>
      <c r="O91" s="3"/>
      <c r="P91" s="3"/>
      <c r="Q91" s="3"/>
      <c r="R91" s="3"/>
      <c r="S91" s="3"/>
      <c r="T91" s="3"/>
    </row>
    <row r="92" spans="1:20" ht="15" customHeight="1" x14ac:dyDescent="0.2">
      <c r="A92" s="56"/>
      <c r="B92" s="58"/>
      <c r="C92" s="56"/>
      <c r="D92" s="58"/>
      <c r="E92" s="56"/>
      <c r="F92" s="58"/>
      <c r="G92" s="56"/>
      <c r="H92" s="58"/>
      <c r="I92" s="56"/>
      <c r="J92" s="58"/>
      <c r="K92" s="56" t="s">
        <v>479</v>
      </c>
      <c r="L92" s="65"/>
      <c r="M92" s="3"/>
      <c r="N92" s="3"/>
      <c r="O92" s="3"/>
      <c r="P92" s="3"/>
      <c r="Q92" s="3"/>
      <c r="R92" s="3"/>
      <c r="S92" s="3"/>
      <c r="T92" s="3"/>
    </row>
    <row r="93" spans="1:20" ht="15" customHeight="1" x14ac:dyDescent="0.2">
      <c r="A93" s="56"/>
      <c r="B93" s="58"/>
      <c r="C93" s="56"/>
      <c r="D93" s="58"/>
      <c r="E93" s="56"/>
      <c r="F93" s="58"/>
      <c r="G93" s="56"/>
      <c r="H93" s="58"/>
      <c r="I93" s="56"/>
      <c r="J93" s="58"/>
      <c r="K93" s="56" t="s">
        <v>479</v>
      </c>
      <c r="L93" s="65"/>
      <c r="M93" s="3"/>
      <c r="N93" s="3"/>
      <c r="O93" s="3"/>
      <c r="P93" s="3"/>
      <c r="Q93" s="3"/>
      <c r="R93" s="3"/>
      <c r="S93" s="3"/>
      <c r="T93" s="3"/>
    </row>
    <row r="94" spans="1:20" ht="15" customHeight="1" x14ac:dyDescent="0.2">
      <c r="A94" s="56"/>
      <c r="B94" s="58"/>
      <c r="C94" s="56"/>
      <c r="D94" s="58"/>
      <c r="E94" s="56"/>
      <c r="F94" s="58"/>
      <c r="G94" s="56"/>
      <c r="H94" s="58"/>
      <c r="I94" s="56"/>
      <c r="J94" s="58"/>
      <c r="K94" s="56" t="s">
        <v>479</v>
      </c>
      <c r="L94" s="65"/>
      <c r="M94" s="3"/>
      <c r="N94" s="3"/>
      <c r="O94" s="3"/>
      <c r="P94" s="3"/>
      <c r="Q94" s="3"/>
      <c r="R94" s="3"/>
      <c r="S94" s="3"/>
      <c r="T94" s="3"/>
    </row>
    <row r="95" spans="1:20" ht="15" customHeight="1" x14ac:dyDescent="0.2">
      <c r="A95" s="56"/>
      <c r="B95" s="58"/>
      <c r="C95" s="56"/>
      <c r="D95" s="58"/>
      <c r="E95" s="56"/>
      <c r="F95" s="58"/>
      <c r="G95" s="56"/>
      <c r="H95" s="58"/>
      <c r="I95" s="56"/>
      <c r="J95" s="58"/>
      <c r="K95" s="56" t="s">
        <v>479</v>
      </c>
      <c r="L95" s="65"/>
      <c r="M95" s="3"/>
      <c r="N95" s="3"/>
      <c r="O95" s="3"/>
      <c r="P95" s="3"/>
      <c r="Q95" s="3"/>
      <c r="R95" s="3"/>
      <c r="S95" s="3"/>
      <c r="T95" s="3"/>
    </row>
    <row r="96" spans="1:20" ht="15" customHeight="1" x14ac:dyDescent="0.2">
      <c r="A96" s="56"/>
      <c r="B96" s="58"/>
      <c r="C96" s="56"/>
      <c r="D96" s="58"/>
      <c r="E96" s="56"/>
      <c r="F96" s="58"/>
      <c r="G96" s="56"/>
      <c r="H96" s="58"/>
      <c r="I96" s="56"/>
      <c r="J96" s="58"/>
      <c r="K96" s="56" t="s">
        <v>479</v>
      </c>
      <c r="L96" s="65"/>
      <c r="M96" s="3"/>
      <c r="N96" s="3"/>
      <c r="O96" s="3"/>
      <c r="P96" s="3"/>
      <c r="Q96" s="3"/>
      <c r="R96" s="3"/>
      <c r="S96" s="3"/>
      <c r="T96" s="3"/>
    </row>
    <row r="97" spans="1:20" ht="15" customHeight="1" x14ac:dyDescent="0.2">
      <c r="A97" s="56"/>
      <c r="B97" s="58"/>
      <c r="C97" s="56"/>
      <c r="D97" s="58"/>
      <c r="E97" s="56"/>
      <c r="F97" s="58"/>
      <c r="G97" s="56"/>
      <c r="H97" s="58"/>
      <c r="I97" s="56"/>
      <c r="J97" s="58"/>
      <c r="K97" s="56" t="s">
        <v>479</v>
      </c>
      <c r="L97" s="65"/>
      <c r="M97" s="3"/>
      <c r="N97" s="3"/>
      <c r="O97" s="3"/>
      <c r="P97" s="3"/>
      <c r="Q97" s="3"/>
      <c r="R97" s="3"/>
      <c r="S97" s="3"/>
      <c r="T97" s="3"/>
    </row>
    <row r="98" spans="1:20" ht="15" customHeight="1" x14ac:dyDescent="0.2">
      <c r="A98" s="56"/>
      <c r="B98" s="58"/>
      <c r="C98" s="56"/>
      <c r="D98" s="58"/>
      <c r="E98" s="56"/>
      <c r="F98" s="58"/>
      <c r="G98" s="56"/>
      <c r="H98" s="58"/>
      <c r="I98" s="56"/>
      <c r="J98" s="58"/>
      <c r="K98" s="56" t="s">
        <v>479</v>
      </c>
      <c r="L98" s="65"/>
      <c r="M98" s="3"/>
      <c r="N98" s="3"/>
      <c r="O98" s="3"/>
      <c r="P98" s="3"/>
      <c r="Q98" s="3"/>
      <c r="R98" s="3"/>
      <c r="S98" s="3"/>
      <c r="T98" s="3"/>
    </row>
    <row r="99" spans="1:20" ht="15" customHeight="1" x14ac:dyDescent="0.2">
      <c r="A99" s="56"/>
      <c r="B99" s="58"/>
      <c r="C99" s="56"/>
      <c r="D99" s="58"/>
      <c r="E99" s="56"/>
      <c r="F99" s="58"/>
      <c r="G99" s="56"/>
      <c r="H99" s="58"/>
      <c r="I99" s="56"/>
      <c r="J99" s="58"/>
      <c r="K99" s="56" t="s">
        <v>479</v>
      </c>
      <c r="L99" s="65"/>
      <c r="M99" s="3"/>
      <c r="N99" s="3"/>
      <c r="O99" s="3"/>
      <c r="P99" s="3"/>
      <c r="Q99" s="3"/>
      <c r="R99" s="3"/>
      <c r="S99" s="3"/>
      <c r="T99" s="3"/>
    </row>
    <row r="100" spans="1:20" ht="15" customHeight="1" x14ac:dyDescent="0.2">
      <c r="A100" s="56"/>
      <c r="B100" s="58"/>
      <c r="C100" s="56"/>
      <c r="D100" s="58"/>
      <c r="E100" s="56"/>
      <c r="F100" s="58"/>
      <c r="G100" s="56"/>
      <c r="H100" s="58"/>
      <c r="I100" s="56"/>
      <c r="J100" s="58"/>
      <c r="K100" s="56" t="s">
        <v>479</v>
      </c>
      <c r="L100" s="65"/>
      <c r="M100" s="3"/>
      <c r="N100" s="3"/>
      <c r="O100" s="3"/>
      <c r="P100" s="3"/>
      <c r="Q100" s="3"/>
      <c r="R100" s="3"/>
      <c r="S100" s="3"/>
      <c r="T100" s="3"/>
    </row>
    <row r="101" spans="1:20" ht="15" customHeight="1" x14ac:dyDescent="0.2">
      <c r="A101" s="56"/>
      <c r="B101" s="58"/>
      <c r="C101" s="56"/>
      <c r="D101" s="58"/>
      <c r="E101" s="56"/>
      <c r="F101" s="58"/>
      <c r="G101" s="56"/>
      <c r="H101" s="58"/>
      <c r="I101" s="56"/>
      <c r="J101" s="58"/>
      <c r="K101" s="56" t="s">
        <v>479</v>
      </c>
      <c r="L101" s="65"/>
      <c r="M101" s="3"/>
      <c r="N101" s="3"/>
      <c r="O101" s="3"/>
      <c r="P101" s="3"/>
      <c r="Q101" s="3"/>
      <c r="R101" s="3"/>
      <c r="S101" s="3"/>
      <c r="T101" s="3"/>
    </row>
    <row r="102" spans="1:20" ht="15" customHeight="1" x14ac:dyDescent="0.2">
      <c r="A102" s="56"/>
      <c r="B102" s="58"/>
      <c r="C102" s="56"/>
      <c r="D102" s="58"/>
      <c r="E102" s="56"/>
      <c r="F102" s="58"/>
      <c r="G102" s="56"/>
      <c r="H102" s="58"/>
      <c r="I102" s="56"/>
      <c r="J102" s="58"/>
      <c r="K102" s="56" t="s">
        <v>479</v>
      </c>
      <c r="L102" s="65"/>
      <c r="M102" s="3"/>
      <c r="N102" s="3"/>
      <c r="O102" s="3"/>
      <c r="P102" s="3"/>
      <c r="Q102" s="3"/>
      <c r="R102" s="3"/>
      <c r="S102" s="3"/>
      <c r="T102" s="3"/>
    </row>
    <row r="103" spans="1:20" ht="15" customHeight="1" x14ac:dyDescent="0.2">
      <c r="A103" s="56"/>
      <c r="B103" s="58"/>
      <c r="C103" s="56"/>
      <c r="D103" s="58"/>
      <c r="E103" s="56"/>
      <c r="F103" s="58"/>
      <c r="G103" s="56"/>
      <c r="H103" s="58"/>
      <c r="I103" s="56"/>
      <c r="J103" s="58"/>
      <c r="K103" s="56" t="s">
        <v>479</v>
      </c>
      <c r="L103" s="65"/>
      <c r="M103" s="3"/>
      <c r="N103" s="3"/>
      <c r="O103" s="3"/>
      <c r="P103" s="3"/>
      <c r="Q103" s="3"/>
      <c r="R103" s="3"/>
      <c r="S103" s="3"/>
      <c r="T103" s="3"/>
    </row>
    <row r="104" spans="1:20" ht="15" customHeight="1" x14ac:dyDescent="0.2">
      <c r="A104" s="56"/>
      <c r="B104" s="58"/>
      <c r="C104" s="56"/>
      <c r="D104" s="58"/>
      <c r="E104" s="56"/>
      <c r="F104" s="58"/>
      <c r="G104" s="56"/>
      <c r="H104" s="58"/>
      <c r="I104" s="56"/>
      <c r="J104" s="58"/>
      <c r="K104" s="56" t="s">
        <v>479</v>
      </c>
      <c r="L104" s="65"/>
      <c r="M104" s="3"/>
      <c r="N104" s="3"/>
      <c r="O104" s="3"/>
      <c r="P104" s="3"/>
      <c r="Q104" s="3"/>
      <c r="R104" s="3"/>
      <c r="S104" s="3"/>
      <c r="T104" s="3"/>
    </row>
    <row r="105" spans="1:20" ht="15" customHeight="1" x14ac:dyDescent="0.2">
      <c r="A105" s="56"/>
      <c r="B105" s="58"/>
      <c r="C105" s="56"/>
      <c r="D105" s="58"/>
      <c r="E105" s="56"/>
      <c r="F105" s="58"/>
      <c r="G105" s="56"/>
      <c r="H105" s="58"/>
      <c r="I105" s="56"/>
      <c r="J105" s="58"/>
      <c r="K105" s="56" t="s">
        <v>479</v>
      </c>
      <c r="L105" s="65"/>
      <c r="M105" s="3"/>
      <c r="N105" s="3"/>
      <c r="O105" s="3"/>
      <c r="P105" s="3"/>
      <c r="Q105" s="3"/>
      <c r="R105" s="3"/>
      <c r="S105" s="3"/>
      <c r="T105" s="3"/>
    </row>
    <row r="106" spans="1:20" ht="15" customHeight="1" x14ac:dyDescent="0.2">
      <c r="A106" s="56"/>
      <c r="B106" s="58"/>
      <c r="C106" s="56"/>
      <c r="D106" s="58"/>
      <c r="E106" s="56"/>
      <c r="F106" s="58"/>
      <c r="G106" s="56"/>
      <c r="H106" s="58"/>
      <c r="I106" s="56"/>
      <c r="J106" s="58"/>
      <c r="K106" s="56" t="s">
        <v>479</v>
      </c>
      <c r="L106" s="65"/>
      <c r="M106" s="3"/>
      <c r="N106" s="3"/>
      <c r="O106" s="3"/>
      <c r="P106" s="3"/>
      <c r="Q106" s="3"/>
      <c r="R106" s="3"/>
      <c r="S106" s="3"/>
      <c r="T106" s="3"/>
    </row>
    <row r="107" spans="1:20" ht="15" customHeight="1" x14ac:dyDescent="0.2">
      <c r="A107" s="56"/>
      <c r="B107" s="58"/>
      <c r="C107" s="56"/>
      <c r="D107" s="58"/>
      <c r="E107" s="56"/>
      <c r="F107" s="58"/>
      <c r="G107" s="56"/>
      <c r="H107" s="58"/>
      <c r="I107" s="56"/>
      <c r="J107" s="58"/>
      <c r="K107" s="56" t="s">
        <v>479</v>
      </c>
      <c r="L107" s="65"/>
      <c r="M107" s="3"/>
      <c r="N107" s="3"/>
      <c r="O107" s="3"/>
      <c r="P107" s="3"/>
      <c r="Q107" s="3"/>
      <c r="R107" s="3"/>
      <c r="S107" s="3"/>
      <c r="T107" s="3"/>
    </row>
    <row r="108" spans="1:20" ht="15" customHeight="1" x14ac:dyDescent="0.2">
      <c r="A108" s="56"/>
      <c r="B108" s="58"/>
      <c r="C108" s="56"/>
      <c r="D108" s="58"/>
      <c r="E108" s="56"/>
      <c r="F108" s="58"/>
      <c r="G108" s="56"/>
      <c r="H108" s="58"/>
      <c r="I108" s="56"/>
      <c r="J108" s="58"/>
      <c r="K108" s="56" t="s">
        <v>479</v>
      </c>
      <c r="L108" s="65"/>
      <c r="M108" s="3"/>
      <c r="N108" s="3"/>
      <c r="O108" s="3"/>
      <c r="P108" s="3"/>
      <c r="Q108" s="3"/>
      <c r="R108" s="3"/>
      <c r="S108" s="3"/>
      <c r="T108" s="3"/>
    </row>
    <row r="109" spans="1:20" ht="15" customHeight="1" x14ac:dyDescent="0.2">
      <c r="A109" s="56"/>
      <c r="B109" s="58"/>
      <c r="C109" s="56"/>
      <c r="D109" s="58"/>
      <c r="E109" s="56"/>
      <c r="F109" s="58"/>
      <c r="G109" s="56"/>
      <c r="H109" s="58"/>
      <c r="I109" s="56"/>
      <c r="J109" s="58"/>
      <c r="K109" s="56" t="s">
        <v>479</v>
      </c>
      <c r="L109" s="65"/>
      <c r="M109" s="3"/>
      <c r="N109" s="3"/>
      <c r="O109" s="3"/>
      <c r="P109" s="3"/>
      <c r="Q109" s="3"/>
      <c r="R109" s="3"/>
      <c r="S109" s="3"/>
      <c r="T109" s="3"/>
    </row>
    <row r="110" spans="1:20" ht="15" customHeight="1" x14ac:dyDescent="0.2">
      <c r="A110" s="56"/>
      <c r="B110" s="58"/>
      <c r="C110" s="56"/>
      <c r="D110" s="58"/>
      <c r="E110" s="56"/>
      <c r="F110" s="58"/>
      <c r="G110" s="56"/>
      <c r="H110" s="58"/>
      <c r="I110" s="56"/>
      <c r="J110" s="58"/>
      <c r="K110" s="56" t="s">
        <v>479</v>
      </c>
      <c r="L110" s="65"/>
      <c r="M110" s="3"/>
      <c r="N110" s="3"/>
      <c r="O110" s="3"/>
      <c r="P110" s="3"/>
      <c r="Q110" s="3"/>
      <c r="R110" s="3"/>
      <c r="S110" s="3"/>
      <c r="T110" s="3"/>
    </row>
    <row r="111" spans="1:20" ht="15" customHeight="1" x14ac:dyDescent="0.2">
      <c r="A111" s="56"/>
      <c r="B111" s="58"/>
      <c r="C111" s="56"/>
      <c r="D111" s="58"/>
      <c r="E111" s="56"/>
      <c r="F111" s="58"/>
      <c r="G111" s="56"/>
      <c r="H111" s="58"/>
      <c r="I111" s="56"/>
      <c r="J111" s="58"/>
      <c r="K111" s="56" t="s">
        <v>479</v>
      </c>
      <c r="L111" s="65"/>
      <c r="M111" s="3"/>
      <c r="N111" s="3"/>
      <c r="O111" s="3"/>
      <c r="P111" s="3"/>
      <c r="Q111" s="3"/>
      <c r="R111" s="3"/>
      <c r="S111" s="3"/>
      <c r="T111" s="3"/>
    </row>
    <row r="112" spans="1:20" ht="15" customHeight="1" x14ac:dyDescent="0.2">
      <c r="A112" s="56"/>
      <c r="B112" s="58"/>
      <c r="C112" s="56"/>
      <c r="D112" s="58"/>
      <c r="E112" s="56"/>
      <c r="F112" s="58"/>
      <c r="G112" s="56"/>
      <c r="H112" s="58"/>
      <c r="I112" s="56"/>
      <c r="J112" s="58"/>
      <c r="K112" s="56" t="s">
        <v>479</v>
      </c>
      <c r="L112" s="65"/>
      <c r="M112" s="3"/>
      <c r="N112" s="3"/>
      <c r="O112" s="3"/>
      <c r="P112" s="3"/>
      <c r="Q112" s="3"/>
      <c r="R112" s="3"/>
      <c r="S112" s="3"/>
      <c r="T112" s="3"/>
    </row>
    <row r="113" spans="1:20" ht="15" customHeight="1" x14ac:dyDescent="0.2">
      <c r="A113" s="56"/>
      <c r="B113" s="58"/>
      <c r="C113" s="56"/>
      <c r="D113" s="58"/>
      <c r="E113" s="56"/>
      <c r="F113" s="58"/>
      <c r="G113" s="56"/>
      <c r="H113" s="58"/>
      <c r="I113" s="56"/>
      <c r="J113" s="58"/>
      <c r="K113" s="56" t="s">
        <v>479</v>
      </c>
      <c r="L113" s="65"/>
      <c r="M113" s="3"/>
      <c r="N113" s="3"/>
      <c r="O113" s="3"/>
      <c r="P113" s="3"/>
      <c r="Q113" s="3"/>
      <c r="R113" s="3"/>
      <c r="S113" s="3"/>
      <c r="T113" s="3"/>
    </row>
    <row r="114" spans="1:20" ht="15" customHeight="1" x14ac:dyDescent="0.2">
      <c r="A114" s="56"/>
      <c r="B114" s="58"/>
      <c r="C114" s="56"/>
      <c r="D114" s="58"/>
      <c r="E114" s="56"/>
      <c r="F114" s="58"/>
      <c r="G114" s="56"/>
      <c r="H114" s="58"/>
      <c r="I114" s="56"/>
      <c r="J114" s="58"/>
      <c r="K114" s="56" t="s">
        <v>479</v>
      </c>
      <c r="L114" s="65"/>
      <c r="M114" s="3"/>
      <c r="N114" s="3"/>
      <c r="O114" s="3"/>
      <c r="P114" s="3"/>
      <c r="Q114" s="3"/>
      <c r="R114" s="3"/>
      <c r="S114" s="3"/>
      <c r="T114" s="3"/>
    </row>
    <row r="115" spans="1:20" ht="15" customHeight="1" x14ac:dyDescent="0.2">
      <c r="A115" s="56"/>
      <c r="B115" s="58"/>
      <c r="C115" s="56"/>
      <c r="D115" s="58"/>
      <c r="E115" s="56"/>
      <c r="F115" s="58"/>
      <c r="G115" s="56"/>
      <c r="H115" s="58"/>
      <c r="I115" s="56"/>
      <c r="J115" s="58"/>
      <c r="K115" s="56" t="s">
        <v>479</v>
      </c>
      <c r="L115" s="65"/>
      <c r="M115" s="3"/>
      <c r="N115" s="3"/>
      <c r="O115" s="3"/>
      <c r="P115" s="3"/>
      <c r="Q115" s="3"/>
      <c r="R115" s="3"/>
      <c r="S115" s="3"/>
      <c r="T115" s="3"/>
    </row>
    <row r="116" spans="1:20" ht="15" customHeight="1" x14ac:dyDescent="0.2">
      <c r="A116" s="56"/>
      <c r="B116" s="58"/>
      <c r="C116" s="56"/>
      <c r="D116" s="58"/>
      <c r="E116" s="56"/>
      <c r="F116" s="58"/>
      <c r="G116" s="56"/>
      <c r="H116" s="58"/>
      <c r="I116" s="56"/>
      <c r="J116" s="58"/>
      <c r="K116" s="56" t="s">
        <v>479</v>
      </c>
      <c r="L116" s="65"/>
      <c r="M116" s="3"/>
      <c r="N116" s="3"/>
      <c r="O116" s="3"/>
      <c r="P116" s="3"/>
      <c r="Q116" s="3"/>
      <c r="R116" s="3"/>
      <c r="S116" s="3"/>
      <c r="T116" s="3"/>
    </row>
    <row r="117" spans="1:20" ht="15" customHeight="1" x14ac:dyDescent="0.2">
      <c r="A117" s="56"/>
      <c r="B117" s="58"/>
      <c r="C117" s="56"/>
      <c r="D117" s="58"/>
      <c r="E117" s="56"/>
      <c r="F117" s="58"/>
      <c r="G117" s="56"/>
      <c r="H117" s="58"/>
      <c r="I117" s="56"/>
      <c r="J117" s="58"/>
      <c r="K117" s="56" t="s">
        <v>479</v>
      </c>
      <c r="L117" s="65"/>
      <c r="M117" s="3"/>
      <c r="N117" s="3"/>
      <c r="O117" s="3"/>
      <c r="P117" s="3"/>
      <c r="Q117" s="3"/>
      <c r="R117" s="3"/>
      <c r="S117" s="3"/>
      <c r="T117" s="3"/>
    </row>
    <row r="118" spans="1:20" ht="15" customHeight="1" x14ac:dyDescent="0.2">
      <c r="A118" s="56"/>
      <c r="B118" s="58"/>
      <c r="C118" s="56"/>
      <c r="D118" s="58"/>
      <c r="E118" s="56"/>
      <c r="F118" s="58"/>
      <c r="G118" s="56"/>
      <c r="H118" s="58"/>
      <c r="I118" s="56"/>
      <c r="J118" s="58"/>
      <c r="K118" s="56" t="s">
        <v>479</v>
      </c>
      <c r="L118" s="65"/>
      <c r="M118" s="3"/>
      <c r="N118" s="3"/>
      <c r="O118" s="3"/>
      <c r="P118" s="3"/>
      <c r="Q118" s="3"/>
      <c r="R118" s="3"/>
      <c r="S118" s="3"/>
      <c r="T118" s="3"/>
    </row>
    <row r="119" spans="1:20" ht="15" customHeight="1" x14ac:dyDescent="0.2">
      <c r="A119" s="56"/>
      <c r="B119" s="58"/>
      <c r="C119" s="56"/>
      <c r="D119" s="58"/>
      <c r="E119" s="56"/>
      <c r="F119" s="58"/>
      <c r="G119" s="56"/>
      <c r="H119" s="58"/>
      <c r="I119" s="56"/>
      <c r="J119" s="58"/>
      <c r="K119" s="56" t="s">
        <v>479</v>
      </c>
      <c r="L119" s="65"/>
      <c r="M119" s="3"/>
      <c r="N119" s="3"/>
      <c r="O119" s="3"/>
      <c r="P119" s="3"/>
      <c r="Q119" s="3"/>
      <c r="R119" s="3"/>
      <c r="S119" s="3"/>
      <c r="T119" s="3"/>
    </row>
    <row r="120" spans="1:20" ht="15" customHeight="1" x14ac:dyDescent="0.2">
      <c r="A120" s="56"/>
      <c r="B120" s="58"/>
      <c r="C120" s="56"/>
      <c r="D120" s="58"/>
      <c r="E120" s="56"/>
      <c r="F120" s="58"/>
      <c r="G120" s="56"/>
      <c r="H120" s="58"/>
      <c r="I120" s="56"/>
      <c r="J120" s="58"/>
      <c r="K120" s="56" t="s">
        <v>479</v>
      </c>
      <c r="L120" s="65"/>
      <c r="M120" s="3"/>
      <c r="N120" s="3"/>
      <c r="O120" s="3"/>
      <c r="P120" s="3"/>
      <c r="Q120" s="3"/>
      <c r="R120" s="3"/>
      <c r="S120" s="3"/>
      <c r="T120" s="3"/>
    </row>
    <row r="121" spans="1:20" ht="15" customHeight="1" x14ac:dyDescent="0.2">
      <c r="A121" s="56"/>
      <c r="B121" s="58"/>
      <c r="C121" s="56"/>
      <c r="D121" s="58"/>
      <c r="E121" s="56"/>
      <c r="F121" s="58"/>
      <c r="G121" s="56"/>
      <c r="H121" s="58"/>
      <c r="I121" s="56"/>
      <c r="J121" s="58"/>
      <c r="K121" s="56" t="s">
        <v>479</v>
      </c>
      <c r="L121" s="65"/>
      <c r="M121" s="3"/>
      <c r="N121" s="3"/>
      <c r="O121" s="3"/>
      <c r="P121" s="3"/>
      <c r="Q121" s="3"/>
      <c r="R121" s="3"/>
      <c r="S121" s="3"/>
      <c r="T121" s="3"/>
    </row>
    <row r="122" spans="1:20" ht="15" customHeight="1" x14ac:dyDescent="0.2">
      <c r="A122" s="56"/>
      <c r="B122" s="58"/>
      <c r="C122" s="56"/>
      <c r="D122" s="58"/>
      <c r="E122" s="56"/>
      <c r="F122" s="58"/>
      <c r="G122" s="56"/>
      <c r="H122" s="58"/>
      <c r="I122" s="56"/>
      <c r="J122" s="58"/>
      <c r="K122" s="56" t="s">
        <v>479</v>
      </c>
      <c r="L122" s="65"/>
      <c r="M122" s="3"/>
      <c r="N122" s="3"/>
      <c r="O122" s="3"/>
      <c r="P122" s="3"/>
      <c r="Q122" s="3"/>
      <c r="R122" s="3"/>
      <c r="S122" s="3"/>
      <c r="T122" s="3"/>
    </row>
    <row r="123" spans="1:20" ht="15" customHeight="1" x14ac:dyDescent="0.2">
      <c r="A123" s="56"/>
      <c r="B123" s="58"/>
      <c r="C123" s="56"/>
      <c r="D123" s="58"/>
      <c r="E123" s="56"/>
      <c r="F123" s="58"/>
      <c r="G123" s="56"/>
      <c r="H123" s="58"/>
      <c r="I123" s="56"/>
      <c r="J123" s="58"/>
      <c r="K123" s="56" t="s">
        <v>479</v>
      </c>
      <c r="L123" s="65"/>
      <c r="M123" s="3"/>
      <c r="N123" s="3"/>
      <c r="O123" s="3"/>
      <c r="P123" s="3"/>
      <c r="Q123" s="3"/>
      <c r="R123" s="3"/>
      <c r="S123" s="3"/>
      <c r="T123" s="3"/>
    </row>
    <row r="124" spans="1:20" ht="15" customHeight="1" x14ac:dyDescent="0.2">
      <c r="A124" s="56"/>
      <c r="B124" s="58"/>
      <c r="C124" s="56"/>
      <c r="D124" s="58"/>
      <c r="E124" s="56"/>
      <c r="F124" s="58"/>
      <c r="G124" s="56"/>
      <c r="H124" s="58"/>
      <c r="I124" s="56"/>
      <c r="J124" s="58"/>
      <c r="K124" s="56" t="s">
        <v>479</v>
      </c>
      <c r="L124" s="65"/>
      <c r="M124" s="3"/>
      <c r="N124" s="3"/>
      <c r="O124" s="3"/>
      <c r="P124" s="3"/>
      <c r="Q124" s="3"/>
      <c r="R124" s="3"/>
      <c r="S124" s="3"/>
      <c r="T124" s="3"/>
    </row>
    <row r="125" spans="1:20" ht="15" customHeight="1" x14ac:dyDescent="0.2">
      <c r="A125" s="56"/>
      <c r="B125" s="58"/>
      <c r="C125" s="56"/>
      <c r="D125" s="58"/>
      <c r="E125" s="56"/>
      <c r="F125" s="58"/>
      <c r="G125" s="56"/>
      <c r="H125" s="58"/>
      <c r="I125" s="56"/>
      <c r="J125" s="58"/>
      <c r="K125" s="56" t="s">
        <v>479</v>
      </c>
      <c r="L125" s="65"/>
      <c r="M125" s="3"/>
      <c r="N125" s="3"/>
      <c r="O125" s="3"/>
      <c r="P125" s="3"/>
      <c r="Q125" s="3"/>
      <c r="R125" s="3"/>
      <c r="S125" s="3"/>
      <c r="T125" s="3"/>
    </row>
    <row r="126" spans="1:20" ht="15" customHeight="1" x14ac:dyDescent="0.2">
      <c r="A126" s="56"/>
      <c r="B126" s="58"/>
      <c r="C126" s="56"/>
      <c r="D126" s="58"/>
      <c r="E126" s="56"/>
      <c r="F126" s="58"/>
      <c r="G126" s="56"/>
      <c r="H126" s="58"/>
      <c r="I126" s="56"/>
      <c r="J126" s="58"/>
      <c r="K126" s="56" t="s">
        <v>479</v>
      </c>
      <c r="L126" s="65"/>
      <c r="M126" s="3"/>
      <c r="N126" s="3"/>
      <c r="O126" s="3"/>
      <c r="P126" s="3"/>
      <c r="Q126" s="3"/>
      <c r="R126" s="3"/>
      <c r="S126" s="3"/>
      <c r="T126" s="3"/>
    </row>
    <row r="127" spans="1:20" ht="15" customHeight="1" x14ac:dyDescent="0.2">
      <c r="A127" s="56"/>
      <c r="B127" s="58"/>
      <c r="C127" s="56"/>
      <c r="D127" s="58"/>
      <c r="E127" s="56"/>
      <c r="F127" s="58"/>
      <c r="G127" s="56"/>
      <c r="H127" s="58"/>
      <c r="I127" s="56"/>
      <c r="J127" s="58"/>
      <c r="K127" s="56" t="s">
        <v>479</v>
      </c>
      <c r="L127" s="65"/>
      <c r="M127" s="3"/>
      <c r="N127" s="3"/>
      <c r="O127" s="3"/>
      <c r="P127" s="3"/>
      <c r="Q127" s="3"/>
      <c r="R127" s="3"/>
      <c r="S127" s="3"/>
      <c r="T127" s="3"/>
    </row>
    <row r="128" spans="1:20" ht="15" customHeight="1" x14ac:dyDescent="0.2">
      <c r="A128" s="56"/>
      <c r="B128" s="58"/>
      <c r="C128" s="56"/>
      <c r="D128" s="58"/>
      <c r="E128" s="56"/>
      <c r="F128" s="58"/>
      <c r="G128" s="56"/>
      <c r="H128" s="58"/>
      <c r="I128" s="56"/>
      <c r="J128" s="58"/>
      <c r="K128" s="56" t="s">
        <v>479</v>
      </c>
      <c r="L128" s="65"/>
      <c r="M128" s="3"/>
      <c r="N128" s="3"/>
      <c r="O128" s="3"/>
      <c r="P128" s="3"/>
      <c r="Q128" s="3"/>
      <c r="R128" s="3"/>
      <c r="S128" s="3"/>
      <c r="T128" s="3"/>
    </row>
    <row r="129" spans="1:20" ht="15" customHeight="1" x14ac:dyDescent="0.2">
      <c r="A129" s="56"/>
      <c r="B129" s="58"/>
      <c r="C129" s="56"/>
      <c r="D129" s="58"/>
      <c r="E129" s="56"/>
      <c r="F129" s="58"/>
      <c r="G129" s="56"/>
      <c r="H129" s="58"/>
      <c r="I129" s="56"/>
      <c r="J129" s="58"/>
      <c r="K129" s="56" t="s">
        <v>479</v>
      </c>
      <c r="L129" s="65"/>
      <c r="M129" s="3"/>
      <c r="N129" s="3"/>
      <c r="O129" s="3"/>
      <c r="P129" s="3"/>
      <c r="Q129" s="3"/>
      <c r="R129" s="3"/>
      <c r="S129" s="3"/>
      <c r="T129" s="3"/>
    </row>
    <row r="130" spans="1:20" ht="15" customHeight="1" x14ac:dyDescent="0.2">
      <c r="A130" s="56"/>
      <c r="B130" s="58"/>
      <c r="C130" s="56"/>
      <c r="D130" s="58"/>
      <c r="E130" s="56"/>
      <c r="F130" s="58"/>
      <c r="G130" s="56"/>
      <c r="H130" s="58"/>
      <c r="I130" s="56"/>
      <c r="J130" s="58"/>
      <c r="K130" s="56" t="s">
        <v>479</v>
      </c>
      <c r="L130" s="65"/>
      <c r="M130" s="3"/>
      <c r="N130" s="3"/>
      <c r="O130" s="3"/>
      <c r="P130" s="3"/>
      <c r="Q130" s="3"/>
      <c r="R130" s="3"/>
      <c r="S130" s="3"/>
      <c r="T130" s="3"/>
    </row>
    <row r="131" spans="1:20" ht="15" customHeight="1" x14ac:dyDescent="0.2">
      <c r="A131" s="56"/>
      <c r="B131" s="58"/>
      <c r="C131" s="56"/>
      <c r="D131" s="58"/>
      <c r="E131" s="56"/>
      <c r="F131" s="58"/>
      <c r="G131" s="56"/>
      <c r="H131" s="58"/>
      <c r="I131" s="56"/>
      <c r="J131" s="58"/>
      <c r="K131" s="56" t="s">
        <v>479</v>
      </c>
      <c r="L131" s="65"/>
      <c r="M131" s="3"/>
      <c r="N131" s="3"/>
      <c r="O131" s="3"/>
      <c r="P131" s="3"/>
      <c r="Q131" s="3"/>
      <c r="R131" s="3"/>
      <c r="S131" s="3"/>
      <c r="T131" s="3"/>
    </row>
    <row r="132" spans="1:20" ht="15" customHeight="1" x14ac:dyDescent="0.2">
      <c r="A132" s="56"/>
      <c r="B132" s="58"/>
      <c r="C132" s="56"/>
      <c r="D132" s="58"/>
      <c r="E132" s="56"/>
      <c r="F132" s="58"/>
      <c r="G132" s="56"/>
      <c r="H132" s="58"/>
      <c r="I132" s="56"/>
      <c r="J132" s="58"/>
      <c r="K132" s="56" t="s">
        <v>479</v>
      </c>
      <c r="L132" s="65"/>
      <c r="M132" s="3"/>
      <c r="N132" s="3"/>
      <c r="O132" s="3"/>
      <c r="P132" s="3"/>
      <c r="Q132" s="3"/>
      <c r="R132" s="3"/>
      <c r="S132" s="3"/>
      <c r="T132" s="3"/>
    </row>
    <row r="133" spans="1:20" ht="15" customHeight="1" x14ac:dyDescent="0.2">
      <c r="A133" s="56"/>
      <c r="B133" s="58"/>
      <c r="C133" s="56"/>
      <c r="D133" s="58"/>
      <c r="E133" s="56"/>
      <c r="F133" s="58"/>
      <c r="G133" s="56"/>
      <c r="H133" s="58"/>
      <c r="I133" s="56"/>
      <c r="J133" s="58"/>
      <c r="K133" s="56" t="s">
        <v>479</v>
      </c>
      <c r="L133" s="65"/>
      <c r="M133" s="3"/>
      <c r="N133" s="3"/>
      <c r="O133" s="3"/>
      <c r="P133" s="3"/>
      <c r="Q133" s="3"/>
      <c r="R133" s="3"/>
      <c r="S133" s="3"/>
      <c r="T133" s="3"/>
    </row>
    <row r="134" spans="1:20" ht="15" customHeight="1" x14ac:dyDescent="0.2">
      <c r="A134" s="56"/>
      <c r="B134" s="58"/>
      <c r="C134" s="56"/>
      <c r="D134" s="58"/>
      <c r="E134" s="56"/>
      <c r="F134" s="58"/>
      <c r="G134" s="56"/>
      <c r="H134" s="58"/>
      <c r="I134" s="56"/>
      <c r="J134" s="58"/>
      <c r="K134" s="56" t="s">
        <v>479</v>
      </c>
      <c r="L134" s="65"/>
      <c r="M134" s="3"/>
      <c r="N134" s="3"/>
      <c r="O134" s="3"/>
      <c r="P134" s="3"/>
      <c r="Q134" s="3"/>
      <c r="R134" s="3"/>
      <c r="S134" s="3"/>
      <c r="T134" s="3"/>
    </row>
    <row r="135" spans="1:20" ht="15" customHeight="1" x14ac:dyDescent="0.2">
      <c r="A135" s="56"/>
      <c r="B135" s="58"/>
      <c r="C135" s="56"/>
      <c r="D135" s="58"/>
      <c r="E135" s="56"/>
      <c r="F135" s="58"/>
      <c r="G135" s="56"/>
      <c r="H135" s="58"/>
      <c r="I135" s="56"/>
      <c r="J135" s="58"/>
      <c r="K135" s="56" t="s">
        <v>479</v>
      </c>
      <c r="L135" s="65"/>
      <c r="M135" s="3"/>
      <c r="N135" s="3"/>
      <c r="O135" s="3"/>
      <c r="P135" s="3"/>
      <c r="Q135" s="3"/>
      <c r="R135" s="3"/>
      <c r="S135" s="3"/>
      <c r="T135" s="3"/>
    </row>
    <row r="136" spans="1:20" ht="15" customHeight="1" x14ac:dyDescent="0.2">
      <c r="A136" s="56"/>
      <c r="B136" s="58"/>
      <c r="C136" s="56"/>
      <c r="D136" s="58"/>
      <c r="E136" s="56"/>
      <c r="F136" s="58"/>
      <c r="G136" s="56"/>
      <c r="H136" s="58"/>
      <c r="I136" s="56"/>
      <c r="J136" s="58"/>
      <c r="K136" s="56" t="s">
        <v>479</v>
      </c>
      <c r="L136" s="65"/>
      <c r="M136" s="3"/>
      <c r="N136" s="3"/>
      <c r="O136" s="3"/>
      <c r="P136" s="3"/>
      <c r="Q136" s="3"/>
      <c r="R136" s="3"/>
      <c r="S136" s="3"/>
      <c r="T136" s="3"/>
    </row>
    <row r="137" spans="1:20" ht="15" customHeight="1" x14ac:dyDescent="0.2">
      <c r="A137" s="56"/>
      <c r="B137" s="58"/>
      <c r="C137" s="56"/>
      <c r="D137" s="58"/>
      <c r="E137" s="56"/>
      <c r="F137" s="58"/>
      <c r="G137" s="56"/>
      <c r="H137" s="58"/>
      <c r="I137" s="56"/>
      <c r="J137" s="58"/>
      <c r="K137" s="56" t="s">
        <v>479</v>
      </c>
      <c r="L137" s="65"/>
      <c r="M137" s="3"/>
      <c r="N137" s="3"/>
      <c r="O137" s="3"/>
      <c r="P137" s="3"/>
      <c r="Q137" s="3"/>
      <c r="R137" s="3"/>
      <c r="S137" s="3"/>
      <c r="T137" s="3"/>
    </row>
    <row r="138" spans="1:20" ht="15" customHeight="1" x14ac:dyDescent="0.2">
      <c r="A138" s="56"/>
      <c r="B138" s="58"/>
      <c r="C138" s="56"/>
      <c r="D138" s="58"/>
      <c r="E138" s="56"/>
      <c r="F138" s="58"/>
      <c r="G138" s="56"/>
      <c r="H138" s="58"/>
      <c r="I138" s="56"/>
      <c r="J138" s="58"/>
      <c r="K138" s="56" t="s">
        <v>479</v>
      </c>
      <c r="L138" s="65"/>
      <c r="M138" s="3"/>
      <c r="N138" s="3"/>
      <c r="O138" s="3"/>
      <c r="P138" s="3"/>
      <c r="Q138" s="3"/>
      <c r="R138" s="3"/>
      <c r="S138" s="3"/>
      <c r="T138" s="3"/>
    </row>
    <row r="139" spans="1:20" ht="15" customHeight="1" x14ac:dyDescent="0.2">
      <c r="A139" s="56"/>
      <c r="B139" s="58"/>
      <c r="C139" s="56"/>
      <c r="D139" s="58"/>
      <c r="E139" s="56"/>
      <c r="F139" s="58"/>
      <c r="G139" s="56"/>
      <c r="H139" s="58"/>
      <c r="I139" s="56"/>
      <c r="J139" s="58"/>
      <c r="K139" s="56" t="s">
        <v>479</v>
      </c>
      <c r="L139" s="65"/>
      <c r="M139" s="3"/>
      <c r="N139" s="3"/>
      <c r="O139" s="3"/>
      <c r="P139" s="3"/>
      <c r="Q139" s="3"/>
      <c r="R139" s="3"/>
      <c r="S139" s="3"/>
      <c r="T139" s="3"/>
    </row>
    <row r="140" spans="1:20" ht="15" customHeight="1" x14ac:dyDescent="0.2">
      <c r="A140" s="56"/>
      <c r="B140" s="58"/>
      <c r="C140" s="56"/>
      <c r="D140" s="58"/>
      <c r="E140" s="56"/>
      <c r="F140" s="58"/>
      <c r="G140" s="56"/>
      <c r="H140" s="58"/>
      <c r="I140" s="56"/>
      <c r="J140" s="58"/>
      <c r="K140" s="56" t="s">
        <v>479</v>
      </c>
      <c r="L140" s="65"/>
      <c r="M140" s="3"/>
      <c r="N140" s="3"/>
      <c r="O140" s="3"/>
      <c r="P140" s="3"/>
      <c r="Q140" s="3"/>
      <c r="R140" s="3"/>
      <c r="S140" s="3"/>
      <c r="T140" s="3"/>
    </row>
    <row r="141" spans="1:20" ht="15" customHeight="1" x14ac:dyDescent="0.2">
      <c r="A141" s="56"/>
      <c r="B141" s="58"/>
      <c r="C141" s="56"/>
      <c r="D141" s="58"/>
      <c r="E141" s="56"/>
      <c r="F141" s="58"/>
      <c r="G141" s="56"/>
      <c r="H141" s="58"/>
      <c r="I141" s="56"/>
      <c r="J141" s="58"/>
      <c r="K141" s="56" t="s">
        <v>479</v>
      </c>
      <c r="L141" s="65"/>
      <c r="M141" s="3"/>
      <c r="N141" s="3"/>
      <c r="O141" s="3"/>
      <c r="P141" s="3"/>
      <c r="Q141" s="3"/>
      <c r="R141" s="3"/>
      <c r="S141" s="3"/>
      <c r="T141" s="3"/>
    </row>
    <row r="142" spans="1:20" ht="15" customHeight="1" x14ac:dyDescent="0.2">
      <c r="A142" s="56"/>
      <c r="B142" s="58"/>
      <c r="C142" s="56"/>
      <c r="D142" s="58"/>
      <c r="E142" s="56"/>
      <c r="F142" s="58"/>
      <c r="G142" s="56"/>
      <c r="H142" s="58"/>
      <c r="I142" s="56"/>
      <c r="J142" s="58"/>
      <c r="K142" s="56" t="s">
        <v>479</v>
      </c>
      <c r="L142" s="65"/>
      <c r="M142" s="3"/>
      <c r="N142" s="3"/>
      <c r="O142" s="3"/>
      <c r="P142" s="3"/>
      <c r="Q142" s="3"/>
      <c r="R142" s="3"/>
      <c r="S142" s="3"/>
      <c r="T142" s="3"/>
    </row>
    <row r="143" spans="1:20" ht="15" customHeight="1" x14ac:dyDescent="0.2">
      <c r="A143" s="56"/>
      <c r="B143" s="58"/>
      <c r="C143" s="56"/>
      <c r="D143" s="58"/>
      <c r="E143" s="56"/>
      <c r="F143" s="58"/>
      <c r="G143" s="56"/>
      <c r="H143" s="58"/>
      <c r="I143" s="56"/>
      <c r="J143" s="58"/>
      <c r="K143" s="56" t="s">
        <v>479</v>
      </c>
      <c r="L143" s="65"/>
      <c r="M143" s="3"/>
      <c r="N143" s="3"/>
      <c r="O143" s="3"/>
      <c r="P143" s="3"/>
      <c r="Q143" s="3"/>
      <c r="R143" s="3"/>
      <c r="S143" s="3"/>
      <c r="T143" s="3"/>
    </row>
    <row r="144" spans="1:20" ht="15" customHeight="1" x14ac:dyDescent="0.2">
      <c r="A144" s="56"/>
      <c r="B144" s="58"/>
      <c r="C144" s="56"/>
      <c r="D144" s="58"/>
      <c r="E144" s="56"/>
      <c r="F144" s="58"/>
      <c r="G144" s="56"/>
      <c r="H144" s="58"/>
      <c r="I144" s="56"/>
      <c r="J144" s="58"/>
      <c r="K144" s="56" t="s">
        <v>479</v>
      </c>
      <c r="L144" s="65"/>
      <c r="M144" s="3"/>
      <c r="N144" s="3"/>
      <c r="O144" s="3"/>
      <c r="P144" s="3"/>
      <c r="Q144" s="3"/>
      <c r="R144" s="3"/>
      <c r="S144" s="3"/>
      <c r="T144" s="3"/>
    </row>
    <row r="145" spans="1:20" ht="15" customHeight="1" x14ac:dyDescent="0.2">
      <c r="A145" s="56"/>
      <c r="B145" s="58"/>
      <c r="C145" s="56"/>
      <c r="D145" s="58"/>
      <c r="E145" s="56"/>
      <c r="F145" s="58"/>
      <c r="G145" s="56"/>
      <c r="H145" s="58"/>
      <c r="I145" s="56"/>
      <c r="J145" s="58"/>
      <c r="K145" s="56" t="s">
        <v>479</v>
      </c>
      <c r="L145" s="65"/>
      <c r="M145" s="3"/>
      <c r="N145" s="3"/>
      <c r="O145" s="3"/>
      <c r="P145" s="3"/>
      <c r="Q145" s="3"/>
      <c r="R145" s="3"/>
      <c r="S145" s="3"/>
      <c r="T145" s="3"/>
    </row>
    <row r="146" spans="1:20" ht="15" customHeight="1" x14ac:dyDescent="0.2">
      <c r="A146" s="56"/>
      <c r="B146" s="58"/>
      <c r="C146" s="56"/>
      <c r="D146" s="58"/>
      <c r="E146" s="56"/>
      <c r="F146" s="58"/>
      <c r="G146" s="56"/>
      <c r="H146" s="58"/>
      <c r="I146" s="56"/>
      <c r="J146" s="58"/>
      <c r="K146" s="56" t="s">
        <v>479</v>
      </c>
      <c r="L146" s="65"/>
      <c r="M146" s="3"/>
      <c r="N146" s="3"/>
      <c r="O146" s="3"/>
      <c r="P146" s="3"/>
      <c r="Q146" s="3"/>
      <c r="R146" s="3"/>
      <c r="S146" s="3"/>
      <c r="T146" s="3"/>
    </row>
    <row r="147" spans="1:20" ht="15" customHeight="1" x14ac:dyDescent="0.2">
      <c r="A147" s="56"/>
      <c r="B147" s="58"/>
      <c r="C147" s="56"/>
      <c r="D147" s="58"/>
      <c r="E147" s="56"/>
      <c r="F147" s="58"/>
      <c r="G147" s="56"/>
      <c r="H147" s="58"/>
      <c r="I147" s="56"/>
      <c r="J147" s="58"/>
      <c r="K147" s="56" t="s">
        <v>479</v>
      </c>
      <c r="L147" s="65"/>
      <c r="M147" s="3"/>
      <c r="N147" s="3"/>
      <c r="O147" s="3"/>
      <c r="P147" s="3"/>
      <c r="Q147" s="3"/>
      <c r="R147" s="3"/>
      <c r="S147" s="3"/>
      <c r="T147" s="3"/>
    </row>
    <row r="148" spans="1:20" ht="15" customHeight="1" x14ac:dyDescent="0.2">
      <c r="A148" s="56"/>
      <c r="B148" s="58"/>
      <c r="C148" s="56"/>
      <c r="D148" s="58"/>
      <c r="E148" s="56"/>
      <c r="F148" s="58"/>
      <c r="G148" s="56"/>
      <c r="H148" s="58"/>
      <c r="I148" s="56"/>
      <c r="J148" s="58"/>
      <c r="K148" s="56" t="s">
        <v>479</v>
      </c>
      <c r="L148" s="65"/>
      <c r="M148" s="3"/>
      <c r="N148" s="3"/>
      <c r="O148" s="3"/>
      <c r="P148" s="3"/>
      <c r="Q148" s="3"/>
      <c r="R148" s="3"/>
      <c r="S148" s="3"/>
      <c r="T148" s="3"/>
    </row>
    <row r="149" spans="1:20" ht="15" customHeight="1" x14ac:dyDescent="0.2">
      <c r="A149" s="56"/>
      <c r="B149" s="58"/>
      <c r="C149" s="56"/>
      <c r="D149" s="58"/>
      <c r="E149" s="56"/>
      <c r="F149" s="58"/>
      <c r="G149" s="56"/>
      <c r="H149" s="58"/>
      <c r="I149" s="56"/>
      <c r="J149" s="58"/>
      <c r="K149" s="56" t="s">
        <v>479</v>
      </c>
      <c r="L149" s="65"/>
      <c r="M149" s="3"/>
      <c r="N149" s="3"/>
      <c r="O149" s="3"/>
      <c r="P149" s="3"/>
      <c r="Q149" s="3"/>
      <c r="R149" s="3"/>
      <c r="S149" s="3"/>
      <c r="T149" s="3"/>
    </row>
    <row r="150" spans="1:20" ht="15" customHeight="1" x14ac:dyDescent="0.2">
      <c r="A150" s="56"/>
      <c r="B150" s="58"/>
      <c r="C150" s="56"/>
      <c r="D150" s="58"/>
      <c r="E150" s="56"/>
      <c r="F150" s="58"/>
      <c r="G150" s="56"/>
      <c r="H150" s="58"/>
      <c r="I150" s="56"/>
      <c r="J150" s="58"/>
      <c r="K150" s="56" t="s">
        <v>479</v>
      </c>
      <c r="L150" s="65"/>
      <c r="M150" s="3"/>
      <c r="N150" s="3"/>
      <c r="O150" s="3"/>
      <c r="P150" s="3"/>
      <c r="Q150" s="3"/>
      <c r="R150" s="3"/>
      <c r="S150" s="3"/>
      <c r="T150" s="3"/>
    </row>
    <row r="151" spans="1:20" ht="15" customHeight="1" x14ac:dyDescent="0.2">
      <c r="A151" s="56"/>
      <c r="B151" s="58"/>
      <c r="C151" s="56"/>
      <c r="D151" s="58"/>
      <c r="E151" s="56"/>
      <c r="F151" s="58"/>
      <c r="G151" s="56"/>
      <c r="H151" s="58"/>
      <c r="I151" s="56"/>
      <c r="J151" s="58"/>
      <c r="K151" s="56" t="s">
        <v>479</v>
      </c>
      <c r="L151" s="65"/>
      <c r="M151" s="3"/>
      <c r="N151" s="3"/>
      <c r="O151" s="3"/>
      <c r="P151" s="3"/>
      <c r="Q151" s="3"/>
      <c r="R151" s="3"/>
      <c r="S151" s="3"/>
      <c r="T151" s="3"/>
    </row>
    <row r="152" spans="1:20" ht="15" customHeight="1" x14ac:dyDescent="0.2">
      <c r="A152" s="56"/>
      <c r="B152" s="58"/>
      <c r="C152" s="56"/>
      <c r="D152" s="58"/>
      <c r="E152" s="56"/>
      <c r="F152" s="58"/>
      <c r="G152" s="56"/>
      <c r="H152" s="58"/>
      <c r="I152" s="56"/>
      <c r="J152" s="58"/>
      <c r="K152" s="56" t="s">
        <v>479</v>
      </c>
      <c r="L152" s="65"/>
      <c r="M152" s="3"/>
      <c r="N152" s="3"/>
      <c r="O152" s="3"/>
      <c r="P152" s="3"/>
      <c r="Q152" s="3"/>
      <c r="R152" s="3"/>
      <c r="S152" s="3"/>
      <c r="T152" s="3"/>
    </row>
    <row r="153" spans="1:20" ht="15" customHeight="1" x14ac:dyDescent="0.2">
      <c r="A153" s="56"/>
      <c r="B153" s="58"/>
      <c r="C153" s="56"/>
      <c r="D153" s="58"/>
      <c r="E153" s="56"/>
      <c r="F153" s="58"/>
      <c r="G153" s="56"/>
      <c r="H153" s="58"/>
      <c r="I153" s="56"/>
      <c r="J153" s="58"/>
      <c r="K153" s="56" t="s">
        <v>479</v>
      </c>
      <c r="L153" s="65"/>
      <c r="M153" s="3"/>
      <c r="N153" s="3"/>
      <c r="O153" s="3"/>
      <c r="P153" s="3"/>
      <c r="Q153" s="3"/>
      <c r="R153" s="3"/>
      <c r="S153" s="3"/>
      <c r="T153" s="3"/>
    </row>
    <row r="154" spans="1:20" ht="15" customHeight="1" x14ac:dyDescent="0.2">
      <c r="A154" s="56"/>
      <c r="B154" s="58"/>
      <c r="C154" s="56"/>
      <c r="D154" s="58"/>
      <c r="E154" s="56"/>
      <c r="F154" s="58"/>
      <c r="G154" s="56"/>
      <c r="H154" s="58"/>
      <c r="I154" s="56"/>
      <c r="J154" s="58"/>
      <c r="K154" s="56" t="s">
        <v>479</v>
      </c>
      <c r="L154" s="65"/>
      <c r="M154" s="3"/>
      <c r="N154" s="3"/>
      <c r="O154" s="3"/>
      <c r="P154" s="3"/>
      <c r="Q154" s="3"/>
      <c r="R154" s="3"/>
      <c r="S154" s="3"/>
      <c r="T154" s="3"/>
    </row>
    <row r="155" spans="1:20" ht="15" customHeight="1" x14ac:dyDescent="0.2">
      <c r="A155" s="56"/>
      <c r="B155" s="58"/>
      <c r="C155" s="56"/>
      <c r="D155" s="58"/>
      <c r="E155" s="56"/>
      <c r="F155" s="58"/>
      <c r="G155" s="56"/>
      <c r="H155" s="58"/>
      <c r="I155" s="56"/>
      <c r="J155" s="58"/>
      <c r="K155" s="56" t="s">
        <v>479</v>
      </c>
      <c r="L155" s="65"/>
      <c r="M155" s="3"/>
      <c r="N155" s="3"/>
      <c r="O155" s="3"/>
      <c r="P155" s="3"/>
      <c r="Q155" s="3"/>
      <c r="R155" s="3"/>
      <c r="S155" s="3"/>
      <c r="T155" s="3"/>
    </row>
    <row r="156" spans="1:20" ht="15" customHeight="1" x14ac:dyDescent="0.2">
      <c r="A156" s="56"/>
      <c r="B156" s="58"/>
      <c r="C156" s="56"/>
      <c r="D156" s="58"/>
      <c r="E156" s="56"/>
      <c r="F156" s="58"/>
      <c r="G156" s="56"/>
      <c r="H156" s="58"/>
      <c r="I156" s="56"/>
      <c r="J156" s="58"/>
      <c r="K156" s="56" t="s">
        <v>479</v>
      </c>
      <c r="L156" s="65"/>
      <c r="M156" s="3"/>
      <c r="N156" s="3"/>
      <c r="O156" s="3"/>
      <c r="P156" s="3"/>
      <c r="Q156" s="3"/>
      <c r="R156" s="3"/>
      <c r="S156" s="3"/>
      <c r="T156" s="3"/>
    </row>
    <row r="157" spans="1:20" ht="15" customHeight="1" x14ac:dyDescent="0.2">
      <c r="A157" s="56"/>
      <c r="B157" s="58"/>
      <c r="C157" s="56"/>
      <c r="D157" s="58"/>
      <c r="E157" s="56"/>
      <c r="F157" s="58"/>
      <c r="G157" s="56"/>
      <c r="H157" s="58"/>
      <c r="I157" s="56"/>
      <c r="J157" s="58"/>
      <c r="K157" s="56" t="s">
        <v>479</v>
      </c>
      <c r="L157" s="65"/>
      <c r="M157" s="3"/>
      <c r="N157" s="3"/>
      <c r="O157" s="3"/>
      <c r="P157" s="3"/>
      <c r="Q157" s="3"/>
      <c r="R157" s="3"/>
      <c r="S157" s="3"/>
      <c r="T157" s="3"/>
    </row>
    <row r="158" spans="1:20" ht="15" customHeight="1" x14ac:dyDescent="0.2">
      <c r="A158" s="56"/>
      <c r="B158" s="58"/>
      <c r="C158" s="56"/>
      <c r="D158" s="58"/>
      <c r="E158" s="56"/>
      <c r="F158" s="58"/>
      <c r="G158" s="56"/>
      <c r="H158" s="58"/>
      <c r="I158" s="56"/>
      <c r="J158" s="58"/>
      <c r="K158" s="56" t="s">
        <v>479</v>
      </c>
      <c r="L158" s="65"/>
      <c r="M158" s="3"/>
      <c r="N158" s="3"/>
      <c r="O158" s="3"/>
      <c r="P158" s="3"/>
      <c r="Q158" s="3"/>
      <c r="R158" s="3"/>
      <c r="S158" s="3"/>
      <c r="T158" s="3"/>
    </row>
    <row r="159" spans="1:20" ht="15" customHeight="1" x14ac:dyDescent="0.2">
      <c r="A159" s="56"/>
      <c r="B159" s="58"/>
      <c r="C159" s="56"/>
      <c r="D159" s="58"/>
      <c r="E159" s="56"/>
      <c r="F159" s="58"/>
      <c r="G159" s="56"/>
      <c r="H159" s="58"/>
      <c r="I159" s="56"/>
      <c r="J159" s="58"/>
      <c r="K159" s="56" t="s">
        <v>479</v>
      </c>
      <c r="L159" s="65"/>
      <c r="M159" s="3"/>
      <c r="N159" s="3"/>
      <c r="O159" s="3"/>
      <c r="P159" s="3"/>
      <c r="Q159" s="3"/>
      <c r="R159" s="3"/>
      <c r="S159" s="3"/>
      <c r="T159" s="3"/>
    </row>
    <row r="160" spans="1:20" ht="15" customHeight="1" x14ac:dyDescent="0.2">
      <c r="A160" s="56"/>
      <c r="B160" s="58"/>
      <c r="C160" s="56"/>
      <c r="D160" s="58"/>
      <c r="E160" s="56"/>
      <c r="F160" s="58"/>
      <c r="G160" s="56"/>
      <c r="H160" s="58"/>
      <c r="I160" s="56"/>
      <c r="J160" s="58"/>
      <c r="K160" s="56" t="s">
        <v>479</v>
      </c>
      <c r="L160" s="65"/>
      <c r="M160" s="3"/>
      <c r="N160" s="3"/>
      <c r="O160" s="3"/>
      <c r="P160" s="3"/>
      <c r="Q160" s="3"/>
      <c r="R160" s="3"/>
      <c r="S160" s="3"/>
      <c r="T160" s="3"/>
    </row>
    <row r="161" spans="1:20" ht="15" customHeight="1" x14ac:dyDescent="0.2">
      <c r="A161" s="56"/>
      <c r="B161" s="58"/>
      <c r="C161" s="56"/>
      <c r="D161" s="58"/>
      <c r="E161" s="56"/>
      <c r="F161" s="58"/>
      <c r="G161" s="56"/>
      <c r="H161" s="58"/>
      <c r="I161" s="56"/>
      <c r="J161" s="58"/>
      <c r="K161" s="56" t="s">
        <v>479</v>
      </c>
      <c r="L161" s="65"/>
      <c r="M161" s="3"/>
      <c r="N161" s="3"/>
      <c r="O161" s="3"/>
      <c r="P161" s="3"/>
      <c r="Q161" s="3"/>
      <c r="R161" s="3"/>
      <c r="S161" s="3"/>
      <c r="T161" s="3"/>
    </row>
    <row r="162" spans="1:20" ht="15" customHeight="1" x14ac:dyDescent="0.2">
      <c r="A162" s="56"/>
      <c r="B162" s="58"/>
      <c r="C162" s="56"/>
      <c r="D162" s="58"/>
      <c r="E162" s="56"/>
      <c r="F162" s="58"/>
      <c r="G162" s="56"/>
      <c r="H162" s="58"/>
      <c r="I162" s="56"/>
      <c r="J162" s="58"/>
      <c r="K162" s="56" t="s">
        <v>479</v>
      </c>
      <c r="L162" s="65"/>
      <c r="M162" s="3"/>
      <c r="N162" s="3"/>
      <c r="O162" s="3"/>
      <c r="P162" s="3"/>
      <c r="Q162" s="3"/>
      <c r="R162" s="3"/>
      <c r="S162" s="3"/>
      <c r="T162" s="3"/>
    </row>
    <row r="163" spans="1:20" ht="15" customHeight="1" x14ac:dyDescent="0.2">
      <c r="A163" s="56"/>
      <c r="B163" s="58"/>
      <c r="C163" s="56"/>
      <c r="D163" s="58"/>
      <c r="E163" s="56"/>
      <c r="F163" s="58"/>
      <c r="G163" s="56"/>
      <c r="H163" s="58"/>
      <c r="I163" s="56"/>
      <c r="J163" s="58"/>
      <c r="K163" s="56" t="s">
        <v>479</v>
      </c>
      <c r="L163" s="65"/>
      <c r="M163" s="3"/>
      <c r="N163" s="3"/>
      <c r="O163" s="3"/>
      <c r="P163" s="3"/>
      <c r="Q163" s="3"/>
      <c r="R163" s="3"/>
      <c r="S163" s="3"/>
      <c r="T163" s="3"/>
    </row>
    <row r="164" spans="1:20" ht="15" customHeight="1" x14ac:dyDescent="0.2">
      <c r="A164" s="56"/>
      <c r="B164" s="58"/>
      <c r="C164" s="56"/>
      <c r="D164" s="58"/>
      <c r="E164" s="56"/>
      <c r="F164" s="58"/>
      <c r="G164" s="56"/>
      <c r="H164" s="58"/>
      <c r="I164" s="56"/>
      <c r="J164" s="58"/>
      <c r="K164" s="56" t="s">
        <v>479</v>
      </c>
      <c r="L164" s="65"/>
      <c r="M164" s="3"/>
      <c r="N164" s="3"/>
      <c r="O164" s="3"/>
      <c r="P164" s="3"/>
      <c r="Q164" s="3"/>
      <c r="R164" s="3"/>
      <c r="S164" s="3"/>
      <c r="T164" s="3"/>
    </row>
    <row r="165" spans="1:20" ht="15" customHeight="1" x14ac:dyDescent="0.2">
      <c r="A165" s="56"/>
      <c r="B165" s="58"/>
      <c r="C165" s="56"/>
      <c r="D165" s="58"/>
      <c r="E165" s="56"/>
      <c r="F165" s="58"/>
      <c r="G165" s="56"/>
      <c r="H165" s="58"/>
      <c r="I165" s="56"/>
      <c r="J165" s="58"/>
      <c r="K165" s="56" t="s">
        <v>479</v>
      </c>
      <c r="L165" s="65"/>
      <c r="M165" s="3"/>
      <c r="N165" s="3"/>
      <c r="O165" s="3"/>
      <c r="P165" s="3"/>
      <c r="Q165" s="3"/>
      <c r="R165" s="3"/>
      <c r="S165" s="3"/>
      <c r="T165" s="3"/>
    </row>
    <row r="166" spans="1:20" ht="15" customHeight="1" x14ac:dyDescent="0.2">
      <c r="A166" s="56"/>
      <c r="B166" s="58"/>
      <c r="C166" s="56"/>
      <c r="D166" s="58"/>
      <c r="E166" s="56"/>
      <c r="F166" s="58"/>
      <c r="G166" s="56"/>
      <c r="H166" s="58"/>
      <c r="I166" s="56"/>
      <c r="J166" s="58"/>
      <c r="K166" s="56" t="s">
        <v>479</v>
      </c>
      <c r="L166" s="65"/>
      <c r="M166" s="3"/>
      <c r="N166" s="3"/>
      <c r="O166" s="3"/>
      <c r="P166" s="3"/>
      <c r="Q166" s="3"/>
      <c r="R166" s="3"/>
      <c r="S166" s="3"/>
      <c r="T166" s="3"/>
    </row>
    <row r="167" spans="1:20" ht="15" customHeight="1" x14ac:dyDescent="0.2">
      <c r="A167" s="56"/>
      <c r="B167" s="58"/>
      <c r="C167" s="56"/>
      <c r="D167" s="58"/>
      <c r="E167" s="56"/>
      <c r="F167" s="58"/>
      <c r="G167" s="56"/>
      <c r="H167" s="58"/>
      <c r="I167" s="56"/>
      <c r="J167" s="58"/>
      <c r="K167" s="56" t="s">
        <v>479</v>
      </c>
      <c r="L167" s="65"/>
      <c r="M167" s="3"/>
      <c r="N167" s="3"/>
      <c r="O167" s="3"/>
      <c r="P167" s="3"/>
      <c r="Q167" s="3"/>
      <c r="R167" s="3"/>
      <c r="S167" s="3"/>
      <c r="T167" s="3"/>
    </row>
    <row r="168" spans="1:20" ht="15" customHeight="1" x14ac:dyDescent="0.2">
      <c r="A168" s="56"/>
      <c r="B168" s="58"/>
      <c r="C168" s="56"/>
      <c r="D168" s="58"/>
      <c r="E168" s="56"/>
      <c r="F168" s="58"/>
      <c r="G168" s="56"/>
      <c r="H168" s="58"/>
      <c r="I168" s="56"/>
      <c r="J168" s="58"/>
      <c r="K168" s="56" t="s">
        <v>479</v>
      </c>
      <c r="L168" s="65"/>
      <c r="M168" s="3"/>
      <c r="N168" s="3"/>
      <c r="O168" s="3"/>
      <c r="P168" s="3"/>
      <c r="Q168" s="3"/>
      <c r="R168" s="3"/>
      <c r="S168" s="3"/>
      <c r="T168" s="3"/>
    </row>
    <row r="169" spans="1:20" ht="15" customHeight="1" x14ac:dyDescent="0.2">
      <c r="A169" s="56"/>
      <c r="B169" s="58"/>
      <c r="C169" s="56"/>
      <c r="D169" s="58"/>
      <c r="E169" s="56"/>
      <c r="F169" s="58"/>
      <c r="G169" s="56"/>
      <c r="H169" s="58"/>
      <c r="I169" s="56"/>
      <c r="J169" s="58"/>
      <c r="K169" s="56" t="s">
        <v>479</v>
      </c>
      <c r="L169" s="65"/>
      <c r="M169" s="3"/>
      <c r="N169" s="3"/>
      <c r="O169" s="3"/>
      <c r="P169" s="3"/>
      <c r="Q169" s="3"/>
      <c r="R169" s="3"/>
      <c r="S169" s="3"/>
      <c r="T169" s="3"/>
    </row>
    <row r="170" spans="1:20" ht="15" customHeight="1" x14ac:dyDescent="0.2">
      <c r="A170" s="56"/>
      <c r="B170" s="58"/>
      <c r="C170" s="56"/>
      <c r="D170" s="58"/>
      <c r="E170" s="56"/>
      <c r="F170" s="58"/>
      <c r="G170" s="56"/>
      <c r="H170" s="58"/>
      <c r="I170" s="56"/>
      <c r="J170" s="58"/>
      <c r="K170" s="56" t="s">
        <v>479</v>
      </c>
      <c r="L170" s="65"/>
      <c r="M170" s="3"/>
      <c r="N170" s="3"/>
      <c r="O170" s="3"/>
      <c r="P170" s="3"/>
      <c r="Q170" s="3"/>
      <c r="R170" s="3"/>
      <c r="S170" s="3"/>
      <c r="T170" s="3"/>
    </row>
    <row r="171" spans="1:20" ht="15" customHeight="1" x14ac:dyDescent="0.2">
      <c r="A171" s="56"/>
      <c r="B171" s="58"/>
      <c r="C171" s="56"/>
      <c r="D171" s="58"/>
      <c r="E171" s="56"/>
      <c r="F171" s="58"/>
      <c r="G171" s="56"/>
      <c r="H171" s="58"/>
      <c r="I171" s="56"/>
      <c r="J171" s="58"/>
      <c r="K171" s="56" t="s">
        <v>479</v>
      </c>
      <c r="L171" s="65"/>
      <c r="M171" s="3"/>
      <c r="N171" s="3"/>
      <c r="O171" s="3"/>
      <c r="P171" s="3"/>
      <c r="Q171" s="3"/>
      <c r="R171" s="3"/>
      <c r="S171" s="3"/>
      <c r="T171" s="3"/>
    </row>
    <row r="172" spans="1:20" ht="15" customHeight="1" x14ac:dyDescent="0.2">
      <c r="A172" s="56"/>
      <c r="B172" s="58"/>
      <c r="C172" s="56"/>
      <c r="D172" s="58"/>
      <c r="E172" s="56"/>
      <c r="F172" s="58"/>
      <c r="G172" s="56"/>
      <c r="H172" s="58"/>
      <c r="I172" s="56"/>
      <c r="J172" s="58"/>
      <c r="K172" s="56" t="s">
        <v>479</v>
      </c>
      <c r="L172" s="65"/>
      <c r="M172" s="3"/>
      <c r="N172" s="3"/>
      <c r="O172" s="3"/>
      <c r="P172" s="3"/>
      <c r="Q172" s="3"/>
      <c r="R172" s="3"/>
      <c r="S172" s="3"/>
      <c r="T172" s="3"/>
    </row>
    <row r="173" spans="1:20" ht="15" customHeight="1" x14ac:dyDescent="0.2">
      <c r="A173" s="56"/>
      <c r="B173" s="58"/>
      <c r="C173" s="56"/>
      <c r="D173" s="58"/>
      <c r="E173" s="56"/>
      <c r="F173" s="58"/>
      <c r="G173" s="56"/>
      <c r="H173" s="58"/>
      <c r="I173" s="56"/>
      <c r="J173" s="58"/>
      <c r="K173" s="56" t="s">
        <v>479</v>
      </c>
      <c r="L173" s="65"/>
      <c r="M173" s="3"/>
      <c r="N173" s="3"/>
      <c r="O173" s="3"/>
      <c r="P173" s="3"/>
      <c r="Q173" s="3"/>
      <c r="R173" s="3"/>
      <c r="S173" s="3"/>
      <c r="T173" s="3"/>
    </row>
    <row r="174" spans="1:20" ht="15" customHeight="1" x14ac:dyDescent="0.2">
      <c r="A174" s="56"/>
      <c r="B174" s="58"/>
      <c r="C174" s="56"/>
      <c r="D174" s="58"/>
      <c r="E174" s="56"/>
      <c r="F174" s="58"/>
      <c r="G174" s="56"/>
      <c r="H174" s="58"/>
      <c r="I174" s="56"/>
      <c r="J174" s="58"/>
      <c r="K174" s="56" t="s">
        <v>479</v>
      </c>
      <c r="L174" s="65"/>
      <c r="M174" s="3"/>
      <c r="N174" s="3"/>
      <c r="O174" s="3"/>
      <c r="P174" s="3"/>
      <c r="Q174" s="3"/>
      <c r="R174" s="3"/>
      <c r="S174" s="3"/>
      <c r="T174" s="3"/>
    </row>
    <row r="175" spans="1:20" ht="15" customHeight="1" x14ac:dyDescent="0.2">
      <c r="A175" s="56"/>
      <c r="B175" s="58"/>
      <c r="C175" s="56"/>
      <c r="D175" s="58"/>
      <c r="E175" s="56"/>
      <c r="F175" s="58"/>
      <c r="G175" s="56"/>
      <c r="H175" s="58"/>
      <c r="I175" s="56"/>
      <c r="J175" s="58"/>
      <c r="K175" s="56" t="s">
        <v>479</v>
      </c>
      <c r="L175" s="65"/>
      <c r="M175" s="3"/>
      <c r="N175" s="3"/>
      <c r="O175" s="3"/>
      <c r="P175" s="3"/>
      <c r="Q175" s="3"/>
      <c r="R175" s="3"/>
      <c r="S175" s="3"/>
      <c r="T175" s="3"/>
    </row>
    <row r="176" spans="1:20" ht="15" customHeight="1" x14ac:dyDescent="0.2">
      <c r="A176" s="56"/>
      <c r="B176" s="58"/>
      <c r="C176" s="56"/>
      <c r="D176" s="58"/>
      <c r="E176" s="56"/>
      <c r="F176" s="58"/>
      <c r="G176" s="56"/>
      <c r="H176" s="58"/>
      <c r="I176" s="56"/>
      <c r="J176" s="58"/>
      <c r="K176" s="56" t="s">
        <v>479</v>
      </c>
      <c r="L176" s="65"/>
      <c r="M176" s="3"/>
      <c r="N176" s="3"/>
      <c r="O176" s="3"/>
      <c r="P176" s="3"/>
      <c r="Q176" s="3"/>
      <c r="R176" s="3"/>
      <c r="S176" s="3"/>
      <c r="T176" s="3"/>
    </row>
    <row r="177" spans="1:20" ht="15" customHeight="1" x14ac:dyDescent="0.2">
      <c r="A177" s="56"/>
      <c r="B177" s="58"/>
      <c r="C177" s="56"/>
      <c r="D177" s="58"/>
      <c r="E177" s="56"/>
      <c r="F177" s="58"/>
      <c r="G177" s="56"/>
      <c r="H177" s="58"/>
      <c r="I177" s="56"/>
      <c r="J177" s="58"/>
      <c r="K177" s="56" t="s">
        <v>479</v>
      </c>
      <c r="L177" s="65"/>
      <c r="M177" s="3"/>
      <c r="N177" s="3"/>
      <c r="O177" s="3"/>
      <c r="P177" s="3"/>
      <c r="Q177" s="3"/>
      <c r="R177" s="3"/>
      <c r="S177" s="3"/>
      <c r="T177" s="3"/>
    </row>
    <row r="178" spans="1:20" ht="15" customHeight="1" x14ac:dyDescent="0.2">
      <c r="A178" s="56"/>
      <c r="B178" s="58"/>
      <c r="C178" s="56"/>
      <c r="D178" s="58"/>
      <c r="E178" s="56"/>
      <c r="F178" s="58"/>
      <c r="G178" s="56"/>
      <c r="H178" s="58"/>
      <c r="I178" s="56"/>
      <c r="J178" s="58"/>
      <c r="K178" s="56" t="s">
        <v>479</v>
      </c>
      <c r="L178" s="65"/>
      <c r="M178" s="3"/>
      <c r="N178" s="3"/>
      <c r="O178" s="3"/>
      <c r="P178" s="3"/>
      <c r="Q178" s="3"/>
      <c r="R178" s="3"/>
      <c r="S178" s="3"/>
      <c r="T178" s="3"/>
    </row>
    <row r="179" spans="1:20" ht="15" customHeight="1" x14ac:dyDescent="0.2">
      <c r="A179" s="56"/>
      <c r="B179" s="58"/>
      <c r="C179" s="56"/>
      <c r="D179" s="58"/>
      <c r="E179" s="56"/>
      <c r="F179" s="58"/>
      <c r="G179" s="56"/>
      <c r="H179" s="58"/>
      <c r="I179" s="56"/>
      <c r="J179" s="58"/>
      <c r="K179" s="56" t="s">
        <v>479</v>
      </c>
      <c r="L179" s="65"/>
      <c r="M179" s="3"/>
      <c r="N179" s="3"/>
      <c r="O179" s="3"/>
      <c r="P179" s="3"/>
      <c r="Q179" s="3"/>
      <c r="R179" s="3"/>
      <c r="S179" s="3"/>
      <c r="T179" s="3"/>
    </row>
    <row r="180" spans="1:20" ht="15" customHeight="1" x14ac:dyDescent="0.2">
      <c r="A180" s="56"/>
      <c r="B180" s="58"/>
      <c r="C180" s="56"/>
      <c r="D180" s="58"/>
      <c r="E180" s="56"/>
      <c r="F180" s="58"/>
      <c r="G180" s="56"/>
      <c r="H180" s="58"/>
      <c r="I180" s="56"/>
      <c r="J180" s="58"/>
      <c r="K180" s="56" t="s">
        <v>479</v>
      </c>
      <c r="L180" s="65"/>
      <c r="M180" s="3"/>
      <c r="N180" s="3"/>
      <c r="O180" s="3"/>
      <c r="P180" s="3"/>
      <c r="Q180" s="3"/>
      <c r="R180" s="3"/>
      <c r="S180" s="3"/>
      <c r="T180" s="3"/>
    </row>
    <row r="181" spans="1:20" ht="15" customHeight="1" x14ac:dyDescent="0.2">
      <c r="A181" s="56"/>
      <c r="B181" s="58"/>
      <c r="C181" s="56"/>
      <c r="D181" s="58"/>
      <c r="E181" s="56"/>
      <c r="F181" s="58"/>
      <c r="G181" s="56"/>
      <c r="H181" s="58"/>
      <c r="I181" s="56"/>
      <c r="J181" s="58"/>
      <c r="K181" s="56" t="s">
        <v>479</v>
      </c>
      <c r="L181" s="65"/>
      <c r="M181" s="3"/>
      <c r="N181" s="3"/>
      <c r="O181" s="3"/>
      <c r="P181" s="3"/>
      <c r="Q181" s="3"/>
      <c r="R181" s="3"/>
      <c r="S181" s="3"/>
      <c r="T181" s="3"/>
    </row>
    <row r="182" spans="1:20" ht="15" customHeight="1" x14ac:dyDescent="0.2">
      <c r="A182" s="56"/>
      <c r="B182" s="58"/>
      <c r="C182" s="56"/>
      <c r="D182" s="58"/>
      <c r="E182" s="56"/>
      <c r="F182" s="58"/>
      <c r="G182" s="56"/>
      <c r="H182" s="58"/>
      <c r="I182" s="56"/>
      <c r="J182" s="58"/>
      <c r="K182" s="56" t="s">
        <v>479</v>
      </c>
      <c r="L182" s="65"/>
      <c r="M182" s="3"/>
      <c r="N182" s="3"/>
      <c r="O182" s="3"/>
      <c r="P182" s="3"/>
      <c r="Q182" s="3"/>
      <c r="R182" s="3"/>
      <c r="S182" s="3"/>
      <c r="T182" s="3"/>
    </row>
    <row r="183" spans="1:20" ht="15" customHeight="1" x14ac:dyDescent="0.2">
      <c r="A183" s="56"/>
      <c r="B183" s="58"/>
      <c r="C183" s="56"/>
      <c r="D183" s="58"/>
      <c r="E183" s="56"/>
      <c r="F183" s="58"/>
      <c r="G183" s="56"/>
      <c r="H183" s="58"/>
      <c r="I183" s="56"/>
      <c r="J183" s="58"/>
      <c r="K183" s="56" t="s">
        <v>479</v>
      </c>
      <c r="L183" s="65"/>
      <c r="M183" s="3"/>
      <c r="N183" s="3"/>
      <c r="O183" s="3"/>
      <c r="P183" s="3"/>
      <c r="Q183" s="3"/>
      <c r="R183" s="3"/>
      <c r="S183" s="3"/>
      <c r="T183" s="3"/>
    </row>
    <row r="184" spans="1:20" ht="15" customHeight="1" x14ac:dyDescent="0.2">
      <c r="A184" s="56"/>
      <c r="B184" s="58"/>
      <c r="C184" s="56"/>
      <c r="D184" s="58"/>
      <c r="E184" s="56"/>
      <c r="F184" s="58"/>
      <c r="G184" s="56"/>
      <c r="H184" s="58"/>
      <c r="I184" s="56"/>
      <c r="J184" s="58"/>
      <c r="K184" s="56" t="s">
        <v>479</v>
      </c>
      <c r="L184" s="65"/>
      <c r="M184" s="3"/>
      <c r="N184" s="3"/>
      <c r="O184" s="3"/>
      <c r="P184" s="3"/>
      <c r="Q184" s="3"/>
      <c r="R184" s="3"/>
      <c r="S184" s="3"/>
      <c r="T184" s="3"/>
    </row>
    <row r="185" spans="1:20" ht="15" customHeight="1" x14ac:dyDescent="0.2">
      <c r="A185" s="56"/>
      <c r="B185" s="58"/>
      <c r="C185" s="56"/>
      <c r="D185" s="58"/>
      <c r="E185" s="56"/>
      <c r="F185" s="58"/>
      <c r="G185" s="56"/>
      <c r="H185" s="58"/>
      <c r="I185" s="56"/>
      <c r="J185" s="58"/>
      <c r="K185" s="56" t="s">
        <v>479</v>
      </c>
      <c r="L185" s="65"/>
      <c r="M185" s="3"/>
      <c r="N185" s="3"/>
      <c r="O185" s="3"/>
      <c r="P185" s="3"/>
      <c r="Q185" s="3"/>
      <c r="R185" s="3"/>
      <c r="S185" s="3"/>
      <c r="T185" s="3"/>
    </row>
    <row r="186" spans="1:20" ht="15" customHeight="1" x14ac:dyDescent="0.2">
      <c r="A186" s="56"/>
      <c r="B186" s="58"/>
      <c r="C186" s="56"/>
      <c r="D186" s="58"/>
      <c r="E186" s="56"/>
      <c r="F186" s="58"/>
      <c r="G186" s="56"/>
      <c r="H186" s="58"/>
      <c r="I186" s="56"/>
      <c r="J186" s="58"/>
      <c r="K186" s="56" t="s">
        <v>479</v>
      </c>
      <c r="L186" s="65"/>
      <c r="M186" s="3"/>
      <c r="N186" s="3"/>
      <c r="O186" s="3"/>
      <c r="P186" s="3"/>
      <c r="Q186" s="3"/>
      <c r="R186" s="3"/>
      <c r="S186" s="3"/>
      <c r="T186" s="3"/>
    </row>
    <row r="187" spans="1:20" ht="15" customHeight="1" x14ac:dyDescent="0.2">
      <c r="A187" s="56"/>
      <c r="B187" s="58"/>
      <c r="C187" s="56"/>
      <c r="D187" s="58"/>
      <c r="E187" s="56"/>
      <c r="F187" s="58"/>
      <c r="G187" s="56"/>
      <c r="H187" s="58"/>
      <c r="I187" s="56"/>
      <c r="J187" s="58"/>
      <c r="K187" s="56" t="s">
        <v>479</v>
      </c>
      <c r="L187" s="65"/>
      <c r="M187" s="3"/>
      <c r="N187" s="3"/>
      <c r="O187" s="3"/>
      <c r="P187" s="3"/>
      <c r="Q187" s="3"/>
      <c r="R187" s="3"/>
      <c r="S187" s="3"/>
      <c r="T187" s="3"/>
    </row>
    <row r="188" spans="1:20" ht="15" customHeight="1" x14ac:dyDescent="0.2">
      <c r="A188" s="56"/>
      <c r="B188" s="58"/>
      <c r="C188" s="56"/>
      <c r="D188" s="58"/>
      <c r="E188" s="56"/>
      <c r="F188" s="58"/>
      <c r="G188" s="56"/>
      <c r="H188" s="58"/>
      <c r="I188" s="56"/>
      <c r="J188" s="58"/>
      <c r="K188" s="56" t="s">
        <v>479</v>
      </c>
      <c r="L188" s="65"/>
      <c r="M188" s="3"/>
      <c r="N188" s="3"/>
      <c r="O188" s="3"/>
      <c r="P188" s="3"/>
      <c r="Q188" s="3"/>
      <c r="R188" s="3"/>
      <c r="S188" s="3"/>
      <c r="T188" s="3"/>
    </row>
    <row r="189" spans="1:20" ht="15" customHeight="1" x14ac:dyDescent="0.2">
      <c r="A189" s="56"/>
      <c r="B189" s="58"/>
      <c r="C189" s="56"/>
      <c r="D189" s="58"/>
      <c r="E189" s="56"/>
      <c r="F189" s="58"/>
      <c r="G189" s="56"/>
      <c r="H189" s="58"/>
      <c r="I189" s="56"/>
      <c r="J189" s="58"/>
      <c r="K189" s="56" t="s">
        <v>479</v>
      </c>
      <c r="L189" s="65"/>
      <c r="M189" s="3"/>
      <c r="N189" s="3"/>
      <c r="O189" s="3"/>
      <c r="P189" s="3"/>
      <c r="Q189" s="3"/>
      <c r="R189" s="3"/>
      <c r="S189" s="3"/>
      <c r="T189" s="3"/>
    </row>
    <row r="190" spans="1:20" ht="15" customHeight="1" x14ac:dyDescent="0.2">
      <c r="A190" s="56"/>
      <c r="B190" s="58"/>
      <c r="C190" s="56"/>
      <c r="D190" s="58"/>
      <c r="E190" s="56"/>
      <c r="F190" s="58"/>
      <c r="G190" s="56"/>
      <c r="H190" s="58"/>
      <c r="I190" s="56"/>
      <c r="J190" s="58"/>
      <c r="K190" s="56" t="s">
        <v>479</v>
      </c>
      <c r="L190" s="65"/>
      <c r="M190" s="3"/>
      <c r="N190" s="3"/>
      <c r="O190" s="3"/>
      <c r="P190" s="3"/>
      <c r="Q190" s="3"/>
      <c r="R190" s="3"/>
      <c r="S190" s="3"/>
      <c r="T190" s="3"/>
    </row>
    <row r="191" spans="1:20" ht="15" customHeight="1" x14ac:dyDescent="0.2">
      <c r="A191" s="56"/>
      <c r="B191" s="58"/>
      <c r="C191" s="56"/>
      <c r="D191" s="58"/>
      <c r="E191" s="56"/>
      <c r="F191" s="58"/>
      <c r="G191" s="56"/>
      <c r="H191" s="58"/>
      <c r="I191" s="56"/>
      <c r="J191" s="58"/>
      <c r="K191" s="56" t="s">
        <v>479</v>
      </c>
      <c r="L191" s="65"/>
      <c r="M191" s="3"/>
      <c r="N191" s="3"/>
      <c r="O191" s="3"/>
      <c r="P191" s="3"/>
      <c r="Q191" s="3"/>
      <c r="R191" s="3"/>
      <c r="S191" s="3"/>
      <c r="T191" s="3"/>
    </row>
    <row r="192" spans="1:20" ht="15" customHeight="1" x14ac:dyDescent="0.2">
      <c r="A192" s="56"/>
      <c r="B192" s="58"/>
      <c r="C192" s="56"/>
      <c r="D192" s="58"/>
      <c r="E192" s="56"/>
      <c r="F192" s="58"/>
      <c r="G192" s="56"/>
      <c r="H192" s="58"/>
      <c r="I192" s="56"/>
      <c r="J192" s="58"/>
      <c r="K192" s="56" t="s">
        <v>479</v>
      </c>
      <c r="L192" s="65"/>
      <c r="M192" s="3"/>
      <c r="N192" s="3"/>
      <c r="O192" s="3"/>
      <c r="P192" s="3"/>
      <c r="Q192" s="3"/>
      <c r="R192" s="3"/>
      <c r="S192" s="3"/>
      <c r="T192" s="3"/>
    </row>
    <row r="193" spans="1:20" ht="15" customHeight="1" x14ac:dyDescent="0.2">
      <c r="A193" s="56"/>
      <c r="B193" s="58"/>
      <c r="C193" s="56"/>
      <c r="D193" s="58"/>
      <c r="E193" s="56"/>
      <c r="F193" s="58"/>
      <c r="G193" s="56"/>
      <c r="H193" s="58"/>
      <c r="I193" s="56"/>
      <c r="J193" s="58"/>
      <c r="K193" s="56" t="s">
        <v>479</v>
      </c>
      <c r="L193" s="65"/>
      <c r="M193" s="3"/>
      <c r="N193" s="3"/>
      <c r="O193" s="3"/>
      <c r="P193" s="3"/>
      <c r="Q193" s="3"/>
      <c r="R193" s="3"/>
      <c r="S193" s="3"/>
      <c r="T193" s="3"/>
    </row>
    <row r="194" spans="1:20" ht="15" customHeight="1" x14ac:dyDescent="0.2">
      <c r="A194" s="56"/>
      <c r="B194" s="58"/>
      <c r="C194" s="56"/>
      <c r="D194" s="58"/>
      <c r="E194" s="56"/>
      <c r="F194" s="58"/>
      <c r="G194" s="56"/>
      <c r="H194" s="58"/>
      <c r="I194" s="56"/>
      <c r="J194" s="58"/>
      <c r="K194" s="56" t="s">
        <v>479</v>
      </c>
      <c r="L194" s="65"/>
      <c r="M194" s="3"/>
      <c r="N194" s="3"/>
      <c r="O194" s="3"/>
      <c r="P194" s="3"/>
      <c r="Q194" s="3"/>
      <c r="R194" s="3"/>
      <c r="S194" s="3"/>
      <c r="T194" s="3"/>
    </row>
    <row r="195" spans="1:20" ht="15" customHeight="1" x14ac:dyDescent="0.2">
      <c r="A195" s="56"/>
      <c r="B195" s="58"/>
      <c r="C195" s="56"/>
      <c r="D195" s="58"/>
      <c r="E195" s="56"/>
      <c r="F195" s="58"/>
      <c r="G195" s="56"/>
      <c r="H195" s="58"/>
      <c r="I195" s="56"/>
      <c r="J195" s="58"/>
      <c r="K195" s="56" t="s">
        <v>479</v>
      </c>
      <c r="L195" s="65"/>
      <c r="M195" s="3"/>
      <c r="N195" s="3"/>
      <c r="O195" s="3"/>
      <c r="P195" s="3"/>
      <c r="Q195" s="3"/>
      <c r="R195" s="3"/>
      <c r="S195" s="3"/>
      <c r="T195" s="3"/>
    </row>
    <row r="196" spans="1:20" ht="15" customHeight="1" x14ac:dyDescent="0.2">
      <c r="A196" s="56"/>
      <c r="B196" s="58"/>
      <c r="C196" s="56"/>
      <c r="D196" s="58"/>
      <c r="E196" s="56"/>
      <c r="F196" s="58"/>
      <c r="G196" s="56"/>
      <c r="H196" s="58"/>
      <c r="I196" s="56"/>
      <c r="J196" s="58"/>
      <c r="K196" s="56" t="s">
        <v>479</v>
      </c>
      <c r="L196" s="65"/>
      <c r="M196" s="3"/>
      <c r="N196" s="3"/>
      <c r="O196" s="3"/>
      <c r="P196" s="3"/>
      <c r="Q196" s="3"/>
      <c r="R196" s="3"/>
      <c r="S196" s="3"/>
      <c r="T196" s="3"/>
    </row>
    <row r="197" spans="1:20" ht="15" customHeight="1" x14ac:dyDescent="0.2">
      <c r="A197" s="56"/>
      <c r="B197" s="58"/>
      <c r="C197" s="56"/>
      <c r="D197" s="58"/>
      <c r="E197" s="56"/>
      <c r="F197" s="58"/>
      <c r="G197" s="56"/>
      <c r="H197" s="58"/>
      <c r="I197" s="56"/>
      <c r="J197" s="58"/>
      <c r="K197" s="56" t="s">
        <v>479</v>
      </c>
      <c r="L197" s="65"/>
      <c r="M197" s="3"/>
      <c r="N197" s="3"/>
      <c r="O197" s="3"/>
      <c r="P197" s="3"/>
      <c r="Q197" s="3"/>
      <c r="R197" s="3"/>
      <c r="S197" s="3"/>
      <c r="T197" s="3"/>
    </row>
    <row r="198" spans="1:20" ht="15" customHeight="1" x14ac:dyDescent="0.2">
      <c r="A198" s="56"/>
      <c r="B198" s="58"/>
      <c r="C198" s="56"/>
      <c r="D198" s="58"/>
      <c r="E198" s="56"/>
      <c r="F198" s="58"/>
      <c r="G198" s="56"/>
      <c r="H198" s="58"/>
      <c r="I198" s="56"/>
      <c r="J198" s="58"/>
      <c r="K198" s="56" t="s">
        <v>479</v>
      </c>
      <c r="L198" s="65"/>
      <c r="M198" s="3"/>
      <c r="N198" s="3"/>
      <c r="O198" s="3"/>
      <c r="P198" s="3"/>
      <c r="Q198" s="3"/>
      <c r="R198" s="3"/>
      <c r="S198" s="3"/>
      <c r="T198" s="3"/>
    </row>
    <row r="199" spans="1:20" ht="15" customHeight="1" x14ac:dyDescent="0.2">
      <c r="A199" s="56"/>
      <c r="B199" s="58"/>
      <c r="C199" s="56"/>
      <c r="D199" s="58"/>
      <c r="E199" s="56"/>
      <c r="F199" s="58"/>
      <c r="G199" s="56"/>
      <c r="H199" s="58"/>
      <c r="I199" s="56"/>
      <c r="J199" s="58"/>
      <c r="K199" s="56" t="s">
        <v>479</v>
      </c>
      <c r="L199" s="65"/>
      <c r="M199" s="3"/>
      <c r="N199" s="3"/>
      <c r="O199" s="3"/>
      <c r="P199" s="3"/>
      <c r="Q199" s="3"/>
      <c r="R199" s="3"/>
      <c r="S199" s="3"/>
      <c r="T199" s="3"/>
    </row>
    <row r="200" spans="1:20" ht="15" customHeight="1" x14ac:dyDescent="0.2">
      <c r="A200" s="56"/>
      <c r="B200" s="58"/>
      <c r="C200" s="56"/>
      <c r="D200" s="58"/>
      <c r="E200" s="56"/>
      <c r="F200" s="58"/>
      <c r="G200" s="56"/>
      <c r="H200" s="58"/>
      <c r="I200" s="56"/>
      <c r="J200" s="58"/>
      <c r="K200" s="56" t="s">
        <v>479</v>
      </c>
      <c r="L200" s="65"/>
      <c r="M200" s="3"/>
      <c r="N200" s="3"/>
      <c r="O200" s="3"/>
      <c r="P200" s="3"/>
      <c r="Q200" s="3"/>
      <c r="R200" s="3"/>
      <c r="S200" s="3"/>
      <c r="T200" s="3"/>
    </row>
    <row r="201" spans="1:20" ht="15" customHeight="1" x14ac:dyDescent="0.2">
      <c r="A201" s="56"/>
      <c r="B201" s="58"/>
      <c r="C201" s="56"/>
      <c r="D201" s="58"/>
      <c r="E201" s="56"/>
      <c r="F201" s="58"/>
      <c r="G201" s="56"/>
      <c r="H201" s="58"/>
      <c r="I201" s="56"/>
      <c r="J201" s="58"/>
      <c r="K201" s="56" t="s">
        <v>479</v>
      </c>
      <c r="L201" s="65"/>
      <c r="M201" s="3"/>
      <c r="N201" s="3"/>
      <c r="O201" s="3"/>
      <c r="P201" s="3"/>
      <c r="Q201" s="3"/>
      <c r="R201" s="3"/>
      <c r="S201" s="3"/>
      <c r="T201" s="3"/>
    </row>
    <row r="202" spans="1:20" ht="15" customHeight="1" x14ac:dyDescent="0.2">
      <c r="A202" s="56"/>
      <c r="B202" s="58"/>
      <c r="C202" s="56"/>
      <c r="D202" s="58"/>
      <c r="E202" s="56"/>
      <c r="F202" s="58"/>
      <c r="G202" s="56"/>
      <c r="H202" s="58"/>
      <c r="I202" s="56"/>
      <c r="J202" s="58"/>
      <c r="K202" s="56" t="s">
        <v>479</v>
      </c>
      <c r="L202" s="65"/>
      <c r="M202" s="3"/>
      <c r="N202" s="3"/>
      <c r="O202" s="3"/>
      <c r="P202" s="3"/>
      <c r="Q202" s="3"/>
      <c r="R202" s="3"/>
      <c r="S202" s="3"/>
      <c r="T202" s="3"/>
    </row>
    <row r="203" spans="1:20" ht="15" customHeight="1" x14ac:dyDescent="0.2">
      <c r="A203" s="56"/>
      <c r="B203" s="58"/>
      <c r="C203" s="56"/>
      <c r="D203" s="58"/>
      <c r="E203" s="56"/>
      <c r="F203" s="58"/>
      <c r="G203" s="56"/>
      <c r="H203" s="58"/>
      <c r="I203" s="56"/>
      <c r="J203" s="58"/>
      <c r="K203" s="56" t="s">
        <v>479</v>
      </c>
      <c r="L203" s="65"/>
      <c r="M203" s="3"/>
      <c r="N203" s="3"/>
      <c r="O203" s="3"/>
      <c r="P203" s="3"/>
      <c r="Q203" s="3"/>
      <c r="R203" s="3"/>
      <c r="S203" s="3"/>
      <c r="T203" s="3"/>
    </row>
    <row r="204" spans="1:20" ht="15" customHeight="1" x14ac:dyDescent="0.2">
      <c r="A204" s="56"/>
      <c r="B204" s="58"/>
      <c r="C204" s="56"/>
      <c r="D204" s="58"/>
      <c r="E204" s="56"/>
      <c r="F204" s="58"/>
      <c r="G204" s="56"/>
      <c r="H204" s="58"/>
      <c r="I204" s="56"/>
      <c r="J204" s="58"/>
      <c r="K204" s="56" t="s">
        <v>479</v>
      </c>
      <c r="L204" s="65"/>
      <c r="M204" s="3"/>
      <c r="N204" s="3"/>
      <c r="O204" s="3"/>
      <c r="P204" s="3"/>
      <c r="Q204" s="3"/>
      <c r="R204" s="3"/>
      <c r="S204" s="3"/>
      <c r="T204" s="3"/>
    </row>
    <row r="205" spans="1:20" ht="15" customHeight="1" x14ac:dyDescent="0.2">
      <c r="A205" s="56"/>
      <c r="B205" s="58"/>
      <c r="C205" s="56"/>
      <c r="D205" s="58"/>
      <c r="E205" s="56"/>
      <c r="F205" s="58"/>
      <c r="G205" s="56"/>
      <c r="H205" s="58"/>
      <c r="I205" s="56"/>
      <c r="J205" s="58"/>
      <c r="K205" s="56" t="s">
        <v>479</v>
      </c>
      <c r="L205" s="65"/>
      <c r="M205" s="3"/>
      <c r="N205" s="3"/>
      <c r="O205" s="3"/>
      <c r="P205" s="3"/>
      <c r="Q205" s="3"/>
      <c r="R205" s="3"/>
      <c r="S205" s="3"/>
      <c r="T205" s="3"/>
    </row>
    <row r="206" spans="1:20" ht="15" customHeight="1" x14ac:dyDescent="0.2">
      <c r="A206" s="56"/>
      <c r="B206" s="58"/>
      <c r="C206" s="56"/>
      <c r="D206" s="58"/>
      <c r="E206" s="56"/>
      <c r="F206" s="58"/>
      <c r="G206" s="56"/>
      <c r="H206" s="58"/>
      <c r="I206" s="56"/>
      <c r="J206" s="58"/>
      <c r="K206" s="56" t="s">
        <v>479</v>
      </c>
      <c r="L206" s="65"/>
      <c r="M206" s="3"/>
      <c r="N206" s="3"/>
      <c r="O206" s="3"/>
      <c r="P206" s="3"/>
      <c r="Q206" s="3"/>
      <c r="R206" s="3"/>
      <c r="S206" s="3"/>
      <c r="T206" s="3"/>
    </row>
    <row r="207" spans="1:20" ht="15" customHeight="1" x14ac:dyDescent="0.2">
      <c r="A207" s="56"/>
      <c r="B207" s="58"/>
      <c r="C207" s="56"/>
      <c r="D207" s="58"/>
      <c r="E207" s="56"/>
      <c r="F207" s="58"/>
      <c r="G207" s="56"/>
      <c r="H207" s="58"/>
      <c r="I207" s="56"/>
      <c r="J207" s="58"/>
      <c r="K207" s="56" t="s">
        <v>479</v>
      </c>
      <c r="L207" s="65"/>
      <c r="M207" s="3"/>
      <c r="N207" s="3"/>
      <c r="O207" s="3"/>
      <c r="P207" s="3"/>
      <c r="Q207" s="3"/>
      <c r="R207" s="3"/>
      <c r="S207" s="3"/>
      <c r="T207" s="3"/>
    </row>
    <row r="208" spans="1:20" ht="15" customHeight="1" x14ac:dyDescent="0.2">
      <c r="A208" s="56"/>
      <c r="B208" s="58"/>
      <c r="C208" s="56"/>
      <c r="D208" s="58"/>
      <c r="E208" s="56"/>
      <c r="F208" s="58"/>
      <c r="G208" s="56"/>
      <c r="H208" s="58"/>
      <c r="I208" s="56"/>
      <c r="J208" s="58"/>
      <c r="K208" s="56" t="s">
        <v>479</v>
      </c>
      <c r="L208" s="65"/>
      <c r="M208" s="3"/>
      <c r="N208" s="3"/>
      <c r="O208" s="3"/>
      <c r="P208" s="3"/>
      <c r="Q208" s="3"/>
      <c r="R208" s="3"/>
      <c r="S208" s="3"/>
      <c r="T208" s="3"/>
    </row>
    <row r="209" spans="1:20" ht="15" customHeight="1" x14ac:dyDescent="0.2">
      <c r="A209" s="56"/>
      <c r="B209" s="58"/>
      <c r="C209" s="56"/>
      <c r="D209" s="58"/>
      <c r="E209" s="56"/>
      <c r="F209" s="58"/>
      <c r="G209" s="56"/>
      <c r="H209" s="58"/>
      <c r="I209" s="56"/>
      <c r="J209" s="58"/>
      <c r="K209" s="56" t="s">
        <v>479</v>
      </c>
      <c r="L209" s="65"/>
      <c r="M209" s="3"/>
      <c r="N209" s="3"/>
      <c r="O209" s="3"/>
      <c r="P209" s="3"/>
      <c r="Q209" s="3"/>
      <c r="R209" s="3"/>
      <c r="S209" s="3"/>
      <c r="T209" s="3"/>
    </row>
    <row r="210" spans="1:20" ht="15" customHeight="1" x14ac:dyDescent="0.2">
      <c r="A210" s="56"/>
      <c r="B210" s="58"/>
      <c r="C210" s="56"/>
      <c r="D210" s="58"/>
      <c r="E210" s="56"/>
      <c r="F210" s="58"/>
      <c r="G210" s="56"/>
      <c r="H210" s="58"/>
      <c r="I210" s="56"/>
      <c r="J210" s="58"/>
      <c r="K210" s="56" t="s">
        <v>479</v>
      </c>
      <c r="L210" s="65"/>
      <c r="M210" s="3"/>
      <c r="N210" s="3"/>
      <c r="O210" s="3"/>
      <c r="P210" s="3"/>
      <c r="Q210" s="3"/>
      <c r="R210" s="3"/>
      <c r="S210" s="3"/>
      <c r="T210" s="3"/>
    </row>
    <row r="211" spans="1:20" ht="15" customHeight="1" x14ac:dyDescent="0.2">
      <c r="A211" s="56"/>
      <c r="B211" s="58"/>
      <c r="C211" s="56"/>
      <c r="D211" s="58"/>
      <c r="E211" s="56"/>
      <c r="F211" s="58"/>
      <c r="G211" s="56"/>
      <c r="H211" s="58"/>
      <c r="I211" s="56"/>
      <c r="J211" s="58"/>
      <c r="K211" s="56" t="s">
        <v>479</v>
      </c>
      <c r="L211" s="65"/>
      <c r="M211" s="3"/>
      <c r="N211" s="3"/>
      <c r="O211" s="3"/>
      <c r="P211" s="3"/>
      <c r="Q211" s="3"/>
      <c r="R211" s="3"/>
      <c r="S211" s="3"/>
      <c r="T211" s="3"/>
    </row>
    <row r="212" spans="1:20" ht="15" customHeight="1" x14ac:dyDescent="0.2">
      <c r="A212" s="56"/>
      <c r="B212" s="58"/>
      <c r="C212" s="56"/>
      <c r="D212" s="58"/>
      <c r="E212" s="56"/>
      <c r="F212" s="58"/>
      <c r="G212" s="56"/>
      <c r="H212" s="58"/>
      <c r="I212" s="56"/>
      <c r="J212" s="58"/>
      <c r="K212" s="56" t="s">
        <v>479</v>
      </c>
      <c r="L212" s="65"/>
      <c r="M212" s="3"/>
      <c r="N212" s="3"/>
      <c r="O212" s="3"/>
      <c r="P212" s="3"/>
      <c r="Q212" s="3"/>
      <c r="R212" s="3"/>
      <c r="S212" s="3"/>
      <c r="T212" s="3"/>
    </row>
    <row r="213" spans="1:20" ht="15" customHeight="1" x14ac:dyDescent="0.2">
      <c r="A213" s="56"/>
      <c r="B213" s="58"/>
      <c r="C213" s="56"/>
      <c r="D213" s="58"/>
      <c r="E213" s="56"/>
      <c r="F213" s="58"/>
      <c r="G213" s="56"/>
      <c r="H213" s="58"/>
      <c r="I213" s="56"/>
      <c r="J213" s="58"/>
      <c r="K213" s="56" t="s">
        <v>479</v>
      </c>
      <c r="L213" s="65"/>
      <c r="M213" s="3"/>
      <c r="N213" s="3"/>
      <c r="O213" s="3"/>
      <c r="P213" s="3"/>
      <c r="Q213" s="3"/>
      <c r="R213" s="3"/>
      <c r="S213" s="3"/>
      <c r="T213" s="3"/>
    </row>
    <row r="214" spans="1:20" ht="15" customHeight="1" x14ac:dyDescent="0.2">
      <c r="A214" s="56"/>
      <c r="B214" s="58"/>
      <c r="C214" s="56"/>
      <c r="D214" s="58"/>
      <c r="E214" s="56"/>
      <c r="F214" s="58"/>
      <c r="G214" s="56"/>
      <c r="H214" s="58"/>
      <c r="I214" s="56"/>
      <c r="J214" s="58"/>
      <c r="K214" s="56" t="s">
        <v>479</v>
      </c>
      <c r="L214" s="65"/>
      <c r="M214" s="3"/>
      <c r="N214" s="3"/>
      <c r="O214" s="3"/>
      <c r="P214" s="3"/>
      <c r="Q214" s="3"/>
      <c r="R214" s="3"/>
      <c r="S214" s="3"/>
      <c r="T214" s="3"/>
    </row>
    <row r="215" spans="1:20" ht="15" customHeight="1" x14ac:dyDescent="0.2">
      <c r="A215" s="56"/>
      <c r="B215" s="58"/>
      <c r="C215" s="56"/>
      <c r="D215" s="58"/>
      <c r="E215" s="56"/>
      <c r="F215" s="58"/>
      <c r="G215" s="56"/>
      <c r="H215" s="58"/>
      <c r="I215" s="56"/>
      <c r="J215" s="58"/>
      <c r="K215" s="56" t="s">
        <v>479</v>
      </c>
      <c r="L215" s="65"/>
      <c r="M215" s="3"/>
      <c r="N215" s="3"/>
      <c r="O215" s="3"/>
      <c r="P215" s="3"/>
      <c r="Q215" s="3"/>
      <c r="R215" s="3"/>
      <c r="S215" s="3"/>
      <c r="T215" s="3"/>
    </row>
    <row r="216" spans="1:20" ht="15" customHeight="1" x14ac:dyDescent="0.2">
      <c r="A216" s="56"/>
      <c r="B216" s="58"/>
      <c r="C216" s="56"/>
      <c r="D216" s="58"/>
      <c r="E216" s="56"/>
      <c r="F216" s="58"/>
      <c r="G216" s="56"/>
      <c r="H216" s="58"/>
      <c r="I216" s="56"/>
      <c r="J216" s="58"/>
      <c r="K216" s="56" t="s">
        <v>479</v>
      </c>
      <c r="L216" s="65"/>
      <c r="M216" s="3"/>
      <c r="N216" s="3"/>
      <c r="O216" s="3"/>
      <c r="P216" s="3"/>
      <c r="Q216" s="3"/>
      <c r="R216" s="3"/>
      <c r="S216" s="3"/>
      <c r="T216" s="3"/>
    </row>
    <row r="217" spans="1:20" ht="15" customHeight="1" x14ac:dyDescent="0.2">
      <c r="A217" s="56"/>
      <c r="B217" s="58"/>
      <c r="C217" s="56"/>
      <c r="D217" s="58"/>
      <c r="E217" s="56"/>
      <c r="F217" s="58"/>
      <c r="G217" s="56"/>
      <c r="H217" s="58"/>
      <c r="I217" s="56"/>
      <c r="J217" s="58"/>
      <c r="K217" s="56" t="s">
        <v>479</v>
      </c>
      <c r="L217" s="65"/>
      <c r="M217" s="3"/>
      <c r="N217" s="3"/>
      <c r="O217" s="3"/>
      <c r="P217" s="3"/>
      <c r="Q217" s="3"/>
      <c r="R217" s="3"/>
      <c r="S217" s="3"/>
      <c r="T217" s="3"/>
    </row>
    <row r="218" spans="1:20" ht="15" customHeight="1" x14ac:dyDescent="0.2">
      <c r="A218" s="56"/>
      <c r="B218" s="58"/>
      <c r="C218" s="56"/>
      <c r="D218" s="58"/>
      <c r="E218" s="56"/>
      <c r="F218" s="58"/>
      <c r="G218" s="56"/>
      <c r="H218" s="58"/>
      <c r="I218" s="56"/>
      <c r="J218" s="58"/>
      <c r="K218" s="56" t="s">
        <v>479</v>
      </c>
      <c r="L218" s="65"/>
      <c r="M218" s="3"/>
      <c r="N218" s="3"/>
      <c r="O218" s="3"/>
      <c r="P218" s="3"/>
      <c r="Q218" s="3"/>
      <c r="R218" s="3"/>
      <c r="S218" s="3"/>
      <c r="T218" s="3"/>
    </row>
    <row r="219" spans="1:20" ht="15" customHeight="1" x14ac:dyDescent="0.2">
      <c r="A219" s="56"/>
      <c r="B219" s="58"/>
      <c r="C219" s="56"/>
      <c r="D219" s="58"/>
      <c r="E219" s="56"/>
      <c r="F219" s="58"/>
      <c r="G219" s="56"/>
      <c r="H219" s="58"/>
      <c r="I219" s="56"/>
      <c r="J219" s="58"/>
      <c r="K219" s="56" t="s">
        <v>479</v>
      </c>
      <c r="L219" s="65"/>
      <c r="M219" s="3"/>
      <c r="N219" s="3"/>
      <c r="O219" s="3"/>
      <c r="P219" s="3"/>
      <c r="Q219" s="3"/>
      <c r="R219" s="3"/>
      <c r="S219" s="3"/>
      <c r="T219" s="3"/>
    </row>
    <row r="220" spans="1:20" ht="15" customHeight="1" x14ac:dyDescent="0.2">
      <c r="A220" s="56"/>
      <c r="B220" s="58"/>
      <c r="C220" s="56"/>
      <c r="D220" s="58"/>
      <c r="E220" s="56"/>
      <c r="F220" s="58"/>
      <c r="G220" s="56"/>
      <c r="H220" s="58"/>
      <c r="I220" s="56"/>
      <c r="J220" s="58"/>
      <c r="K220" s="56" t="s">
        <v>479</v>
      </c>
      <c r="L220" s="65"/>
      <c r="M220" s="3"/>
      <c r="N220" s="3"/>
      <c r="O220" s="3"/>
      <c r="P220" s="3"/>
      <c r="Q220" s="3"/>
      <c r="R220" s="3"/>
      <c r="S220" s="3"/>
      <c r="T220" s="3"/>
    </row>
    <row r="221" spans="1:20" ht="15" customHeight="1" x14ac:dyDescent="0.2">
      <c r="A221" s="56"/>
      <c r="B221" s="58"/>
      <c r="C221" s="56"/>
      <c r="D221" s="58"/>
      <c r="E221" s="56"/>
      <c r="F221" s="58"/>
      <c r="G221" s="56"/>
      <c r="H221" s="58"/>
      <c r="I221" s="56"/>
      <c r="J221" s="58"/>
      <c r="K221" s="56" t="s">
        <v>479</v>
      </c>
      <c r="L221" s="65"/>
      <c r="M221" s="3"/>
      <c r="N221" s="3"/>
      <c r="O221" s="3"/>
      <c r="P221" s="3"/>
      <c r="Q221" s="3"/>
      <c r="R221" s="3"/>
      <c r="S221" s="3"/>
      <c r="T221" s="3"/>
    </row>
    <row r="222" spans="1:20" ht="15" customHeight="1" x14ac:dyDescent="0.2">
      <c r="A222" s="56"/>
      <c r="B222" s="58"/>
      <c r="C222" s="56"/>
      <c r="D222" s="58"/>
      <c r="E222" s="56"/>
      <c r="F222" s="58"/>
      <c r="G222" s="56"/>
      <c r="H222" s="58"/>
      <c r="I222" s="56"/>
      <c r="J222" s="58"/>
      <c r="K222" s="56" t="s">
        <v>479</v>
      </c>
      <c r="L222" s="65"/>
      <c r="M222" s="3"/>
      <c r="N222" s="3"/>
      <c r="O222" s="3"/>
      <c r="P222" s="3"/>
      <c r="Q222" s="3"/>
      <c r="R222" s="3"/>
      <c r="S222" s="3"/>
      <c r="T222" s="3"/>
    </row>
    <row r="223" spans="1:20" ht="15" customHeight="1" x14ac:dyDescent="0.2">
      <c r="A223" s="56"/>
      <c r="B223" s="58"/>
      <c r="C223" s="56"/>
      <c r="D223" s="58"/>
      <c r="E223" s="56"/>
      <c r="F223" s="58"/>
      <c r="G223" s="56"/>
      <c r="H223" s="58"/>
      <c r="I223" s="56"/>
      <c r="J223" s="58"/>
      <c r="K223" s="56" t="s">
        <v>479</v>
      </c>
      <c r="L223" s="65"/>
      <c r="M223" s="3"/>
      <c r="N223" s="3"/>
      <c r="O223" s="3"/>
      <c r="P223" s="3"/>
      <c r="Q223" s="3"/>
      <c r="R223" s="3"/>
      <c r="S223" s="3"/>
      <c r="T223" s="3"/>
    </row>
    <row r="224" spans="1:20" ht="15" customHeight="1" x14ac:dyDescent="0.2">
      <c r="A224" s="56"/>
      <c r="B224" s="58"/>
      <c r="C224" s="56"/>
      <c r="D224" s="58"/>
      <c r="E224" s="56"/>
      <c r="F224" s="58"/>
      <c r="G224" s="56"/>
      <c r="H224" s="58"/>
      <c r="I224" s="56"/>
      <c r="J224" s="58"/>
      <c r="K224" s="56" t="s">
        <v>479</v>
      </c>
      <c r="L224" s="65"/>
      <c r="M224" s="3"/>
      <c r="N224" s="3"/>
      <c r="O224" s="3"/>
      <c r="P224" s="3"/>
      <c r="Q224" s="3"/>
      <c r="R224" s="3"/>
      <c r="S224" s="3"/>
      <c r="T224" s="3"/>
    </row>
    <row r="225" spans="1:20" ht="15" customHeight="1" x14ac:dyDescent="0.2">
      <c r="A225" s="56"/>
      <c r="B225" s="58"/>
      <c r="C225" s="56"/>
      <c r="D225" s="58"/>
      <c r="E225" s="56"/>
      <c r="F225" s="58"/>
      <c r="G225" s="56"/>
      <c r="H225" s="58"/>
      <c r="I225" s="56"/>
      <c r="J225" s="58"/>
      <c r="K225" s="56" t="s">
        <v>479</v>
      </c>
      <c r="L225" s="65"/>
      <c r="M225" s="3"/>
      <c r="N225" s="3"/>
      <c r="O225" s="3"/>
      <c r="P225" s="3"/>
      <c r="Q225" s="3"/>
      <c r="R225" s="3"/>
      <c r="S225" s="3"/>
      <c r="T225" s="3"/>
    </row>
    <row r="226" spans="1:20" ht="15" customHeight="1" x14ac:dyDescent="0.2">
      <c r="A226" s="56"/>
      <c r="B226" s="58"/>
      <c r="C226" s="56"/>
      <c r="D226" s="58"/>
      <c r="E226" s="56"/>
      <c r="F226" s="58"/>
      <c r="G226" s="56"/>
      <c r="H226" s="58"/>
      <c r="I226" s="56"/>
      <c r="J226" s="58"/>
      <c r="K226" s="56" t="s">
        <v>479</v>
      </c>
      <c r="L226" s="65"/>
      <c r="M226" s="3"/>
      <c r="N226" s="3"/>
      <c r="O226" s="3"/>
      <c r="P226" s="3"/>
      <c r="Q226" s="3"/>
      <c r="R226" s="3"/>
      <c r="S226" s="3"/>
      <c r="T226" s="3"/>
    </row>
    <row r="227" spans="1:20" ht="15" customHeight="1" x14ac:dyDescent="0.2">
      <c r="A227" s="56"/>
      <c r="B227" s="58"/>
      <c r="C227" s="56"/>
      <c r="D227" s="58"/>
      <c r="E227" s="56"/>
      <c r="F227" s="58"/>
      <c r="G227" s="56"/>
      <c r="H227" s="58"/>
      <c r="I227" s="56"/>
      <c r="J227" s="58"/>
      <c r="K227" s="56" t="s">
        <v>479</v>
      </c>
      <c r="L227" s="65"/>
      <c r="M227" s="3"/>
      <c r="N227" s="3"/>
      <c r="O227" s="3"/>
      <c r="P227" s="3"/>
      <c r="Q227" s="3"/>
      <c r="R227" s="3"/>
      <c r="S227" s="3"/>
      <c r="T227" s="3"/>
    </row>
    <row r="228" spans="1:20" ht="15" customHeight="1" x14ac:dyDescent="0.2">
      <c r="A228" s="56"/>
      <c r="B228" s="58"/>
      <c r="C228" s="56"/>
      <c r="D228" s="58"/>
      <c r="E228" s="56"/>
      <c r="F228" s="58"/>
      <c r="G228" s="56"/>
      <c r="H228" s="58"/>
      <c r="I228" s="56"/>
      <c r="J228" s="58"/>
      <c r="K228" s="56" t="s">
        <v>479</v>
      </c>
      <c r="L228" s="65"/>
      <c r="M228" s="3"/>
      <c r="N228" s="3"/>
      <c r="O228" s="3"/>
      <c r="P228" s="3"/>
      <c r="Q228" s="3"/>
      <c r="R228" s="3"/>
      <c r="S228" s="3"/>
      <c r="T228" s="3"/>
    </row>
    <row r="229" spans="1:20" ht="15" customHeight="1" x14ac:dyDescent="0.2">
      <c r="A229" s="56"/>
      <c r="B229" s="58"/>
      <c r="C229" s="56"/>
      <c r="D229" s="58"/>
      <c r="E229" s="56"/>
      <c r="F229" s="58"/>
      <c r="G229" s="56"/>
      <c r="H229" s="58"/>
      <c r="I229" s="56"/>
      <c r="J229" s="58"/>
      <c r="K229" s="56" t="s">
        <v>479</v>
      </c>
      <c r="L229" s="65"/>
      <c r="M229" s="3"/>
      <c r="N229" s="3"/>
      <c r="O229" s="3"/>
      <c r="P229" s="3"/>
      <c r="Q229" s="3"/>
      <c r="R229" s="3"/>
      <c r="S229" s="3"/>
      <c r="T229" s="3"/>
    </row>
    <row r="230" spans="1:20" ht="15" customHeight="1" x14ac:dyDescent="0.2">
      <c r="A230" s="56"/>
      <c r="B230" s="58"/>
      <c r="C230" s="56"/>
      <c r="D230" s="58"/>
      <c r="E230" s="56"/>
      <c r="F230" s="58"/>
      <c r="G230" s="56"/>
      <c r="H230" s="58"/>
      <c r="I230" s="56"/>
      <c r="J230" s="58"/>
      <c r="K230" s="56" t="s">
        <v>479</v>
      </c>
      <c r="L230" s="65"/>
      <c r="M230" s="3"/>
      <c r="N230" s="3"/>
      <c r="O230" s="3"/>
      <c r="P230" s="3"/>
      <c r="Q230" s="3"/>
      <c r="R230" s="3"/>
      <c r="S230" s="3"/>
      <c r="T230" s="3"/>
    </row>
    <row r="231" spans="1:20" ht="15" customHeight="1" x14ac:dyDescent="0.2">
      <c r="A231" s="56"/>
      <c r="B231" s="58"/>
      <c r="C231" s="56"/>
      <c r="D231" s="58"/>
      <c r="E231" s="56"/>
      <c r="F231" s="58"/>
      <c r="G231" s="56"/>
      <c r="H231" s="58"/>
      <c r="I231" s="56"/>
      <c r="J231" s="58"/>
      <c r="K231" s="56" t="s">
        <v>479</v>
      </c>
      <c r="L231" s="65"/>
      <c r="M231" s="3"/>
      <c r="N231" s="3"/>
      <c r="O231" s="3"/>
      <c r="P231" s="3"/>
      <c r="Q231" s="3"/>
      <c r="R231" s="3"/>
      <c r="S231" s="3"/>
      <c r="T231" s="3"/>
    </row>
    <row r="232" spans="1:20" ht="15" customHeight="1" x14ac:dyDescent="0.2">
      <c r="A232" s="56"/>
      <c r="B232" s="58"/>
      <c r="C232" s="56"/>
      <c r="D232" s="58"/>
      <c r="E232" s="56"/>
      <c r="F232" s="58"/>
      <c r="G232" s="56"/>
      <c r="H232" s="58"/>
      <c r="I232" s="56"/>
      <c r="J232" s="58"/>
      <c r="K232" s="56" t="s">
        <v>479</v>
      </c>
      <c r="L232" s="65"/>
      <c r="M232" s="3"/>
      <c r="N232" s="3"/>
      <c r="O232" s="3"/>
      <c r="P232" s="3"/>
      <c r="Q232" s="3"/>
      <c r="R232" s="3"/>
      <c r="S232" s="3"/>
      <c r="T232" s="3"/>
    </row>
    <row r="233" spans="1:20" ht="15" customHeight="1" x14ac:dyDescent="0.2">
      <c r="A233" s="56"/>
      <c r="B233" s="58"/>
      <c r="C233" s="56"/>
      <c r="D233" s="58"/>
      <c r="E233" s="56"/>
      <c r="F233" s="58"/>
      <c r="G233" s="56"/>
      <c r="H233" s="58"/>
      <c r="I233" s="56"/>
      <c r="J233" s="58"/>
      <c r="K233" s="56" t="s">
        <v>479</v>
      </c>
      <c r="L233" s="65"/>
      <c r="M233" s="3"/>
      <c r="N233" s="3"/>
      <c r="O233" s="3"/>
      <c r="P233" s="3"/>
      <c r="Q233" s="3"/>
      <c r="R233" s="3"/>
      <c r="S233" s="3"/>
      <c r="T233" s="3"/>
    </row>
    <row r="234" spans="1:20" ht="15" customHeight="1" x14ac:dyDescent="0.2">
      <c r="A234" s="56"/>
      <c r="B234" s="58"/>
      <c r="C234" s="56"/>
      <c r="D234" s="58"/>
      <c r="E234" s="56"/>
      <c r="F234" s="58"/>
      <c r="G234" s="56"/>
      <c r="H234" s="58"/>
      <c r="I234" s="56"/>
      <c r="J234" s="58"/>
      <c r="K234" s="56" t="s">
        <v>479</v>
      </c>
      <c r="L234" s="65"/>
      <c r="M234" s="3"/>
      <c r="N234" s="3"/>
      <c r="O234" s="3"/>
      <c r="P234" s="3"/>
      <c r="Q234" s="3"/>
      <c r="R234" s="3"/>
      <c r="S234" s="3"/>
      <c r="T234" s="3"/>
    </row>
    <row r="235" spans="1:20" ht="15" customHeight="1" x14ac:dyDescent="0.2">
      <c r="A235" s="56"/>
      <c r="B235" s="58"/>
      <c r="C235" s="56"/>
      <c r="D235" s="58"/>
      <c r="E235" s="56"/>
      <c r="F235" s="58"/>
      <c r="G235" s="56"/>
      <c r="H235" s="58"/>
      <c r="I235" s="56"/>
      <c r="J235" s="58"/>
      <c r="K235" s="56" t="s">
        <v>479</v>
      </c>
      <c r="L235" s="65"/>
      <c r="M235" s="3"/>
      <c r="N235" s="3"/>
      <c r="O235" s="3"/>
      <c r="P235" s="3"/>
      <c r="Q235" s="3"/>
      <c r="R235" s="3"/>
      <c r="S235" s="3"/>
      <c r="T235" s="3"/>
    </row>
    <row r="236" spans="1:20" ht="15" customHeight="1" x14ac:dyDescent="0.2">
      <c r="A236" s="56"/>
      <c r="B236" s="58"/>
      <c r="C236" s="56"/>
      <c r="D236" s="58"/>
      <c r="E236" s="56"/>
      <c r="F236" s="58"/>
      <c r="G236" s="56"/>
      <c r="H236" s="58"/>
      <c r="I236" s="56"/>
      <c r="J236" s="58"/>
      <c r="K236" s="56" t="s">
        <v>479</v>
      </c>
      <c r="L236" s="65"/>
      <c r="M236" s="3"/>
      <c r="N236" s="3"/>
      <c r="O236" s="3"/>
      <c r="P236" s="3"/>
      <c r="Q236" s="3"/>
      <c r="R236" s="3"/>
      <c r="S236" s="3"/>
      <c r="T236" s="3"/>
    </row>
    <row r="237" spans="1:20" ht="15" customHeight="1" x14ac:dyDescent="0.2">
      <c r="A237" s="56"/>
      <c r="B237" s="58"/>
      <c r="C237" s="56"/>
      <c r="D237" s="58"/>
      <c r="E237" s="56"/>
      <c r="F237" s="58"/>
      <c r="G237" s="56"/>
      <c r="H237" s="58"/>
      <c r="I237" s="56"/>
      <c r="J237" s="58"/>
      <c r="K237" s="56" t="s">
        <v>479</v>
      </c>
      <c r="L237" s="65"/>
      <c r="M237" s="3"/>
      <c r="N237" s="3"/>
      <c r="O237" s="3"/>
      <c r="P237" s="3"/>
      <c r="Q237" s="3"/>
      <c r="R237" s="3"/>
      <c r="S237" s="3"/>
      <c r="T237" s="3"/>
    </row>
    <row r="238" spans="1:20" ht="15" customHeight="1" x14ac:dyDescent="0.2">
      <c r="A238" s="56"/>
      <c r="B238" s="58"/>
      <c r="C238" s="56"/>
      <c r="D238" s="58"/>
      <c r="E238" s="56"/>
      <c r="F238" s="58"/>
      <c r="G238" s="56"/>
      <c r="H238" s="58"/>
      <c r="I238" s="56"/>
      <c r="J238" s="58"/>
      <c r="K238" s="56" t="s">
        <v>479</v>
      </c>
      <c r="L238" s="65"/>
      <c r="M238" s="3"/>
      <c r="N238" s="3"/>
      <c r="O238" s="3"/>
      <c r="P238" s="3"/>
      <c r="Q238" s="3"/>
      <c r="R238" s="3"/>
      <c r="S238" s="3"/>
      <c r="T238" s="3"/>
    </row>
    <row r="239" spans="1:20" ht="15" customHeight="1" x14ac:dyDescent="0.2">
      <c r="A239" s="56"/>
      <c r="B239" s="58"/>
      <c r="C239" s="56"/>
      <c r="D239" s="58"/>
      <c r="E239" s="56"/>
      <c r="F239" s="58"/>
      <c r="G239" s="56"/>
      <c r="H239" s="58"/>
      <c r="I239" s="56"/>
      <c r="J239" s="58"/>
      <c r="K239" s="56" t="s">
        <v>479</v>
      </c>
      <c r="L239" s="65"/>
      <c r="M239" s="3"/>
      <c r="N239" s="3"/>
      <c r="O239" s="3"/>
      <c r="P239" s="3"/>
      <c r="Q239" s="3"/>
      <c r="R239" s="3"/>
      <c r="S239" s="3"/>
      <c r="T239" s="3"/>
    </row>
    <row r="240" spans="1:20" ht="15" customHeight="1" x14ac:dyDescent="0.2">
      <c r="A240" s="56"/>
      <c r="B240" s="58"/>
      <c r="C240" s="56"/>
      <c r="D240" s="58"/>
      <c r="E240" s="56"/>
      <c r="F240" s="58"/>
      <c r="G240" s="56"/>
      <c r="H240" s="58"/>
      <c r="I240" s="56"/>
      <c r="J240" s="58"/>
      <c r="K240" s="56" t="s">
        <v>479</v>
      </c>
      <c r="L240" s="65"/>
      <c r="M240" s="3"/>
      <c r="N240" s="3"/>
      <c r="O240" s="3"/>
      <c r="P240" s="3"/>
      <c r="Q240" s="3"/>
      <c r="R240" s="3"/>
      <c r="S240" s="3"/>
      <c r="T240" s="3"/>
    </row>
    <row r="241" spans="1:20" ht="15" customHeight="1" x14ac:dyDescent="0.2">
      <c r="A241" s="56"/>
      <c r="B241" s="58"/>
      <c r="C241" s="56"/>
      <c r="D241" s="58"/>
      <c r="E241" s="56"/>
      <c r="F241" s="58"/>
      <c r="G241" s="56"/>
      <c r="H241" s="58"/>
      <c r="I241" s="56"/>
      <c r="J241" s="58"/>
      <c r="K241" s="56" t="s">
        <v>479</v>
      </c>
      <c r="L241" s="65"/>
      <c r="M241" s="3"/>
      <c r="N241" s="3"/>
      <c r="O241" s="3"/>
      <c r="P241" s="3"/>
      <c r="Q241" s="3"/>
      <c r="R241" s="3"/>
      <c r="S241" s="3"/>
      <c r="T241" s="3"/>
    </row>
    <row r="242" spans="1:20" ht="15" customHeight="1" x14ac:dyDescent="0.2">
      <c r="A242" s="56"/>
      <c r="B242" s="58"/>
      <c r="C242" s="56"/>
      <c r="D242" s="58"/>
      <c r="E242" s="56"/>
      <c r="F242" s="58"/>
      <c r="G242" s="56"/>
      <c r="H242" s="58"/>
      <c r="I242" s="56"/>
      <c r="J242" s="58"/>
      <c r="K242" s="56" t="s">
        <v>479</v>
      </c>
      <c r="L242" s="65"/>
      <c r="M242" s="3"/>
      <c r="N242" s="3"/>
      <c r="O242" s="3"/>
      <c r="P242" s="3"/>
      <c r="Q242" s="3"/>
      <c r="R242" s="3"/>
      <c r="S242" s="3"/>
      <c r="T242" s="3"/>
    </row>
    <row r="243" spans="1:20" ht="15" customHeight="1" x14ac:dyDescent="0.2">
      <c r="A243" s="56"/>
      <c r="B243" s="58"/>
      <c r="C243" s="56"/>
      <c r="D243" s="58"/>
      <c r="E243" s="56"/>
      <c r="F243" s="58"/>
      <c r="G243" s="56"/>
      <c r="H243" s="58"/>
      <c r="I243" s="56"/>
      <c r="J243" s="58"/>
      <c r="K243" s="56" t="s">
        <v>479</v>
      </c>
      <c r="L243" s="65"/>
      <c r="M243" s="3"/>
      <c r="N243" s="3"/>
      <c r="O243" s="3"/>
      <c r="P243" s="3"/>
      <c r="Q243" s="3"/>
      <c r="R243" s="3"/>
      <c r="S243" s="3"/>
      <c r="T243" s="3"/>
    </row>
    <row r="244" spans="1:20" ht="15" customHeight="1" x14ac:dyDescent="0.2">
      <c r="A244" s="56"/>
      <c r="B244" s="58"/>
      <c r="C244" s="56"/>
      <c r="D244" s="58"/>
      <c r="E244" s="56"/>
      <c r="F244" s="58"/>
      <c r="G244" s="56"/>
      <c r="H244" s="58"/>
      <c r="I244" s="56"/>
      <c r="J244" s="58"/>
      <c r="K244" s="56" t="s">
        <v>479</v>
      </c>
      <c r="L244" s="65"/>
      <c r="M244" s="3"/>
      <c r="N244" s="3"/>
      <c r="O244" s="3"/>
      <c r="P244" s="3"/>
      <c r="Q244" s="3"/>
      <c r="R244" s="3"/>
      <c r="S244" s="3"/>
      <c r="T244" s="3"/>
    </row>
    <row r="245" spans="1:20" ht="15" customHeight="1" x14ac:dyDescent="0.2">
      <c r="A245" s="56"/>
      <c r="B245" s="58"/>
      <c r="C245" s="56"/>
      <c r="D245" s="58"/>
      <c r="E245" s="56"/>
      <c r="F245" s="58"/>
      <c r="G245" s="56"/>
      <c r="H245" s="58"/>
      <c r="I245" s="56"/>
      <c r="J245" s="58"/>
      <c r="K245" s="56" t="s">
        <v>479</v>
      </c>
      <c r="L245" s="65"/>
      <c r="M245" s="3"/>
      <c r="N245" s="3"/>
      <c r="O245" s="3"/>
      <c r="P245" s="3"/>
      <c r="Q245" s="3"/>
      <c r="R245" s="3"/>
      <c r="S245" s="3"/>
      <c r="T245" s="3"/>
    </row>
    <row r="246" spans="1:20" ht="15" customHeight="1" x14ac:dyDescent="0.2">
      <c r="A246" s="56"/>
      <c r="B246" s="58"/>
      <c r="C246" s="56"/>
      <c r="D246" s="58"/>
      <c r="E246" s="56"/>
      <c r="F246" s="58"/>
      <c r="G246" s="56"/>
      <c r="H246" s="58"/>
      <c r="I246" s="56"/>
      <c r="J246" s="58"/>
      <c r="K246" s="56" t="s">
        <v>479</v>
      </c>
      <c r="L246" s="65"/>
      <c r="M246" s="3"/>
      <c r="N246" s="3"/>
      <c r="O246" s="3"/>
      <c r="P246" s="3"/>
      <c r="Q246" s="3"/>
      <c r="R246" s="3"/>
      <c r="S246" s="3"/>
      <c r="T246" s="3"/>
    </row>
    <row r="247" spans="1:20" ht="15" customHeight="1" x14ac:dyDescent="0.2">
      <c r="A247" s="56"/>
      <c r="B247" s="58"/>
      <c r="C247" s="56"/>
      <c r="D247" s="58"/>
      <c r="E247" s="56"/>
      <c r="F247" s="58"/>
      <c r="G247" s="56"/>
      <c r="H247" s="58"/>
      <c r="I247" s="56"/>
      <c r="J247" s="58"/>
      <c r="K247" s="56" t="s">
        <v>479</v>
      </c>
      <c r="L247" s="65"/>
      <c r="M247" s="3"/>
      <c r="N247" s="3"/>
      <c r="O247" s="3"/>
      <c r="P247" s="3"/>
      <c r="Q247" s="3"/>
      <c r="R247" s="3"/>
      <c r="S247" s="3"/>
      <c r="T247" s="3"/>
    </row>
    <row r="248" spans="1:20" ht="15" customHeight="1" x14ac:dyDescent="0.2">
      <c r="A248" s="56"/>
      <c r="B248" s="58"/>
      <c r="C248" s="56"/>
      <c r="D248" s="58"/>
      <c r="E248" s="56"/>
      <c r="F248" s="58"/>
      <c r="G248" s="56"/>
      <c r="H248" s="58"/>
      <c r="I248" s="56"/>
      <c r="J248" s="58"/>
      <c r="K248" s="56" t="s">
        <v>479</v>
      </c>
      <c r="L248" s="65"/>
      <c r="M248" s="3"/>
      <c r="N248" s="3"/>
      <c r="O248" s="3"/>
      <c r="P248" s="3"/>
      <c r="Q248" s="3"/>
      <c r="R248" s="3"/>
      <c r="S248" s="3"/>
      <c r="T248" s="3"/>
    </row>
    <row r="249" spans="1:20" ht="15" customHeight="1" x14ac:dyDescent="0.2">
      <c r="A249" s="56"/>
      <c r="B249" s="58"/>
      <c r="C249" s="56"/>
      <c r="D249" s="58"/>
      <c r="E249" s="56"/>
      <c r="F249" s="58"/>
      <c r="G249" s="56"/>
      <c r="H249" s="58"/>
      <c r="I249" s="56"/>
      <c r="J249" s="58"/>
      <c r="K249" s="56" t="s">
        <v>479</v>
      </c>
      <c r="L249" s="65"/>
      <c r="M249" s="3"/>
      <c r="N249" s="3"/>
      <c r="O249" s="3"/>
      <c r="P249" s="3"/>
      <c r="Q249" s="3"/>
      <c r="R249" s="3"/>
      <c r="S249" s="3"/>
      <c r="T249" s="3"/>
    </row>
    <row r="250" spans="1:20" ht="15" customHeight="1" x14ac:dyDescent="0.2">
      <c r="A250" s="56"/>
      <c r="B250" s="58"/>
      <c r="C250" s="56"/>
      <c r="D250" s="58"/>
      <c r="E250" s="56"/>
      <c r="F250" s="58"/>
      <c r="G250" s="56"/>
      <c r="H250" s="58"/>
      <c r="I250" s="56"/>
      <c r="J250" s="58"/>
      <c r="K250" s="56" t="s">
        <v>479</v>
      </c>
      <c r="L250" s="65"/>
      <c r="M250" s="3"/>
      <c r="N250" s="3"/>
      <c r="O250" s="3"/>
      <c r="P250" s="3"/>
      <c r="Q250" s="3"/>
      <c r="R250" s="3"/>
      <c r="S250" s="3"/>
      <c r="T250" s="3"/>
    </row>
    <row r="251" spans="1:20" ht="15" customHeight="1" x14ac:dyDescent="0.2">
      <c r="A251" s="56"/>
      <c r="B251" s="58"/>
      <c r="C251" s="56"/>
      <c r="D251" s="58"/>
      <c r="E251" s="56"/>
      <c r="F251" s="58"/>
      <c r="G251" s="56"/>
      <c r="H251" s="58"/>
      <c r="I251" s="56"/>
      <c r="J251" s="58"/>
      <c r="K251" s="56" t="s">
        <v>479</v>
      </c>
      <c r="L251" s="65"/>
      <c r="M251" s="3"/>
      <c r="N251" s="3"/>
      <c r="O251" s="3"/>
      <c r="P251" s="3"/>
      <c r="Q251" s="3"/>
      <c r="R251" s="3"/>
      <c r="S251" s="3"/>
      <c r="T251" s="3"/>
    </row>
    <row r="252" spans="1:20" ht="15" customHeight="1" x14ac:dyDescent="0.2">
      <c r="A252" s="56"/>
      <c r="B252" s="58"/>
      <c r="C252" s="56"/>
      <c r="D252" s="58"/>
      <c r="E252" s="56"/>
      <c r="F252" s="58"/>
      <c r="G252" s="56"/>
      <c r="H252" s="58"/>
      <c r="I252" s="56"/>
      <c r="J252" s="58"/>
      <c r="K252" s="56" t="s">
        <v>479</v>
      </c>
      <c r="L252" s="65"/>
      <c r="M252" s="3"/>
      <c r="N252" s="3"/>
      <c r="O252" s="3"/>
      <c r="P252" s="3"/>
      <c r="Q252" s="3"/>
      <c r="R252" s="3"/>
      <c r="S252" s="3"/>
      <c r="T252" s="3"/>
    </row>
    <row r="253" spans="1:20" ht="15" customHeight="1" x14ac:dyDescent="0.2">
      <c r="A253" s="56"/>
      <c r="B253" s="58"/>
      <c r="C253" s="56"/>
      <c r="D253" s="58"/>
      <c r="E253" s="56"/>
      <c r="F253" s="58"/>
      <c r="G253" s="56"/>
      <c r="H253" s="58"/>
      <c r="I253" s="56"/>
      <c r="J253" s="58"/>
      <c r="K253" s="56" t="s">
        <v>479</v>
      </c>
      <c r="L253" s="65"/>
      <c r="M253" s="3"/>
      <c r="N253" s="3"/>
      <c r="O253" s="3"/>
      <c r="P253" s="3"/>
      <c r="Q253" s="3"/>
      <c r="R253" s="3"/>
      <c r="S253" s="3"/>
      <c r="T253" s="3"/>
    </row>
    <row r="254" spans="1:20" ht="15" customHeight="1" x14ac:dyDescent="0.2">
      <c r="A254" s="56"/>
      <c r="B254" s="58"/>
      <c r="C254" s="56"/>
      <c r="D254" s="58"/>
      <c r="E254" s="56"/>
      <c r="F254" s="58"/>
      <c r="G254" s="56"/>
      <c r="H254" s="58"/>
      <c r="I254" s="56"/>
      <c r="J254" s="58"/>
      <c r="K254" s="56" t="s">
        <v>479</v>
      </c>
      <c r="L254" s="65"/>
      <c r="M254" s="3"/>
      <c r="N254" s="3"/>
      <c r="O254" s="3"/>
      <c r="P254" s="3"/>
      <c r="Q254" s="3"/>
      <c r="R254" s="3"/>
      <c r="S254" s="3"/>
      <c r="T254" s="3"/>
    </row>
    <row r="255" spans="1:20" ht="15" customHeight="1" x14ac:dyDescent="0.2">
      <c r="A255" s="56"/>
      <c r="B255" s="58"/>
      <c r="C255" s="56"/>
      <c r="D255" s="58"/>
      <c r="E255" s="56"/>
      <c r="F255" s="58"/>
      <c r="G255" s="56"/>
      <c r="H255" s="58"/>
      <c r="I255" s="56"/>
      <c r="J255" s="58"/>
      <c r="K255" s="56" t="s">
        <v>479</v>
      </c>
      <c r="L255" s="65"/>
      <c r="M255" s="3"/>
      <c r="N255" s="3"/>
      <c r="O255" s="3"/>
      <c r="P255" s="3"/>
      <c r="Q255" s="3"/>
      <c r="R255" s="3"/>
      <c r="S255" s="3"/>
      <c r="T255" s="3"/>
    </row>
    <row r="256" spans="1:20" ht="15" customHeight="1" x14ac:dyDescent="0.2">
      <c r="A256" s="56"/>
      <c r="B256" s="58"/>
      <c r="C256" s="56"/>
      <c r="D256" s="58"/>
      <c r="E256" s="56"/>
      <c r="F256" s="58"/>
      <c r="G256" s="56"/>
      <c r="H256" s="58"/>
      <c r="I256" s="56"/>
      <c r="J256" s="58"/>
      <c r="K256" s="56" t="s">
        <v>479</v>
      </c>
      <c r="L256" s="65"/>
      <c r="M256" s="3"/>
      <c r="N256" s="3"/>
      <c r="O256" s="3"/>
      <c r="P256" s="3"/>
      <c r="Q256" s="3"/>
      <c r="R256" s="3"/>
      <c r="S256" s="3"/>
      <c r="T256" s="3"/>
    </row>
    <row r="257" spans="1:20" ht="15" customHeight="1" x14ac:dyDescent="0.2">
      <c r="A257" s="56"/>
      <c r="B257" s="58"/>
      <c r="C257" s="56"/>
      <c r="D257" s="58"/>
      <c r="E257" s="56"/>
      <c r="F257" s="58"/>
      <c r="G257" s="56"/>
      <c r="H257" s="58"/>
      <c r="I257" s="56"/>
      <c r="J257" s="58"/>
      <c r="K257" s="56" t="s">
        <v>479</v>
      </c>
      <c r="L257" s="65"/>
      <c r="M257" s="3"/>
      <c r="N257" s="3"/>
      <c r="O257" s="3"/>
      <c r="P257" s="3"/>
      <c r="Q257" s="3"/>
      <c r="R257" s="3"/>
      <c r="S257" s="3"/>
      <c r="T257" s="3"/>
    </row>
    <row r="258" spans="1:20" ht="15" customHeight="1" x14ac:dyDescent="0.2">
      <c r="A258" s="56"/>
      <c r="B258" s="58"/>
      <c r="C258" s="56"/>
      <c r="D258" s="58"/>
      <c r="E258" s="56"/>
      <c r="F258" s="58"/>
      <c r="G258" s="56"/>
      <c r="H258" s="58"/>
      <c r="I258" s="56"/>
      <c r="J258" s="58"/>
      <c r="K258" s="56" t="s">
        <v>479</v>
      </c>
      <c r="L258" s="65"/>
      <c r="M258" s="3"/>
      <c r="N258" s="3"/>
      <c r="O258" s="3"/>
      <c r="P258" s="3"/>
      <c r="Q258" s="3"/>
      <c r="R258" s="3"/>
      <c r="S258" s="3"/>
      <c r="T258" s="3"/>
    </row>
    <row r="259" spans="1:20" ht="15" customHeight="1" x14ac:dyDescent="0.2">
      <c r="A259" s="56"/>
      <c r="B259" s="58"/>
      <c r="C259" s="56"/>
      <c r="D259" s="58"/>
      <c r="E259" s="56"/>
      <c r="F259" s="58"/>
      <c r="G259" s="56"/>
      <c r="H259" s="58"/>
      <c r="I259" s="56"/>
      <c r="J259" s="58"/>
      <c r="K259" s="56" t="s">
        <v>479</v>
      </c>
      <c r="L259" s="65"/>
      <c r="M259" s="3"/>
      <c r="N259" s="3"/>
      <c r="O259" s="3"/>
      <c r="P259" s="3"/>
      <c r="Q259" s="3"/>
      <c r="R259" s="3"/>
      <c r="S259" s="3"/>
      <c r="T259" s="3"/>
    </row>
    <row r="260" spans="1:20" ht="15" customHeight="1" x14ac:dyDescent="0.2">
      <c r="A260" s="56"/>
      <c r="B260" s="58"/>
      <c r="C260" s="56"/>
      <c r="D260" s="58"/>
      <c r="E260" s="56"/>
      <c r="F260" s="58"/>
      <c r="G260" s="56"/>
      <c r="H260" s="58"/>
      <c r="I260" s="56"/>
      <c r="J260" s="58"/>
      <c r="K260" s="56" t="s">
        <v>479</v>
      </c>
      <c r="L260" s="65"/>
      <c r="M260" s="3"/>
      <c r="N260" s="3"/>
      <c r="O260" s="3"/>
      <c r="P260" s="3"/>
      <c r="Q260" s="3"/>
      <c r="R260" s="3"/>
      <c r="S260" s="3"/>
      <c r="T260" s="3"/>
    </row>
    <row r="261" spans="1:20" ht="15" customHeight="1" x14ac:dyDescent="0.2">
      <c r="A261" s="56"/>
      <c r="B261" s="58"/>
      <c r="C261" s="56"/>
      <c r="D261" s="58"/>
      <c r="E261" s="56"/>
      <c r="F261" s="58"/>
      <c r="G261" s="56"/>
      <c r="H261" s="58"/>
      <c r="I261" s="56"/>
      <c r="J261" s="58"/>
      <c r="K261" s="56" t="s">
        <v>479</v>
      </c>
      <c r="L261" s="65"/>
      <c r="M261" s="3"/>
      <c r="N261" s="3"/>
      <c r="O261" s="3"/>
      <c r="P261" s="3"/>
      <c r="Q261" s="3"/>
      <c r="R261" s="3"/>
      <c r="S261" s="3"/>
      <c r="T261" s="3"/>
    </row>
    <row r="262" spans="1:20" ht="15" customHeight="1" x14ac:dyDescent="0.2">
      <c r="A262" s="56"/>
      <c r="B262" s="58"/>
      <c r="C262" s="56"/>
      <c r="D262" s="58"/>
      <c r="E262" s="56"/>
      <c r="F262" s="58"/>
      <c r="G262" s="56"/>
      <c r="H262" s="58"/>
      <c r="I262" s="56"/>
      <c r="J262" s="58"/>
      <c r="K262" s="56" t="s">
        <v>479</v>
      </c>
      <c r="L262" s="65"/>
      <c r="M262" s="3"/>
      <c r="N262" s="3"/>
      <c r="O262" s="3"/>
      <c r="P262" s="3"/>
      <c r="Q262" s="3"/>
      <c r="R262" s="3"/>
      <c r="S262" s="3"/>
      <c r="T262" s="3"/>
    </row>
    <row r="263" spans="1:20" ht="15" customHeight="1" x14ac:dyDescent="0.2">
      <c r="A263" s="56"/>
      <c r="B263" s="58"/>
      <c r="C263" s="56"/>
      <c r="D263" s="58"/>
      <c r="E263" s="56"/>
      <c r="F263" s="58"/>
      <c r="G263" s="56"/>
      <c r="H263" s="58"/>
      <c r="I263" s="56"/>
      <c r="J263" s="58"/>
      <c r="K263" s="56" t="s">
        <v>479</v>
      </c>
      <c r="L263" s="65"/>
      <c r="M263" s="3"/>
      <c r="N263" s="3"/>
      <c r="O263" s="3"/>
      <c r="P263" s="3"/>
      <c r="Q263" s="3"/>
      <c r="R263" s="3"/>
      <c r="S263" s="3"/>
      <c r="T263" s="3"/>
    </row>
    <row r="264" spans="1:20" ht="15" customHeight="1" x14ac:dyDescent="0.2">
      <c r="A264" s="56"/>
      <c r="B264" s="58"/>
      <c r="C264" s="56"/>
      <c r="D264" s="58"/>
      <c r="E264" s="56"/>
      <c r="F264" s="58"/>
      <c r="G264" s="56"/>
      <c r="H264" s="58"/>
      <c r="I264" s="56"/>
      <c r="J264" s="58"/>
      <c r="K264" s="56" t="s">
        <v>479</v>
      </c>
      <c r="L264" s="65"/>
      <c r="M264" s="3"/>
      <c r="N264" s="3"/>
      <c r="O264" s="3"/>
      <c r="P264" s="3"/>
      <c r="Q264" s="3"/>
      <c r="R264" s="3"/>
      <c r="S264" s="3"/>
      <c r="T264" s="3"/>
    </row>
    <row r="265" spans="1:20" ht="15" customHeight="1" x14ac:dyDescent="0.2">
      <c r="A265" s="56"/>
      <c r="B265" s="58"/>
      <c r="C265" s="56"/>
      <c r="D265" s="58"/>
      <c r="E265" s="56"/>
      <c r="F265" s="58"/>
      <c r="G265" s="56"/>
      <c r="H265" s="58"/>
      <c r="I265" s="56"/>
      <c r="J265" s="58"/>
      <c r="K265" s="56" t="s">
        <v>479</v>
      </c>
      <c r="L265" s="65"/>
      <c r="M265" s="3"/>
      <c r="N265" s="3"/>
      <c r="O265" s="3"/>
      <c r="P265" s="3"/>
      <c r="Q265" s="3"/>
      <c r="R265" s="3"/>
      <c r="S265" s="3"/>
      <c r="T265" s="3"/>
    </row>
    <row r="266" spans="1:20" ht="15" customHeight="1" x14ac:dyDescent="0.2">
      <c r="A266" s="56"/>
      <c r="B266" s="58"/>
      <c r="C266" s="56"/>
      <c r="D266" s="58"/>
      <c r="E266" s="56"/>
      <c r="F266" s="58"/>
      <c r="G266" s="56"/>
      <c r="H266" s="58"/>
      <c r="I266" s="56"/>
      <c r="J266" s="58"/>
      <c r="K266" s="56" t="s">
        <v>479</v>
      </c>
      <c r="L266" s="65"/>
      <c r="M266" s="3"/>
      <c r="N266" s="3"/>
      <c r="O266" s="3"/>
      <c r="P266" s="3"/>
      <c r="Q266" s="3"/>
      <c r="R266" s="3"/>
      <c r="S266" s="3"/>
      <c r="T266" s="3"/>
    </row>
    <row r="267" spans="1:20" ht="15" customHeight="1" x14ac:dyDescent="0.2">
      <c r="A267" s="56"/>
      <c r="B267" s="58"/>
      <c r="C267" s="56"/>
      <c r="D267" s="58"/>
      <c r="E267" s="56"/>
      <c r="F267" s="58"/>
      <c r="G267" s="56"/>
      <c r="H267" s="58"/>
      <c r="I267" s="56"/>
      <c r="J267" s="58"/>
      <c r="K267" s="56" t="s">
        <v>479</v>
      </c>
      <c r="L267" s="65"/>
      <c r="M267" s="3"/>
      <c r="N267" s="3"/>
      <c r="O267" s="3"/>
      <c r="P267" s="3"/>
      <c r="Q267" s="3"/>
      <c r="R267" s="3"/>
      <c r="S267" s="3"/>
      <c r="T267" s="3"/>
    </row>
    <row r="268" spans="1:20" ht="15" customHeight="1" x14ac:dyDescent="0.2">
      <c r="A268" s="56"/>
      <c r="B268" s="58"/>
      <c r="C268" s="56"/>
      <c r="D268" s="58"/>
      <c r="E268" s="56"/>
      <c r="F268" s="58"/>
      <c r="G268" s="56"/>
      <c r="H268" s="58"/>
      <c r="I268" s="56"/>
      <c r="J268" s="58"/>
      <c r="K268" s="56" t="s">
        <v>479</v>
      </c>
      <c r="L268" s="65"/>
      <c r="M268" s="3"/>
      <c r="N268" s="3"/>
      <c r="O268" s="3"/>
      <c r="P268" s="3"/>
      <c r="Q268" s="3"/>
      <c r="R268" s="3"/>
      <c r="S268" s="3"/>
      <c r="T268" s="3"/>
    </row>
    <row r="269" spans="1:20" ht="15" customHeight="1" x14ac:dyDescent="0.2">
      <c r="A269" s="56"/>
      <c r="B269" s="58"/>
      <c r="C269" s="56"/>
      <c r="D269" s="58"/>
      <c r="E269" s="56"/>
      <c r="F269" s="58"/>
      <c r="G269" s="56"/>
      <c r="H269" s="58"/>
      <c r="I269" s="56"/>
      <c r="J269" s="58"/>
      <c r="K269" s="56" t="s">
        <v>479</v>
      </c>
      <c r="L269" s="65"/>
      <c r="M269" s="3"/>
      <c r="N269" s="3"/>
      <c r="O269" s="3"/>
      <c r="P269" s="3"/>
      <c r="Q269" s="3"/>
      <c r="R269" s="3"/>
      <c r="S269" s="3"/>
      <c r="T269" s="3"/>
    </row>
    <row r="270" spans="1:20" ht="15" customHeight="1" x14ac:dyDescent="0.2">
      <c r="A270" s="56"/>
      <c r="B270" s="58"/>
      <c r="C270" s="56"/>
      <c r="D270" s="58"/>
      <c r="E270" s="56"/>
      <c r="F270" s="58"/>
      <c r="G270" s="56"/>
      <c r="H270" s="58"/>
      <c r="I270" s="56"/>
      <c r="J270" s="58"/>
      <c r="K270" s="56" t="s">
        <v>479</v>
      </c>
      <c r="L270" s="65"/>
      <c r="M270" s="3"/>
      <c r="N270" s="3"/>
      <c r="O270" s="3"/>
      <c r="P270" s="3"/>
      <c r="Q270" s="3"/>
      <c r="R270" s="3"/>
      <c r="S270" s="3"/>
      <c r="T270" s="3"/>
    </row>
    <row r="271" spans="1:20" ht="15" customHeight="1" x14ac:dyDescent="0.2">
      <c r="A271" s="56"/>
      <c r="B271" s="58"/>
      <c r="C271" s="56"/>
      <c r="D271" s="58"/>
      <c r="E271" s="56"/>
      <c r="F271" s="58"/>
      <c r="G271" s="56"/>
      <c r="H271" s="58"/>
      <c r="I271" s="56"/>
      <c r="J271" s="58"/>
      <c r="K271" s="56" t="s">
        <v>479</v>
      </c>
      <c r="L271" s="65"/>
      <c r="M271" s="3"/>
      <c r="N271" s="3"/>
      <c r="O271" s="3"/>
      <c r="P271" s="3"/>
      <c r="Q271" s="3"/>
      <c r="R271" s="3"/>
      <c r="S271" s="3"/>
      <c r="T271" s="3"/>
    </row>
    <row r="272" spans="1:20" ht="15" customHeight="1" x14ac:dyDescent="0.2">
      <c r="A272" s="56"/>
      <c r="B272" s="58"/>
      <c r="C272" s="56"/>
      <c r="D272" s="58"/>
      <c r="E272" s="56"/>
      <c r="F272" s="58"/>
      <c r="G272" s="56"/>
      <c r="H272" s="58"/>
      <c r="I272" s="56"/>
      <c r="J272" s="58"/>
      <c r="K272" s="56" t="s">
        <v>479</v>
      </c>
      <c r="L272" s="65"/>
      <c r="M272" s="3"/>
      <c r="N272" s="3"/>
      <c r="O272" s="3"/>
      <c r="P272" s="3"/>
      <c r="Q272" s="3"/>
      <c r="R272" s="3"/>
      <c r="S272" s="3"/>
      <c r="T272" s="3"/>
    </row>
    <row r="273" spans="1:20" ht="15" customHeight="1" x14ac:dyDescent="0.2">
      <c r="A273" s="56"/>
      <c r="B273" s="58"/>
      <c r="C273" s="56"/>
      <c r="D273" s="58"/>
      <c r="E273" s="56"/>
      <c r="F273" s="58"/>
      <c r="G273" s="56"/>
      <c r="H273" s="58"/>
      <c r="I273" s="56"/>
      <c r="J273" s="58"/>
      <c r="K273" s="56" t="s">
        <v>479</v>
      </c>
      <c r="L273" s="65"/>
      <c r="M273" s="3"/>
      <c r="N273" s="3"/>
      <c r="O273" s="3"/>
      <c r="P273" s="3"/>
      <c r="Q273" s="3"/>
      <c r="R273" s="3"/>
      <c r="S273" s="3"/>
      <c r="T273" s="3"/>
    </row>
    <row r="274" spans="1:20" ht="15" customHeight="1" x14ac:dyDescent="0.2">
      <c r="A274" s="56"/>
      <c r="B274" s="58"/>
      <c r="C274" s="56"/>
      <c r="D274" s="58"/>
      <c r="E274" s="56"/>
      <c r="F274" s="58"/>
      <c r="G274" s="56"/>
      <c r="H274" s="58"/>
      <c r="I274" s="56"/>
      <c r="J274" s="58"/>
      <c r="K274" s="56" t="s">
        <v>479</v>
      </c>
      <c r="L274" s="65"/>
      <c r="M274" s="3"/>
      <c r="N274" s="3"/>
      <c r="O274" s="3"/>
      <c r="P274" s="3"/>
      <c r="Q274" s="3"/>
      <c r="R274" s="3"/>
      <c r="S274" s="3"/>
      <c r="T274" s="3"/>
    </row>
    <row r="275" spans="1:20" ht="15" customHeight="1" x14ac:dyDescent="0.2">
      <c r="A275" s="56"/>
      <c r="B275" s="58"/>
      <c r="C275" s="56"/>
      <c r="D275" s="58"/>
      <c r="E275" s="56"/>
      <c r="F275" s="58"/>
      <c r="G275" s="56"/>
      <c r="H275" s="58"/>
      <c r="I275" s="56"/>
      <c r="J275" s="58"/>
      <c r="K275" s="56" t="s">
        <v>479</v>
      </c>
      <c r="L275" s="65"/>
      <c r="M275" s="3"/>
      <c r="N275" s="3"/>
      <c r="O275" s="3"/>
      <c r="P275" s="3"/>
      <c r="Q275" s="3"/>
      <c r="R275" s="3"/>
      <c r="S275" s="3"/>
      <c r="T275" s="3"/>
    </row>
    <row r="276" spans="1:20" ht="15" customHeight="1" x14ac:dyDescent="0.2">
      <c r="A276" s="56"/>
      <c r="B276" s="58"/>
      <c r="C276" s="56"/>
      <c r="D276" s="58"/>
      <c r="E276" s="56"/>
      <c r="F276" s="58"/>
      <c r="G276" s="56"/>
      <c r="H276" s="58"/>
      <c r="I276" s="56"/>
      <c r="J276" s="58"/>
      <c r="K276" s="56" t="s">
        <v>479</v>
      </c>
      <c r="L276" s="65"/>
      <c r="M276" s="3"/>
      <c r="N276" s="3"/>
      <c r="O276" s="3"/>
      <c r="P276" s="3"/>
      <c r="Q276" s="3"/>
      <c r="R276" s="3"/>
      <c r="S276" s="3"/>
      <c r="T276" s="3"/>
    </row>
    <row r="277" spans="1:20" ht="15" customHeight="1" x14ac:dyDescent="0.2">
      <c r="A277" s="56"/>
      <c r="B277" s="58"/>
      <c r="C277" s="56"/>
      <c r="D277" s="58"/>
      <c r="E277" s="56"/>
      <c r="F277" s="58"/>
      <c r="G277" s="56"/>
      <c r="H277" s="58"/>
      <c r="I277" s="56"/>
      <c r="J277" s="58"/>
      <c r="K277" s="56" t="s">
        <v>479</v>
      </c>
      <c r="L277" s="65"/>
      <c r="M277" s="3"/>
      <c r="N277" s="3"/>
      <c r="O277" s="3"/>
      <c r="P277" s="3"/>
      <c r="Q277" s="3"/>
      <c r="R277" s="3"/>
      <c r="S277" s="3"/>
      <c r="T277" s="3"/>
    </row>
    <row r="278" spans="1:20" ht="15" customHeight="1" x14ac:dyDescent="0.2">
      <c r="A278" s="56"/>
      <c r="B278" s="58"/>
      <c r="C278" s="56"/>
      <c r="D278" s="58"/>
      <c r="E278" s="56"/>
      <c r="F278" s="58"/>
      <c r="G278" s="56"/>
      <c r="H278" s="58"/>
      <c r="I278" s="56"/>
      <c r="J278" s="58"/>
      <c r="K278" s="56" t="s">
        <v>479</v>
      </c>
      <c r="L278" s="65"/>
      <c r="M278" s="3"/>
      <c r="N278" s="3"/>
      <c r="O278" s="3"/>
      <c r="P278" s="3"/>
      <c r="Q278" s="3"/>
      <c r="R278" s="3"/>
      <c r="S278" s="3"/>
      <c r="T278" s="3"/>
    </row>
    <row r="279" spans="1:20" ht="15" customHeight="1" x14ac:dyDescent="0.2">
      <c r="A279" s="56"/>
      <c r="B279" s="58"/>
      <c r="C279" s="56"/>
      <c r="D279" s="58"/>
      <c r="E279" s="56"/>
      <c r="F279" s="58"/>
      <c r="G279" s="56"/>
      <c r="H279" s="58"/>
      <c r="I279" s="56"/>
      <c r="J279" s="58"/>
      <c r="K279" s="56" t="s">
        <v>479</v>
      </c>
      <c r="L279" s="65"/>
      <c r="M279" s="3"/>
      <c r="N279" s="3"/>
      <c r="O279" s="3"/>
      <c r="P279" s="3"/>
      <c r="Q279" s="3"/>
      <c r="R279" s="3"/>
      <c r="S279" s="3"/>
      <c r="T279" s="3"/>
    </row>
    <row r="280" spans="1:20" ht="15" customHeight="1" x14ac:dyDescent="0.2">
      <c r="A280" s="56"/>
      <c r="B280" s="58"/>
      <c r="C280" s="56"/>
      <c r="D280" s="58"/>
      <c r="E280" s="56"/>
      <c r="F280" s="58"/>
      <c r="G280" s="56"/>
      <c r="H280" s="58"/>
      <c r="I280" s="56"/>
      <c r="J280" s="58"/>
      <c r="K280" s="56" t="s">
        <v>479</v>
      </c>
      <c r="L280" s="65"/>
      <c r="M280" s="3"/>
      <c r="N280" s="3"/>
      <c r="O280" s="3"/>
      <c r="P280" s="3"/>
      <c r="Q280" s="3"/>
      <c r="R280" s="3"/>
      <c r="S280" s="3"/>
      <c r="T280" s="3"/>
    </row>
    <row r="281" spans="1:20" ht="15" customHeight="1" x14ac:dyDescent="0.2">
      <c r="A281" s="56"/>
      <c r="B281" s="58"/>
      <c r="C281" s="56"/>
      <c r="D281" s="58"/>
      <c r="E281" s="56"/>
      <c r="F281" s="58"/>
      <c r="G281" s="56"/>
      <c r="H281" s="58"/>
      <c r="I281" s="56"/>
      <c r="J281" s="58"/>
      <c r="K281" s="56" t="s">
        <v>479</v>
      </c>
      <c r="L281" s="65"/>
      <c r="M281" s="3"/>
      <c r="N281" s="3"/>
      <c r="O281" s="3"/>
      <c r="P281" s="3"/>
      <c r="Q281" s="3"/>
      <c r="R281" s="3"/>
      <c r="S281" s="3"/>
      <c r="T281" s="3"/>
    </row>
    <row r="282" spans="1:20" ht="15" customHeight="1" x14ac:dyDescent="0.2">
      <c r="A282" s="56"/>
      <c r="B282" s="58"/>
      <c r="C282" s="56"/>
      <c r="D282" s="58"/>
      <c r="E282" s="56"/>
      <c r="F282" s="58"/>
      <c r="G282" s="56"/>
      <c r="H282" s="58"/>
      <c r="I282" s="56"/>
      <c r="J282" s="58"/>
      <c r="K282" s="56" t="s">
        <v>479</v>
      </c>
      <c r="L282" s="65"/>
      <c r="M282" s="3"/>
      <c r="N282" s="3"/>
      <c r="O282" s="3"/>
      <c r="P282" s="3"/>
      <c r="Q282" s="3"/>
      <c r="R282" s="3"/>
      <c r="S282" s="3"/>
      <c r="T282" s="3"/>
    </row>
    <row r="283" spans="1:20" ht="15" customHeight="1" x14ac:dyDescent="0.2">
      <c r="A283" s="56"/>
      <c r="B283" s="58"/>
      <c r="C283" s="56"/>
      <c r="D283" s="58"/>
      <c r="E283" s="56"/>
      <c r="F283" s="58"/>
      <c r="G283" s="56"/>
      <c r="H283" s="58"/>
      <c r="I283" s="56"/>
      <c r="J283" s="58"/>
      <c r="K283" s="56" t="s">
        <v>479</v>
      </c>
      <c r="L283" s="65"/>
      <c r="M283" s="3"/>
      <c r="N283" s="3"/>
      <c r="O283" s="3"/>
      <c r="P283" s="3"/>
      <c r="Q283" s="3"/>
      <c r="R283" s="3"/>
      <c r="S283" s="3"/>
      <c r="T283" s="3"/>
    </row>
    <row r="284" spans="1:20" ht="15" customHeight="1" x14ac:dyDescent="0.2">
      <c r="A284" s="56"/>
      <c r="B284" s="58"/>
      <c r="C284" s="56"/>
      <c r="D284" s="58"/>
      <c r="E284" s="56"/>
      <c r="F284" s="58"/>
      <c r="G284" s="56"/>
      <c r="H284" s="58"/>
      <c r="I284" s="56"/>
      <c r="J284" s="58"/>
      <c r="K284" s="56" t="s">
        <v>479</v>
      </c>
      <c r="L284" s="65"/>
      <c r="M284" s="3"/>
      <c r="N284" s="3"/>
      <c r="O284" s="3"/>
      <c r="P284" s="3"/>
      <c r="Q284" s="3"/>
      <c r="R284" s="3"/>
      <c r="S284" s="3"/>
      <c r="T284" s="3"/>
    </row>
    <row r="285" spans="1:20" ht="15" customHeight="1" x14ac:dyDescent="0.2">
      <c r="A285" s="56"/>
      <c r="B285" s="58"/>
      <c r="C285" s="56"/>
      <c r="D285" s="58"/>
      <c r="E285" s="56"/>
      <c r="F285" s="58"/>
      <c r="G285" s="56"/>
      <c r="H285" s="58"/>
      <c r="I285" s="56"/>
      <c r="J285" s="58"/>
      <c r="K285" s="56" t="s">
        <v>479</v>
      </c>
      <c r="L285" s="65"/>
      <c r="M285" s="3"/>
      <c r="N285" s="3"/>
      <c r="O285" s="3"/>
      <c r="P285" s="3"/>
      <c r="Q285" s="3"/>
      <c r="R285" s="3"/>
      <c r="S285" s="3"/>
      <c r="T285" s="3"/>
    </row>
    <row r="286" spans="1:20" ht="15" customHeight="1" x14ac:dyDescent="0.2">
      <c r="A286" s="56"/>
      <c r="B286" s="58"/>
      <c r="C286" s="56"/>
      <c r="D286" s="58"/>
      <c r="E286" s="56"/>
      <c r="F286" s="58"/>
      <c r="G286" s="56"/>
      <c r="H286" s="58"/>
      <c r="I286" s="56"/>
      <c r="J286" s="58"/>
      <c r="K286" s="56" t="s">
        <v>479</v>
      </c>
      <c r="L286" s="65"/>
      <c r="M286" s="3"/>
      <c r="N286" s="3"/>
      <c r="O286" s="3"/>
      <c r="P286" s="3"/>
      <c r="Q286" s="3"/>
      <c r="R286" s="3"/>
      <c r="S286" s="3"/>
      <c r="T286" s="3"/>
    </row>
    <row r="287" spans="1:20" ht="15" customHeight="1" x14ac:dyDescent="0.2">
      <c r="A287" s="56"/>
      <c r="B287" s="58"/>
      <c r="C287" s="56"/>
      <c r="D287" s="58"/>
      <c r="E287" s="56"/>
      <c r="F287" s="58"/>
      <c r="G287" s="56"/>
      <c r="H287" s="58"/>
      <c r="I287" s="56"/>
      <c r="J287" s="58"/>
      <c r="K287" s="56" t="s">
        <v>479</v>
      </c>
      <c r="L287" s="65"/>
      <c r="M287" s="3"/>
      <c r="N287" s="3"/>
      <c r="O287" s="3"/>
      <c r="P287" s="3"/>
      <c r="Q287" s="3"/>
      <c r="R287" s="3"/>
      <c r="S287" s="3"/>
      <c r="T287" s="3"/>
    </row>
    <row r="288" spans="1:20" ht="15" customHeight="1" x14ac:dyDescent="0.2">
      <c r="A288" s="56"/>
      <c r="B288" s="58"/>
      <c r="C288" s="56"/>
      <c r="D288" s="58"/>
      <c r="E288" s="56"/>
      <c r="F288" s="58"/>
      <c r="G288" s="56"/>
      <c r="H288" s="58"/>
      <c r="I288" s="56"/>
      <c r="J288" s="58"/>
      <c r="K288" s="56" t="s">
        <v>479</v>
      </c>
      <c r="L288" s="65"/>
      <c r="M288" s="3"/>
      <c r="N288" s="3"/>
      <c r="O288" s="3"/>
      <c r="P288" s="3"/>
      <c r="Q288" s="3"/>
      <c r="R288" s="3"/>
      <c r="S288" s="3"/>
      <c r="T288" s="3"/>
    </row>
    <row r="289" spans="1:20" ht="15" customHeight="1" x14ac:dyDescent="0.2">
      <c r="A289" s="56"/>
      <c r="B289" s="58"/>
      <c r="C289" s="56"/>
      <c r="D289" s="58"/>
      <c r="E289" s="56"/>
      <c r="F289" s="58"/>
      <c r="G289" s="56"/>
      <c r="H289" s="58"/>
      <c r="I289" s="56"/>
      <c r="J289" s="58"/>
      <c r="K289" s="56" t="s">
        <v>479</v>
      </c>
      <c r="L289" s="65"/>
      <c r="M289" s="3"/>
      <c r="N289" s="3"/>
      <c r="O289" s="3"/>
      <c r="P289" s="3"/>
      <c r="Q289" s="3"/>
      <c r="R289" s="3"/>
      <c r="S289" s="3"/>
      <c r="T289" s="3"/>
    </row>
    <row r="290" spans="1:20" ht="15" customHeight="1" x14ac:dyDescent="0.2">
      <c r="A290" s="56"/>
      <c r="B290" s="58"/>
      <c r="C290" s="56"/>
      <c r="D290" s="58"/>
      <c r="E290" s="56"/>
      <c r="F290" s="58"/>
      <c r="G290" s="56"/>
      <c r="H290" s="58"/>
      <c r="I290" s="56"/>
      <c r="J290" s="58"/>
      <c r="K290" s="56" t="s">
        <v>479</v>
      </c>
      <c r="L290" s="65"/>
      <c r="M290" s="3"/>
      <c r="N290" s="3"/>
      <c r="O290" s="3"/>
      <c r="P290" s="3"/>
      <c r="Q290" s="3"/>
      <c r="R290" s="3"/>
      <c r="S290" s="3"/>
      <c r="T290" s="3"/>
    </row>
    <row r="291" spans="1:20" ht="15" customHeight="1" x14ac:dyDescent="0.2">
      <c r="A291" s="56"/>
      <c r="B291" s="58"/>
      <c r="C291" s="56"/>
      <c r="D291" s="58"/>
      <c r="E291" s="56"/>
      <c r="F291" s="58"/>
      <c r="G291" s="56"/>
      <c r="H291" s="58"/>
      <c r="I291" s="56"/>
      <c r="J291" s="58"/>
      <c r="K291" s="56" t="s">
        <v>479</v>
      </c>
      <c r="L291" s="65"/>
      <c r="M291" s="3"/>
      <c r="N291" s="3"/>
      <c r="O291" s="3"/>
      <c r="P291" s="3"/>
      <c r="Q291" s="3"/>
      <c r="R291" s="3"/>
      <c r="S291" s="3"/>
      <c r="T291" s="3"/>
    </row>
    <row r="292" spans="1:20" ht="15" customHeight="1" x14ac:dyDescent="0.2">
      <c r="A292" s="56"/>
      <c r="B292" s="58"/>
      <c r="C292" s="56"/>
      <c r="D292" s="58"/>
      <c r="E292" s="56"/>
      <c r="F292" s="58"/>
      <c r="G292" s="56"/>
      <c r="H292" s="58"/>
      <c r="I292" s="56"/>
      <c r="J292" s="58"/>
      <c r="K292" s="56" t="s">
        <v>479</v>
      </c>
      <c r="L292" s="65"/>
      <c r="M292" s="3"/>
      <c r="N292" s="3"/>
      <c r="O292" s="3"/>
      <c r="P292" s="3"/>
      <c r="Q292" s="3"/>
      <c r="R292" s="3"/>
      <c r="S292" s="3"/>
      <c r="T292" s="3"/>
    </row>
    <row r="293" spans="1:20" ht="15" customHeight="1" x14ac:dyDescent="0.2">
      <c r="A293" s="56"/>
      <c r="B293" s="58"/>
      <c r="C293" s="56"/>
      <c r="D293" s="58"/>
      <c r="E293" s="56"/>
      <c r="F293" s="58"/>
      <c r="G293" s="56"/>
      <c r="H293" s="58"/>
      <c r="I293" s="56"/>
      <c r="J293" s="58"/>
      <c r="K293" s="56" t="s">
        <v>479</v>
      </c>
      <c r="L293" s="65"/>
      <c r="M293" s="3"/>
      <c r="N293" s="3"/>
      <c r="O293" s="3"/>
      <c r="P293" s="3"/>
      <c r="Q293" s="3"/>
      <c r="R293" s="3"/>
      <c r="S293" s="3"/>
      <c r="T293" s="3"/>
    </row>
    <row r="294" spans="1:20" ht="15" customHeight="1" x14ac:dyDescent="0.2">
      <c r="A294" s="56"/>
      <c r="B294" s="58"/>
      <c r="C294" s="56"/>
      <c r="D294" s="58"/>
      <c r="E294" s="56"/>
      <c r="F294" s="58"/>
      <c r="G294" s="56"/>
      <c r="H294" s="58"/>
      <c r="I294" s="56"/>
      <c r="J294" s="58"/>
      <c r="K294" s="56" t="s">
        <v>479</v>
      </c>
      <c r="L294" s="65"/>
      <c r="M294" s="3"/>
      <c r="N294" s="3"/>
      <c r="O294" s="3"/>
      <c r="P294" s="3"/>
      <c r="Q294" s="3"/>
      <c r="R294" s="3"/>
      <c r="S294" s="3"/>
      <c r="T294" s="3"/>
    </row>
    <row r="295" spans="1:20" ht="15" customHeight="1" x14ac:dyDescent="0.2">
      <c r="A295" s="56"/>
      <c r="B295" s="58"/>
      <c r="C295" s="56"/>
      <c r="D295" s="58"/>
      <c r="E295" s="56"/>
      <c r="F295" s="58"/>
      <c r="G295" s="56"/>
      <c r="H295" s="58"/>
      <c r="I295" s="56"/>
      <c r="J295" s="58"/>
      <c r="K295" s="56" t="s">
        <v>479</v>
      </c>
      <c r="L295" s="65"/>
      <c r="M295" s="3"/>
      <c r="N295" s="3"/>
      <c r="O295" s="3"/>
      <c r="P295" s="3"/>
      <c r="Q295" s="3"/>
      <c r="R295" s="3"/>
      <c r="S295" s="3"/>
      <c r="T295" s="3"/>
    </row>
    <row r="296" spans="1:20" ht="15" customHeight="1" x14ac:dyDescent="0.2">
      <c r="A296" s="56"/>
      <c r="B296" s="58"/>
      <c r="C296" s="56"/>
      <c r="D296" s="58"/>
      <c r="E296" s="56"/>
      <c r="F296" s="58"/>
      <c r="G296" s="56"/>
      <c r="H296" s="58"/>
      <c r="I296" s="56"/>
      <c r="J296" s="58"/>
      <c r="K296" s="56" t="s">
        <v>479</v>
      </c>
      <c r="L296" s="65"/>
      <c r="M296" s="3"/>
      <c r="N296" s="3"/>
      <c r="O296" s="3"/>
      <c r="P296" s="3"/>
      <c r="Q296" s="3"/>
      <c r="R296" s="3"/>
      <c r="S296" s="3"/>
      <c r="T296" s="3"/>
    </row>
    <row r="297" spans="1:20" ht="15" customHeight="1" x14ac:dyDescent="0.2">
      <c r="A297" s="56"/>
      <c r="B297" s="58"/>
      <c r="C297" s="56"/>
      <c r="D297" s="58"/>
      <c r="E297" s="56"/>
      <c r="F297" s="58"/>
      <c r="G297" s="56"/>
      <c r="H297" s="58"/>
      <c r="I297" s="56"/>
      <c r="J297" s="58"/>
      <c r="K297" s="56" t="s">
        <v>479</v>
      </c>
      <c r="L297" s="65"/>
      <c r="M297" s="3"/>
      <c r="N297" s="3"/>
      <c r="O297" s="3"/>
      <c r="P297" s="3"/>
      <c r="Q297" s="3"/>
      <c r="R297" s="3"/>
      <c r="S297" s="3"/>
      <c r="T297" s="3"/>
    </row>
    <row r="298" spans="1:20" ht="15" customHeight="1" x14ac:dyDescent="0.2">
      <c r="A298" s="56"/>
      <c r="B298" s="58"/>
      <c r="C298" s="56"/>
      <c r="D298" s="58"/>
      <c r="E298" s="56"/>
      <c r="F298" s="58"/>
      <c r="G298" s="56"/>
      <c r="H298" s="58"/>
      <c r="I298" s="56"/>
      <c r="J298" s="58"/>
      <c r="K298" s="56" t="s">
        <v>479</v>
      </c>
      <c r="L298" s="65"/>
      <c r="M298" s="3"/>
      <c r="N298" s="3"/>
      <c r="O298" s="3"/>
      <c r="P298" s="3"/>
      <c r="Q298" s="3"/>
      <c r="R298" s="3"/>
      <c r="S298" s="3"/>
      <c r="T298" s="3"/>
    </row>
    <row r="299" spans="1:20" ht="15" customHeight="1" x14ac:dyDescent="0.2">
      <c r="A299" s="56"/>
      <c r="B299" s="58"/>
      <c r="C299" s="56"/>
      <c r="D299" s="58"/>
      <c r="E299" s="56"/>
      <c r="F299" s="58"/>
      <c r="G299" s="56"/>
      <c r="H299" s="58"/>
      <c r="I299" s="56"/>
      <c r="J299" s="58"/>
      <c r="K299" s="56" t="s">
        <v>479</v>
      </c>
      <c r="L299" s="65"/>
      <c r="M299" s="3"/>
      <c r="N299" s="3"/>
      <c r="O299" s="3"/>
      <c r="P299" s="3"/>
      <c r="Q299" s="3"/>
      <c r="R299" s="3"/>
      <c r="S299" s="3"/>
      <c r="T299" s="3"/>
    </row>
    <row r="300" spans="1:20" ht="15" customHeight="1" x14ac:dyDescent="0.2">
      <c r="A300" s="56"/>
      <c r="B300" s="58"/>
      <c r="C300" s="56"/>
      <c r="D300" s="58"/>
      <c r="E300" s="56"/>
      <c r="F300" s="58"/>
      <c r="G300" s="56"/>
      <c r="H300" s="58"/>
      <c r="I300" s="56"/>
      <c r="J300" s="58"/>
      <c r="K300" s="56" t="s">
        <v>479</v>
      </c>
      <c r="L300" s="65"/>
      <c r="M300" s="3"/>
      <c r="N300" s="3"/>
      <c r="O300" s="3"/>
      <c r="P300" s="3"/>
      <c r="Q300" s="3"/>
      <c r="R300" s="3"/>
      <c r="S300" s="3"/>
      <c r="T300" s="3"/>
    </row>
    <row r="301" spans="1:20" ht="15" customHeight="1" x14ac:dyDescent="0.2">
      <c r="A301" s="56"/>
      <c r="B301" s="58"/>
      <c r="C301" s="56"/>
      <c r="D301" s="58"/>
      <c r="E301" s="56"/>
      <c r="F301" s="58"/>
      <c r="G301" s="56"/>
      <c r="H301" s="58"/>
      <c r="I301" s="56"/>
      <c r="J301" s="58"/>
      <c r="K301" s="56" t="s">
        <v>479</v>
      </c>
      <c r="L301" s="65"/>
      <c r="M301" s="3"/>
      <c r="N301" s="3"/>
      <c r="O301" s="3"/>
      <c r="P301" s="3"/>
      <c r="Q301" s="3"/>
      <c r="R301" s="3"/>
      <c r="S301" s="3"/>
      <c r="T301" s="3"/>
    </row>
    <row r="302" spans="1:20" ht="15" customHeight="1" x14ac:dyDescent="0.2">
      <c r="A302" s="56"/>
      <c r="B302" s="58"/>
      <c r="C302" s="56"/>
      <c r="D302" s="58"/>
      <c r="E302" s="56"/>
      <c r="F302" s="58"/>
      <c r="G302" s="56"/>
      <c r="H302" s="58"/>
      <c r="I302" s="56"/>
      <c r="J302" s="58"/>
      <c r="K302" s="56" t="s">
        <v>479</v>
      </c>
      <c r="L302" s="65"/>
      <c r="M302" s="3"/>
      <c r="N302" s="3"/>
      <c r="O302" s="3"/>
      <c r="P302" s="3"/>
      <c r="Q302" s="3"/>
      <c r="R302" s="3"/>
      <c r="S302" s="3"/>
      <c r="T302" s="3"/>
    </row>
    <row r="303" spans="1:20" ht="15" customHeight="1" x14ac:dyDescent="0.2">
      <c r="A303" s="56"/>
      <c r="B303" s="58"/>
      <c r="C303" s="56"/>
      <c r="D303" s="58"/>
      <c r="E303" s="56"/>
      <c r="F303" s="58"/>
      <c r="G303" s="56"/>
      <c r="H303" s="58"/>
      <c r="I303" s="56"/>
      <c r="J303" s="58"/>
      <c r="K303" s="56" t="s">
        <v>479</v>
      </c>
      <c r="L303" s="65"/>
      <c r="M303" s="3"/>
      <c r="N303" s="3"/>
      <c r="O303" s="3"/>
      <c r="P303" s="3"/>
      <c r="Q303" s="3"/>
      <c r="R303" s="3"/>
      <c r="S303" s="3"/>
      <c r="T303" s="3"/>
    </row>
    <row r="304" spans="1:20" ht="15" customHeight="1" x14ac:dyDescent="0.2">
      <c r="A304" s="56"/>
      <c r="B304" s="58"/>
      <c r="C304" s="56"/>
      <c r="D304" s="58"/>
      <c r="E304" s="56"/>
      <c r="F304" s="58"/>
      <c r="G304" s="56"/>
      <c r="H304" s="58"/>
      <c r="I304" s="56"/>
      <c r="J304" s="58"/>
      <c r="K304" s="56" t="s">
        <v>479</v>
      </c>
      <c r="L304" s="65"/>
      <c r="M304" s="3"/>
      <c r="N304" s="3"/>
      <c r="O304" s="3"/>
      <c r="P304" s="3"/>
      <c r="Q304" s="3"/>
      <c r="R304" s="3"/>
      <c r="S304" s="3"/>
      <c r="T304" s="3"/>
    </row>
    <row r="305" spans="1:20" ht="15" customHeight="1" x14ac:dyDescent="0.2">
      <c r="A305" s="56"/>
      <c r="B305" s="58"/>
      <c r="C305" s="56"/>
      <c r="D305" s="58"/>
      <c r="E305" s="56"/>
      <c r="F305" s="58"/>
      <c r="G305" s="56"/>
      <c r="H305" s="58"/>
      <c r="I305" s="56"/>
      <c r="J305" s="58"/>
      <c r="K305" s="56" t="s">
        <v>479</v>
      </c>
      <c r="L305" s="65"/>
      <c r="M305" s="3"/>
      <c r="N305" s="3"/>
      <c r="O305" s="3"/>
      <c r="P305" s="3"/>
      <c r="Q305" s="3"/>
      <c r="R305" s="3"/>
      <c r="S305" s="3"/>
      <c r="T305" s="3"/>
    </row>
    <row r="306" spans="1:20" ht="15" customHeight="1" x14ac:dyDescent="0.2">
      <c r="A306" s="56"/>
      <c r="B306" s="58"/>
      <c r="C306" s="56"/>
      <c r="D306" s="58"/>
      <c r="E306" s="56"/>
      <c r="F306" s="58"/>
      <c r="G306" s="56"/>
      <c r="H306" s="58"/>
      <c r="I306" s="56"/>
      <c r="J306" s="58"/>
      <c r="K306" s="56" t="s">
        <v>479</v>
      </c>
      <c r="L306" s="65"/>
      <c r="M306" s="3"/>
      <c r="N306" s="3"/>
      <c r="O306" s="3"/>
      <c r="P306" s="3"/>
      <c r="Q306" s="3"/>
      <c r="R306" s="3"/>
      <c r="S306" s="3"/>
      <c r="T306" s="3"/>
    </row>
    <row r="307" spans="1:20" ht="15" customHeight="1" x14ac:dyDescent="0.2">
      <c r="A307" s="56"/>
      <c r="B307" s="58"/>
      <c r="C307" s="56"/>
      <c r="D307" s="58"/>
      <c r="E307" s="56"/>
      <c r="F307" s="58"/>
      <c r="G307" s="56"/>
      <c r="H307" s="58"/>
      <c r="I307" s="56"/>
      <c r="J307" s="58"/>
      <c r="K307" s="56" t="s">
        <v>479</v>
      </c>
      <c r="L307" s="65"/>
      <c r="M307" s="3"/>
      <c r="N307" s="3"/>
      <c r="O307" s="3"/>
      <c r="P307" s="3"/>
      <c r="Q307" s="3"/>
      <c r="R307" s="3"/>
      <c r="S307" s="3"/>
      <c r="T307" s="3"/>
    </row>
    <row r="308" spans="1:20" ht="15" customHeight="1" x14ac:dyDescent="0.2">
      <c r="A308" s="56"/>
      <c r="B308" s="58"/>
      <c r="C308" s="56"/>
      <c r="D308" s="58"/>
      <c r="E308" s="56"/>
      <c r="F308" s="58"/>
      <c r="G308" s="56"/>
      <c r="H308" s="58"/>
      <c r="I308" s="56"/>
      <c r="J308" s="58"/>
      <c r="K308" s="56" t="s">
        <v>479</v>
      </c>
      <c r="L308" s="65"/>
      <c r="M308" s="3"/>
      <c r="N308" s="3"/>
      <c r="O308" s="3"/>
      <c r="P308" s="3"/>
      <c r="Q308" s="3"/>
      <c r="R308" s="3"/>
      <c r="S308" s="3"/>
      <c r="T308" s="3"/>
    </row>
    <row r="309" spans="1:20" ht="15" customHeight="1" x14ac:dyDescent="0.2">
      <c r="A309" s="56"/>
      <c r="B309" s="58"/>
      <c r="C309" s="56"/>
      <c r="D309" s="58"/>
      <c r="E309" s="56"/>
      <c r="F309" s="58"/>
      <c r="G309" s="56"/>
      <c r="H309" s="58"/>
      <c r="I309" s="56"/>
      <c r="J309" s="58"/>
      <c r="K309" s="56" t="s">
        <v>479</v>
      </c>
      <c r="L309" s="65"/>
      <c r="M309" s="3"/>
      <c r="N309" s="3"/>
      <c r="O309" s="3"/>
      <c r="P309" s="3"/>
      <c r="Q309" s="3"/>
      <c r="R309" s="3"/>
      <c r="S309" s="3"/>
      <c r="T309" s="3"/>
    </row>
    <row r="310" spans="1:20" ht="15" customHeight="1" x14ac:dyDescent="0.2">
      <c r="A310" s="56"/>
      <c r="B310" s="58"/>
      <c r="C310" s="56"/>
      <c r="D310" s="58"/>
      <c r="E310" s="56"/>
      <c r="F310" s="58"/>
      <c r="G310" s="56"/>
      <c r="H310" s="58"/>
      <c r="I310" s="56"/>
      <c r="J310" s="58"/>
      <c r="K310" s="56" t="s">
        <v>479</v>
      </c>
      <c r="L310" s="65"/>
      <c r="M310" s="3"/>
      <c r="N310" s="3"/>
      <c r="O310" s="3"/>
      <c r="P310" s="3"/>
      <c r="Q310" s="3"/>
      <c r="R310" s="3"/>
      <c r="S310" s="3"/>
      <c r="T310" s="3"/>
    </row>
    <row r="311" spans="1:20" ht="15" customHeight="1" x14ac:dyDescent="0.2">
      <c r="A311" s="56"/>
      <c r="B311" s="58"/>
      <c r="C311" s="56"/>
      <c r="D311" s="58"/>
      <c r="E311" s="56"/>
      <c r="F311" s="58"/>
      <c r="G311" s="56"/>
      <c r="H311" s="58"/>
      <c r="I311" s="56"/>
      <c r="J311" s="58"/>
      <c r="K311" s="56" t="s">
        <v>479</v>
      </c>
      <c r="L311" s="65"/>
      <c r="M311" s="3"/>
      <c r="N311" s="3"/>
      <c r="O311" s="3"/>
      <c r="P311" s="3"/>
      <c r="Q311" s="3"/>
      <c r="R311" s="3"/>
      <c r="S311" s="3"/>
      <c r="T311" s="3"/>
    </row>
    <row r="312" spans="1:20" ht="15" customHeight="1" x14ac:dyDescent="0.2">
      <c r="A312" s="56"/>
      <c r="B312" s="58"/>
      <c r="C312" s="56"/>
      <c r="D312" s="58"/>
      <c r="E312" s="56"/>
      <c r="F312" s="58"/>
      <c r="G312" s="56"/>
      <c r="H312" s="58"/>
      <c r="I312" s="56"/>
      <c r="J312" s="58"/>
      <c r="K312" s="56" t="s">
        <v>479</v>
      </c>
      <c r="L312" s="65"/>
      <c r="M312" s="3"/>
      <c r="N312" s="3"/>
      <c r="O312" s="3"/>
      <c r="P312" s="3"/>
      <c r="Q312" s="3"/>
      <c r="R312" s="3"/>
      <c r="S312" s="3"/>
      <c r="T312" s="3"/>
    </row>
    <row r="313" spans="1:20" ht="15" customHeight="1" x14ac:dyDescent="0.2">
      <c r="A313" s="56"/>
      <c r="B313" s="58"/>
      <c r="C313" s="56"/>
      <c r="D313" s="58"/>
      <c r="E313" s="56"/>
      <c r="F313" s="58"/>
      <c r="G313" s="56"/>
      <c r="H313" s="58"/>
      <c r="I313" s="56"/>
      <c r="J313" s="58"/>
      <c r="K313" s="56" t="s">
        <v>479</v>
      </c>
      <c r="L313" s="65"/>
      <c r="M313" s="3"/>
      <c r="N313" s="3"/>
      <c r="O313" s="3"/>
      <c r="P313" s="3"/>
      <c r="Q313" s="3"/>
      <c r="R313" s="3"/>
      <c r="S313" s="3"/>
      <c r="T313" s="3"/>
    </row>
    <row r="314" spans="1:20" ht="15" customHeight="1" x14ac:dyDescent="0.2">
      <c r="A314" s="56"/>
      <c r="B314" s="58"/>
      <c r="C314" s="56"/>
      <c r="D314" s="58"/>
      <c r="E314" s="56"/>
      <c r="F314" s="58"/>
      <c r="G314" s="56"/>
      <c r="H314" s="58"/>
      <c r="I314" s="56"/>
      <c r="J314" s="58"/>
      <c r="K314" s="56" t="s">
        <v>479</v>
      </c>
      <c r="L314" s="65"/>
      <c r="M314" s="3"/>
      <c r="N314" s="3"/>
      <c r="O314" s="3"/>
      <c r="P314" s="3"/>
      <c r="Q314" s="3"/>
      <c r="R314" s="3"/>
      <c r="S314" s="3"/>
      <c r="T314" s="3"/>
    </row>
    <row r="315" spans="1:20" ht="15" customHeight="1" x14ac:dyDescent="0.2">
      <c r="A315" s="56"/>
      <c r="B315" s="58"/>
      <c r="C315" s="56"/>
      <c r="D315" s="58"/>
      <c r="E315" s="56"/>
      <c r="F315" s="58"/>
      <c r="G315" s="56"/>
      <c r="H315" s="58"/>
      <c r="I315" s="56"/>
      <c r="J315" s="58"/>
      <c r="K315" s="56" t="s">
        <v>479</v>
      </c>
      <c r="L315" s="65"/>
      <c r="M315" s="3"/>
      <c r="N315" s="3"/>
      <c r="O315" s="3"/>
      <c r="P315" s="3"/>
      <c r="Q315" s="3"/>
      <c r="R315" s="3"/>
      <c r="S315" s="3"/>
      <c r="T315" s="3"/>
    </row>
    <row r="316" spans="1:20" ht="15" customHeight="1" x14ac:dyDescent="0.2">
      <c r="A316" s="56"/>
      <c r="B316" s="58"/>
      <c r="C316" s="56"/>
      <c r="D316" s="58"/>
      <c r="E316" s="56"/>
      <c r="F316" s="58"/>
      <c r="G316" s="56"/>
      <c r="H316" s="58"/>
      <c r="I316" s="56"/>
      <c r="J316" s="58"/>
      <c r="K316" s="56" t="s">
        <v>479</v>
      </c>
      <c r="L316" s="65"/>
      <c r="M316" s="3"/>
      <c r="N316" s="3"/>
      <c r="O316" s="3"/>
      <c r="P316" s="3"/>
      <c r="Q316" s="3"/>
      <c r="R316" s="3"/>
      <c r="S316" s="3"/>
      <c r="T316" s="3"/>
    </row>
    <row r="317" spans="1:20" ht="15" customHeight="1" x14ac:dyDescent="0.2">
      <c r="A317" s="56"/>
      <c r="B317" s="58"/>
      <c r="C317" s="56"/>
      <c r="D317" s="58"/>
      <c r="E317" s="56"/>
      <c r="F317" s="58"/>
      <c r="G317" s="56"/>
      <c r="H317" s="58"/>
      <c r="I317" s="56"/>
      <c r="J317" s="58"/>
      <c r="K317" s="56" t="s">
        <v>479</v>
      </c>
      <c r="L317" s="65"/>
      <c r="M317" s="3"/>
      <c r="N317" s="3"/>
      <c r="O317" s="3"/>
      <c r="P317" s="3"/>
      <c r="Q317" s="3"/>
      <c r="R317" s="3"/>
      <c r="S317" s="3"/>
      <c r="T317" s="3"/>
    </row>
    <row r="318" spans="1:20" ht="15" customHeight="1" x14ac:dyDescent="0.2">
      <c r="A318" s="56"/>
      <c r="B318" s="58"/>
      <c r="C318" s="56"/>
      <c r="D318" s="58"/>
      <c r="E318" s="56"/>
      <c r="F318" s="58"/>
      <c r="G318" s="56"/>
      <c r="H318" s="58"/>
      <c r="I318" s="56"/>
      <c r="J318" s="58"/>
      <c r="K318" s="56" t="s">
        <v>479</v>
      </c>
      <c r="L318" s="65"/>
      <c r="M318" s="3"/>
      <c r="N318" s="3"/>
      <c r="O318" s="3"/>
      <c r="P318" s="3"/>
      <c r="Q318" s="3"/>
      <c r="R318" s="3"/>
      <c r="S318" s="3"/>
      <c r="T318" s="3"/>
    </row>
    <row r="319" spans="1:20" ht="15" customHeight="1" x14ac:dyDescent="0.2">
      <c r="A319" s="56"/>
      <c r="B319" s="58"/>
      <c r="C319" s="56"/>
      <c r="D319" s="58"/>
      <c r="E319" s="56"/>
      <c r="F319" s="58"/>
      <c r="G319" s="56"/>
      <c r="H319" s="58"/>
      <c r="I319" s="56"/>
      <c r="J319" s="58"/>
      <c r="K319" s="56" t="s">
        <v>479</v>
      </c>
      <c r="L319" s="65"/>
      <c r="M319" s="3"/>
      <c r="N319" s="3"/>
      <c r="O319" s="3"/>
      <c r="P319" s="3"/>
      <c r="Q319" s="3"/>
      <c r="R319" s="3"/>
      <c r="S319" s="3"/>
      <c r="T319" s="3"/>
    </row>
    <row r="320" spans="1:20" ht="15" customHeight="1" x14ac:dyDescent="0.2">
      <c r="A320" s="56"/>
      <c r="B320" s="58"/>
      <c r="C320" s="56"/>
      <c r="D320" s="58"/>
      <c r="E320" s="56"/>
      <c r="F320" s="58"/>
      <c r="G320" s="56"/>
      <c r="H320" s="58"/>
      <c r="I320" s="56"/>
      <c r="J320" s="58"/>
      <c r="K320" s="56" t="s">
        <v>479</v>
      </c>
      <c r="L320" s="65"/>
      <c r="M320" s="3"/>
      <c r="N320" s="3"/>
      <c r="O320" s="3"/>
      <c r="P320" s="3"/>
      <c r="Q320" s="3"/>
      <c r="R320" s="3"/>
      <c r="S320" s="3"/>
      <c r="T320" s="3"/>
    </row>
    <row r="321" spans="1:20" ht="15" customHeight="1" x14ac:dyDescent="0.2">
      <c r="A321" s="56"/>
      <c r="B321" s="58"/>
      <c r="C321" s="56"/>
      <c r="D321" s="58"/>
      <c r="E321" s="56"/>
      <c r="F321" s="58"/>
      <c r="G321" s="56"/>
      <c r="H321" s="58"/>
      <c r="I321" s="56"/>
      <c r="J321" s="58"/>
      <c r="K321" s="56" t="s">
        <v>479</v>
      </c>
      <c r="L321" s="65"/>
      <c r="M321" s="3"/>
      <c r="N321" s="3"/>
      <c r="O321" s="3"/>
      <c r="P321" s="3"/>
      <c r="Q321" s="3"/>
      <c r="R321" s="3"/>
      <c r="S321" s="3"/>
      <c r="T321" s="3"/>
    </row>
    <row r="322" spans="1:20" ht="15" customHeight="1" x14ac:dyDescent="0.2">
      <c r="A322" s="56"/>
      <c r="B322" s="58"/>
      <c r="C322" s="56"/>
      <c r="D322" s="58"/>
      <c r="E322" s="56"/>
      <c r="F322" s="58"/>
      <c r="G322" s="56"/>
      <c r="H322" s="58"/>
      <c r="I322" s="56"/>
      <c r="J322" s="58"/>
      <c r="K322" s="56" t="s">
        <v>479</v>
      </c>
      <c r="L322" s="65"/>
      <c r="M322" s="3"/>
      <c r="N322" s="3"/>
      <c r="O322" s="3"/>
      <c r="P322" s="3"/>
      <c r="Q322" s="3"/>
      <c r="R322" s="3"/>
      <c r="S322" s="3"/>
      <c r="T322" s="3"/>
    </row>
    <row r="323" spans="1:20" ht="15" customHeight="1" x14ac:dyDescent="0.2">
      <c r="A323" s="56"/>
      <c r="B323" s="58"/>
      <c r="C323" s="56"/>
      <c r="D323" s="58"/>
      <c r="E323" s="56"/>
      <c r="F323" s="58"/>
      <c r="G323" s="56"/>
      <c r="H323" s="58"/>
      <c r="I323" s="56"/>
      <c r="J323" s="58"/>
      <c r="K323" s="56" t="s">
        <v>479</v>
      </c>
      <c r="L323" s="65"/>
      <c r="M323" s="3"/>
      <c r="N323" s="3"/>
      <c r="O323" s="3"/>
      <c r="P323" s="3"/>
      <c r="Q323" s="3"/>
      <c r="R323" s="3"/>
      <c r="S323" s="3"/>
      <c r="T323" s="3"/>
    </row>
    <row r="324" spans="1:20" ht="15" customHeight="1" x14ac:dyDescent="0.2">
      <c r="A324" s="56"/>
      <c r="B324" s="58"/>
      <c r="C324" s="56"/>
      <c r="D324" s="58"/>
      <c r="E324" s="56"/>
      <c r="F324" s="58"/>
      <c r="G324" s="56"/>
      <c r="H324" s="58"/>
      <c r="I324" s="56"/>
      <c r="J324" s="58"/>
      <c r="K324" s="56" t="s">
        <v>479</v>
      </c>
      <c r="L324" s="65"/>
      <c r="M324" s="3"/>
      <c r="N324" s="3"/>
      <c r="O324" s="3"/>
      <c r="P324" s="3"/>
      <c r="Q324" s="3"/>
      <c r="R324" s="3"/>
      <c r="S324" s="3"/>
      <c r="T324" s="3"/>
    </row>
    <row r="325" spans="1:20" ht="15" customHeight="1" x14ac:dyDescent="0.2">
      <c r="A325" s="56"/>
      <c r="B325" s="58"/>
      <c r="C325" s="56"/>
      <c r="D325" s="58"/>
      <c r="E325" s="56"/>
      <c r="F325" s="58"/>
      <c r="G325" s="56"/>
      <c r="H325" s="58"/>
      <c r="I325" s="56"/>
      <c r="J325" s="58"/>
      <c r="K325" s="56" t="s">
        <v>479</v>
      </c>
      <c r="L325" s="65"/>
      <c r="M325" s="3"/>
      <c r="N325" s="3"/>
      <c r="O325" s="3"/>
      <c r="P325" s="3"/>
      <c r="Q325" s="3"/>
      <c r="R325" s="3"/>
      <c r="S325" s="3"/>
      <c r="T325" s="3"/>
    </row>
    <row r="326" spans="1:20" ht="15" customHeight="1" x14ac:dyDescent="0.2">
      <c r="A326" s="56"/>
      <c r="B326" s="58"/>
      <c r="C326" s="56"/>
      <c r="D326" s="58"/>
      <c r="E326" s="56"/>
      <c r="F326" s="58"/>
      <c r="G326" s="56"/>
      <c r="H326" s="58"/>
      <c r="I326" s="56"/>
      <c r="J326" s="58"/>
      <c r="K326" s="56" t="s">
        <v>479</v>
      </c>
      <c r="L326" s="65"/>
      <c r="M326" s="3"/>
      <c r="N326" s="3"/>
      <c r="O326" s="3"/>
      <c r="P326" s="3"/>
      <c r="Q326" s="3"/>
      <c r="R326" s="3"/>
      <c r="S326" s="3"/>
      <c r="T326" s="3"/>
    </row>
    <row r="327" spans="1:20" ht="15" customHeight="1" x14ac:dyDescent="0.2">
      <c r="A327" s="56"/>
      <c r="B327" s="58"/>
      <c r="C327" s="56"/>
      <c r="D327" s="58"/>
      <c r="E327" s="56"/>
      <c r="F327" s="58"/>
      <c r="G327" s="56"/>
      <c r="H327" s="58"/>
      <c r="I327" s="56"/>
      <c r="J327" s="58"/>
      <c r="K327" s="56" t="s">
        <v>479</v>
      </c>
      <c r="L327" s="65"/>
      <c r="M327" s="3"/>
      <c r="N327" s="3"/>
      <c r="O327" s="3"/>
      <c r="P327" s="3"/>
      <c r="Q327" s="3"/>
      <c r="R327" s="3"/>
      <c r="S327" s="3"/>
      <c r="T327" s="3"/>
    </row>
    <row r="328" spans="1:20" ht="15" customHeight="1" x14ac:dyDescent="0.2">
      <c r="A328" s="56"/>
      <c r="B328" s="58"/>
      <c r="C328" s="56"/>
      <c r="D328" s="58"/>
      <c r="E328" s="56"/>
      <c r="F328" s="58"/>
      <c r="G328" s="56"/>
      <c r="H328" s="58"/>
      <c r="I328" s="56"/>
      <c r="J328" s="58"/>
      <c r="K328" s="56" t="s">
        <v>479</v>
      </c>
      <c r="L328" s="65"/>
      <c r="M328" s="3"/>
      <c r="N328" s="3"/>
      <c r="O328" s="3"/>
      <c r="P328" s="3"/>
      <c r="Q328" s="3"/>
      <c r="R328" s="3"/>
      <c r="S328" s="3"/>
      <c r="T328" s="3"/>
    </row>
    <row r="329" spans="1:20" ht="15" customHeight="1" x14ac:dyDescent="0.2">
      <c r="A329" s="56"/>
      <c r="B329" s="58"/>
      <c r="C329" s="56"/>
      <c r="D329" s="58"/>
      <c r="E329" s="56"/>
      <c r="F329" s="58"/>
      <c r="G329" s="56"/>
      <c r="H329" s="58"/>
      <c r="I329" s="56"/>
      <c r="J329" s="58"/>
      <c r="K329" s="56" t="s">
        <v>479</v>
      </c>
      <c r="L329" s="65"/>
      <c r="M329" s="3"/>
      <c r="N329" s="3"/>
      <c r="O329" s="3"/>
      <c r="P329" s="3"/>
      <c r="Q329" s="3"/>
      <c r="R329" s="3"/>
      <c r="S329" s="3"/>
      <c r="T329" s="3"/>
    </row>
    <row r="330" spans="1:20" ht="15" customHeight="1" x14ac:dyDescent="0.2">
      <c r="A330" s="56"/>
      <c r="B330" s="58"/>
      <c r="C330" s="56"/>
      <c r="D330" s="58"/>
      <c r="E330" s="56"/>
      <c r="F330" s="58"/>
      <c r="G330" s="56"/>
      <c r="H330" s="58"/>
      <c r="I330" s="56"/>
      <c r="J330" s="58"/>
      <c r="K330" s="56" t="s">
        <v>479</v>
      </c>
      <c r="L330" s="65"/>
      <c r="M330" s="3"/>
      <c r="N330" s="3"/>
      <c r="O330" s="3"/>
      <c r="P330" s="3"/>
      <c r="Q330" s="3"/>
      <c r="R330" s="3"/>
      <c r="S330" s="3"/>
      <c r="T330" s="3"/>
    </row>
    <row r="331" spans="1:20" ht="15" customHeight="1" x14ac:dyDescent="0.2">
      <c r="A331" s="56"/>
      <c r="B331" s="58"/>
      <c r="C331" s="56"/>
      <c r="D331" s="58"/>
      <c r="E331" s="56"/>
      <c r="F331" s="58"/>
      <c r="G331" s="56"/>
      <c r="H331" s="58"/>
      <c r="I331" s="56"/>
      <c r="J331" s="58"/>
      <c r="K331" s="56" t="s">
        <v>479</v>
      </c>
      <c r="L331" s="65"/>
      <c r="M331" s="3"/>
      <c r="N331" s="3"/>
      <c r="O331" s="3"/>
      <c r="P331" s="3"/>
      <c r="Q331" s="3"/>
      <c r="R331" s="3"/>
      <c r="S331" s="3"/>
      <c r="T331" s="3"/>
    </row>
    <row r="332" spans="1:20" ht="15" customHeight="1" x14ac:dyDescent="0.2">
      <c r="A332" s="56"/>
      <c r="B332" s="58"/>
      <c r="C332" s="56"/>
      <c r="D332" s="58"/>
      <c r="E332" s="56"/>
      <c r="F332" s="58"/>
      <c r="G332" s="56"/>
      <c r="H332" s="58"/>
      <c r="I332" s="56"/>
      <c r="J332" s="58"/>
      <c r="K332" s="56" t="s">
        <v>479</v>
      </c>
      <c r="L332" s="65"/>
      <c r="M332" s="3"/>
      <c r="N332" s="3"/>
      <c r="O332" s="3"/>
      <c r="P332" s="3"/>
      <c r="Q332" s="3"/>
      <c r="R332" s="3"/>
      <c r="S332" s="3"/>
      <c r="T332" s="3"/>
    </row>
    <row r="333" spans="1:20" ht="15" customHeight="1" x14ac:dyDescent="0.2">
      <c r="A333" s="56"/>
      <c r="B333" s="58"/>
      <c r="C333" s="56"/>
      <c r="D333" s="58"/>
      <c r="E333" s="56"/>
      <c r="F333" s="58"/>
      <c r="G333" s="56"/>
      <c r="H333" s="58"/>
      <c r="I333" s="56"/>
      <c r="J333" s="58"/>
      <c r="K333" s="56" t="s">
        <v>479</v>
      </c>
      <c r="L333" s="65"/>
      <c r="M333" s="3"/>
      <c r="N333" s="3"/>
      <c r="O333" s="3"/>
      <c r="P333" s="3"/>
      <c r="Q333" s="3"/>
      <c r="R333" s="3"/>
      <c r="S333" s="3"/>
      <c r="T333" s="3"/>
    </row>
    <row r="334" spans="1:20" ht="15" customHeight="1" x14ac:dyDescent="0.2">
      <c r="A334" s="56"/>
      <c r="B334" s="58"/>
      <c r="C334" s="56"/>
      <c r="D334" s="58"/>
      <c r="E334" s="56"/>
      <c r="F334" s="58"/>
      <c r="G334" s="56"/>
      <c r="H334" s="58"/>
      <c r="I334" s="56"/>
      <c r="J334" s="58"/>
      <c r="K334" s="56" t="s">
        <v>479</v>
      </c>
      <c r="L334" s="65"/>
      <c r="M334" s="3"/>
      <c r="N334" s="3"/>
      <c r="O334" s="3"/>
      <c r="P334" s="3"/>
      <c r="Q334" s="3"/>
      <c r="R334" s="3"/>
      <c r="S334" s="3"/>
      <c r="T334" s="3"/>
    </row>
    <row r="335" spans="1:20" ht="15" customHeight="1" x14ac:dyDescent="0.2">
      <c r="A335" s="56"/>
      <c r="B335" s="58"/>
      <c r="C335" s="56"/>
      <c r="D335" s="58"/>
      <c r="E335" s="56"/>
      <c r="F335" s="58"/>
      <c r="G335" s="56"/>
      <c r="H335" s="58"/>
      <c r="I335" s="56"/>
      <c r="J335" s="58"/>
      <c r="K335" s="56" t="s">
        <v>479</v>
      </c>
      <c r="L335" s="65"/>
      <c r="M335" s="3"/>
      <c r="N335" s="3"/>
      <c r="O335" s="3"/>
      <c r="P335" s="3"/>
      <c r="Q335" s="3"/>
      <c r="R335" s="3"/>
      <c r="S335" s="3"/>
      <c r="T335" s="3"/>
    </row>
    <row r="336" spans="1:20" ht="15" customHeight="1" x14ac:dyDescent="0.2">
      <c r="A336" s="56"/>
      <c r="B336" s="58"/>
      <c r="C336" s="56"/>
      <c r="D336" s="58"/>
      <c r="E336" s="56"/>
      <c r="F336" s="58"/>
      <c r="G336" s="56"/>
      <c r="H336" s="58"/>
      <c r="I336" s="56"/>
      <c r="J336" s="58"/>
      <c r="K336" s="56" t="s">
        <v>479</v>
      </c>
      <c r="L336" s="65"/>
      <c r="M336" s="3"/>
      <c r="N336" s="3"/>
      <c r="O336" s="3"/>
      <c r="P336" s="3"/>
      <c r="Q336" s="3"/>
      <c r="R336" s="3"/>
      <c r="S336" s="3"/>
      <c r="T336" s="3"/>
    </row>
    <row r="337" spans="1:20" ht="15" customHeight="1" x14ac:dyDescent="0.2">
      <c r="A337" s="56"/>
      <c r="B337" s="58"/>
      <c r="C337" s="56"/>
      <c r="D337" s="58"/>
      <c r="E337" s="56"/>
      <c r="F337" s="58"/>
      <c r="G337" s="56"/>
      <c r="H337" s="58"/>
      <c r="I337" s="56"/>
      <c r="J337" s="58"/>
      <c r="K337" s="56" t="s">
        <v>479</v>
      </c>
      <c r="L337" s="65"/>
      <c r="M337" s="3"/>
      <c r="N337" s="3"/>
      <c r="O337" s="3"/>
      <c r="P337" s="3"/>
      <c r="Q337" s="3"/>
      <c r="R337" s="3"/>
      <c r="S337" s="3"/>
      <c r="T337" s="3"/>
    </row>
    <row r="338" spans="1:20" ht="15" customHeight="1" x14ac:dyDescent="0.2">
      <c r="A338" s="56"/>
      <c r="B338" s="58"/>
      <c r="C338" s="56"/>
      <c r="D338" s="58"/>
      <c r="E338" s="56"/>
      <c r="F338" s="58"/>
      <c r="G338" s="56"/>
      <c r="H338" s="58"/>
      <c r="I338" s="56"/>
      <c r="J338" s="58"/>
      <c r="K338" s="56" t="s">
        <v>479</v>
      </c>
      <c r="L338" s="65"/>
      <c r="M338" s="3"/>
      <c r="N338" s="3"/>
      <c r="O338" s="3"/>
      <c r="P338" s="3"/>
      <c r="Q338" s="3"/>
      <c r="R338" s="3"/>
      <c r="S338" s="3"/>
      <c r="T338" s="3"/>
    </row>
    <row r="339" spans="1:20" ht="15" customHeight="1" x14ac:dyDescent="0.2">
      <c r="A339" s="56"/>
      <c r="B339" s="58"/>
      <c r="C339" s="56"/>
      <c r="D339" s="58"/>
      <c r="E339" s="56"/>
      <c r="F339" s="58"/>
      <c r="G339" s="56"/>
      <c r="H339" s="58"/>
      <c r="I339" s="56"/>
      <c r="J339" s="58"/>
      <c r="K339" s="56" t="s">
        <v>479</v>
      </c>
      <c r="L339" s="65"/>
      <c r="M339" s="3"/>
      <c r="N339" s="3"/>
      <c r="O339" s="3"/>
      <c r="P339" s="3"/>
      <c r="Q339" s="3"/>
      <c r="R339" s="3"/>
      <c r="S339" s="3"/>
      <c r="T339" s="3"/>
    </row>
    <row r="340" spans="1:20" ht="15" customHeight="1" x14ac:dyDescent="0.2">
      <c r="A340" s="56"/>
      <c r="B340" s="58"/>
      <c r="C340" s="56"/>
      <c r="D340" s="58"/>
      <c r="E340" s="56"/>
      <c r="F340" s="58"/>
      <c r="G340" s="56"/>
      <c r="H340" s="58"/>
      <c r="I340" s="56"/>
      <c r="J340" s="58"/>
      <c r="K340" s="56" t="s">
        <v>479</v>
      </c>
      <c r="L340" s="65"/>
      <c r="M340" s="3"/>
      <c r="N340" s="3"/>
      <c r="O340" s="3"/>
      <c r="P340" s="3"/>
      <c r="Q340" s="3"/>
      <c r="R340" s="3"/>
      <c r="S340" s="3"/>
      <c r="T340" s="3"/>
    </row>
    <row r="341" spans="1:20" ht="15" customHeight="1" x14ac:dyDescent="0.2">
      <c r="A341" s="56"/>
      <c r="B341" s="58"/>
      <c r="C341" s="56"/>
      <c r="D341" s="58"/>
      <c r="E341" s="56"/>
      <c r="F341" s="58"/>
      <c r="G341" s="56"/>
      <c r="H341" s="58"/>
      <c r="I341" s="56"/>
      <c r="J341" s="58"/>
      <c r="K341" s="56" t="s">
        <v>479</v>
      </c>
      <c r="L341" s="65"/>
      <c r="M341" s="3"/>
      <c r="N341" s="3"/>
      <c r="O341" s="3"/>
      <c r="P341" s="3"/>
      <c r="Q341" s="3"/>
      <c r="R341" s="3"/>
      <c r="S341" s="3"/>
      <c r="T341" s="3"/>
    </row>
    <row r="342" spans="1:20" ht="15" customHeight="1" x14ac:dyDescent="0.2">
      <c r="A342" s="56"/>
      <c r="B342" s="58"/>
      <c r="C342" s="56"/>
      <c r="D342" s="58"/>
      <c r="E342" s="56"/>
      <c r="F342" s="58"/>
      <c r="G342" s="56"/>
      <c r="H342" s="58"/>
      <c r="I342" s="56"/>
      <c r="J342" s="58"/>
      <c r="K342" s="56" t="s">
        <v>479</v>
      </c>
      <c r="L342" s="65"/>
      <c r="M342" s="3"/>
      <c r="N342" s="3"/>
      <c r="O342" s="3"/>
      <c r="P342" s="3"/>
      <c r="Q342" s="3"/>
      <c r="R342" s="3"/>
      <c r="S342" s="3"/>
      <c r="T342" s="3"/>
    </row>
    <row r="343" spans="1:20" ht="15" customHeight="1" x14ac:dyDescent="0.2">
      <c r="A343" s="56"/>
      <c r="B343" s="58"/>
      <c r="C343" s="56"/>
      <c r="D343" s="58"/>
      <c r="E343" s="56"/>
      <c r="F343" s="58"/>
      <c r="G343" s="56"/>
      <c r="H343" s="58"/>
      <c r="I343" s="56"/>
      <c r="J343" s="58"/>
      <c r="K343" s="56" t="s">
        <v>479</v>
      </c>
      <c r="L343" s="65"/>
      <c r="M343" s="3"/>
      <c r="N343" s="3"/>
      <c r="O343" s="3"/>
      <c r="P343" s="3"/>
      <c r="Q343" s="3"/>
      <c r="R343" s="3"/>
      <c r="S343" s="3"/>
      <c r="T343" s="3"/>
    </row>
    <row r="344" spans="1:20" ht="15" customHeight="1" x14ac:dyDescent="0.2">
      <c r="A344" s="56"/>
      <c r="B344" s="58"/>
      <c r="C344" s="56"/>
      <c r="D344" s="58"/>
      <c r="E344" s="56"/>
      <c r="F344" s="58"/>
      <c r="G344" s="56"/>
      <c r="H344" s="58"/>
      <c r="I344" s="56"/>
      <c r="J344" s="58"/>
      <c r="K344" s="56" t="s">
        <v>479</v>
      </c>
      <c r="L344" s="65"/>
      <c r="M344" s="3"/>
      <c r="N344" s="3"/>
      <c r="O344" s="3"/>
      <c r="P344" s="3"/>
      <c r="Q344" s="3"/>
      <c r="R344" s="3"/>
      <c r="S344" s="3"/>
      <c r="T344" s="3"/>
    </row>
    <row r="345" spans="1:20" ht="15" customHeight="1" x14ac:dyDescent="0.2">
      <c r="A345" s="56"/>
      <c r="B345" s="58"/>
      <c r="C345" s="56"/>
      <c r="D345" s="58"/>
      <c r="E345" s="56"/>
      <c r="F345" s="58"/>
      <c r="G345" s="56"/>
      <c r="H345" s="58"/>
      <c r="I345" s="56"/>
      <c r="J345" s="58"/>
      <c r="K345" s="56" t="s">
        <v>479</v>
      </c>
      <c r="L345" s="65"/>
      <c r="M345" s="3"/>
      <c r="N345" s="3"/>
      <c r="O345" s="3"/>
      <c r="P345" s="3"/>
      <c r="Q345" s="3"/>
      <c r="R345" s="3"/>
      <c r="S345" s="3"/>
      <c r="T345" s="3"/>
    </row>
    <row r="346" spans="1:20" ht="15" customHeight="1" x14ac:dyDescent="0.2">
      <c r="A346" s="56"/>
      <c r="B346" s="58"/>
      <c r="C346" s="56"/>
      <c r="D346" s="58"/>
      <c r="E346" s="56"/>
      <c r="F346" s="58"/>
      <c r="G346" s="56"/>
      <c r="H346" s="58"/>
      <c r="I346" s="56"/>
      <c r="J346" s="58"/>
      <c r="K346" s="56" t="s">
        <v>479</v>
      </c>
      <c r="L346" s="65"/>
      <c r="M346" s="3"/>
      <c r="N346" s="3"/>
      <c r="O346" s="3"/>
      <c r="P346" s="3"/>
      <c r="Q346" s="3"/>
      <c r="R346" s="3"/>
      <c r="S346" s="3"/>
      <c r="T346" s="3"/>
    </row>
    <row r="347" spans="1:20" ht="15" customHeight="1" x14ac:dyDescent="0.2">
      <c r="A347" s="56"/>
      <c r="B347" s="58"/>
      <c r="C347" s="56"/>
      <c r="D347" s="58"/>
      <c r="E347" s="56"/>
      <c r="F347" s="58"/>
      <c r="G347" s="56"/>
      <c r="H347" s="58"/>
      <c r="I347" s="56"/>
      <c r="J347" s="58"/>
      <c r="K347" s="56" t="s">
        <v>479</v>
      </c>
      <c r="L347" s="65"/>
      <c r="M347" s="3"/>
      <c r="N347" s="3"/>
      <c r="O347" s="3"/>
      <c r="P347" s="3"/>
      <c r="Q347" s="3"/>
      <c r="R347" s="3"/>
      <c r="S347" s="3"/>
      <c r="T347" s="3"/>
    </row>
    <row r="348" spans="1:20" ht="15" customHeight="1" x14ac:dyDescent="0.2">
      <c r="A348" s="56"/>
      <c r="B348" s="58"/>
      <c r="C348" s="56"/>
      <c r="D348" s="58"/>
      <c r="E348" s="56"/>
      <c r="F348" s="58"/>
      <c r="G348" s="56"/>
      <c r="H348" s="58"/>
      <c r="I348" s="56"/>
      <c r="J348" s="58"/>
      <c r="K348" s="56" t="s">
        <v>479</v>
      </c>
      <c r="L348" s="65"/>
      <c r="M348" s="3"/>
      <c r="N348" s="3"/>
      <c r="O348" s="3"/>
      <c r="P348" s="3"/>
      <c r="Q348" s="3"/>
      <c r="R348" s="3"/>
      <c r="S348" s="3"/>
      <c r="T348" s="3"/>
    </row>
    <row r="349" spans="1:20" ht="15" customHeight="1" x14ac:dyDescent="0.2">
      <c r="A349" s="56"/>
      <c r="B349" s="58"/>
      <c r="C349" s="56"/>
      <c r="D349" s="58"/>
      <c r="E349" s="56"/>
      <c r="F349" s="58"/>
      <c r="G349" s="56"/>
      <c r="H349" s="58"/>
      <c r="I349" s="56"/>
      <c r="J349" s="58"/>
      <c r="K349" s="56" t="s">
        <v>479</v>
      </c>
      <c r="L349" s="65"/>
      <c r="M349" s="3"/>
      <c r="N349" s="3"/>
      <c r="O349" s="3"/>
      <c r="P349" s="3"/>
      <c r="Q349" s="3"/>
      <c r="R349" s="3"/>
      <c r="S349" s="3"/>
      <c r="T349" s="3"/>
    </row>
    <row r="350" spans="1:20" ht="15" customHeight="1" x14ac:dyDescent="0.2">
      <c r="A350" s="56"/>
      <c r="B350" s="58"/>
      <c r="C350" s="56"/>
      <c r="D350" s="58"/>
      <c r="E350" s="56"/>
      <c r="F350" s="58"/>
      <c r="G350" s="56"/>
      <c r="H350" s="58"/>
      <c r="I350" s="56"/>
      <c r="J350" s="58"/>
      <c r="K350" s="56" t="s">
        <v>479</v>
      </c>
      <c r="L350" s="65"/>
      <c r="M350" s="3"/>
      <c r="N350" s="3"/>
      <c r="O350" s="3"/>
      <c r="P350" s="3"/>
      <c r="Q350" s="3"/>
      <c r="R350" s="3"/>
      <c r="S350" s="3"/>
      <c r="T350" s="3"/>
    </row>
    <row r="351" spans="1:20" ht="15" customHeight="1" x14ac:dyDescent="0.2">
      <c r="A351" s="56"/>
      <c r="B351" s="58"/>
      <c r="C351" s="56"/>
      <c r="D351" s="58"/>
      <c r="E351" s="56"/>
      <c r="F351" s="58"/>
      <c r="G351" s="56"/>
      <c r="H351" s="58"/>
      <c r="I351" s="56"/>
      <c r="J351" s="58"/>
      <c r="K351" s="56" t="s">
        <v>479</v>
      </c>
      <c r="L351" s="65"/>
      <c r="M351" s="3"/>
      <c r="N351" s="3"/>
      <c r="O351" s="3"/>
      <c r="P351" s="3"/>
      <c r="Q351" s="3"/>
      <c r="R351" s="3"/>
      <c r="S351" s="3"/>
      <c r="T351" s="3"/>
    </row>
    <row r="352" spans="1:20" ht="15" customHeight="1" x14ac:dyDescent="0.2">
      <c r="A352" s="56"/>
      <c r="B352" s="58"/>
      <c r="C352" s="56"/>
      <c r="D352" s="58"/>
      <c r="E352" s="56"/>
      <c r="F352" s="58"/>
      <c r="G352" s="56"/>
      <c r="H352" s="58"/>
      <c r="I352" s="56"/>
      <c r="J352" s="58"/>
      <c r="K352" s="56" t="s">
        <v>479</v>
      </c>
      <c r="L352" s="65"/>
      <c r="M352" s="3"/>
      <c r="N352" s="3"/>
      <c r="O352" s="3"/>
      <c r="P352" s="3"/>
      <c r="Q352" s="3"/>
      <c r="R352" s="3"/>
      <c r="S352" s="3"/>
      <c r="T352" s="3"/>
    </row>
    <row r="353" spans="1:20" ht="15" customHeight="1" x14ac:dyDescent="0.2">
      <c r="A353" s="56"/>
      <c r="B353" s="58"/>
      <c r="C353" s="56"/>
      <c r="D353" s="58"/>
      <c r="E353" s="56"/>
      <c r="F353" s="58"/>
      <c r="G353" s="56"/>
      <c r="H353" s="58"/>
      <c r="I353" s="56"/>
      <c r="J353" s="58"/>
      <c r="K353" s="56" t="s">
        <v>479</v>
      </c>
      <c r="L353" s="65"/>
      <c r="M353" s="3"/>
      <c r="N353" s="3"/>
      <c r="O353" s="3"/>
      <c r="P353" s="3"/>
      <c r="Q353" s="3"/>
      <c r="R353" s="3"/>
      <c r="S353" s="3"/>
      <c r="T353" s="3"/>
    </row>
    <row r="354" spans="1:20" ht="15" customHeight="1" x14ac:dyDescent="0.2">
      <c r="A354" s="56"/>
      <c r="B354" s="58"/>
      <c r="C354" s="56"/>
      <c r="D354" s="58"/>
      <c r="E354" s="56"/>
      <c r="F354" s="58"/>
      <c r="G354" s="56"/>
      <c r="H354" s="58"/>
      <c r="I354" s="56"/>
      <c r="J354" s="58"/>
      <c r="K354" s="56" t="s">
        <v>479</v>
      </c>
      <c r="L354" s="65"/>
      <c r="M354" s="3"/>
      <c r="N354" s="3"/>
      <c r="O354" s="3"/>
      <c r="P354" s="3"/>
      <c r="Q354" s="3"/>
      <c r="R354" s="3"/>
      <c r="S354" s="3"/>
      <c r="T354" s="3"/>
    </row>
    <row r="355" spans="1:20" ht="15" customHeight="1" x14ac:dyDescent="0.2">
      <c r="A355" s="56"/>
      <c r="B355" s="58"/>
      <c r="C355" s="56"/>
      <c r="D355" s="58"/>
      <c r="E355" s="56"/>
      <c r="F355" s="58"/>
      <c r="G355" s="56"/>
      <c r="H355" s="58"/>
      <c r="I355" s="56"/>
      <c r="J355" s="58"/>
      <c r="K355" s="56" t="s">
        <v>479</v>
      </c>
      <c r="L355" s="65"/>
      <c r="M355" s="3"/>
      <c r="N355" s="3"/>
      <c r="O355" s="3"/>
      <c r="P355" s="3"/>
      <c r="Q355" s="3"/>
      <c r="R355" s="3"/>
      <c r="S355" s="3"/>
      <c r="T355" s="3"/>
    </row>
    <row r="356" spans="1:20" ht="15" customHeight="1" x14ac:dyDescent="0.2">
      <c r="A356" s="56"/>
      <c r="B356" s="58"/>
      <c r="C356" s="56"/>
      <c r="D356" s="58"/>
      <c r="E356" s="56"/>
      <c r="F356" s="58"/>
      <c r="G356" s="56"/>
      <c r="H356" s="58"/>
      <c r="I356" s="56"/>
      <c r="J356" s="58"/>
      <c r="K356" s="56" t="s">
        <v>479</v>
      </c>
      <c r="L356" s="65"/>
      <c r="M356" s="3"/>
      <c r="N356" s="3"/>
      <c r="O356" s="3"/>
      <c r="P356" s="3"/>
      <c r="Q356" s="3"/>
      <c r="R356" s="3"/>
      <c r="S356" s="3"/>
      <c r="T356" s="3"/>
    </row>
    <row r="357" spans="1:20" ht="15" customHeight="1" x14ac:dyDescent="0.2">
      <c r="A357" s="56"/>
      <c r="B357" s="58"/>
      <c r="C357" s="56"/>
      <c r="D357" s="58"/>
      <c r="E357" s="56"/>
      <c r="F357" s="58"/>
      <c r="G357" s="56"/>
      <c r="H357" s="58"/>
      <c r="I357" s="56"/>
      <c r="J357" s="58"/>
      <c r="K357" s="56" t="s">
        <v>479</v>
      </c>
      <c r="L357" s="65"/>
      <c r="M357" s="3"/>
      <c r="N357" s="3"/>
      <c r="O357" s="3"/>
      <c r="P357" s="3"/>
      <c r="Q357" s="3"/>
      <c r="R357" s="3"/>
      <c r="S357" s="3"/>
      <c r="T357" s="3"/>
    </row>
    <row r="358" spans="1:20" ht="15" customHeight="1" x14ac:dyDescent="0.2">
      <c r="A358" s="56"/>
      <c r="B358" s="58"/>
      <c r="C358" s="56"/>
      <c r="D358" s="58"/>
      <c r="E358" s="56"/>
      <c r="F358" s="58"/>
      <c r="G358" s="56"/>
      <c r="H358" s="58"/>
      <c r="I358" s="56"/>
      <c r="J358" s="58"/>
      <c r="K358" s="56" t="s">
        <v>479</v>
      </c>
      <c r="L358" s="65"/>
      <c r="M358" s="3"/>
      <c r="N358" s="3"/>
      <c r="O358" s="3"/>
      <c r="P358" s="3"/>
      <c r="Q358" s="3"/>
      <c r="R358" s="3"/>
      <c r="S358" s="3"/>
      <c r="T358" s="3"/>
    </row>
    <row r="359" spans="1:20" ht="15" customHeight="1" x14ac:dyDescent="0.2">
      <c r="A359" s="56"/>
      <c r="B359" s="58"/>
      <c r="C359" s="56"/>
      <c r="D359" s="58"/>
      <c r="E359" s="56"/>
      <c r="F359" s="58"/>
      <c r="G359" s="56"/>
      <c r="H359" s="58"/>
      <c r="I359" s="56"/>
      <c r="J359" s="58"/>
      <c r="K359" s="56" t="s">
        <v>479</v>
      </c>
      <c r="L359" s="65"/>
      <c r="M359" s="3"/>
      <c r="N359" s="3"/>
      <c r="O359" s="3"/>
      <c r="P359" s="3"/>
      <c r="Q359" s="3"/>
      <c r="R359" s="3"/>
      <c r="S359" s="3"/>
      <c r="T359" s="3"/>
    </row>
    <row r="360" spans="1:20" ht="15" customHeight="1" x14ac:dyDescent="0.2">
      <c r="A360" s="56"/>
      <c r="B360" s="58"/>
      <c r="C360" s="56"/>
      <c r="D360" s="58"/>
      <c r="E360" s="56"/>
      <c r="F360" s="58"/>
      <c r="G360" s="56"/>
      <c r="H360" s="58"/>
      <c r="I360" s="56"/>
      <c r="J360" s="58"/>
      <c r="K360" s="56" t="s">
        <v>479</v>
      </c>
      <c r="L360" s="65"/>
      <c r="M360" s="3"/>
      <c r="N360" s="3"/>
      <c r="O360" s="3"/>
      <c r="P360" s="3"/>
      <c r="Q360" s="3"/>
      <c r="R360" s="3"/>
      <c r="S360" s="3"/>
      <c r="T360" s="3"/>
    </row>
    <row r="361" spans="1:20" ht="15" customHeight="1" x14ac:dyDescent="0.2">
      <c r="A361" s="56"/>
      <c r="B361" s="58"/>
      <c r="C361" s="56"/>
      <c r="D361" s="58"/>
      <c r="E361" s="56"/>
      <c r="F361" s="58"/>
      <c r="G361" s="56"/>
      <c r="H361" s="58"/>
      <c r="I361" s="56"/>
      <c r="J361" s="58"/>
      <c r="K361" s="56" t="s">
        <v>479</v>
      </c>
      <c r="L361" s="65"/>
      <c r="M361" s="3"/>
      <c r="N361" s="3"/>
      <c r="O361" s="3"/>
      <c r="P361" s="3"/>
      <c r="Q361" s="3"/>
      <c r="R361" s="3"/>
      <c r="S361" s="3"/>
      <c r="T361" s="3"/>
    </row>
    <row r="362" spans="1:20" ht="15" customHeight="1" x14ac:dyDescent="0.2">
      <c r="A362" s="56"/>
      <c r="B362" s="58"/>
      <c r="C362" s="56"/>
      <c r="D362" s="58"/>
      <c r="E362" s="56"/>
      <c r="F362" s="58"/>
      <c r="G362" s="56"/>
      <c r="H362" s="58"/>
      <c r="I362" s="56"/>
      <c r="J362" s="58"/>
      <c r="K362" s="56" t="s">
        <v>479</v>
      </c>
      <c r="L362" s="65"/>
      <c r="M362" s="3"/>
      <c r="N362" s="3"/>
      <c r="O362" s="3"/>
      <c r="P362" s="3"/>
      <c r="Q362" s="3"/>
      <c r="R362" s="3"/>
      <c r="S362" s="3"/>
      <c r="T362" s="3"/>
    </row>
    <row r="363" spans="1:20" ht="15" customHeight="1" x14ac:dyDescent="0.2">
      <c r="A363" s="56"/>
      <c r="B363" s="58"/>
      <c r="C363" s="56"/>
      <c r="D363" s="58"/>
      <c r="E363" s="56"/>
      <c r="F363" s="58"/>
      <c r="G363" s="56"/>
      <c r="H363" s="58"/>
      <c r="I363" s="56"/>
      <c r="J363" s="58"/>
      <c r="K363" s="56" t="s">
        <v>479</v>
      </c>
      <c r="L363" s="65"/>
      <c r="M363" s="3"/>
      <c r="N363" s="3"/>
      <c r="O363" s="3"/>
      <c r="P363" s="3"/>
      <c r="Q363" s="3"/>
      <c r="R363" s="3"/>
      <c r="S363" s="3"/>
      <c r="T363" s="3"/>
    </row>
    <row r="364" spans="1:20" ht="15" customHeight="1" x14ac:dyDescent="0.2">
      <c r="A364" s="56"/>
      <c r="B364" s="58"/>
      <c r="C364" s="56"/>
      <c r="D364" s="58"/>
      <c r="E364" s="56"/>
      <c r="F364" s="58"/>
      <c r="G364" s="56"/>
      <c r="H364" s="58"/>
      <c r="I364" s="56"/>
      <c r="J364" s="58"/>
      <c r="K364" s="56" t="s">
        <v>479</v>
      </c>
      <c r="L364" s="65"/>
      <c r="M364" s="3"/>
      <c r="N364" s="3"/>
      <c r="O364" s="3"/>
      <c r="P364" s="3"/>
      <c r="Q364" s="3"/>
      <c r="R364" s="3"/>
      <c r="S364" s="3"/>
      <c r="T364" s="3"/>
    </row>
    <row r="365" spans="1:20" ht="15" customHeight="1" x14ac:dyDescent="0.2">
      <c r="A365" s="56"/>
      <c r="B365" s="58"/>
      <c r="C365" s="56"/>
      <c r="D365" s="58"/>
      <c r="E365" s="56"/>
      <c r="F365" s="58"/>
      <c r="G365" s="56"/>
      <c r="H365" s="58"/>
      <c r="I365" s="56"/>
      <c r="J365" s="58"/>
      <c r="K365" s="56" t="s">
        <v>479</v>
      </c>
      <c r="L365" s="65"/>
      <c r="M365" s="3"/>
      <c r="N365" s="3"/>
      <c r="O365" s="3"/>
      <c r="P365" s="3"/>
      <c r="Q365" s="3"/>
      <c r="R365" s="3"/>
      <c r="S365" s="3"/>
      <c r="T365" s="3"/>
    </row>
    <row r="366" spans="1:20" ht="15" customHeight="1" x14ac:dyDescent="0.2">
      <c r="A366" s="56"/>
      <c r="B366" s="58"/>
      <c r="C366" s="56"/>
      <c r="D366" s="58"/>
      <c r="E366" s="56"/>
      <c r="F366" s="58"/>
      <c r="G366" s="56"/>
      <c r="H366" s="58"/>
      <c r="I366" s="56"/>
      <c r="J366" s="58"/>
      <c r="K366" s="56" t="s">
        <v>479</v>
      </c>
      <c r="L366" s="65"/>
      <c r="M366" s="3"/>
      <c r="N366" s="3"/>
      <c r="O366" s="3"/>
      <c r="P366" s="3"/>
      <c r="Q366" s="3"/>
      <c r="R366" s="3"/>
      <c r="S366" s="3"/>
      <c r="T366" s="3"/>
    </row>
    <row r="367" spans="1:20" ht="15" customHeight="1" x14ac:dyDescent="0.2">
      <c r="A367" s="56"/>
      <c r="B367" s="58"/>
      <c r="C367" s="56"/>
      <c r="D367" s="58"/>
      <c r="E367" s="56"/>
      <c r="F367" s="58"/>
      <c r="G367" s="56"/>
      <c r="H367" s="58"/>
      <c r="I367" s="56"/>
      <c r="J367" s="58"/>
      <c r="K367" s="56" t="s">
        <v>479</v>
      </c>
      <c r="L367" s="65"/>
      <c r="M367" s="3"/>
      <c r="N367" s="3"/>
      <c r="O367" s="3"/>
      <c r="P367" s="3"/>
      <c r="Q367" s="3"/>
      <c r="R367" s="3"/>
      <c r="S367" s="3"/>
      <c r="T367" s="3"/>
    </row>
    <row r="368" spans="1:20" ht="15" customHeight="1" x14ac:dyDescent="0.2">
      <c r="A368" s="56"/>
      <c r="B368" s="58"/>
      <c r="C368" s="56"/>
      <c r="D368" s="58"/>
      <c r="E368" s="56"/>
      <c r="F368" s="58"/>
      <c r="G368" s="56"/>
      <c r="H368" s="58"/>
      <c r="I368" s="56"/>
      <c r="J368" s="58"/>
      <c r="K368" s="56" t="s">
        <v>479</v>
      </c>
      <c r="L368" s="65"/>
      <c r="M368" s="3"/>
      <c r="N368" s="3"/>
      <c r="O368" s="3"/>
      <c r="P368" s="3"/>
      <c r="Q368" s="3"/>
      <c r="R368" s="3"/>
      <c r="S368" s="3"/>
      <c r="T368" s="3"/>
    </row>
    <row r="369" spans="1:20" ht="15" customHeight="1" x14ac:dyDescent="0.2">
      <c r="A369" s="56"/>
      <c r="B369" s="58"/>
      <c r="C369" s="56"/>
      <c r="D369" s="58"/>
      <c r="E369" s="56"/>
      <c r="F369" s="58"/>
      <c r="G369" s="56"/>
      <c r="H369" s="58"/>
      <c r="I369" s="56"/>
      <c r="J369" s="58"/>
      <c r="K369" s="56" t="s">
        <v>479</v>
      </c>
      <c r="L369" s="65"/>
      <c r="M369" s="3"/>
      <c r="N369" s="3"/>
      <c r="O369" s="3"/>
      <c r="P369" s="3"/>
      <c r="Q369" s="3"/>
      <c r="R369" s="3"/>
      <c r="S369" s="3"/>
      <c r="T369" s="3"/>
    </row>
    <row r="370" spans="1:20" ht="15" customHeight="1" x14ac:dyDescent="0.2">
      <c r="A370" s="56"/>
      <c r="B370" s="58"/>
      <c r="C370" s="56"/>
      <c r="D370" s="58"/>
      <c r="E370" s="56"/>
      <c r="F370" s="58"/>
      <c r="G370" s="56"/>
      <c r="H370" s="58"/>
      <c r="I370" s="56"/>
      <c r="J370" s="58"/>
      <c r="K370" s="56" t="s">
        <v>479</v>
      </c>
      <c r="L370" s="65"/>
      <c r="M370" s="3"/>
      <c r="N370" s="3"/>
      <c r="O370" s="3"/>
      <c r="P370" s="3"/>
      <c r="Q370" s="3"/>
      <c r="R370" s="3"/>
      <c r="S370" s="3"/>
      <c r="T370" s="3"/>
    </row>
    <row r="371" spans="1:20" ht="15" customHeight="1" x14ac:dyDescent="0.2">
      <c r="A371" s="56"/>
      <c r="B371" s="58"/>
      <c r="C371" s="56"/>
      <c r="D371" s="58"/>
      <c r="E371" s="56"/>
      <c r="F371" s="58"/>
      <c r="G371" s="56"/>
      <c r="H371" s="58"/>
      <c r="I371" s="56"/>
      <c r="J371" s="58"/>
      <c r="K371" s="56" t="s">
        <v>479</v>
      </c>
      <c r="L371" s="65"/>
      <c r="M371" s="3"/>
      <c r="N371" s="3"/>
      <c r="O371" s="3"/>
      <c r="P371" s="3"/>
      <c r="Q371" s="3"/>
      <c r="R371" s="3"/>
      <c r="S371" s="3"/>
      <c r="T371" s="3"/>
    </row>
    <row r="372" spans="1:20" ht="15" customHeight="1" x14ac:dyDescent="0.2">
      <c r="A372" s="56"/>
      <c r="B372" s="58"/>
      <c r="C372" s="56"/>
      <c r="D372" s="58"/>
      <c r="E372" s="56"/>
      <c r="F372" s="58"/>
      <c r="G372" s="56"/>
      <c r="H372" s="58"/>
      <c r="I372" s="56"/>
      <c r="J372" s="58"/>
      <c r="K372" s="56" t="s">
        <v>479</v>
      </c>
      <c r="L372" s="65"/>
      <c r="M372" s="3"/>
      <c r="N372" s="3"/>
      <c r="O372" s="3"/>
      <c r="P372" s="3"/>
      <c r="Q372" s="3"/>
      <c r="R372" s="3"/>
      <c r="S372" s="3"/>
      <c r="T372" s="3"/>
    </row>
    <row r="373" spans="1:20" ht="15" customHeight="1" x14ac:dyDescent="0.2">
      <c r="A373" s="56"/>
      <c r="B373" s="58"/>
      <c r="C373" s="56"/>
      <c r="D373" s="58"/>
      <c r="E373" s="56"/>
      <c r="F373" s="58"/>
      <c r="G373" s="56"/>
      <c r="H373" s="58"/>
      <c r="I373" s="56"/>
      <c r="J373" s="58"/>
      <c r="K373" s="56" t="s">
        <v>479</v>
      </c>
      <c r="L373" s="65"/>
      <c r="M373" s="3"/>
      <c r="N373" s="3"/>
      <c r="O373" s="3"/>
      <c r="P373" s="3"/>
      <c r="Q373" s="3"/>
      <c r="R373" s="3"/>
      <c r="S373" s="3"/>
      <c r="T373" s="3"/>
    </row>
    <row r="374" spans="1:20" ht="15" customHeight="1" x14ac:dyDescent="0.2">
      <c r="A374" s="56"/>
      <c r="B374" s="58"/>
      <c r="C374" s="56"/>
      <c r="D374" s="58"/>
      <c r="E374" s="56"/>
      <c r="F374" s="58"/>
      <c r="G374" s="56"/>
      <c r="H374" s="58"/>
      <c r="I374" s="56"/>
      <c r="J374" s="58"/>
      <c r="K374" s="56" t="s">
        <v>479</v>
      </c>
      <c r="L374" s="65"/>
      <c r="M374" s="3"/>
      <c r="N374" s="3"/>
      <c r="O374" s="3"/>
      <c r="P374" s="3"/>
      <c r="Q374" s="3"/>
      <c r="R374" s="3"/>
      <c r="S374" s="3"/>
      <c r="T374" s="3"/>
    </row>
    <row r="375" spans="1:20" ht="15" customHeight="1" x14ac:dyDescent="0.2">
      <c r="A375" s="56"/>
      <c r="B375" s="58"/>
      <c r="C375" s="56"/>
      <c r="D375" s="58"/>
      <c r="E375" s="56"/>
      <c r="F375" s="58"/>
      <c r="G375" s="56"/>
      <c r="H375" s="58"/>
      <c r="I375" s="56"/>
      <c r="J375" s="58"/>
      <c r="K375" s="56" t="s">
        <v>479</v>
      </c>
      <c r="L375" s="65"/>
      <c r="M375" s="3"/>
      <c r="N375" s="3"/>
      <c r="O375" s="3"/>
      <c r="P375" s="3"/>
      <c r="Q375" s="3"/>
      <c r="R375" s="3"/>
      <c r="S375" s="3"/>
      <c r="T375" s="3"/>
    </row>
    <row r="376" spans="1:20" ht="15" customHeight="1" x14ac:dyDescent="0.2">
      <c r="A376" s="56"/>
      <c r="B376" s="58"/>
      <c r="C376" s="56"/>
      <c r="D376" s="58"/>
      <c r="E376" s="56"/>
      <c r="F376" s="58"/>
      <c r="G376" s="56"/>
      <c r="H376" s="58"/>
      <c r="I376" s="56"/>
      <c r="J376" s="58"/>
      <c r="K376" s="56" t="s">
        <v>479</v>
      </c>
      <c r="L376" s="65"/>
      <c r="M376" s="3"/>
      <c r="N376" s="3"/>
      <c r="O376" s="3"/>
      <c r="P376" s="3"/>
      <c r="Q376" s="3"/>
      <c r="R376" s="3"/>
      <c r="S376" s="3"/>
      <c r="T376" s="3"/>
    </row>
    <row r="377" spans="1:20" ht="15" customHeight="1" x14ac:dyDescent="0.2">
      <c r="A377" s="56"/>
      <c r="B377" s="58"/>
      <c r="C377" s="56"/>
      <c r="D377" s="58"/>
      <c r="E377" s="56"/>
      <c r="F377" s="58"/>
      <c r="G377" s="56"/>
      <c r="H377" s="58"/>
      <c r="I377" s="56"/>
      <c r="J377" s="58"/>
      <c r="K377" s="56" t="s">
        <v>479</v>
      </c>
      <c r="L377" s="65"/>
      <c r="M377" s="3"/>
      <c r="N377" s="3"/>
      <c r="O377" s="3"/>
      <c r="P377" s="3"/>
      <c r="Q377" s="3"/>
      <c r="R377" s="3"/>
      <c r="S377" s="3"/>
      <c r="T377" s="3"/>
    </row>
    <row r="378" spans="1:20" ht="15" customHeight="1" x14ac:dyDescent="0.2">
      <c r="A378" s="56"/>
      <c r="B378" s="58"/>
      <c r="C378" s="56"/>
      <c r="D378" s="58"/>
      <c r="E378" s="56"/>
      <c r="F378" s="58"/>
      <c r="G378" s="56"/>
      <c r="H378" s="58"/>
      <c r="I378" s="56"/>
      <c r="J378" s="58"/>
      <c r="K378" s="56" t="s">
        <v>479</v>
      </c>
      <c r="L378" s="65"/>
      <c r="M378" s="3"/>
      <c r="N378" s="3"/>
      <c r="O378" s="3"/>
      <c r="P378" s="3"/>
      <c r="Q378" s="3"/>
      <c r="R378" s="3"/>
      <c r="S378" s="3"/>
      <c r="T378" s="3"/>
    </row>
    <row r="379" spans="1:20" ht="15" customHeight="1" x14ac:dyDescent="0.2">
      <c r="A379" s="56"/>
      <c r="B379" s="58"/>
      <c r="C379" s="56"/>
      <c r="D379" s="58"/>
      <c r="E379" s="56"/>
      <c r="F379" s="58"/>
      <c r="G379" s="56"/>
      <c r="H379" s="58"/>
      <c r="I379" s="56"/>
      <c r="J379" s="58"/>
      <c r="K379" s="56" t="s">
        <v>479</v>
      </c>
      <c r="L379" s="65"/>
      <c r="M379" s="3"/>
      <c r="N379" s="3"/>
      <c r="O379" s="3"/>
      <c r="P379" s="3"/>
      <c r="Q379" s="3"/>
      <c r="R379" s="3"/>
      <c r="S379" s="3"/>
      <c r="T379" s="3"/>
    </row>
    <row r="380" spans="1:20" ht="15" customHeight="1" x14ac:dyDescent="0.2">
      <c r="A380" s="56"/>
      <c r="B380" s="58"/>
      <c r="C380" s="56"/>
      <c r="D380" s="58"/>
      <c r="E380" s="56"/>
      <c r="F380" s="58"/>
      <c r="G380" s="56"/>
      <c r="H380" s="58"/>
      <c r="I380" s="56"/>
      <c r="J380" s="58"/>
      <c r="K380" s="56" t="s">
        <v>479</v>
      </c>
      <c r="L380" s="65"/>
      <c r="M380" s="3"/>
      <c r="N380" s="3"/>
      <c r="O380" s="3"/>
      <c r="P380" s="3"/>
      <c r="Q380" s="3"/>
      <c r="R380" s="3"/>
      <c r="S380" s="3"/>
      <c r="T380" s="3"/>
    </row>
    <row r="381" spans="1:20" ht="15" customHeight="1" x14ac:dyDescent="0.2">
      <c r="A381" s="56"/>
      <c r="B381" s="58"/>
      <c r="C381" s="56"/>
      <c r="D381" s="58"/>
      <c r="E381" s="56"/>
      <c r="F381" s="58"/>
      <c r="G381" s="56"/>
      <c r="H381" s="58"/>
      <c r="I381" s="56"/>
      <c r="J381" s="58"/>
      <c r="K381" s="56" t="s">
        <v>479</v>
      </c>
      <c r="L381" s="65"/>
      <c r="M381" s="3"/>
      <c r="N381" s="3"/>
      <c r="O381" s="3"/>
      <c r="P381" s="3"/>
      <c r="Q381" s="3"/>
      <c r="R381" s="3"/>
      <c r="S381" s="3"/>
      <c r="T381" s="3"/>
    </row>
    <row r="382" spans="1:20" ht="15" customHeight="1" x14ac:dyDescent="0.2">
      <c r="A382" s="56"/>
      <c r="B382" s="58"/>
      <c r="C382" s="56"/>
      <c r="D382" s="58"/>
      <c r="E382" s="56"/>
      <c r="F382" s="58"/>
      <c r="G382" s="56"/>
      <c r="H382" s="58"/>
      <c r="I382" s="56"/>
      <c r="J382" s="58"/>
      <c r="K382" s="56" t="s">
        <v>479</v>
      </c>
      <c r="L382" s="65"/>
      <c r="M382" s="3"/>
      <c r="N382" s="3"/>
      <c r="O382" s="3"/>
      <c r="P382" s="3"/>
      <c r="Q382" s="3"/>
      <c r="R382" s="3"/>
      <c r="S382" s="3"/>
      <c r="T382" s="3"/>
    </row>
    <row r="383" spans="1:20" ht="15" customHeight="1" x14ac:dyDescent="0.2">
      <c r="A383" s="56"/>
      <c r="B383" s="58"/>
      <c r="C383" s="56"/>
      <c r="D383" s="58"/>
      <c r="E383" s="56"/>
      <c r="F383" s="58"/>
      <c r="G383" s="56"/>
      <c r="H383" s="58"/>
      <c r="I383" s="56"/>
      <c r="J383" s="58"/>
      <c r="K383" s="56" t="s">
        <v>479</v>
      </c>
      <c r="L383" s="65"/>
      <c r="M383" s="3"/>
      <c r="N383" s="3"/>
      <c r="O383" s="3"/>
      <c r="P383" s="3"/>
      <c r="Q383" s="3"/>
      <c r="R383" s="3"/>
      <c r="S383" s="3"/>
      <c r="T383" s="3"/>
    </row>
    <row r="384" spans="1:20" ht="15" customHeight="1" x14ac:dyDescent="0.2">
      <c r="A384" s="56"/>
      <c r="B384" s="58"/>
      <c r="C384" s="56"/>
      <c r="D384" s="58"/>
      <c r="E384" s="56"/>
      <c r="F384" s="58"/>
      <c r="G384" s="56"/>
      <c r="H384" s="58"/>
      <c r="I384" s="56"/>
      <c r="J384" s="58"/>
      <c r="K384" s="56" t="s">
        <v>479</v>
      </c>
      <c r="L384" s="65"/>
      <c r="M384" s="3"/>
      <c r="N384" s="3"/>
      <c r="O384" s="3"/>
      <c r="P384" s="3"/>
      <c r="Q384" s="3"/>
      <c r="R384" s="3"/>
      <c r="S384" s="3"/>
      <c r="T384" s="3"/>
    </row>
    <row r="385" spans="1:20" ht="15" customHeight="1" x14ac:dyDescent="0.2">
      <c r="A385" s="56"/>
      <c r="B385" s="58"/>
      <c r="C385" s="56"/>
      <c r="D385" s="58"/>
      <c r="E385" s="56"/>
      <c r="F385" s="58"/>
      <c r="G385" s="56"/>
      <c r="H385" s="58"/>
      <c r="I385" s="56"/>
      <c r="J385" s="58"/>
      <c r="K385" s="56" t="s">
        <v>479</v>
      </c>
      <c r="L385" s="65"/>
      <c r="M385" s="3"/>
      <c r="N385" s="3"/>
      <c r="O385" s="3"/>
      <c r="P385" s="3"/>
      <c r="Q385" s="3"/>
      <c r="R385" s="3"/>
      <c r="S385" s="3"/>
      <c r="T385" s="3"/>
    </row>
    <row r="386" spans="1:20" ht="15" customHeight="1" x14ac:dyDescent="0.2">
      <c r="A386" s="56"/>
      <c r="B386" s="58"/>
      <c r="C386" s="56"/>
      <c r="D386" s="58"/>
      <c r="E386" s="56"/>
      <c r="F386" s="58"/>
      <c r="G386" s="56"/>
      <c r="H386" s="58"/>
      <c r="I386" s="56"/>
      <c r="J386" s="58"/>
      <c r="K386" s="56" t="s">
        <v>479</v>
      </c>
      <c r="L386" s="65"/>
      <c r="M386" s="3"/>
      <c r="N386" s="3"/>
      <c r="O386" s="3"/>
      <c r="P386" s="3"/>
      <c r="Q386" s="3"/>
      <c r="R386" s="3"/>
      <c r="S386" s="3"/>
      <c r="T386" s="3"/>
    </row>
    <row r="387" spans="1:20" ht="15" customHeight="1" x14ac:dyDescent="0.2">
      <c r="A387" s="56"/>
      <c r="B387" s="58"/>
      <c r="C387" s="56"/>
      <c r="D387" s="58"/>
      <c r="E387" s="56"/>
      <c r="F387" s="58"/>
      <c r="G387" s="56"/>
      <c r="H387" s="58"/>
      <c r="I387" s="56"/>
      <c r="J387" s="58"/>
      <c r="K387" s="56" t="s">
        <v>479</v>
      </c>
      <c r="L387" s="65"/>
      <c r="M387" s="3"/>
      <c r="N387" s="3"/>
      <c r="O387" s="3"/>
      <c r="P387" s="3"/>
      <c r="Q387" s="3"/>
      <c r="R387" s="3"/>
      <c r="S387" s="3"/>
      <c r="T387" s="3"/>
    </row>
    <row r="388" spans="1:20" ht="15" customHeight="1" x14ac:dyDescent="0.2">
      <c r="A388" s="56"/>
      <c r="B388" s="58"/>
      <c r="C388" s="56"/>
      <c r="D388" s="58"/>
      <c r="E388" s="56"/>
      <c r="F388" s="58"/>
      <c r="G388" s="56"/>
      <c r="H388" s="58"/>
      <c r="I388" s="56"/>
      <c r="J388" s="58"/>
      <c r="K388" s="56" t="s">
        <v>479</v>
      </c>
      <c r="L388" s="65"/>
      <c r="M388" s="3"/>
      <c r="N388" s="3"/>
      <c r="O388" s="3"/>
      <c r="P388" s="3"/>
      <c r="Q388" s="3"/>
      <c r="R388" s="3"/>
      <c r="S388" s="3"/>
      <c r="T388" s="3"/>
    </row>
    <row r="389" spans="1:20" ht="15" customHeight="1" x14ac:dyDescent="0.2">
      <c r="A389" s="56"/>
      <c r="B389" s="58"/>
      <c r="C389" s="56"/>
      <c r="D389" s="58"/>
      <c r="E389" s="56"/>
      <c r="F389" s="58"/>
      <c r="G389" s="56"/>
      <c r="H389" s="58"/>
      <c r="I389" s="56"/>
      <c r="J389" s="58"/>
      <c r="K389" s="56" t="s">
        <v>479</v>
      </c>
      <c r="L389" s="65"/>
      <c r="M389" s="3"/>
      <c r="N389" s="3"/>
      <c r="O389" s="3"/>
      <c r="P389" s="3"/>
      <c r="Q389" s="3"/>
      <c r="R389" s="3"/>
      <c r="S389" s="3"/>
      <c r="T389" s="3"/>
    </row>
    <row r="390" spans="1:20" ht="15" customHeight="1" x14ac:dyDescent="0.2">
      <c r="A390" s="56"/>
      <c r="B390" s="58"/>
      <c r="C390" s="56"/>
      <c r="D390" s="58"/>
      <c r="E390" s="56"/>
      <c r="F390" s="58"/>
      <c r="G390" s="56"/>
      <c r="H390" s="58"/>
      <c r="I390" s="56"/>
      <c r="J390" s="58"/>
      <c r="K390" s="56" t="s">
        <v>479</v>
      </c>
      <c r="L390" s="65"/>
      <c r="M390" s="3"/>
      <c r="N390" s="3"/>
      <c r="O390" s="3"/>
      <c r="P390" s="3"/>
      <c r="Q390" s="3"/>
      <c r="R390" s="3"/>
      <c r="S390" s="3"/>
      <c r="T390" s="3"/>
    </row>
    <row r="391" spans="1:20" ht="15" customHeight="1" x14ac:dyDescent="0.2">
      <c r="A391" s="56"/>
      <c r="B391" s="58"/>
      <c r="C391" s="56"/>
      <c r="D391" s="58"/>
      <c r="E391" s="56"/>
      <c r="F391" s="58"/>
      <c r="G391" s="56"/>
      <c r="H391" s="58"/>
      <c r="I391" s="56"/>
      <c r="J391" s="58"/>
      <c r="K391" s="56" t="s">
        <v>479</v>
      </c>
      <c r="L391" s="65"/>
      <c r="M391" s="3"/>
      <c r="N391" s="3"/>
      <c r="O391" s="3"/>
      <c r="P391" s="3"/>
      <c r="Q391" s="3"/>
      <c r="R391" s="3"/>
      <c r="S391" s="3"/>
      <c r="T391" s="3"/>
    </row>
    <row r="392" spans="1:20" ht="15" customHeight="1" x14ac:dyDescent="0.2">
      <c r="A392" s="56"/>
      <c r="B392" s="58"/>
      <c r="C392" s="56"/>
      <c r="D392" s="58"/>
      <c r="E392" s="56"/>
      <c r="F392" s="58"/>
      <c r="G392" s="56"/>
      <c r="H392" s="58"/>
      <c r="I392" s="56"/>
      <c r="J392" s="58"/>
      <c r="K392" s="56" t="s">
        <v>479</v>
      </c>
      <c r="L392" s="65"/>
      <c r="M392" s="3"/>
      <c r="N392" s="3"/>
      <c r="O392" s="3"/>
      <c r="P392" s="3"/>
      <c r="Q392" s="3"/>
      <c r="R392" s="3"/>
      <c r="S392" s="3"/>
      <c r="T392" s="3"/>
    </row>
    <row r="393" spans="1:20" ht="15" customHeight="1" x14ac:dyDescent="0.2">
      <c r="A393" s="56"/>
      <c r="B393" s="58"/>
      <c r="C393" s="56"/>
      <c r="D393" s="58"/>
      <c r="E393" s="56"/>
      <c r="F393" s="58"/>
      <c r="G393" s="56"/>
      <c r="H393" s="58"/>
      <c r="I393" s="56"/>
      <c r="J393" s="58"/>
      <c r="K393" s="56" t="s">
        <v>479</v>
      </c>
      <c r="L393" s="65"/>
      <c r="M393" s="3"/>
      <c r="N393" s="3"/>
      <c r="O393" s="3"/>
      <c r="P393" s="3"/>
      <c r="Q393" s="3"/>
      <c r="R393" s="3"/>
      <c r="S393" s="3"/>
      <c r="T393" s="3"/>
    </row>
    <row r="394" spans="1:20" ht="15" customHeight="1" x14ac:dyDescent="0.2">
      <c r="A394" s="56"/>
      <c r="B394" s="58"/>
      <c r="C394" s="56"/>
      <c r="D394" s="58"/>
      <c r="E394" s="56"/>
      <c r="F394" s="58"/>
      <c r="G394" s="56"/>
      <c r="H394" s="58"/>
      <c r="I394" s="56"/>
      <c r="J394" s="58"/>
      <c r="K394" s="56" t="s">
        <v>479</v>
      </c>
      <c r="L394" s="65"/>
      <c r="M394" s="3"/>
      <c r="N394" s="3"/>
      <c r="O394" s="3"/>
      <c r="P394" s="3"/>
      <c r="Q394" s="3"/>
      <c r="R394" s="3"/>
      <c r="S394" s="3"/>
      <c r="T394" s="3"/>
    </row>
    <row r="395" spans="1:20" ht="15" customHeight="1" x14ac:dyDescent="0.2">
      <c r="A395" s="56"/>
      <c r="B395" s="58"/>
      <c r="C395" s="56"/>
      <c r="D395" s="58"/>
      <c r="E395" s="56"/>
      <c r="F395" s="58"/>
      <c r="G395" s="56"/>
      <c r="H395" s="58"/>
      <c r="I395" s="56"/>
      <c r="J395" s="58"/>
      <c r="K395" s="56" t="s">
        <v>479</v>
      </c>
      <c r="L395" s="65"/>
      <c r="M395" s="3"/>
      <c r="N395" s="3"/>
      <c r="O395" s="3"/>
      <c r="P395" s="3"/>
      <c r="Q395" s="3"/>
      <c r="R395" s="3"/>
      <c r="S395" s="3"/>
      <c r="T395" s="3"/>
    </row>
    <row r="396" spans="1:20" ht="15" customHeight="1" x14ac:dyDescent="0.2">
      <c r="A396" s="56"/>
      <c r="B396" s="58"/>
      <c r="C396" s="56"/>
      <c r="D396" s="58"/>
      <c r="E396" s="56"/>
      <c r="F396" s="58"/>
      <c r="G396" s="56"/>
      <c r="H396" s="58"/>
      <c r="I396" s="56"/>
      <c r="J396" s="58"/>
      <c r="K396" s="56" t="s">
        <v>479</v>
      </c>
      <c r="L396" s="65"/>
      <c r="M396" s="3"/>
      <c r="N396" s="3"/>
      <c r="O396" s="3"/>
      <c r="P396" s="3"/>
      <c r="Q396" s="3"/>
      <c r="R396" s="3"/>
      <c r="S396" s="3"/>
      <c r="T396" s="3"/>
    </row>
    <row r="397" spans="1:20" ht="15" customHeight="1" x14ac:dyDescent="0.2">
      <c r="A397" s="56"/>
      <c r="B397" s="58"/>
      <c r="C397" s="56"/>
      <c r="D397" s="58"/>
      <c r="E397" s="56"/>
      <c r="F397" s="58"/>
      <c r="G397" s="56"/>
      <c r="H397" s="58"/>
      <c r="I397" s="56"/>
      <c r="J397" s="58"/>
      <c r="K397" s="56" t="s">
        <v>479</v>
      </c>
      <c r="L397" s="65"/>
      <c r="M397" s="3"/>
      <c r="N397" s="3"/>
      <c r="O397" s="3"/>
      <c r="P397" s="3"/>
      <c r="Q397" s="3"/>
      <c r="R397" s="3"/>
      <c r="S397" s="3"/>
      <c r="T397" s="3"/>
    </row>
    <row r="398" spans="1:20" ht="15" customHeight="1" x14ac:dyDescent="0.2">
      <c r="A398" s="56"/>
      <c r="B398" s="58"/>
      <c r="C398" s="56"/>
      <c r="D398" s="58"/>
      <c r="E398" s="56"/>
      <c r="F398" s="58"/>
      <c r="G398" s="56"/>
      <c r="H398" s="58"/>
      <c r="I398" s="56"/>
      <c r="J398" s="58"/>
      <c r="K398" s="56" t="s">
        <v>479</v>
      </c>
      <c r="L398" s="65"/>
      <c r="M398" s="3"/>
      <c r="N398" s="3"/>
      <c r="O398" s="3"/>
      <c r="P398" s="3"/>
      <c r="Q398" s="3"/>
      <c r="R398" s="3"/>
      <c r="S398" s="3"/>
      <c r="T398" s="3"/>
    </row>
    <row r="399" spans="1:20" ht="15" customHeight="1" x14ac:dyDescent="0.2">
      <c r="A399" s="56"/>
      <c r="B399" s="58"/>
      <c r="C399" s="56"/>
      <c r="D399" s="58"/>
      <c r="E399" s="56"/>
      <c r="F399" s="58"/>
      <c r="G399" s="56"/>
      <c r="H399" s="58"/>
      <c r="I399" s="56"/>
      <c r="J399" s="58"/>
      <c r="K399" s="56" t="s">
        <v>479</v>
      </c>
      <c r="L399" s="65"/>
      <c r="M399" s="3"/>
      <c r="N399" s="3"/>
      <c r="O399" s="3"/>
      <c r="P399" s="3"/>
      <c r="Q399" s="3"/>
      <c r="R399" s="3"/>
      <c r="S399" s="3"/>
      <c r="T399" s="3"/>
    </row>
    <row r="400" spans="1:20" ht="15" customHeight="1" x14ac:dyDescent="0.2">
      <c r="A400" s="56"/>
      <c r="B400" s="58"/>
      <c r="C400" s="56"/>
      <c r="D400" s="58"/>
      <c r="E400" s="56"/>
      <c r="F400" s="58"/>
      <c r="G400" s="56"/>
      <c r="H400" s="58"/>
      <c r="I400" s="56"/>
      <c r="J400" s="58"/>
      <c r="K400" s="56" t="s">
        <v>479</v>
      </c>
      <c r="L400" s="65"/>
      <c r="M400" s="3"/>
      <c r="N400" s="3"/>
      <c r="O400" s="3"/>
      <c r="P400" s="3"/>
      <c r="Q400" s="3"/>
      <c r="R400" s="3"/>
      <c r="S400" s="3"/>
      <c r="T400" s="3"/>
    </row>
    <row r="401" spans="1:20" ht="15" customHeight="1" x14ac:dyDescent="0.2">
      <c r="A401" s="56"/>
      <c r="B401" s="58"/>
      <c r="C401" s="56"/>
      <c r="D401" s="58"/>
      <c r="E401" s="56"/>
      <c r="F401" s="58"/>
      <c r="G401" s="56"/>
      <c r="H401" s="58"/>
      <c r="I401" s="56"/>
      <c r="J401" s="58"/>
      <c r="K401" s="56" t="s">
        <v>479</v>
      </c>
      <c r="L401" s="65"/>
      <c r="M401" s="3"/>
      <c r="N401" s="3"/>
      <c r="O401" s="3"/>
      <c r="P401" s="3"/>
      <c r="Q401" s="3"/>
      <c r="R401" s="3"/>
      <c r="S401" s="3"/>
      <c r="T401" s="3"/>
    </row>
    <row r="402" spans="1:20" ht="15" customHeight="1" x14ac:dyDescent="0.2">
      <c r="A402" s="56"/>
      <c r="B402" s="58"/>
      <c r="C402" s="56"/>
      <c r="D402" s="58"/>
      <c r="E402" s="56"/>
      <c r="F402" s="58"/>
      <c r="G402" s="56"/>
      <c r="H402" s="58"/>
      <c r="I402" s="56"/>
      <c r="J402" s="58"/>
      <c r="K402" s="56" t="s">
        <v>479</v>
      </c>
      <c r="L402" s="65"/>
      <c r="M402" s="3"/>
      <c r="N402" s="3"/>
      <c r="O402" s="3"/>
      <c r="P402" s="3"/>
      <c r="Q402" s="3"/>
      <c r="R402" s="3"/>
      <c r="S402" s="3"/>
      <c r="T402" s="3"/>
    </row>
    <row r="403" spans="1:20" ht="15" customHeight="1" x14ac:dyDescent="0.2">
      <c r="A403" s="56"/>
      <c r="B403" s="58"/>
      <c r="C403" s="56"/>
      <c r="D403" s="58"/>
      <c r="E403" s="56"/>
      <c r="F403" s="58"/>
      <c r="G403" s="56"/>
      <c r="H403" s="58"/>
      <c r="I403" s="56"/>
      <c r="J403" s="58"/>
      <c r="K403" s="56" t="s">
        <v>479</v>
      </c>
      <c r="L403" s="65"/>
      <c r="M403" s="3"/>
      <c r="N403" s="3"/>
      <c r="O403" s="3"/>
      <c r="P403" s="3"/>
      <c r="Q403" s="3"/>
      <c r="R403" s="3"/>
      <c r="S403" s="3"/>
      <c r="T403" s="3"/>
    </row>
    <row r="404" spans="1:20" ht="15" customHeight="1" x14ac:dyDescent="0.2">
      <c r="A404" s="56"/>
      <c r="B404" s="58"/>
      <c r="C404" s="56"/>
      <c r="D404" s="58"/>
      <c r="E404" s="56"/>
      <c r="F404" s="58"/>
      <c r="G404" s="56"/>
      <c r="H404" s="58"/>
      <c r="I404" s="56"/>
      <c r="J404" s="58"/>
      <c r="K404" s="56" t="s">
        <v>479</v>
      </c>
      <c r="L404" s="65"/>
      <c r="M404" s="3"/>
      <c r="N404" s="3"/>
      <c r="O404" s="3"/>
      <c r="P404" s="3"/>
      <c r="Q404" s="3"/>
      <c r="R404" s="3"/>
      <c r="S404" s="3"/>
      <c r="T404" s="3"/>
    </row>
    <row r="405" spans="1:20" ht="15" customHeight="1" x14ac:dyDescent="0.2">
      <c r="A405" s="56"/>
      <c r="B405" s="58"/>
      <c r="C405" s="56"/>
      <c r="D405" s="58"/>
      <c r="E405" s="56"/>
      <c r="F405" s="58"/>
      <c r="G405" s="56"/>
      <c r="H405" s="58"/>
      <c r="I405" s="56"/>
      <c r="J405" s="58"/>
      <c r="K405" s="56" t="s">
        <v>479</v>
      </c>
      <c r="L405" s="65"/>
      <c r="M405" s="3"/>
      <c r="N405" s="3"/>
      <c r="O405" s="3"/>
      <c r="P405" s="3"/>
      <c r="Q405" s="3"/>
      <c r="R405" s="3"/>
      <c r="S405" s="3"/>
      <c r="T405" s="3"/>
    </row>
    <row r="406" spans="1:20" ht="15" customHeight="1" x14ac:dyDescent="0.2">
      <c r="A406" s="56"/>
      <c r="B406" s="58"/>
      <c r="C406" s="56"/>
      <c r="D406" s="58"/>
      <c r="E406" s="56"/>
      <c r="F406" s="58"/>
      <c r="G406" s="56"/>
      <c r="H406" s="58"/>
      <c r="I406" s="56"/>
      <c r="J406" s="58"/>
      <c r="K406" s="56" t="s">
        <v>479</v>
      </c>
      <c r="L406" s="65"/>
      <c r="M406" s="3"/>
      <c r="N406" s="3"/>
      <c r="O406" s="3"/>
      <c r="P406" s="3"/>
      <c r="Q406" s="3"/>
      <c r="R406" s="3"/>
      <c r="S406" s="3"/>
      <c r="T406" s="3"/>
    </row>
    <row r="407" spans="1:20" ht="15" customHeight="1" x14ac:dyDescent="0.2">
      <c r="A407" s="56"/>
      <c r="B407" s="58"/>
      <c r="C407" s="56"/>
      <c r="D407" s="58"/>
      <c r="E407" s="56"/>
      <c r="F407" s="58"/>
      <c r="G407" s="56"/>
      <c r="H407" s="58"/>
      <c r="I407" s="56"/>
      <c r="J407" s="58"/>
      <c r="K407" s="56" t="s">
        <v>479</v>
      </c>
      <c r="L407" s="65"/>
      <c r="M407" s="3"/>
      <c r="N407" s="3"/>
      <c r="O407" s="3"/>
      <c r="P407" s="3"/>
      <c r="Q407" s="3"/>
      <c r="R407" s="3"/>
      <c r="S407" s="3"/>
      <c r="T407" s="3"/>
    </row>
    <row r="408" spans="1:20" ht="15" customHeight="1" x14ac:dyDescent="0.2">
      <c r="A408" s="56"/>
      <c r="B408" s="58"/>
      <c r="C408" s="56"/>
      <c r="D408" s="58"/>
      <c r="E408" s="56"/>
      <c r="F408" s="58"/>
      <c r="G408" s="56"/>
      <c r="H408" s="58"/>
      <c r="I408" s="56"/>
      <c r="J408" s="58"/>
      <c r="K408" s="56" t="s">
        <v>479</v>
      </c>
      <c r="L408" s="65"/>
      <c r="M408" s="3"/>
      <c r="N408" s="3"/>
      <c r="O408" s="3"/>
      <c r="P408" s="3"/>
      <c r="Q408" s="3"/>
      <c r="R408" s="3"/>
      <c r="S408" s="3"/>
      <c r="T408" s="3"/>
    </row>
    <row r="409" spans="1:20" ht="15" customHeight="1" x14ac:dyDescent="0.2">
      <c r="A409" s="56"/>
      <c r="B409" s="58"/>
      <c r="C409" s="56"/>
      <c r="D409" s="58"/>
      <c r="E409" s="56"/>
      <c r="F409" s="58"/>
      <c r="G409" s="56"/>
      <c r="H409" s="58"/>
      <c r="I409" s="56"/>
      <c r="J409" s="58"/>
      <c r="K409" s="56" t="s">
        <v>479</v>
      </c>
      <c r="L409" s="65"/>
      <c r="M409" s="3"/>
      <c r="N409" s="3"/>
      <c r="O409" s="3"/>
      <c r="P409" s="3"/>
      <c r="Q409" s="3"/>
      <c r="R409" s="3"/>
      <c r="S409" s="3"/>
      <c r="T409" s="3"/>
    </row>
    <row r="410" spans="1:20" ht="15" customHeight="1" x14ac:dyDescent="0.2">
      <c r="A410" s="56"/>
      <c r="B410" s="58"/>
      <c r="C410" s="56"/>
      <c r="D410" s="58"/>
      <c r="E410" s="56"/>
      <c r="F410" s="58"/>
      <c r="G410" s="56"/>
      <c r="H410" s="58"/>
      <c r="I410" s="56"/>
      <c r="J410" s="58"/>
      <c r="K410" s="56" t="s">
        <v>479</v>
      </c>
      <c r="L410" s="65"/>
      <c r="M410" s="3"/>
      <c r="N410" s="3"/>
      <c r="O410" s="3"/>
      <c r="P410" s="3"/>
      <c r="Q410" s="3"/>
      <c r="R410" s="3"/>
      <c r="S410" s="3"/>
      <c r="T410" s="3"/>
    </row>
    <row r="411" spans="1:20" ht="15" customHeight="1" x14ac:dyDescent="0.2">
      <c r="A411" s="56"/>
      <c r="B411" s="58"/>
      <c r="C411" s="56"/>
      <c r="D411" s="58"/>
      <c r="E411" s="56"/>
      <c r="F411" s="58"/>
      <c r="G411" s="56"/>
      <c r="H411" s="58"/>
      <c r="I411" s="56"/>
      <c r="J411" s="58"/>
      <c r="K411" s="56" t="s">
        <v>479</v>
      </c>
      <c r="L411" s="65"/>
      <c r="M411" s="3"/>
      <c r="N411" s="3"/>
      <c r="O411" s="3"/>
      <c r="P411" s="3"/>
      <c r="Q411" s="3"/>
      <c r="R411" s="3"/>
      <c r="S411" s="3"/>
      <c r="T411" s="3"/>
    </row>
    <row r="412" spans="1:20" ht="15" customHeight="1" x14ac:dyDescent="0.2">
      <c r="A412" s="56"/>
      <c r="B412" s="58"/>
      <c r="C412" s="56"/>
      <c r="D412" s="58"/>
      <c r="E412" s="56"/>
      <c r="F412" s="58"/>
      <c r="G412" s="56"/>
      <c r="H412" s="58"/>
      <c r="I412" s="56"/>
      <c r="J412" s="58"/>
      <c r="K412" s="56" t="s">
        <v>479</v>
      </c>
      <c r="L412" s="65"/>
      <c r="M412" s="3"/>
      <c r="N412" s="3"/>
      <c r="O412" s="3"/>
      <c r="P412" s="3"/>
      <c r="Q412" s="3"/>
      <c r="R412" s="3"/>
      <c r="S412" s="3"/>
      <c r="T412" s="3"/>
    </row>
    <row r="413" spans="1:20" ht="15" customHeight="1" x14ac:dyDescent="0.2">
      <c r="A413" s="56"/>
      <c r="B413" s="58"/>
      <c r="C413" s="56"/>
      <c r="D413" s="58"/>
      <c r="E413" s="56"/>
      <c r="F413" s="58"/>
      <c r="G413" s="56"/>
      <c r="H413" s="58"/>
      <c r="I413" s="56"/>
      <c r="J413" s="58"/>
      <c r="K413" s="56" t="s">
        <v>479</v>
      </c>
      <c r="L413" s="65"/>
      <c r="M413" s="3"/>
      <c r="N413" s="3"/>
      <c r="O413" s="3"/>
      <c r="P413" s="3"/>
      <c r="Q413" s="3"/>
      <c r="R413" s="3"/>
      <c r="S413" s="3"/>
      <c r="T413" s="3"/>
    </row>
    <row r="414" spans="1:20" ht="15" customHeight="1" x14ac:dyDescent="0.2">
      <c r="A414" s="56"/>
      <c r="B414" s="58"/>
      <c r="C414" s="56"/>
      <c r="D414" s="58"/>
      <c r="E414" s="56"/>
      <c r="F414" s="58"/>
      <c r="G414" s="56"/>
      <c r="H414" s="58"/>
      <c r="I414" s="56"/>
      <c r="J414" s="58"/>
      <c r="K414" s="56" t="s">
        <v>479</v>
      </c>
      <c r="L414" s="65"/>
      <c r="M414" s="3"/>
      <c r="N414" s="3"/>
      <c r="O414" s="3"/>
      <c r="P414" s="3"/>
      <c r="Q414" s="3"/>
      <c r="R414" s="3"/>
      <c r="S414" s="3"/>
      <c r="T414" s="3"/>
    </row>
    <row r="415" spans="1:20" ht="15" customHeight="1" x14ac:dyDescent="0.2">
      <c r="A415" s="56"/>
      <c r="B415" s="58"/>
      <c r="C415" s="56"/>
      <c r="D415" s="58"/>
      <c r="E415" s="56"/>
      <c r="F415" s="58"/>
      <c r="G415" s="56"/>
      <c r="H415" s="58"/>
      <c r="I415" s="56"/>
      <c r="J415" s="58"/>
      <c r="K415" s="56" t="s">
        <v>479</v>
      </c>
      <c r="L415" s="65"/>
      <c r="M415" s="3"/>
      <c r="N415" s="3"/>
      <c r="O415" s="3"/>
      <c r="P415" s="3"/>
      <c r="Q415" s="3"/>
      <c r="R415" s="3"/>
      <c r="S415" s="3"/>
      <c r="T415" s="3"/>
    </row>
    <row r="416" spans="1:20" ht="15" customHeight="1" x14ac:dyDescent="0.2">
      <c r="A416" s="56"/>
      <c r="B416" s="58"/>
      <c r="C416" s="56"/>
      <c r="D416" s="58"/>
      <c r="E416" s="56"/>
      <c r="F416" s="58"/>
      <c r="G416" s="56"/>
      <c r="H416" s="58"/>
      <c r="I416" s="56"/>
      <c r="J416" s="58"/>
      <c r="K416" s="56" t="s">
        <v>479</v>
      </c>
      <c r="L416" s="65"/>
      <c r="M416" s="3"/>
      <c r="N416" s="3"/>
      <c r="O416" s="3"/>
      <c r="P416" s="3"/>
      <c r="Q416" s="3"/>
      <c r="R416" s="3"/>
      <c r="S416" s="3"/>
      <c r="T416" s="3"/>
    </row>
    <row r="417" spans="1:20" ht="15" customHeight="1" x14ac:dyDescent="0.2">
      <c r="A417" s="56"/>
      <c r="B417" s="58"/>
      <c r="C417" s="56"/>
      <c r="D417" s="58"/>
      <c r="E417" s="56"/>
      <c r="F417" s="58"/>
      <c r="G417" s="56"/>
      <c r="H417" s="58"/>
      <c r="I417" s="56"/>
      <c r="J417" s="58"/>
      <c r="K417" s="56" t="s">
        <v>479</v>
      </c>
      <c r="L417" s="65"/>
      <c r="M417" s="3"/>
      <c r="N417" s="3"/>
      <c r="O417" s="3"/>
      <c r="P417" s="3"/>
      <c r="Q417" s="3"/>
      <c r="R417" s="3"/>
      <c r="S417" s="3"/>
      <c r="T417" s="3"/>
    </row>
    <row r="418" spans="1:20" ht="15" customHeight="1" x14ac:dyDescent="0.2">
      <c r="A418" s="56"/>
      <c r="B418" s="58"/>
      <c r="C418" s="56"/>
      <c r="D418" s="58"/>
      <c r="E418" s="56"/>
      <c r="F418" s="58"/>
      <c r="G418" s="56"/>
      <c r="H418" s="58"/>
      <c r="I418" s="56"/>
      <c r="J418" s="58"/>
      <c r="K418" s="56" t="s">
        <v>479</v>
      </c>
      <c r="L418" s="65"/>
      <c r="M418" s="3"/>
      <c r="N418" s="3"/>
      <c r="O418" s="3"/>
      <c r="P418" s="3"/>
      <c r="Q418" s="3"/>
      <c r="R418" s="3"/>
      <c r="S418" s="3"/>
      <c r="T418" s="3"/>
    </row>
    <row r="419" spans="1:20" ht="15" customHeight="1" x14ac:dyDescent="0.2">
      <c r="A419" s="56"/>
      <c r="B419" s="58"/>
      <c r="C419" s="56"/>
      <c r="D419" s="58"/>
      <c r="E419" s="56"/>
      <c r="F419" s="58"/>
      <c r="G419" s="56"/>
      <c r="H419" s="58"/>
      <c r="I419" s="56"/>
      <c r="J419" s="58"/>
      <c r="K419" s="56" t="s">
        <v>479</v>
      </c>
      <c r="L419" s="65"/>
      <c r="M419" s="3"/>
      <c r="N419" s="3"/>
      <c r="O419" s="3"/>
      <c r="P419" s="3"/>
      <c r="Q419" s="3"/>
      <c r="R419" s="3"/>
      <c r="S419" s="3"/>
      <c r="T419" s="3"/>
    </row>
    <row r="420" spans="1:20" ht="15" customHeight="1" x14ac:dyDescent="0.2">
      <c r="A420" s="56"/>
      <c r="B420" s="58"/>
      <c r="C420" s="56"/>
      <c r="D420" s="58"/>
      <c r="E420" s="56"/>
      <c r="F420" s="58"/>
      <c r="G420" s="56"/>
      <c r="H420" s="58"/>
      <c r="I420" s="56"/>
      <c r="J420" s="58"/>
      <c r="K420" s="56" t="s">
        <v>479</v>
      </c>
      <c r="L420" s="65"/>
      <c r="M420" s="3"/>
      <c r="N420" s="3"/>
      <c r="O420" s="3"/>
      <c r="P420" s="3"/>
      <c r="Q420" s="3"/>
      <c r="R420" s="3"/>
      <c r="S420" s="3"/>
      <c r="T420" s="3"/>
    </row>
    <row r="421" spans="1:20" ht="15" customHeight="1" x14ac:dyDescent="0.2">
      <c r="A421" s="56"/>
      <c r="B421" s="58"/>
      <c r="C421" s="56"/>
      <c r="D421" s="58"/>
      <c r="E421" s="56"/>
      <c r="F421" s="58"/>
      <c r="G421" s="56"/>
      <c r="H421" s="58"/>
      <c r="I421" s="56"/>
      <c r="J421" s="58"/>
      <c r="K421" s="56" t="s">
        <v>479</v>
      </c>
      <c r="L421" s="65"/>
      <c r="M421" s="3"/>
      <c r="N421" s="3"/>
      <c r="O421" s="3"/>
      <c r="P421" s="3"/>
      <c r="Q421" s="3"/>
      <c r="R421" s="3"/>
      <c r="S421" s="3"/>
      <c r="T421" s="3"/>
    </row>
    <row r="422" spans="1:20" ht="15" customHeight="1" x14ac:dyDescent="0.2">
      <c r="A422" s="56"/>
      <c r="B422" s="58"/>
      <c r="C422" s="56"/>
      <c r="D422" s="58"/>
      <c r="E422" s="56"/>
      <c r="F422" s="58"/>
      <c r="G422" s="56"/>
      <c r="H422" s="58"/>
      <c r="I422" s="56"/>
      <c r="J422" s="58"/>
      <c r="K422" s="56" t="s">
        <v>479</v>
      </c>
      <c r="L422" s="65"/>
      <c r="M422" s="3"/>
      <c r="N422" s="3"/>
      <c r="O422" s="3"/>
      <c r="P422" s="3"/>
      <c r="Q422" s="3"/>
      <c r="R422" s="3"/>
      <c r="S422" s="3"/>
      <c r="T422" s="3"/>
    </row>
    <row r="423" spans="1:20" ht="15" customHeight="1" x14ac:dyDescent="0.2">
      <c r="A423" s="56"/>
      <c r="B423" s="58"/>
      <c r="C423" s="56"/>
      <c r="D423" s="58"/>
      <c r="E423" s="56"/>
      <c r="F423" s="58"/>
      <c r="G423" s="56"/>
      <c r="H423" s="58"/>
      <c r="I423" s="56"/>
      <c r="J423" s="58"/>
      <c r="K423" s="56" t="s">
        <v>479</v>
      </c>
      <c r="L423" s="65"/>
      <c r="M423" s="3"/>
      <c r="N423" s="3"/>
      <c r="O423" s="3"/>
      <c r="P423" s="3"/>
      <c r="Q423" s="3"/>
      <c r="R423" s="3"/>
      <c r="S423" s="3"/>
      <c r="T423" s="3"/>
    </row>
    <row r="424" spans="1:20" ht="15" customHeight="1" x14ac:dyDescent="0.2">
      <c r="A424" s="56"/>
      <c r="B424" s="58"/>
      <c r="C424" s="56"/>
      <c r="D424" s="58"/>
      <c r="E424" s="56"/>
      <c r="F424" s="58"/>
      <c r="G424" s="56"/>
      <c r="H424" s="58"/>
      <c r="I424" s="56"/>
      <c r="J424" s="58"/>
      <c r="K424" s="56" t="s">
        <v>479</v>
      </c>
      <c r="L424" s="65"/>
      <c r="M424" s="3"/>
      <c r="N424" s="3"/>
      <c r="O424" s="3"/>
      <c r="P424" s="3"/>
      <c r="Q424" s="3"/>
      <c r="R424" s="3"/>
      <c r="S424" s="3"/>
      <c r="T424" s="3"/>
    </row>
    <row r="425" spans="1:20" ht="15" customHeight="1" x14ac:dyDescent="0.2">
      <c r="A425" s="56"/>
      <c r="B425" s="58"/>
      <c r="C425" s="56"/>
      <c r="D425" s="58"/>
      <c r="E425" s="56"/>
      <c r="F425" s="58"/>
      <c r="G425" s="56"/>
      <c r="H425" s="58"/>
      <c r="I425" s="56"/>
      <c r="J425" s="58"/>
      <c r="K425" s="56" t="s">
        <v>479</v>
      </c>
      <c r="L425" s="65"/>
      <c r="M425" s="3"/>
      <c r="N425" s="3"/>
      <c r="O425" s="3"/>
      <c r="P425" s="3"/>
      <c r="Q425" s="3"/>
      <c r="R425" s="3"/>
      <c r="S425" s="3"/>
      <c r="T425" s="3"/>
    </row>
    <row r="426" spans="1:20" ht="15" customHeight="1" x14ac:dyDescent="0.2">
      <c r="A426" s="56"/>
      <c r="B426" s="58"/>
      <c r="C426" s="56"/>
      <c r="D426" s="58"/>
      <c r="E426" s="56"/>
      <c r="F426" s="58"/>
      <c r="G426" s="56"/>
      <c r="H426" s="58"/>
      <c r="I426" s="56"/>
      <c r="J426" s="58"/>
      <c r="K426" s="56" t="s">
        <v>479</v>
      </c>
      <c r="L426" s="65"/>
      <c r="M426" s="3"/>
      <c r="N426" s="3"/>
      <c r="O426" s="3"/>
      <c r="P426" s="3"/>
      <c r="Q426" s="3"/>
      <c r="R426" s="3"/>
      <c r="S426" s="3"/>
      <c r="T426" s="3"/>
    </row>
    <row r="427" spans="1:20" ht="15" customHeight="1" x14ac:dyDescent="0.2">
      <c r="A427" s="56"/>
      <c r="B427" s="58"/>
      <c r="C427" s="56"/>
      <c r="D427" s="58"/>
      <c r="E427" s="56"/>
      <c r="F427" s="58"/>
      <c r="G427" s="56"/>
      <c r="H427" s="58"/>
      <c r="I427" s="56"/>
      <c r="J427" s="58"/>
      <c r="K427" s="56" t="s">
        <v>479</v>
      </c>
      <c r="L427" s="65"/>
      <c r="M427" s="3"/>
      <c r="N427" s="3"/>
      <c r="O427" s="3"/>
      <c r="P427" s="3"/>
      <c r="Q427" s="3"/>
      <c r="R427" s="3"/>
      <c r="S427" s="3"/>
      <c r="T427" s="3"/>
    </row>
    <row r="428" spans="1:20" ht="15" customHeight="1" x14ac:dyDescent="0.2">
      <c r="A428" s="56"/>
      <c r="B428" s="58"/>
      <c r="C428" s="56"/>
      <c r="D428" s="58"/>
      <c r="E428" s="56"/>
      <c r="F428" s="58"/>
      <c r="G428" s="56"/>
      <c r="H428" s="58"/>
      <c r="I428" s="56"/>
      <c r="J428" s="58"/>
      <c r="K428" s="56" t="s">
        <v>479</v>
      </c>
      <c r="L428" s="65"/>
      <c r="M428" s="3"/>
      <c r="N428" s="3"/>
      <c r="O428" s="3"/>
      <c r="P428" s="3"/>
      <c r="Q428" s="3"/>
      <c r="R428" s="3"/>
      <c r="S428" s="3"/>
      <c r="T428" s="3"/>
    </row>
    <row r="429" spans="1:20" ht="15" customHeight="1" x14ac:dyDescent="0.2">
      <c r="A429" s="56"/>
      <c r="B429" s="58"/>
      <c r="C429" s="56"/>
      <c r="D429" s="58"/>
      <c r="E429" s="56"/>
      <c r="F429" s="58"/>
      <c r="G429" s="56"/>
      <c r="H429" s="58"/>
      <c r="I429" s="56"/>
      <c r="J429" s="58"/>
      <c r="K429" s="56" t="s">
        <v>479</v>
      </c>
      <c r="L429" s="65"/>
      <c r="M429" s="3"/>
      <c r="N429" s="3"/>
      <c r="O429" s="3"/>
      <c r="P429" s="3"/>
      <c r="Q429" s="3"/>
      <c r="R429" s="3"/>
      <c r="S429" s="3"/>
      <c r="T429" s="3"/>
    </row>
    <row r="430" spans="1:20" ht="15" customHeight="1" x14ac:dyDescent="0.2">
      <c r="A430" s="56"/>
      <c r="B430" s="58"/>
      <c r="C430" s="56"/>
      <c r="D430" s="58"/>
      <c r="E430" s="56"/>
      <c r="F430" s="58"/>
      <c r="G430" s="56"/>
      <c r="H430" s="58"/>
      <c r="I430" s="56"/>
      <c r="J430" s="58"/>
      <c r="K430" s="56" t="s">
        <v>479</v>
      </c>
      <c r="L430" s="65"/>
      <c r="M430" s="3"/>
      <c r="N430" s="3"/>
      <c r="O430" s="3"/>
      <c r="P430" s="3"/>
      <c r="Q430" s="3"/>
      <c r="R430" s="3"/>
      <c r="S430" s="3"/>
      <c r="T430" s="3"/>
    </row>
    <row r="431" spans="1:20" ht="15" customHeight="1" x14ac:dyDescent="0.2">
      <c r="A431" s="56"/>
      <c r="B431" s="58"/>
      <c r="C431" s="56"/>
      <c r="D431" s="58"/>
      <c r="E431" s="56"/>
      <c r="F431" s="58"/>
      <c r="G431" s="56"/>
      <c r="H431" s="58"/>
      <c r="I431" s="56"/>
      <c r="J431" s="58"/>
      <c r="K431" s="56" t="s">
        <v>479</v>
      </c>
      <c r="L431" s="65"/>
      <c r="M431" s="3"/>
      <c r="N431" s="3"/>
      <c r="O431" s="3"/>
      <c r="P431" s="3"/>
      <c r="Q431" s="3"/>
      <c r="R431" s="3"/>
      <c r="S431" s="3"/>
      <c r="T431" s="3"/>
    </row>
    <row r="432" spans="1:20" ht="15" customHeight="1" x14ac:dyDescent="0.2">
      <c r="A432" s="56"/>
      <c r="B432" s="58"/>
      <c r="C432" s="56"/>
      <c r="D432" s="58"/>
      <c r="E432" s="56"/>
      <c r="F432" s="58"/>
      <c r="G432" s="56"/>
      <c r="H432" s="58"/>
      <c r="I432" s="56"/>
      <c r="J432" s="58"/>
      <c r="K432" s="56" t="s">
        <v>479</v>
      </c>
      <c r="L432" s="65"/>
      <c r="M432" s="3"/>
      <c r="N432" s="3"/>
      <c r="O432" s="3"/>
      <c r="P432" s="3"/>
      <c r="Q432" s="3"/>
      <c r="R432" s="3"/>
      <c r="S432" s="3"/>
      <c r="T432" s="3"/>
    </row>
    <row r="433" spans="1:20" ht="15" customHeight="1" x14ac:dyDescent="0.2">
      <c r="A433" s="56"/>
      <c r="B433" s="58"/>
      <c r="C433" s="56"/>
      <c r="D433" s="58"/>
      <c r="E433" s="56"/>
      <c r="F433" s="58"/>
      <c r="G433" s="56"/>
      <c r="H433" s="58"/>
      <c r="I433" s="56"/>
      <c r="J433" s="58"/>
      <c r="K433" s="56" t="s">
        <v>479</v>
      </c>
      <c r="L433" s="65"/>
      <c r="M433" s="3"/>
      <c r="N433" s="3"/>
      <c r="O433" s="3"/>
      <c r="P433" s="3"/>
      <c r="Q433" s="3"/>
      <c r="R433" s="3"/>
      <c r="S433" s="3"/>
      <c r="T433" s="3"/>
    </row>
    <row r="434" spans="1:20" ht="15" customHeight="1" x14ac:dyDescent="0.2">
      <c r="A434" s="56"/>
      <c r="B434" s="58"/>
      <c r="C434" s="56"/>
      <c r="D434" s="58"/>
      <c r="E434" s="56"/>
      <c r="F434" s="58"/>
      <c r="G434" s="56"/>
      <c r="H434" s="58"/>
      <c r="I434" s="56"/>
      <c r="J434" s="58"/>
      <c r="K434" s="56" t="s">
        <v>479</v>
      </c>
      <c r="L434" s="65"/>
      <c r="M434" s="3"/>
      <c r="N434" s="3"/>
      <c r="O434" s="3"/>
      <c r="P434" s="3"/>
      <c r="Q434" s="3"/>
      <c r="R434" s="3"/>
      <c r="S434" s="3"/>
      <c r="T434" s="3"/>
    </row>
    <row r="435" spans="1:20" ht="15" customHeight="1" x14ac:dyDescent="0.2">
      <c r="A435" s="56"/>
      <c r="B435" s="58"/>
      <c r="C435" s="56"/>
      <c r="D435" s="58"/>
      <c r="E435" s="56"/>
      <c r="F435" s="58"/>
      <c r="G435" s="56"/>
      <c r="H435" s="58"/>
      <c r="I435" s="56"/>
      <c r="J435" s="58"/>
      <c r="K435" s="56" t="s">
        <v>479</v>
      </c>
      <c r="L435" s="65"/>
      <c r="M435" s="3"/>
      <c r="N435" s="3"/>
      <c r="O435" s="3"/>
      <c r="P435" s="3"/>
      <c r="Q435" s="3"/>
      <c r="R435" s="3"/>
      <c r="S435" s="3"/>
      <c r="T435" s="3"/>
    </row>
    <row r="436" spans="1:20" ht="15" customHeight="1" x14ac:dyDescent="0.2">
      <c r="A436" s="56"/>
      <c r="B436" s="58"/>
      <c r="C436" s="56"/>
      <c r="D436" s="58"/>
      <c r="E436" s="56"/>
      <c r="F436" s="58"/>
      <c r="G436" s="56"/>
      <c r="H436" s="58"/>
      <c r="I436" s="56"/>
      <c r="J436" s="58"/>
      <c r="K436" s="56" t="s">
        <v>479</v>
      </c>
      <c r="L436" s="65"/>
      <c r="M436" s="3"/>
      <c r="N436" s="3"/>
      <c r="O436" s="3"/>
      <c r="P436" s="3"/>
      <c r="Q436" s="3"/>
      <c r="R436" s="3"/>
      <c r="S436" s="3"/>
      <c r="T436" s="3"/>
    </row>
    <row r="437" spans="1:20" ht="15" customHeight="1" x14ac:dyDescent="0.2">
      <c r="A437" s="56"/>
      <c r="B437" s="58"/>
      <c r="C437" s="56"/>
      <c r="D437" s="58"/>
      <c r="E437" s="56"/>
      <c r="F437" s="58"/>
      <c r="G437" s="56"/>
      <c r="H437" s="58"/>
      <c r="I437" s="56"/>
      <c r="J437" s="58"/>
      <c r="K437" s="56" t="s">
        <v>479</v>
      </c>
      <c r="L437" s="65"/>
      <c r="M437" s="3"/>
      <c r="N437" s="3"/>
      <c r="O437" s="3"/>
      <c r="P437" s="3"/>
      <c r="Q437" s="3"/>
      <c r="R437" s="3"/>
      <c r="S437" s="3"/>
      <c r="T437" s="3"/>
    </row>
    <row r="438" spans="1:20" ht="15" customHeight="1" x14ac:dyDescent="0.2">
      <c r="A438" s="56"/>
      <c r="B438" s="58"/>
      <c r="C438" s="56"/>
      <c r="D438" s="58"/>
      <c r="E438" s="56"/>
      <c r="F438" s="58"/>
      <c r="G438" s="56"/>
      <c r="H438" s="58"/>
      <c r="I438" s="56"/>
      <c r="J438" s="58"/>
      <c r="K438" s="56" t="s">
        <v>479</v>
      </c>
      <c r="L438" s="65"/>
      <c r="M438" s="3"/>
      <c r="N438" s="3"/>
      <c r="O438" s="3"/>
      <c r="P438" s="3"/>
      <c r="Q438" s="3"/>
      <c r="R438" s="3"/>
      <c r="S438" s="3"/>
      <c r="T438" s="3"/>
    </row>
    <row r="439" spans="1:20" ht="15" customHeight="1" x14ac:dyDescent="0.2">
      <c r="A439" s="56"/>
      <c r="B439" s="58"/>
      <c r="C439" s="56"/>
      <c r="D439" s="58"/>
      <c r="E439" s="56"/>
      <c r="F439" s="58"/>
      <c r="G439" s="56"/>
      <c r="H439" s="58"/>
      <c r="I439" s="56"/>
      <c r="J439" s="58"/>
      <c r="K439" s="56" t="s">
        <v>479</v>
      </c>
      <c r="L439" s="65"/>
      <c r="M439" s="3"/>
      <c r="N439" s="3"/>
      <c r="O439" s="3"/>
      <c r="P439" s="3"/>
      <c r="Q439" s="3"/>
      <c r="R439" s="3"/>
      <c r="S439" s="3"/>
      <c r="T439" s="3"/>
    </row>
    <row r="440" spans="1:20" ht="15" customHeight="1" x14ac:dyDescent="0.2">
      <c r="A440" s="56"/>
      <c r="B440" s="58"/>
      <c r="C440" s="56"/>
      <c r="D440" s="58"/>
      <c r="E440" s="56"/>
      <c r="F440" s="58"/>
      <c r="G440" s="56"/>
      <c r="H440" s="58"/>
      <c r="I440" s="56"/>
      <c r="J440" s="58"/>
      <c r="K440" s="56" t="s">
        <v>479</v>
      </c>
      <c r="L440" s="65"/>
      <c r="M440" s="3"/>
      <c r="N440" s="3"/>
      <c r="O440" s="3"/>
      <c r="P440" s="3"/>
      <c r="Q440" s="3"/>
      <c r="R440" s="3"/>
      <c r="S440" s="3"/>
      <c r="T440" s="3"/>
    </row>
    <row r="441" spans="1:20" ht="15" customHeight="1" x14ac:dyDescent="0.2">
      <c r="A441" s="56"/>
      <c r="B441" s="58"/>
      <c r="C441" s="56"/>
      <c r="D441" s="58"/>
      <c r="E441" s="56"/>
      <c r="F441" s="58"/>
      <c r="G441" s="56"/>
      <c r="H441" s="58"/>
      <c r="I441" s="56"/>
      <c r="J441" s="58"/>
      <c r="K441" s="56" t="s">
        <v>479</v>
      </c>
      <c r="L441" s="65"/>
      <c r="M441" s="3"/>
      <c r="N441" s="3"/>
      <c r="O441" s="3"/>
      <c r="P441" s="3"/>
      <c r="Q441" s="3"/>
      <c r="R441" s="3"/>
      <c r="S441" s="3"/>
      <c r="T441" s="3"/>
    </row>
    <row r="442" spans="1:20" ht="15" customHeight="1" x14ac:dyDescent="0.2">
      <c r="A442" s="56"/>
      <c r="B442" s="58"/>
      <c r="C442" s="56"/>
      <c r="D442" s="58"/>
      <c r="E442" s="56"/>
      <c r="F442" s="58"/>
      <c r="G442" s="56"/>
      <c r="H442" s="58"/>
      <c r="I442" s="56"/>
      <c r="J442" s="58"/>
      <c r="K442" s="56" t="s">
        <v>479</v>
      </c>
      <c r="L442" s="65"/>
      <c r="M442" s="3"/>
      <c r="N442" s="3"/>
      <c r="O442" s="3"/>
      <c r="P442" s="3"/>
      <c r="Q442" s="3"/>
      <c r="R442" s="3"/>
      <c r="S442" s="3"/>
      <c r="T442" s="3"/>
    </row>
    <row r="443" spans="1:20" ht="15" customHeight="1" x14ac:dyDescent="0.2">
      <c r="A443" s="56"/>
      <c r="B443" s="58"/>
      <c r="C443" s="56"/>
      <c r="D443" s="58"/>
      <c r="E443" s="56"/>
      <c r="F443" s="58"/>
      <c r="G443" s="56"/>
      <c r="H443" s="58"/>
      <c r="I443" s="56"/>
      <c r="J443" s="58"/>
      <c r="K443" s="56" t="s">
        <v>479</v>
      </c>
      <c r="L443" s="65"/>
      <c r="M443" s="3"/>
      <c r="N443" s="3"/>
      <c r="O443" s="3"/>
      <c r="P443" s="3"/>
      <c r="Q443" s="3"/>
      <c r="R443" s="3"/>
      <c r="S443" s="3"/>
      <c r="T443" s="3"/>
    </row>
    <row r="444" spans="1:20" ht="15" customHeight="1" x14ac:dyDescent="0.2">
      <c r="A444" s="56"/>
      <c r="B444" s="58"/>
      <c r="C444" s="56"/>
      <c r="D444" s="58"/>
      <c r="E444" s="56"/>
      <c r="F444" s="58"/>
      <c r="G444" s="56"/>
      <c r="H444" s="58"/>
      <c r="I444" s="56"/>
      <c r="J444" s="58"/>
      <c r="K444" s="56" t="s">
        <v>479</v>
      </c>
      <c r="L444" s="65"/>
      <c r="M444" s="3"/>
      <c r="N444" s="3"/>
      <c r="O444" s="3"/>
      <c r="P444" s="3"/>
      <c r="Q444" s="3"/>
      <c r="R444" s="3"/>
      <c r="S444" s="3"/>
      <c r="T444" s="3"/>
    </row>
    <row r="445" spans="1:20" ht="15" customHeight="1" x14ac:dyDescent="0.2">
      <c r="A445" s="56"/>
      <c r="B445" s="58"/>
      <c r="C445" s="56"/>
      <c r="D445" s="58"/>
      <c r="E445" s="56"/>
      <c r="F445" s="58"/>
      <c r="G445" s="56"/>
      <c r="H445" s="58"/>
      <c r="I445" s="56"/>
      <c r="J445" s="58"/>
      <c r="K445" s="56" t="s">
        <v>479</v>
      </c>
      <c r="L445" s="65"/>
      <c r="M445" s="3"/>
      <c r="N445" s="3"/>
      <c r="O445" s="3"/>
      <c r="P445" s="3"/>
      <c r="Q445" s="3"/>
      <c r="R445" s="3"/>
      <c r="S445" s="3"/>
      <c r="T445" s="3"/>
    </row>
    <row r="446" spans="1:20" ht="15" customHeight="1" x14ac:dyDescent="0.2">
      <c r="A446" s="56"/>
      <c r="B446" s="58"/>
      <c r="C446" s="56"/>
      <c r="D446" s="58"/>
      <c r="E446" s="56"/>
      <c r="F446" s="58"/>
      <c r="G446" s="56"/>
      <c r="H446" s="58"/>
      <c r="I446" s="56"/>
      <c r="J446" s="58"/>
      <c r="K446" s="56" t="s">
        <v>479</v>
      </c>
      <c r="L446" s="65"/>
      <c r="M446" s="3"/>
      <c r="N446" s="3"/>
      <c r="O446" s="3"/>
      <c r="P446" s="3"/>
      <c r="Q446" s="3"/>
      <c r="R446" s="3"/>
      <c r="S446" s="3"/>
      <c r="T446" s="3"/>
    </row>
    <row r="447" spans="1:20" ht="15" customHeight="1" x14ac:dyDescent="0.2">
      <c r="A447" s="56"/>
      <c r="B447" s="58"/>
      <c r="C447" s="56"/>
      <c r="D447" s="58"/>
      <c r="E447" s="56"/>
      <c r="F447" s="58"/>
      <c r="G447" s="56"/>
      <c r="H447" s="58"/>
      <c r="I447" s="56"/>
      <c r="J447" s="58"/>
      <c r="K447" s="56" t="s">
        <v>479</v>
      </c>
      <c r="L447" s="65"/>
      <c r="M447" s="3"/>
      <c r="N447" s="3"/>
      <c r="O447" s="3"/>
      <c r="P447" s="3"/>
      <c r="Q447" s="3"/>
      <c r="R447" s="3"/>
      <c r="S447" s="3"/>
      <c r="T447" s="3"/>
    </row>
    <row r="448" spans="1:20" ht="15" customHeight="1" x14ac:dyDescent="0.2">
      <c r="A448" s="56"/>
      <c r="B448" s="58"/>
      <c r="C448" s="56"/>
      <c r="D448" s="58"/>
      <c r="E448" s="56"/>
      <c r="F448" s="58"/>
      <c r="G448" s="56"/>
      <c r="H448" s="58"/>
      <c r="I448" s="56"/>
      <c r="J448" s="58"/>
      <c r="K448" s="56" t="s">
        <v>479</v>
      </c>
      <c r="L448" s="65"/>
      <c r="M448" s="3"/>
      <c r="N448" s="3"/>
      <c r="O448" s="3"/>
      <c r="P448" s="3"/>
      <c r="Q448" s="3"/>
      <c r="R448" s="3"/>
      <c r="S448" s="3"/>
      <c r="T448" s="3"/>
    </row>
    <row r="449" spans="1:20" ht="15" customHeight="1" x14ac:dyDescent="0.2">
      <c r="A449" s="56"/>
      <c r="B449" s="58"/>
      <c r="C449" s="56"/>
      <c r="D449" s="58"/>
      <c r="E449" s="56"/>
      <c r="F449" s="58"/>
      <c r="G449" s="56"/>
      <c r="H449" s="58"/>
      <c r="I449" s="56"/>
      <c r="J449" s="58"/>
      <c r="K449" s="56" t="s">
        <v>479</v>
      </c>
      <c r="L449" s="65"/>
      <c r="M449" s="3"/>
      <c r="N449" s="3"/>
      <c r="O449" s="3"/>
      <c r="P449" s="3"/>
      <c r="Q449" s="3"/>
      <c r="R449" s="3"/>
      <c r="S449" s="3"/>
      <c r="T449" s="3"/>
    </row>
    <row r="450" spans="1:20" ht="15" customHeight="1" x14ac:dyDescent="0.2">
      <c r="A450" s="56"/>
      <c r="B450" s="58"/>
      <c r="C450" s="56"/>
      <c r="D450" s="58"/>
      <c r="E450" s="56"/>
      <c r="F450" s="58"/>
      <c r="G450" s="56"/>
      <c r="H450" s="58"/>
      <c r="I450" s="56"/>
      <c r="J450" s="58"/>
      <c r="K450" s="56" t="s">
        <v>479</v>
      </c>
      <c r="L450" s="65"/>
      <c r="M450" s="3"/>
      <c r="N450" s="3"/>
      <c r="O450" s="3"/>
      <c r="P450" s="3"/>
      <c r="Q450" s="3"/>
      <c r="R450" s="3"/>
      <c r="S450" s="3"/>
      <c r="T450" s="3"/>
    </row>
    <row r="451" spans="1:20" ht="15" customHeight="1" x14ac:dyDescent="0.2">
      <c r="A451" s="56"/>
      <c r="B451" s="58"/>
      <c r="C451" s="56"/>
      <c r="D451" s="58"/>
      <c r="E451" s="56"/>
      <c r="F451" s="58"/>
      <c r="G451" s="56"/>
      <c r="H451" s="58"/>
      <c r="I451" s="56"/>
      <c r="J451" s="58"/>
      <c r="K451" s="56" t="s">
        <v>479</v>
      </c>
      <c r="L451" s="65"/>
      <c r="M451" s="3"/>
      <c r="N451" s="3"/>
      <c r="O451" s="3"/>
      <c r="P451" s="3"/>
      <c r="Q451" s="3"/>
      <c r="R451" s="3"/>
      <c r="S451" s="3"/>
      <c r="T451" s="3"/>
    </row>
    <row r="452" spans="1:20" ht="15" customHeight="1" x14ac:dyDescent="0.2">
      <c r="A452" s="56"/>
      <c r="B452" s="58"/>
      <c r="C452" s="56"/>
      <c r="D452" s="58"/>
      <c r="E452" s="56"/>
      <c r="F452" s="58"/>
      <c r="G452" s="56"/>
      <c r="H452" s="58"/>
      <c r="I452" s="56"/>
      <c r="J452" s="58"/>
      <c r="K452" s="56" t="s">
        <v>479</v>
      </c>
      <c r="L452" s="65"/>
      <c r="M452" s="3"/>
      <c r="N452" s="3"/>
      <c r="O452" s="3"/>
      <c r="P452" s="3"/>
      <c r="Q452" s="3"/>
      <c r="R452" s="3"/>
      <c r="S452" s="3"/>
      <c r="T452" s="3"/>
    </row>
    <row r="453" spans="1:20" ht="15" customHeight="1" x14ac:dyDescent="0.2">
      <c r="A453" s="56"/>
      <c r="B453" s="58"/>
      <c r="C453" s="56"/>
      <c r="D453" s="58"/>
      <c r="E453" s="56"/>
      <c r="F453" s="58"/>
      <c r="G453" s="56"/>
      <c r="H453" s="58"/>
      <c r="I453" s="56"/>
      <c r="J453" s="58"/>
      <c r="K453" s="56" t="s">
        <v>479</v>
      </c>
      <c r="L453" s="65"/>
      <c r="M453" s="3"/>
      <c r="N453" s="3"/>
      <c r="O453" s="3"/>
      <c r="P453" s="3"/>
      <c r="Q453" s="3"/>
      <c r="R453" s="3"/>
      <c r="S453" s="3"/>
      <c r="T453" s="3"/>
    </row>
    <row r="454" spans="1:20" ht="15" customHeight="1" x14ac:dyDescent="0.2">
      <c r="A454" s="56"/>
      <c r="B454" s="58"/>
      <c r="C454" s="56"/>
      <c r="D454" s="58"/>
      <c r="E454" s="56"/>
      <c r="F454" s="58"/>
      <c r="G454" s="56"/>
      <c r="H454" s="58"/>
      <c r="I454" s="56"/>
      <c r="J454" s="58"/>
      <c r="K454" s="56" t="s">
        <v>479</v>
      </c>
      <c r="L454" s="65"/>
      <c r="M454" s="3"/>
      <c r="N454" s="3"/>
      <c r="O454" s="3"/>
      <c r="P454" s="3"/>
      <c r="Q454" s="3"/>
      <c r="R454" s="3"/>
      <c r="S454" s="3"/>
      <c r="T454" s="3"/>
    </row>
    <row r="455" spans="1:20" ht="15" customHeight="1" x14ac:dyDescent="0.2">
      <c r="A455" s="56"/>
      <c r="B455" s="58"/>
      <c r="C455" s="56"/>
      <c r="D455" s="58"/>
      <c r="E455" s="56"/>
      <c r="F455" s="58"/>
      <c r="G455" s="56"/>
      <c r="H455" s="58"/>
      <c r="I455" s="56"/>
      <c r="J455" s="58"/>
      <c r="K455" s="56" t="s">
        <v>479</v>
      </c>
      <c r="L455" s="65"/>
      <c r="M455" s="3"/>
      <c r="N455" s="3"/>
      <c r="O455" s="3"/>
      <c r="P455" s="3"/>
      <c r="Q455" s="3"/>
      <c r="R455" s="3"/>
      <c r="S455" s="3"/>
      <c r="T455" s="3"/>
    </row>
    <row r="456" spans="1:20" ht="15" customHeight="1" x14ac:dyDescent="0.2">
      <c r="A456" s="56"/>
      <c r="B456" s="58"/>
      <c r="C456" s="56"/>
      <c r="D456" s="58"/>
      <c r="E456" s="56"/>
      <c r="F456" s="58"/>
      <c r="G456" s="56"/>
      <c r="H456" s="58"/>
      <c r="I456" s="56"/>
      <c r="J456" s="58"/>
      <c r="K456" s="56" t="s">
        <v>479</v>
      </c>
      <c r="L456" s="65"/>
      <c r="M456" s="3"/>
      <c r="N456" s="3"/>
      <c r="O456" s="3"/>
      <c r="P456" s="3"/>
      <c r="Q456" s="3"/>
      <c r="R456" s="3"/>
      <c r="S456" s="3"/>
      <c r="T456" s="3"/>
    </row>
    <row r="457" spans="1:20" ht="15" customHeight="1" x14ac:dyDescent="0.2">
      <c r="A457" s="56"/>
      <c r="B457" s="58"/>
      <c r="C457" s="56"/>
      <c r="D457" s="58"/>
      <c r="E457" s="56"/>
      <c r="F457" s="58"/>
      <c r="G457" s="56"/>
      <c r="H457" s="58"/>
      <c r="I457" s="56"/>
      <c r="J457" s="58"/>
      <c r="K457" s="56" t="s">
        <v>479</v>
      </c>
      <c r="L457" s="65"/>
      <c r="M457" s="3"/>
      <c r="N457" s="3"/>
      <c r="O457" s="3"/>
      <c r="P457" s="3"/>
      <c r="Q457" s="3"/>
      <c r="R457" s="3"/>
      <c r="S457" s="3"/>
      <c r="T457" s="3"/>
    </row>
    <row r="458" spans="1:20" ht="15" customHeight="1" x14ac:dyDescent="0.2">
      <c r="A458" s="56"/>
      <c r="B458" s="58"/>
      <c r="C458" s="56"/>
      <c r="D458" s="58"/>
      <c r="E458" s="56"/>
      <c r="F458" s="58"/>
      <c r="G458" s="56"/>
      <c r="H458" s="58"/>
      <c r="I458" s="56"/>
      <c r="J458" s="58"/>
      <c r="K458" s="56" t="s">
        <v>479</v>
      </c>
      <c r="L458" s="65"/>
      <c r="M458" s="3"/>
      <c r="N458" s="3"/>
      <c r="O458" s="3"/>
      <c r="P458" s="3"/>
      <c r="Q458" s="3"/>
      <c r="R458" s="3"/>
      <c r="S458" s="3"/>
      <c r="T458" s="3"/>
    </row>
    <row r="459" spans="1:20" ht="15" customHeight="1" x14ac:dyDescent="0.2">
      <c r="A459" s="56"/>
      <c r="B459" s="58"/>
      <c r="C459" s="56"/>
      <c r="D459" s="58"/>
      <c r="E459" s="56"/>
      <c r="F459" s="58"/>
      <c r="G459" s="56"/>
      <c r="H459" s="58"/>
      <c r="I459" s="56"/>
      <c r="J459" s="58"/>
      <c r="K459" s="56" t="s">
        <v>479</v>
      </c>
      <c r="L459" s="65"/>
      <c r="M459" s="3"/>
      <c r="N459" s="3"/>
      <c r="O459" s="3"/>
      <c r="P459" s="3"/>
      <c r="Q459" s="3"/>
      <c r="R459" s="3"/>
      <c r="S459" s="3"/>
      <c r="T459" s="3"/>
    </row>
    <row r="460" spans="1:20" ht="15" customHeight="1" x14ac:dyDescent="0.2">
      <c r="A460" s="56"/>
      <c r="B460" s="58"/>
      <c r="C460" s="56"/>
      <c r="D460" s="58"/>
      <c r="E460" s="56"/>
      <c r="F460" s="58"/>
      <c r="G460" s="56"/>
      <c r="H460" s="58"/>
      <c r="I460" s="56"/>
      <c r="J460" s="58"/>
      <c r="K460" s="56" t="s">
        <v>479</v>
      </c>
      <c r="L460" s="65"/>
      <c r="M460" s="3"/>
      <c r="N460" s="3"/>
      <c r="O460" s="3"/>
      <c r="P460" s="3"/>
      <c r="Q460" s="3"/>
      <c r="R460" s="3"/>
      <c r="S460" s="3"/>
      <c r="T460" s="3"/>
    </row>
    <row r="461" spans="1:20" ht="15" customHeight="1" x14ac:dyDescent="0.2">
      <c r="A461" s="56"/>
      <c r="B461" s="58"/>
      <c r="C461" s="56"/>
      <c r="D461" s="58"/>
      <c r="E461" s="56"/>
      <c r="F461" s="58"/>
      <c r="G461" s="56"/>
      <c r="H461" s="58"/>
      <c r="I461" s="56"/>
      <c r="J461" s="58"/>
      <c r="K461" s="56" t="s">
        <v>479</v>
      </c>
      <c r="L461" s="65"/>
      <c r="M461" s="3"/>
      <c r="N461" s="3"/>
      <c r="O461" s="3"/>
      <c r="P461" s="3"/>
      <c r="Q461" s="3"/>
      <c r="R461" s="3"/>
      <c r="S461" s="3"/>
      <c r="T461" s="3"/>
    </row>
    <row r="462" spans="1:20" ht="15" customHeight="1" x14ac:dyDescent="0.2">
      <c r="A462" s="56"/>
      <c r="B462" s="58"/>
      <c r="C462" s="56"/>
      <c r="D462" s="58"/>
      <c r="E462" s="56"/>
      <c r="F462" s="58"/>
      <c r="G462" s="56"/>
      <c r="H462" s="58"/>
      <c r="I462" s="56"/>
      <c r="J462" s="58"/>
      <c r="K462" s="56" t="s">
        <v>479</v>
      </c>
      <c r="L462" s="65"/>
      <c r="M462" s="3"/>
      <c r="N462" s="3"/>
      <c r="O462" s="3"/>
      <c r="P462" s="3"/>
      <c r="Q462" s="3"/>
      <c r="R462" s="3"/>
      <c r="S462" s="3"/>
      <c r="T462" s="3"/>
    </row>
    <row r="463" spans="1:20" ht="15" customHeight="1" x14ac:dyDescent="0.2">
      <c r="A463" s="56"/>
      <c r="B463" s="58"/>
      <c r="C463" s="56"/>
      <c r="D463" s="58"/>
      <c r="E463" s="56"/>
      <c r="F463" s="58"/>
      <c r="G463" s="56"/>
      <c r="H463" s="58"/>
      <c r="I463" s="56"/>
      <c r="J463" s="58"/>
      <c r="K463" s="56" t="s">
        <v>479</v>
      </c>
      <c r="L463" s="65"/>
      <c r="M463" s="3"/>
      <c r="N463" s="3"/>
      <c r="O463" s="3"/>
      <c r="P463" s="3"/>
      <c r="Q463" s="3"/>
      <c r="R463" s="3"/>
      <c r="S463" s="3"/>
      <c r="T463" s="3"/>
    </row>
    <row r="464" spans="1:20" ht="15" customHeight="1" x14ac:dyDescent="0.2">
      <c r="A464" s="56"/>
      <c r="B464" s="58"/>
      <c r="C464" s="56"/>
      <c r="D464" s="58"/>
      <c r="E464" s="56"/>
      <c r="F464" s="58"/>
      <c r="G464" s="56"/>
      <c r="H464" s="58"/>
      <c r="I464" s="56"/>
      <c r="J464" s="58"/>
      <c r="K464" s="56" t="s">
        <v>479</v>
      </c>
      <c r="L464" s="65"/>
      <c r="M464" s="3"/>
      <c r="N464" s="3"/>
      <c r="O464" s="3"/>
      <c r="P464" s="3"/>
      <c r="Q464" s="3"/>
      <c r="R464" s="3"/>
      <c r="S464" s="3"/>
      <c r="T464" s="3"/>
    </row>
    <row r="465" spans="1:20" ht="15" customHeight="1" x14ac:dyDescent="0.2">
      <c r="A465" s="56"/>
      <c r="B465" s="58"/>
      <c r="C465" s="56"/>
      <c r="D465" s="58"/>
      <c r="E465" s="56"/>
      <c r="F465" s="58"/>
      <c r="G465" s="56"/>
      <c r="H465" s="58"/>
      <c r="I465" s="56"/>
      <c r="J465" s="58"/>
      <c r="K465" s="56" t="s">
        <v>479</v>
      </c>
      <c r="L465" s="65"/>
      <c r="M465" s="3"/>
      <c r="N465" s="3"/>
      <c r="O465" s="3"/>
      <c r="P465" s="3"/>
      <c r="Q465" s="3"/>
      <c r="R465" s="3"/>
      <c r="S465" s="3"/>
      <c r="T465" s="3"/>
    </row>
    <row r="466" spans="1:20" ht="15" customHeight="1" x14ac:dyDescent="0.2">
      <c r="A466" s="56"/>
      <c r="B466" s="58"/>
      <c r="C466" s="56"/>
      <c r="D466" s="58"/>
      <c r="E466" s="56"/>
      <c r="F466" s="58"/>
      <c r="G466" s="56"/>
      <c r="H466" s="58"/>
      <c r="I466" s="56"/>
      <c r="J466" s="58"/>
      <c r="K466" s="56" t="s">
        <v>479</v>
      </c>
      <c r="L466" s="65"/>
      <c r="M466" s="3"/>
      <c r="N466" s="3"/>
      <c r="O466" s="3"/>
      <c r="P466" s="3"/>
      <c r="Q466" s="3"/>
      <c r="R466" s="3"/>
      <c r="S466" s="3"/>
      <c r="T466" s="3"/>
    </row>
    <row r="467" spans="1:20" ht="15" customHeight="1" x14ac:dyDescent="0.2">
      <c r="A467" s="56"/>
      <c r="B467" s="58"/>
      <c r="C467" s="56"/>
      <c r="D467" s="58"/>
      <c r="E467" s="56"/>
      <c r="F467" s="58"/>
      <c r="G467" s="56"/>
      <c r="H467" s="58"/>
      <c r="I467" s="56"/>
      <c r="J467" s="58"/>
      <c r="K467" s="56" t="s">
        <v>479</v>
      </c>
      <c r="L467" s="65"/>
      <c r="M467" s="3"/>
      <c r="N467" s="3"/>
      <c r="O467" s="3"/>
      <c r="P467" s="3"/>
      <c r="Q467" s="3"/>
      <c r="R467" s="3"/>
      <c r="S467" s="3"/>
      <c r="T467" s="3"/>
    </row>
    <row r="468" spans="1:20" ht="15" customHeight="1" x14ac:dyDescent="0.2">
      <c r="A468" s="56"/>
      <c r="B468" s="58"/>
      <c r="C468" s="56"/>
      <c r="D468" s="58"/>
      <c r="E468" s="56"/>
      <c r="F468" s="58"/>
      <c r="G468" s="56"/>
      <c r="H468" s="58"/>
      <c r="I468" s="56"/>
      <c r="J468" s="58"/>
      <c r="K468" s="56" t="s">
        <v>479</v>
      </c>
      <c r="L468" s="65"/>
      <c r="M468" s="3"/>
      <c r="N468" s="3"/>
      <c r="O468" s="3"/>
      <c r="P468" s="3"/>
      <c r="Q468" s="3"/>
      <c r="R468" s="3"/>
      <c r="S468" s="3"/>
      <c r="T468" s="3"/>
    </row>
    <row r="469" spans="1:20" ht="15" customHeight="1" x14ac:dyDescent="0.2">
      <c r="A469" s="56"/>
      <c r="B469" s="58"/>
      <c r="C469" s="56"/>
      <c r="D469" s="58"/>
      <c r="E469" s="56"/>
      <c r="F469" s="58"/>
      <c r="G469" s="56"/>
      <c r="H469" s="58"/>
      <c r="I469" s="56"/>
      <c r="J469" s="58"/>
      <c r="K469" s="56" t="s">
        <v>479</v>
      </c>
      <c r="L469" s="65"/>
      <c r="M469" s="3"/>
      <c r="N469" s="3"/>
      <c r="O469" s="3"/>
      <c r="P469" s="3"/>
      <c r="Q469" s="3"/>
      <c r="R469" s="3"/>
      <c r="S469" s="3"/>
      <c r="T469" s="3"/>
    </row>
    <row r="470" spans="1:20" ht="15" customHeight="1" x14ac:dyDescent="0.2">
      <c r="A470" s="56"/>
      <c r="B470" s="58"/>
      <c r="C470" s="56"/>
      <c r="D470" s="58"/>
      <c r="E470" s="56"/>
      <c r="F470" s="58"/>
      <c r="G470" s="56"/>
      <c r="H470" s="58"/>
      <c r="I470" s="56"/>
      <c r="J470" s="58"/>
      <c r="K470" s="56" t="s">
        <v>479</v>
      </c>
      <c r="L470" s="65"/>
      <c r="M470" s="3"/>
      <c r="N470" s="3"/>
      <c r="O470" s="3"/>
      <c r="P470" s="3"/>
      <c r="Q470" s="3"/>
      <c r="R470" s="3"/>
      <c r="S470" s="3"/>
      <c r="T470" s="3"/>
    </row>
    <row r="471" spans="1:20" ht="15" customHeight="1" x14ac:dyDescent="0.2">
      <c r="A471" s="56"/>
      <c r="B471" s="58"/>
      <c r="C471" s="56"/>
      <c r="D471" s="58"/>
      <c r="E471" s="56"/>
      <c r="F471" s="58"/>
      <c r="G471" s="56"/>
      <c r="H471" s="58"/>
      <c r="I471" s="56"/>
      <c r="J471" s="58"/>
      <c r="K471" s="56" t="s">
        <v>479</v>
      </c>
      <c r="L471" s="65"/>
      <c r="M471" s="3"/>
      <c r="N471" s="3"/>
      <c r="O471" s="3"/>
      <c r="P471" s="3"/>
      <c r="Q471" s="3"/>
      <c r="R471" s="3"/>
      <c r="S471" s="3"/>
      <c r="T471" s="3"/>
    </row>
    <row r="472" spans="1:20" ht="15" customHeight="1" x14ac:dyDescent="0.2">
      <c r="A472" s="56"/>
      <c r="B472" s="58"/>
      <c r="C472" s="56"/>
      <c r="D472" s="58"/>
      <c r="E472" s="56"/>
      <c r="F472" s="58"/>
      <c r="G472" s="56"/>
      <c r="H472" s="58"/>
      <c r="I472" s="56"/>
      <c r="J472" s="58"/>
      <c r="K472" s="56" t="s">
        <v>479</v>
      </c>
      <c r="L472" s="65"/>
      <c r="M472" s="3"/>
      <c r="N472" s="3"/>
      <c r="O472" s="3"/>
      <c r="P472" s="3"/>
      <c r="Q472" s="3"/>
      <c r="R472" s="3"/>
      <c r="S472" s="3"/>
      <c r="T472" s="3"/>
    </row>
    <row r="473" spans="1:20" ht="15" customHeight="1" x14ac:dyDescent="0.2">
      <c r="A473" s="56"/>
      <c r="B473" s="58"/>
      <c r="C473" s="56"/>
      <c r="D473" s="58"/>
      <c r="E473" s="56"/>
      <c r="F473" s="58"/>
      <c r="G473" s="56"/>
      <c r="H473" s="58"/>
      <c r="I473" s="56"/>
      <c r="J473" s="58"/>
      <c r="K473" s="56" t="s">
        <v>479</v>
      </c>
      <c r="L473" s="65"/>
      <c r="M473" s="3"/>
      <c r="N473" s="3"/>
      <c r="O473" s="3"/>
      <c r="P473" s="3"/>
      <c r="Q473" s="3"/>
      <c r="R473" s="3"/>
      <c r="S473" s="3"/>
      <c r="T473" s="3"/>
    </row>
    <row r="474" spans="1:20" ht="15" customHeight="1" x14ac:dyDescent="0.2">
      <c r="A474" s="56"/>
      <c r="B474" s="58"/>
      <c r="C474" s="56"/>
      <c r="D474" s="58"/>
      <c r="E474" s="56"/>
      <c r="F474" s="58"/>
      <c r="G474" s="56"/>
      <c r="H474" s="58"/>
      <c r="I474" s="56"/>
      <c r="J474" s="58"/>
      <c r="K474" s="56" t="s">
        <v>479</v>
      </c>
      <c r="L474" s="65"/>
      <c r="M474" s="3"/>
      <c r="N474" s="3"/>
      <c r="O474" s="3"/>
      <c r="P474" s="3"/>
      <c r="Q474" s="3"/>
      <c r="R474" s="3"/>
      <c r="S474" s="3"/>
      <c r="T474" s="3"/>
    </row>
    <row r="475" spans="1:20" ht="15" customHeight="1" x14ac:dyDescent="0.2">
      <c r="A475" s="56"/>
      <c r="B475" s="58"/>
      <c r="C475" s="56"/>
      <c r="D475" s="58"/>
      <c r="E475" s="56"/>
      <c r="F475" s="58"/>
      <c r="G475" s="56"/>
      <c r="H475" s="58"/>
      <c r="I475" s="56"/>
      <c r="J475" s="58"/>
      <c r="K475" s="56" t="s">
        <v>479</v>
      </c>
      <c r="L475" s="65"/>
      <c r="M475" s="3"/>
      <c r="N475" s="3"/>
      <c r="O475" s="3"/>
      <c r="P475" s="3"/>
      <c r="Q475" s="3"/>
      <c r="R475" s="3"/>
      <c r="S475" s="3"/>
      <c r="T475" s="3"/>
    </row>
    <row r="476" spans="1:20" ht="15" customHeight="1" x14ac:dyDescent="0.2">
      <c r="A476" s="56"/>
      <c r="B476" s="58"/>
      <c r="C476" s="56"/>
      <c r="D476" s="58"/>
      <c r="E476" s="56"/>
      <c r="F476" s="58"/>
      <c r="G476" s="56"/>
      <c r="H476" s="58"/>
      <c r="I476" s="56"/>
      <c r="J476" s="58"/>
      <c r="K476" s="56" t="s">
        <v>479</v>
      </c>
      <c r="L476" s="65"/>
      <c r="M476" s="3"/>
      <c r="N476" s="3"/>
      <c r="O476" s="3"/>
      <c r="P476" s="3"/>
      <c r="Q476" s="3"/>
      <c r="R476" s="3"/>
      <c r="S476" s="3"/>
      <c r="T476" s="3"/>
    </row>
    <row r="477" spans="1:20" ht="15" customHeight="1" x14ac:dyDescent="0.2">
      <c r="A477" s="56"/>
      <c r="B477" s="58"/>
      <c r="C477" s="56"/>
      <c r="D477" s="58"/>
      <c r="E477" s="56"/>
      <c r="F477" s="58"/>
      <c r="G477" s="56"/>
      <c r="H477" s="58"/>
      <c r="I477" s="56"/>
      <c r="J477" s="58"/>
      <c r="K477" s="56" t="s">
        <v>479</v>
      </c>
      <c r="L477" s="65"/>
      <c r="M477" s="3"/>
      <c r="N477" s="3"/>
      <c r="O477" s="3"/>
      <c r="P477" s="3"/>
      <c r="Q477" s="3"/>
      <c r="R477" s="3"/>
      <c r="S477" s="3"/>
      <c r="T477" s="3"/>
    </row>
    <row r="478" spans="1:20" ht="15" customHeight="1" x14ac:dyDescent="0.2">
      <c r="A478" s="56"/>
      <c r="B478" s="58"/>
      <c r="C478" s="56"/>
      <c r="D478" s="58"/>
      <c r="E478" s="56"/>
      <c r="F478" s="58"/>
      <c r="G478" s="56"/>
      <c r="H478" s="58"/>
      <c r="I478" s="56"/>
      <c r="J478" s="58"/>
      <c r="K478" s="56" t="s">
        <v>479</v>
      </c>
      <c r="L478" s="65"/>
      <c r="M478" s="3"/>
      <c r="N478" s="3"/>
      <c r="O478" s="3"/>
      <c r="P478" s="3"/>
      <c r="Q478" s="3"/>
      <c r="R478" s="3"/>
      <c r="S478" s="3"/>
      <c r="T478" s="3"/>
    </row>
    <row r="479" spans="1:20" ht="15" customHeight="1" x14ac:dyDescent="0.2">
      <c r="A479" s="56"/>
      <c r="B479" s="58"/>
      <c r="C479" s="56"/>
      <c r="D479" s="58"/>
      <c r="E479" s="56"/>
      <c r="F479" s="58"/>
      <c r="G479" s="56"/>
      <c r="H479" s="58"/>
      <c r="I479" s="56"/>
      <c r="J479" s="58"/>
      <c r="K479" s="56" t="s">
        <v>479</v>
      </c>
      <c r="L479" s="65"/>
      <c r="M479" s="3"/>
      <c r="N479" s="3"/>
      <c r="O479" s="3"/>
      <c r="P479" s="3"/>
      <c r="Q479" s="3"/>
      <c r="R479" s="3"/>
      <c r="S479" s="3"/>
      <c r="T479" s="3"/>
    </row>
    <row r="480" spans="1:20" ht="15" customHeight="1" x14ac:dyDescent="0.2">
      <c r="A480" s="56"/>
      <c r="B480" s="58"/>
      <c r="C480" s="56"/>
      <c r="D480" s="58"/>
      <c r="E480" s="56"/>
      <c r="F480" s="58"/>
      <c r="G480" s="56"/>
      <c r="H480" s="58"/>
      <c r="I480" s="56"/>
      <c r="J480" s="58"/>
      <c r="K480" s="56" t="s">
        <v>479</v>
      </c>
      <c r="L480" s="65"/>
      <c r="M480" s="3"/>
      <c r="N480" s="3"/>
      <c r="O480" s="3"/>
      <c r="P480" s="3"/>
      <c r="Q480" s="3"/>
      <c r="R480" s="3"/>
      <c r="S480" s="3"/>
      <c r="T480" s="3"/>
    </row>
    <row r="481" spans="1:20" ht="15" customHeight="1" x14ac:dyDescent="0.2">
      <c r="A481" s="56"/>
      <c r="B481" s="58"/>
      <c r="C481" s="56"/>
      <c r="D481" s="58"/>
      <c r="E481" s="56"/>
      <c r="F481" s="58"/>
      <c r="G481" s="56"/>
      <c r="H481" s="58"/>
      <c r="I481" s="56"/>
      <c r="J481" s="58"/>
      <c r="K481" s="56" t="s">
        <v>479</v>
      </c>
      <c r="L481" s="65"/>
      <c r="M481" s="3"/>
      <c r="N481" s="3"/>
      <c r="O481" s="3"/>
      <c r="P481" s="3"/>
      <c r="Q481" s="3"/>
      <c r="R481" s="3"/>
      <c r="S481" s="3"/>
      <c r="T481" s="3"/>
    </row>
    <row r="482" spans="1:20" ht="15" customHeight="1" x14ac:dyDescent="0.2">
      <c r="A482" s="56"/>
      <c r="B482" s="58"/>
      <c r="C482" s="56"/>
      <c r="D482" s="58"/>
      <c r="E482" s="56"/>
      <c r="F482" s="58"/>
      <c r="G482" s="56"/>
      <c r="H482" s="58"/>
      <c r="I482" s="56"/>
      <c r="J482" s="58"/>
      <c r="K482" s="56" t="s">
        <v>479</v>
      </c>
      <c r="L482" s="65"/>
      <c r="M482" s="3"/>
      <c r="N482" s="3"/>
      <c r="O482" s="3"/>
      <c r="P482" s="3"/>
      <c r="Q482" s="3"/>
      <c r="R482" s="3"/>
      <c r="S482" s="3"/>
      <c r="T482" s="3"/>
    </row>
    <row r="483" spans="1:20" ht="15" customHeight="1" x14ac:dyDescent="0.2">
      <c r="A483" s="56"/>
      <c r="B483" s="58"/>
      <c r="C483" s="56"/>
      <c r="D483" s="58"/>
      <c r="E483" s="56"/>
      <c r="F483" s="58"/>
      <c r="G483" s="56"/>
      <c r="H483" s="58"/>
      <c r="I483" s="56"/>
      <c r="J483" s="58"/>
      <c r="K483" s="56" t="s">
        <v>479</v>
      </c>
      <c r="L483" s="65"/>
      <c r="M483" s="3"/>
      <c r="N483" s="3"/>
      <c r="O483" s="3"/>
      <c r="P483" s="3"/>
      <c r="Q483" s="3"/>
      <c r="R483" s="3"/>
      <c r="S483" s="3"/>
      <c r="T483" s="3"/>
    </row>
    <row r="484" spans="1:20" ht="15" customHeight="1" x14ac:dyDescent="0.2">
      <c r="A484" s="56"/>
      <c r="B484" s="58"/>
      <c r="C484" s="56"/>
      <c r="D484" s="58"/>
      <c r="E484" s="56"/>
      <c r="F484" s="58"/>
      <c r="G484" s="56"/>
      <c r="H484" s="58"/>
      <c r="I484" s="56"/>
      <c r="J484" s="58"/>
      <c r="K484" s="56" t="s">
        <v>479</v>
      </c>
      <c r="L484" s="65"/>
      <c r="M484" s="3"/>
      <c r="N484" s="3"/>
      <c r="O484" s="3"/>
      <c r="P484" s="3"/>
      <c r="Q484" s="3"/>
      <c r="R484" s="3"/>
      <c r="S484" s="3"/>
      <c r="T484" s="3"/>
    </row>
    <row r="485" spans="1:20" ht="15" customHeight="1" x14ac:dyDescent="0.2">
      <c r="A485" s="56"/>
      <c r="B485" s="58"/>
      <c r="C485" s="56"/>
      <c r="D485" s="58"/>
      <c r="E485" s="56"/>
      <c r="F485" s="58"/>
      <c r="G485" s="56"/>
      <c r="H485" s="58"/>
      <c r="I485" s="56"/>
      <c r="J485" s="58"/>
      <c r="K485" s="56" t="s">
        <v>479</v>
      </c>
      <c r="L485" s="65"/>
      <c r="M485" s="3"/>
      <c r="N485" s="3"/>
      <c r="O485" s="3"/>
      <c r="P485" s="3"/>
      <c r="Q485" s="3"/>
      <c r="R485" s="3"/>
      <c r="S485" s="3"/>
      <c r="T485" s="3"/>
    </row>
    <row r="486" spans="1:20" ht="15" customHeight="1" x14ac:dyDescent="0.2">
      <c r="A486" s="56"/>
      <c r="B486" s="58"/>
      <c r="C486" s="56"/>
      <c r="D486" s="58"/>
      <c r="E486" s="56"/>
      <c r="F486" s="58"/>
      <c r="G486" s="56"/>
      <c r="H486" s="58"/>
      <c r="I486" s="56"/>
      <c r="J486" s="58"/>
      <c r="K486" s="56" t="s">
        <v>479</v>
      </c>
      <c r="L486" s="65"/>
      <c r="M486" s="3"/>
      <c r="N486" s="3"/>
      <c r="O486" s="3"/>
      <c r="P486" s="3"/>
      <c r="Q486" s="3"/>
      <c r="R486" s="3"/>
      <c r="S486" s="3"/>
      <c r="T486" s="3"/>
    </row>
    <row r="487" spans="1:20" ht="15" customHeight="1" x14ac:dyDescent="0.2">
      <c r="A487" s="56"/>
      <c r="B487" s="58"/>
      <c r="C487" s="56"/>
      <c r="D487" s="58"/>
      <c r="E487" s="56"/>
      <c r="F487" s="58"/>
      <c r="G487" s="56"/>
      <c r="H487" s="58"/>
      <c r="I487" s="56"/>
      <c r="J487" s="58"/>
      <c r="K487" s="56" t="s">
        <v>479</v>
      </c>
      <c r="L487" s="65"/>
      <c r="M487" s="3"/>
      <c r="N487" s="3"/>
      <c r="O487" s="3"/>
      <c r="P487" s="3"/>
      <c r="Q487" s="3"/>
      <c r="R487" s="3"/>
      <c r="S487" s="3"/>
      <c r="T487" s="3"/>
    </row>
    <row r="488" spans="1:20" ht="15" customHeight="1" x14ac:dyDescent="0.2">
      <c r="A488" s="56"/>
      <c r="B488" s="58"/>
      <c r="C488" s="56"/>
      <c r="D488" s="58"/>
      <c r="E488" s="56"/>
      <c r="F488" s="58"/>
      <c r="G488" s="56"/>
      <c r="H488" s="58"/>
      <c r="I488" s="56"/>
      <c r="J488" s="58"/>
      <c r="K488" s="56" t="s">
        <v>479</v>
      </c>
      <c r="L488" s="65"/>
      <c r="M488" s="3"/>
      <c r="N488" s="3"/>
      <c r="O488" s="3"/>
      <c r="P488" s="3"/>
      <c r="Q488" s="3"/>
      <c r="R488" s="3"/>
      <c r="S488" s="3"/>
      <c r="T488" s="3"/>
    </row>
    <row r="489" spans="1:20" ht="15" customHeight="1" x14ac:dyDescent="0.2">
      <c r="A489" s="56"/>
      <c r="B489" s="58"/>
      <c r="C489" s="56"/>
      <c r="D489" s="58"/>
      <c r="E489" s="56"/>
      <c r="F489" s="58"/>
      <c r="G489" s="56"/>
      <c r="H489" s="58"/>
      <c r="I489" s="56"/>
      <c r="J489" s="58"/>
      <c r="K489" s="56" t="s">
        <v>479</v>
      </c>
      <c r="L489" s="65"/>
      <c r="M489" s="3"/>
      <c r="N489" s="3"/>
      <c r="O489" s="3"/>
      <c r="P489" s="3"/>
      <c r="Q489" s="3"/>
      <c r="R489" s="3"/>
      <c r="S489" s="3"/>
      <c r="T489" s="3"/>
    </row>
    <row r="490" spans="1:20" ht="15" customHeight="1" x14ac:dyDescent="0.2">
      <c r="A490" s="56"/>
      <c r="B490" s="58"/>
      <c r="C490" s="56"/>
      <c r="D490" s="58"/>
      <c r="E490" s="56"/>
      <c r="F490" s="58"/>
      <c r="G490" s="56"/>
      <c r="H490" s="58"/>
      <c r="I490" s="56"/>
      <c r="J490" s="58"/>
      <c r="K490" s="56" t="s">
        <v>479</v>
      </c>
      <c r="L490" s="65"/>
      <c r="M490" s="3"/>
      <c r="N490" s="3"/>
      <c r="O490" s="3"/>
      <c r="P490" s="3"/>
      <c r="Q490" s="3"/>
      <c r="R490" s="3"/>
      <c r="S490" s="3"/>
      <c r="T490" s="3"/>
    </row>
    <row r="491" spans="1:20" ht="15" customHeight="1" x14ac:dyDescent="0.2">
      <c r="A491" s="56"/>
      <c r="B491" s="58"/>
      <c r="C491" s="56"/>
      <c r="D491" s="58"/>
      <c r="E491" s="56"/>
      <c r="F491" s="58"/>
      <c r="G491" s="56"/>
      <c r="H491" s="58"/>
      <c r="I491" s="56"/>
      <c r="J491" s="58"/>
      <c r="K491" s="56" t="s">
        <v>479</v>
      </c>
      <c r="L491" s="65"/>
      <c r="M491" s="3"/>
      <c r="N491" s="3"/>
      <c r="O491" s="3"/>
      <c r="P491" s="3"/>
      <c r="Q491" s="3"/>
      <c r="R491" s="3"/>
      <c r="S491" s="3"/>
      <c r="T491" s="3"/>
    </row>
    <row r="492" spans="1:20" ht="15" customHeight="1" x14ac:dyDescent="0.2">
      <c r="A492" s="56"/>
      <c r="B492" s="58"/>
      <c r="C492" s="56"/>
      <c r="D492" s="58"/>
      <c r="E492" s="56"/>
      <c r="F492" s="58"/>
      <c r="G492" s="56"/>
      <c r="H492" s="58"/>
      <c r="I492" s="56"/>
      <c r="J492" s="58"/>
      <c r="K492" s="56" t="s">
        <v>479</v>
      </c>
      <c r="L492" s="65"/>
      <c r="M492" s="3"/>
      <c r="N492" s="3"/>
      <c r="O492" s="3"/>
      <c r="P492" s="3"/>
      <c r="Q492" s="3"/>
      <c r="R492" s="3"/>
      <c r="S492" s="3"/>
      <c r="T492" s="3"/>
    </row>
    <row r="493" spans="1:20" ht="15" customHeight="1" x14ac:dyDescent="0.2">
      <c r="A493" s="56"/>
      <c r="B493" s="58"/>
      <c r="C493" s="56"/>
      <c r="D493" s="58"/>
      <c r="E493" s="56"/>
      <c r="F493" s="58"/>
      <c r="G493" s="56"/>
      <c r="H493" s="58"/>
      <c r="I493" s="56"/>
      <c r="J493" s="58"/>
      <c r="K493" s="56" t="s">
        <v>479</v>
      </c>
      <c r="L493" s="65"/>
      <c r="M493" s="3"/>
      <c r="N493" s="3"/>
      <c r="O493" s="3"/>
      <c r="P493" s="3"/>
      <c r="Q493" s="3"/>
      <c r="R493" s="3"/>
      <c r="S493" s="3"/>
      <c r="T493" s="3"/>
    </row>
    <row r="494" spans="1:20" ht="15" customHeight="1" x14ac:dyDescent="0.2">
      <c r="A494" s="56"/>
      <c r="B494" s="58"/>
      <c r="C494" s="56"/>
      <c r="D494" s="58"/>
      <c r="E494" s="56"/>
      <c r="F494" s="58"/>
      <c r="G494" s="56"/>
      <c r="H494" s="58"/>
      <c r="I494" s="56"/>
      <c r="J494" s="58"/>
      <c r="K494" s="56" t="s">
        <v>479</v>
      </c>
      <c r="L494" s="65"/>
      <c r="M494" s="3"/>
      <c r="N494" s="3"/>
      <c r="O494" s="3"/>
      <c r="P494" s="3"/>
      <c r="Q494" s="3"/>
      <c r="R494" s="3"/>
      <c r="S494" s="3"/>
      <c r="T494" s="3"/>
    </row>
    <row r="495" spans="1:20" ht="15" customHeight="1" x14ac:dyDescent="0.2">
      <c r="A495" s="56"/>
      <c r="B495" s="58"/>
      <c r="C495" s="56"/>
      <c r="D495" s="58"/>
      <c r="E495" s="56"/>
      <c r="F495" s="58"/>
      <c r="G495" s="56"/>
      <c r="H495" s="58"/>
      <c r="I495" s="56"/>
      <c r="J495" s="58"/>
      <c r="K495" s="56" t="s">
        <v>479</v>
      </c>
      <c r="L495" s="65"/>
      <c r="M495" s="3"/>
      <c r="N495" s="3"/>
      <c r="O495" s="3"/>
      <c r="P495" s="3"/>
      <c r="Q495" s="3"/>
      <c r="R495" s="3"/>
      <c r="S495" s="3"/>
      <c r="T495" s="3"/>
    </row>
    <row r="496" spans="1:20" ht="15" customHeight="1" x14ac:dyDescent="0.2">
      <c r="A496" s="56"/>
      <c r="B496" s="58"/>
      <c r="C496" s="56"/>
      <c r="D496" s="58"/>
      <c r="E496" s="56"/>
      <c r="F496" s="58"/>
      <c r="G496" s="56"/>
      <c r="H496" s="58"/>
      <c r="I496" s="56"/>
      <c r="J496" s="58"/>
      <c r="K496" s="56" t="s">
        <v>479</v>
      </c>
      <c r="L496" s="65"/>
      <c r="M496" s="3"/>
      <c r="N496" s="3"/>
      <c r="O496" s="3"/>
      <c r="P496" s="3"/>
      <c r="Q496" s="3"/>
      <c r="R496" s="3"/>
      <c r="S496" s="3"/>
      <c r="T496" s="3"/>
    </row>
    <row r="497" spans="1:20" ht="15" customHeight="1" x14ac:dyDescent="0.2">
      <c r="A497" s="56"/>
      <c r="B497" s="58"/>
      <c r="C497" s="56"/>
      <c r="D497" s="58"/>
      <c r="E497" s="56"/>
      <c r="F497" s="58"/>
      <c r="G497" s="56"/>
      <c r="H497" s="58"/>
      <c r="I497" s="56"/>
      <c r="J497" s="58"/>
      <c r="K497" s="56" t="s">
        <v>479</v>
      </c>
      <c r="L497" s="65"/>
      <c r="M497" s="3"/>
      <c r="N497" s="3"/>
      <c r="O497" s="3"/>
      <c r="P497" s="3"/>
      <c r="Q497" s="3"/>
      <c r="R497" s="3"/>
      <c r="S497" s="3"/>
      <c r="T497" s="3"/>
    </row>
    <row r="498" spans="1:20" ht="15" customHeight="1" x14ac:dyDescent="0.2">
      <c r="A498" s="56"/>
      <c r="B498" s="58"/>
      <c r="C498" s="56"/>
      <c r="D498" s="58"/>
      <c r="E498" s="56"/>
      <c r="F498" s="58"/>
      <c r="G498" s="56"/>
      <c r="H498" s="58"/>
      <c r="I498" s="56"/>
      <c r="J498" s="58"/>
      <c r="K498" s="56" t="s">
        <v>479</v>
      </c>
      <c r="L498" s="65"/>
      <c r="M498" s="3"/>
      <c r="N498" s="3"/>
      <c r="O498" s="3"/>
      <c r="P498" s="3"/>
      <c r="Q498" s="3"/>
      <c r="R498" s="3"/>
      <c r="S498" s="3"/>
      <c r="T498" s="3"/>
    </row>
    <row r="499" spans="1:20" ht="15" customHeight="1" x14ac:dyDescent="0.2">
      <c r="A499" s="56"/>
      <c r="B499" s="58"/>
      <c r="C499" s="56"/>
      <c r="D499" s="58"/>
      <c r="E499" s="56"/>
      <c r="F499" s="58"/>
      <c r="G499" s="56"/>
      <c r="H499" s="58"/>
      <c r="I499" s="56"/>
      <c r="J499" s="58"/>
      <c r="K499" s="56" t="s">
        <v>479</v>
      </c>
      <c r="L499" s="65"/>
      <c r="M499" s="3"/>
      <c r="N499" s="3"/>
      <c r="O499" s="3"/>
      <c r="P499" s="3"/>
      <c r="Q499" s="3"/>
      <c r="R499" s="3"/>
      <c r="S499" s="3"/>
      <c r="T499" s="3"/>
    </row>
    <row r="500" spans="1:20" ht="15" customHeight="1" x14ac:dyDescent="0.2">
      <c r="A500" s="56"/>
      <c r="B500" s="58"/>
      <c r="C500" s="56"/>
      <c r="D500" s="58"/>
      <c r="E500" s="56"/>
      <c r="F500" s="58"/>
      <c r="G500" s="56"/>
      <c r="H500" s="58"/>
      <c r="I500" s="56"/>
      <c r="J500" s="58"/>
      <c r="K500" s="56" t="s">
        <v>479</v>
      </c>
      <c r="L500" s="65"/>
      <c r="M500" s="3"/>
      <c r="N500" s="3"/>
      <c r="O500" s="3"/>
      <c r="P500" s="3"/>
      <c r="Q500" s="3"/>
      <c r="R500" s="3"/>
      <c r="S500" s="3"/>
      <c r="T500" s="3"/>
    </row>
    <row r="501" spans="1:20" ht="15" customHeight="1" x14ac:dyDescent="0.2">
      <c r="A501" s="56"/>
      <c r="B501" s="58"/>
      <c r="C501" s="56"/>
      <c r="D501" s="58"/>
      <c r="E501" s="56"/>
      <c r="F501" s="58"/>
      <c r="G501" s="56"/>
      <c r="H501" s="58"/>
      <c r="I501" s="56"/>
      <c r="J501" s="58"/>
      <c r="K501" s="56" t="s">
        <v>479</v>
      </c>
      <c r="L501" s="65"/>
      <c r="M501" s="3"/>
      <c r="N501" s="3"/>
      <c r="O501" s="3"/>
      <c r="P501" s="3"/>
      <c r="Q501" s="3"/>
      <c r="R501" s="3"/>
      <c r="S501" s="3"/>
      <c r="T501" s="3"/>
    </row>
  </sheetData>
  <autoFilter ref="A1:L501" xr:uid="{00000000-0009-0000-0000-000010000000}"/>
  <dataValidations count="8">
    <dataValidation type="list" allowBlank="1" showInputMessage="1" showErrorMessage="1" errorTitle="Geçersiz lot" error="Depo kabulde kayıtlı lotlardan birini seçin." promptTitle="Lot seçimi" prompt="Aşağı oka basarak kayıtlı lotu seçin." sqref="C2:C501" xr:uid="{00000000-0002-0000-1000-000000000000}">
      <formula1>LOT_PATATES</formula1>
    </dataValidation>
    <dataValidation type="list" allowBlank="1" showInputMessage="1" showErrorMessage="1" errorTitle="Geçersiz lot" error="Depo kabulde kayıtlı lotlardan birini seçin." promptTitle="Lot seçimi" prompt="Aşağı oka basarak kayıtlı lotu seçin." sqref="D2:D501" xr:uid="{00000000-0002-0000-1000-000001000000}">
      <formula1>LOT_NISASTA</formula1>
    </dataValidation>
    <dataValidation type="list" allowBlank="1" showInputMessage="1" showErrorMessage="1" errorTitle="Geçersiz lot" error="Depo kabulde kayıtlı lotlardan birini seçin." promptTitle="Lot seçimi" prompt="Aşağı oka basarak kayıtlı lotu seçin." sqref="E2:E501" xr:uid="{00000000-0002-0000-1000-000002000000}">
      <formula1>LOT_MISIR</formula1>
    </dataValidation>
    <dataValidation type="list" allowBlank="1" showInputMessage="1" showErrorMessage="1" errorTitle="Geçersiz lot" error="Depo kabulde kayıtlı lotlardan birini seçin." promptTitle="Lot seçimi" prompt="Aşağı oka basarak kayıtlı lotu seçin." sqref="F2:F501" xr:uid="{00000000-0002-0000-1000-000003000000}">
      <formula1>LOT_SAVOUR</formula1>
    </dataValidation>
    <dataValidation type="list" allowBlank="1" showInputMessage="1" showErrorMessage="1" errorTitle="Geçersiz lot" error="Depo kabulde kayıtlı lotlardan birini seçin." promptTitle="Lot seçimi" prompt="Aşağı oka basarak kayıtlı lotu seçin." sqref="G2:G501" xr:uid="{00000000-0002-0000-1000-000004000000}">
      <formula1>LOT_SARIMSAK</formula1>
    </dataValidation>
    <dataValidation type="list" allowBlank="1" showInputMessage="1" showErrorMessage="1" errorTitle="Geçersiz lot" error="Depo kabulde kayıtlı lotlardan birini seçin." promptTitle="Lot seçimi" prompt="Aşağı oka basarak kayıtlı lotu seçin." sqref="H2:H501" xr:uid="{00000000-0002-0000-1000-000005000000}">
      <formula1>LOT_KARABIBER</formula1>
    </dataValidation>
    <dataValidation type="list" allowBlank="1" showInputMessage="1" showErrorMessage="1" errorTitle="Geçersiz lot" error="Depo kabulde kayıtlı lotlardan birini seçin." promptTitle="Lot seçimi" prompt="Aşağı oka basarak kayıtlı lotu seçin." sqref="I2:I501" xr:uid="{00000000-0002-0000-1000-000006000000}">
      <formula1>LOT_TUZ</formula1>
    </dataValidation>
    <dataValidation type="list" allowBlank="1" showInputMessage="1" showErrorMessage="1" errorTitle="Geçersiz lot" error="Depo kabulde kayıtlı lotlardan birini seçin." promptTitle="Lot seçimi" prompt="Aşağı oka basarak kayıtlı lotu seçin." sqref="J2:J501" xr:uid="{00000000-0002-0000-1000-000007000000}">
      <formula1>LOT_BENECEL</formula1>
    </dataValidation>
  </dataValidations>
  <hyperlinks>
    <hyperlink ref="V1" location="'00 ANA SAYFA'!A1" display="⌂ ANA SAYFA" xr:uid="{00000000-0004-0000-1000-000000000000}"/>
    <hyperlink ref="V2" location="'21 2026 ÜRETİM'!A1" display="→ ÜRETİM" xr:uid="{00000000-0004-0000-1000-000001000000}"/>
    <hyperlink ref="V3" location="'25 2026 LOT BAĞI'!A1" display="→ LOT BAĞI" xr:uid="{00000000-0004-0000-1000-000002000000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C000"/>
  </sheetPr>
  <dimension ref="A1:V501"/>
  <sheetViews>
    <sheetView showGridLines="0" workbookViewId="0">
      <pane ySplit="1" topLeftCell="A2" activePane="bottomLeft" state="frozen"/>
      <selection pane="bottomLeft" sqref="A1:H1"/>
    </sheetView>
  </sheetViews>
  <sheetFormatPr baseColWidth="10" defaultColWidth="8.83203125" defaultRowHeight="15" x14ac:dyDescent="0.2"/>
  <cols>
    <col min="1" max="1" width="16" style="49" customWidth="1"/>
    <col min="2" max="2" width="20" style="54" customWidth="1"/>
    <col min="3" max="3" width="58" style="49" customWidth="1"/>
    <col min="4" max="4" width="20" style="54" customWidth="1"/>
    <col min="5" max="5" width="32" style="49" customWidth="1"/>
    <col min="6" max="6" width="28" style="54" customWidth="1"/>
    <col min="7" max="7" width="18" style="49" customWidth="1"/>
    <col min="8" max="8" width="40" style="66" customWidth="1"/>
    <col min="22" max="22" width="18" customWidth="1"/>
  </cols>
  <sheetData>
    <row r="1" spans="1:22" ht="31.5" customHeight="1" thickBot="1" x14ac:dyDescent="0.25">
      <c r="A1" s="45" t="s">
        <v>482</v>
      </c>
      <c r="B1" s="50" t="s">
        <v>483</v>
      </c>
      <c r="C1" s="45" t="s">
        <v>484</v>
      </c>
      <c r="D1" s="50" t="s">
        <v>485</v>
      </c>
      <c r="E1" s="45" t="s">
        <v>486</v>
      </c>
      <c r="F1" s="50" t="s">
        <v>487</v>
      </c>
      <c r="G1" s="45" t="s">
        <v>95</v>
      </c>
      <c r="H1" s="69" t="s">
        <v>273</v>
      </c>
      <c r="V1" s="19" t="s">
        <v>365</v>
      </c>
    </row>
    <row r="2" spans="1:22" ht="28.25" customHeight="1" x14ac:dyDescent="0.2">
      <c r="A2" s="46" t="s">
        <v>405</v>
      </c>
      <c r="B2" s="51" t="s">
        <v>406</v>
      </c>
      <c r="C2" s="46" t="s">
        <v>488</v>
      </c>
      <c r="D2" s="51" t="s">
        <v>489</v>
      </c>
      <c r="E2" s="46" t="s">
        <v>490</v>
      </c>
      <c r="F2" s="51" t="s">
        <v>158</v>
      </c>
      <c r="G2" s="46" t="s">
        <v>255</v>
      </c>
      <c r="H2" s="68" t="s">
        <v>491</v>
      </c>
      <c r="V2" s="20" t="s">
        <v>367</v>
      </c>
    </row>
    <row r="3" spans="1:22" ht="28.25" customHeight="1" x14ac:dyDescent="0.2">
      <c r="A3" s="47" t="s">
        <v>408</v>
      </c>
      <c r="B3" s="52" t="s">
        <v>409</v>
      </c>
      <c r="C3" s="47" t="s">
        <v>488</v>
      </c>
      <c r="D3" s="52" t="s">
        <v>489</v>
      </c>
      <c r="E3" s="47" t="s">
        <v>490</v>
      </c>
      <c r="F3" s="52" t="s">
        <v>158</v>
      </c>
      <c r="G3" s="47" t="s">
        <v>255</v>
      </c>
      <c r="H3" s="64" t="s">
        <v>491</v>
      </c>
      <c r="V3" s="21" t="s">
        <v>370</v>
      </c>
    </row>
    <row r="4" spans="1:22" ht="28.25" customHeight="1" x14ac:dyDescent="0.2">
      <c r="A4" s="47" t="s">
        <v>411</v>
      </c>
      <c r="B4" s="52" t="s">
        <v>412</v>
      </c>
      <c r="C4" s="47" t="s">
        <v>488</v>
      </c>
      <c r="D4" s="52" t="s">
        <v>489</v>
      </c>
      <c r="E4" s="47" t="s">
        <v>490</v>
      </c>
      <c r="F4" s="52" t="s">
        <v>158</v>
      </c>
      <c r="G4" s="47" t="s">
        <v>255</v>
      </c>
      <c r="H4" s="64" t="s">
        <v>491</v>
      </c>
    </row>
    <row r="5" spans="1:22" ht="28.25" customHeight="1" x14ac:dyDescent="0.2">
      <c r="A5" s="47" t="s">
        <v>413</v>
      </c>
      <c r="B5" s="52" t="s">
        <v>414</v>
      </c>
      <c r="C5" s="47" t="s">
        <v>488</v>
      </c>
      <c r="D5" s="52" t="s">
        <v>489</v>
      </c>
      <c r="E5" s="47" t="s">
        <v>490</v>
      </c>
      <c r="F5" s="52" t="s">
        <v>158</v>
      </c>
      <c r="G5" s="47" t="s">
        <v>255</v>
      </c>
      <c r="H5" s="64" t="s">
        <v>491</v>
      </c>
    </row>
    <row r="6" spans="1:22" ht="28.25" customHeight="1" x14ac:dyDescent="0.2">
      <c r="A6" s="47" t="s">
        <v>415</v>
      </c>
      <c r="B6" s="52" t="s">
        <v>416</v>
      </c>
      <c r="C6" s="47" t="s">
        <v>488</v>
      </c>
      <c r="D6" s="52" t="s">
        <v>489</v>
      </c>
      <c r="E6" s="47" t="s">
        <v>490</v>
      </c>
      <c r="F6" s="52" t="s">
        <v>158</v>
      </c>
      <c r="G6" s="47" t="s">
        <v>255</v>
      </c>
      <c r="H6" s="64" t="s">
        <v>491</v>
      </c>
    </row>
    <row r="7" spans="1:22" ht="28.25" customHeight="1" x14ac:dyDescent="0.2">
      <c r="A7" s="47" t="s">
        <v>417</v>
      </c>
      <c r="B7" s="52" t="s">
        <v>418</v>
      </c>
      <c r="C7" s="47" t="s">
        <v>488</v>
      </c>
      <c r="D7" s="52" t="s">
        <v>489</v>
      </c>
      <c r="E7" s="47" t="s">
        <v>490</v>
      </c>
      <c r="F7" s="52" t="s">
        <v>158</v>
      </c>
      <c r="G7" s="47" t="s">
        <v>255</v>
      </c>
      <c r="H7" s="64" t="s">
        <v>491</v>
      </c>
    </row>
    <row r="8" spans="1:22" ht="28.25" customHeight="1" x14ac:dyDescent="0.2">
      <c r="A8" s="47" t="s">
        <v>419</v>
      </c>
      <c r="B8" s="52" t="s">
        <v>420</v>
      </c>
      <c r="C8" s="47" t="s">
        <v>488</v>
      </c>
      <c r="D8" s="52" t="s">
        <v>489</v>
      </c>
      <c r="E8" s="47" t="s">
        <v>490</v>
      </c>
      <c r="F8" s="52" t="s">
        <v>158</v>
      </c>
      <c r="G8" s="47" t="s">
        <v>255</v>
      </c>
      <c r="H8" s="64" t="s">
        <v>491</v>
      </c>
    </row>
    <row r="9" spans="1:22" ht="28.25" customHeight="1" x14ac:dyDescent="0.2">
      <c r="A9" s="47" t="s">
        <v>422</v>
      </c>
      <c r="B9" s="52" t="s">
        <v>423</v>
      </c>
      <c r="C9" s="47" t="s">
        <v>488</v>
      </c>
      <c r="D9" s="52" t="s">
        <v>489</v>
      </c>
      <c r="E9" s="47" t="s">
        <v>490</v>
      </c>
      <c r="F9" s="52" t="s">
        <v>158</v>
      </c>
      <c r="G9" s="47" t="s">
        <v>255</v>
      </c>
      <c r="H9" s="64" t="s">
        <v>491</v>
      </c>
    </row>
    <row r="10" spans="1:22" ht="28.25" customHeight="1" x14ac:dyDescent="0.2">
      <c r="A10" s="47" t="s">
        <v>425</v>
      </c>
      <c r="B10" s="52" t="s">
        <v>426</v>
      </c>
      <c r="C10" s="47" t="s">
        <v>488</v>
      </c>
      <c r="D10" s="52" t="s">
        <v>489</v>
      </c>
      <c r="E10" s="47" t="s">
        <v>490</v>
      </c>
      <c r="F10" s="52" t="s">
        <v>158</v>
      </c>
      <c r="G10" s="47" t="s">
        <v>255</v>
      </c>
      <c r="H10" s="64" t="s">
        <v>491</v>
      </c>
    </row>
    <row r="11" spans="1:22" ht="28.25" customHeight="1" x14ac:dyDescent="0.2">
      <c r="A11" s="56" t="str">
        <f>IF(B11="","",IFERROR(INDEX('21 2026 ÜRETİM'!$A$2:$A$501,MATCH(B11,'21 2026 ÜRETİM'!$G$2:$G$501,0)),""))</f>
        <v/>
      </c>
      <c r="B11" s="58"/>
      <c r="C11" s="56"/>
      <c r="D11" s="58"/>
      <c r="E11" s="56"/>
      <c r="F11" s="58"/>
      <c r="G11" s="56"/>
      <c r="H11" s="65"/>
    </row>
    <row r="12" spans="1:22" ht="28.25" customHeight="1" x14ac:dyDescent="0.2">
      <c r="A12" s="56" t="str">
        <f>IF(B12="","",IFERROR(INDEX('21 2026 ÜRETİM'!$A$2:$A$501,MATCH(B12,'21 2026 ÜRETİM'!$G$2:$G$501,0)),""))</f>
        <v/>
      </c>
      <c r="B12" s="58"/>
      <c r="C12" s="56"/>
      <c r="D12" s="58"/>
      <c r="E12" s="56"/>
      <c r="F12" s="58"/>
      <c r="G12" s="56"/>
      <c r="H12" s="65"/>
    </row>
    <row r="13" spans="1:22" ht="28.25" customHeight="1" x14ac:dyDescent="0.2">
      <c r="A13" s="56" t="str">
        <f>IF(B13="","",IFERROR(INDEX('21 2026 ÜRETİM'!$A$2:$A$501,MATCH(B13,'21 2026 ÜRETİM'!$G$2:$G$501,0)),""))</f>
        <v/>
      </c>
      <c r="B13" s="58"/>
      <c r="C13" s="56"/>
      <c r="D13" s="58"/>
      <c r="E13" s="56"/>
      <c r="F13" s="58"/>
      <c r="G13" s="56"/>
      <c r="H13" s="65"/>
    </row>
    <row r="14" spans="1:22" ht="28.25" customHeight="1" x14ac:dyDescent="0.2">
      <c r="A14" s="56" t="str">
        <f>IF(B14="","",IFERROR(INDEX('21 2026 ÜRETİM'!$A$2:$A$501,MATCH(B14,'21 2026 ÜRETİM'!$G$2:$G$501,0)),""))</f>
        <v/>
      </c>
      <c r="B14" s="58"/>
      <c r="C14" s="56"/>
      <c r="D14" s="58"/>
      <c r="E14" s="56"/>
      <c r="F14" s="58"/>
      <c r="G14" s="56"/>
      <c r="H14" s="65"/>
    </row>
    <row r="15" spans="1:22" ht="28.25" customHeight="1" x14ac:dyDescent="0.2">
      <c r="A15" s="56" t="str">
        <f>IF(B15="","",IFERROR(INDEX('21 2026 ÜRETİM'!$A$2:$A$501,MATCH(B15,'21 2026 ÜRETİM'!$G$2:$G$501,0)),""))</f>
        <v/>
      </c>
      <c r="B15" s="58"/>
      <c r="C15" s="56"/>
      <c r="D15" s="58"/>
      <c r="E15" s="56"/>
      <c r="F15" s="58"/>
      <c r="G15" s="56"/>
      <c r="H15" s="65"/>
    </row>
    <row r="16" spans="1:22" ht="28.25" customHeight="1" x14ac:dyDescent="0.2">
      <c r="A16" s="56" t="str">
        <f>IF(B16="","",IFERROR(INDEX('21 2026 ÜRETİM'!$A$2:$A$501,MATCH(B16,'21 2026 ÜRETİM'!$G$2:$G$501,0)),""))</f>
        <v/>
      </c>
      <c r="B16" s="58"/>
      <c r="C16" s="56"/>
      <c r="D16" s="58"/>
      <c r="E16" s="56"/>
      <c r="F16" s="58"/>
      <c r="G16" s="56"/>
      <c r="H16" s="65"/>
    </row>
    <row r="17" spans="1:8" ht="28.25" customHeight="1" x14ac:dyDescent="0.2">
      <c r="A17" s="56" t="str">
        <f>IF(B17="","",IFERROR(INDEX('21 2026 ÜRETİM'!$A$2:$A$501,MATCH(B17,'21 2026 ÜRETİM'!$G$2:$G$501,0)),""))</f>
        <v/>
      </c>
      <c r="B17" s="58"/>
      <c r="C17" s="56"/>
      <c r="D17" s="58"/>
      <c r="E17" s="56"/>
      <c r="F17" s="58"/>
      <c r="G17" s="56"/>
      <c r="H17" s="65"/>
    </row>
    <row r="18" spans="1:8" ht="28.25" customHeight="1" x14ac:dyDescent="0.2">
      <c r="A18" s="56" t="str">
        <f>IF(B18="","",IFERROR(INDEX('21 2026 ÜRETİM'!$A$2:$A$501,MATCH(B18,'21 2026 ÜRETİM'!$G$2:$G$501,0)),""))</f>
        <v/>
      </c>
      <c r="B18" s="58"/>
      <c r="C18" s="56"/>
      <c r="D18" s="58"/>
      <c r="E18" s="56"/>
      <c r="F18" s="58"/>
      <c r="G18" s="56"/>
      <c r="H18" s="65"/>
    </row>
    <row r="19" spans="1:8" ht="28.25" customHeight="1" x14ac:dyDescent="0.2">
      <c r="A19" s="56" t="str">
        <f>IF(B19="","",IFERROR(INDEX('21 2026 ÜRETİM'!$A$2:$A$501,MATCH(B19,'21 2026 ÜRETİM'!$G$2:$G$501,0)),""))</f>
        <v/>
      </c>
      <c r="B19" s="58"/>
      <c r="C19" s="56"/>
      <c r="D19" s="58"/>
      <c r="E19" s="56"/>
      <c r="F19" s="58"/>
      <c r="G19" s="56"/>
      <c r="H19" s="65"/>
    </row>
    <row r="20" spans="1:8" ht="28.25" customHeight="1" x14ac:dyDescent="0.2">
      <c r="A20" s="56" t="str">
        <f>IF(B20="","",IFERROR(INDEX('21 2026 ÜRETİM'!$A$2:$A$501,MATCH(B20,'21 2026 ÜRETİM'!$G$2:$G$501,0)),""))</f>
        <v/>
      </c>
      <c r="B20" s="58"/>
      <c r="C20" s="56"/>
      <c r="D20" s="58"/>
      <c r="E20" s="56"/>
      <c r="F20" s="58"/>
      <c r="G20" s="56"/>
      <c r="H20" s="65"/>
    </row>
    <row r="21" spans="1:8" ht="28.25" customHeight="1" x14ac:dyDescent="0.2">
      <c r="A21" s="56" t="str">
        <f>IF(B21="","",IFERROR(INDEX('21 2026 ÜRETİM'!$A$2:$A$501,MATCH(B21,'21 2026 ÜRETİM'!$G$2:$G$501,0)),""))</f>
        <v/>
      </c>
      <c r="B21" s="58"/>
      <c r="C21" s="56"/>
      <c r="D21" s="58"/>
      <c r="E21" s="56"/>
      <c r="F21" s="58"/>
      <c r="G21" s="56"/>
      <c r="H21" s="65"/>
    </row>
    <row r="22" spans="1:8" ht="28.25" customHeight="1" x14ac:dyDescent="0.2">
      <c r="A22" s="56" t="str">
        <f>IF(B22="","",IFERROR(INDEX('21 2026 ÜRETİM'!$A$2:$A$501,MATCH(B22,'21 2026 ÜRETİM'!$G$2:$G$501,0)),""))</f>
        <v/>
      </c>
      <c r="B22" s="58"/>
      <c r="C22" s="56"/>
      <c r="D22" s="58"/>
      <c r="E22" s="56"/>
      <c r="F22" s="58"/>
      <c r="G22" s="56"/>
      <c r="H22" s="65"/>
    </row>
    <row r="23" spans="1:8" ht="28.25" customHeight="1" x14ac:dyDescent="0.2">
      <c r="A23" s="56" t="str">
        <f>IF(B23="","",IFERROR(INDEX('21 2026 ÜRETİM'!$A$2:$A$501,MATCH(B23,'21 2026 ÜRETİM'!$G$2:$G$501,0)),""))</f>
        <v/>
      </c>
      <c r="B23" s="58"/>
      <c r="C23" s="56"/>
      <c r="D23" s="58"/>
      <c r="E23" s="56"/>
      <c r="F23" s="58"/>
      <c r="G23" s="56"/>
      <c r="H23" s="65"/>
    </row>
    <row r="24" spans="1:8" ht="28.25" customHeight="1" x14ac:dyDescent="0.2">
      <c r="A24" s="56" t="str">
        <f>IF(B24="","",IFERROR(INDEX('21 2026 ÜRETİM'!$A$2:$A$501,MATCH(B24,'21 2026 ÜRETİM'!$G$2:$G$501,0)),""))</f>
        <v/>
      </c>
      <c r="B24" s="58"/>
      <c r="C24" s="56"/>
      <c r="D24" s="58"/>
      <c r="E24" s="56"/>
      <c r="F24" s="58"/>
      <c r="G24" s="56"/>
      <c r="H24" s="65"/>
    </row>
    <row r="25" spans="1:8" ht="28.25" customHeight="1" x14ac:dyDescent="0.2">
      <c r="A25" s="56" t="str">
        <f>IF(B25="","",IFERROR(INDEX('21 2026 ÜRETİM'!$A$2:$A$501,MATCH(B25,'21 2026 ÜRETİM'!$G$2:$G$501,0)),""))</f>
        <v/>
      </c>
      <c r="B25" s="58"/>
      <c r="C25" s="56"/>
      <c r="D25" s="58"/>
      <c r="E25" s="56"/>
      <c r="F25" s="58"/>
      <c r="G25" s="56"/>
      <c r="H25" s="65"/>
    </row>
    <row r="26" spans="1:8" ht="28.25" customHeight="1" x14ac:dyDescent="0.2">
      <c r="A26" s="56" t="str">
        <f>IF(B26="","",IFERROR(INDEX('21 2026 ÜRETİM'!$A$2:$A$501,MATCH(B26,'21 2026 ÜRETİM'!$G$2:$G$501,0)),""))</f>
        <v/>
      </c>
      <c r="B26" s="58"/>
      <c r="C26" s="56"/>
      <c r="D26" s="58"/>
      <c r="E26" s="56"/>
      <c r="F26" s="58"/>
      <c r="G26" s="56"/>
      <c r="H26" s="65"/>
    </row>
    <row r="27" spans="1:8" ht="28.25" customHeight="1" x14ac:dyDescent="0.2">
      <c r="A27" s="56" t="str">
        <f>IF(B27="","",IFERROR(INDEX('21 2026 ÜRETİM'!$A$2:$A$501,MATCH(B27,'21 2026 ÜRETİM'!$G$2:$G$501,0)),""))</f>
        <v/>
      </c>
      <c r="B27" s="58"/>
      <c r="C27" s="56"/>
      <c r="D27" s="58"/>
      <c r="E27" s="56"/>
      <c r="F27" s="58"/>
      <c r="G27" s="56"/>
      <c r="H27" s="65"/>
    </row>
    <row r="28" spans="1:8" ht="28.25" customHeight="1" x14ac:dyDescent="0.2">
      <c r="A28" s="56" t="str">
        <f>IF(B28="","",IFERROR(INDEX('21 2026 ÜRETİM'!$A$2:$A$501,MATCH(B28,'21 2026 ÜRETİM'!$G$2:$G$501,0)),""))</f>
        <v/>
      </c>
      <c r="B28" s="58"/>
      <c r="C28" s="56"/>
      <c r="D28" s="58"/>
      <c r="E28" s="56"/>
      <c r="F28" s="58"/>
      <c r="G28" s="56"/>
      <c r="H28" s="65"/>
    </row>
    <row r="29" spans="1:8" ht="28.25" customHeight="1" x14ac:dyDescent="0.2">
      <c r="A29" s="56" t="str">
        <f>IF(B29="","",IFERROR(INDEX('21 2026 ÜRETİM'!$A$2:$A$501,MATCH(B29,'21 2026 ÜRETİM'!$G$2:$G$501,0)),""))</f>
        <v/>
      </c>
      <c r="B29" s="58"/>
      <c r="C29" s="56"/>
      <c r="D29" s="58"/>
      <c r="E29" s="56"/>
      <c r="F29" s="58"/>
      <c r="G29" s="56"/>
      <c r="H29" s="65"/>
    </row>
    <row r="30" spans="1:8" ht="28.25" customHeight="1" x14ac:dyDescent="0.2">
      <c r="A30" s="56" t="str">
        <f>IF(B30="","",IFERROR(INDEX('21 2026 ÜRETİM'!$A$2:$A$501,MATCH(B30,'21 2026 ÜRETİM'!$G$2:$G$501,0)),""))</f>
        <v/>
      </c>
      <c r="B30" s="58"/>
      <c r="C30" s="56"/>
      <c r="D30" s="58"/>
      <c r="E30" s="56"/>
      <c r="F30" s="58"/>
      <c r="G30" s="56"/>
      <c r="H30" s="65"/>
    </row>
    <row r="31" spans="1:8" ht="28.25" customHeight="1" x14ac:dyDescent="0.2">
      <c r="A31" s="56" t="str">
        <f>IF(B31="","",IFERROR(INDEX('21 2026 ÜRETİM'!$A$2:$A$501,MATCH(B31,'21 2026 ÜRETİM'!$G$2:$G$501,0)),""))</f>
        <v/>
      </c>
      <c r="B31" s="58"/>
      <c r="C31" s="56"/>
      <c r="D31" s="58"/>
      <c r="E31" s="56"/>
      <c r="F31" s="58"/>
      <c r="G31" s="56"/>
      <c r="H31" s="65"/>
    </row>
    <row r="32" spans="1:8" ht="28.25" customHeight="1" x14ac:dyDescent="0.2">
      <c r="A32" s="56" t="str">
        <f>IF(B32="","",IFERROR(INDEX('21 2026 ÜRETİM'!$A$2:$A$501,MATCH(B32,'21 2026 ÜRETİM'!$G$2:$G$501,0)),""))</f>
        <v/>
      </c>
      <c r="B32" s="58"/>
      <c r="C32" s="56"/>
      <c r="D32" s="58"/>
      <c r="E32" s="56"/>
      <c r="F32" s="58"/>
      <c r="G32" s="56"/>
      <c r="H32" s="65"/>
    </row>
    <row r="33" spans="1:8" ht="28.25" customHeight="1" x14ac:dyDescent="0.2">
      <c r="A33" s="56" t="str">
        <f>IF(B33="","",IFERROR(INDEX('21 2026 ÜRETİM'!$A$2:$A$501,MATCH(B33,'21 2026 ÜRETİM'!$G$2:$G$501,0)),""))</f>
        <v/>
      </c>
      <c r="B33" s="58"/>
      <c r="C33" s="56"/>
      <c r="D33" s="58"/>
      <c r="E33" s="56"/>
      <c r="F33" s="58"/>
      <c r="G33" s="56"/>
      <c r="H33" s="65"/>
    </row>
    <row r="34" spans="1:8" ht="28.25" customHeight="1" x14ac:dyDescent="0.2">
      <c r="A34" s="56" t="str">
        <f>IF(B34="","",IFERROR(INDEX('21 2026 ÜRETİM'!$A$2:$A$501,MATCH(B34,'21 2026 ÜRETİM'!$G$2:$G$501,0)),""))</f>
        <v/>
      </c>
      <c r="B34" s="58"/>
      <c r="C34" s="56"/>
      <c r="D34" s="58"/>
      <c r="E34" s="56"/>
      <c r="F34" s="58"/>
      <c r="G34" s="56"/>
      <c r="H34" s="65"/>
    </row>
    <row r="35" spans="1:8" ht="28.25" customHeight="1" x14ac:dyDescent="0.2">
      <c r="A35" s="56" t="str">
        <f>IF(B35="","",IFERROR(INDEX('21 2026 ÜRETİM'!$A$2:$A$501,MATCH(B35,'21 2026 ÜRETİM'!$G$2:$G$501,0)),""))</f>
        <v/>
      </c>
      <c r="B35" s="58"/>
      <c r="C35" s="56"/>
      <c r="D35" s="58"/>
      <c r="E35" s="56"/>
      <c r="F35" s="58"/>
      <c r="G35" s="56"/>
      <c r="H35" s="65"/>
    </row>
    <row r="36" spans="1:8" ht="28.25" customHeight="1" x14ac:dyDescent="0.2">
      <c r="A36" s="56" t="str">
        <f>IF(B36="","",IFERROR(INDEX('21 2026 ÜRETİM'!$A$2:$A$501,MATCH(B36,'21 2026 ÜRETİM'!$G$2:$G$501,0)),""))</f>
        <v/>
      </c>
      <c r="B36" s="58"/>
      <c r="C36" s="56"/>
      <c r="D36" s="58"/>
      <c r="E36" s="56"/>
      <c r="F36" s="58"/>
      <c r="G36" s="56"/>
      <c r="H36" s="65"/>
    </row>
    <row r="37" spans="1:8" ht="28.25" customHeight="1" x14ac:dyDescent="0.2">
      <c r="A37" s="56" t="str">
        <f>IF(B37="","",IFERROR(INDEX('21 2026 ÜRETİM'!$A$2:$A$501,MATCH(B37,'21 2026 ÜRETİM'!$G$2:$G$501,0)),""))</f>
        <v/>
      </c>
      <c r="B37" s="58"/>
      <c r="C37" s="56"/>
      <c r="D37" s="58"/>
      <c r="E37" s="56"/>
      <c r="F37" s="58"/>
      <c r="G37" s="56"/>
      <c r="H37" s="65"/>
    </row>
    <row r="38" spans="1:8" ht="28.25" customHeight="1" x14ac:dyDescent="0.2">
      <c r="A38" s="56" t="str">
        <f>IF(B38="","",IFERROR(INDEX('21 2026 ÜRETİM'!$A$2:$A$501,MATCH(B38,'21 2026 ÜRETİM'!$G$2:$G$501,0)),""))</f>
        <v/>
      </c>
      <c r="B38" s="58"/>
      <c r="C38" s="56"/>
      <c r="D38" s="58"/>
      <c r="E38" s="56"/>
      <c r="F38" s="58"/>
      <c r="G38" s="56"/>
      <c r="H38" s="65"/>
    </row>
    <row r="39" spans="1:8" ht="28.25" customHeight="1" x14ac:dyDescent="0.2">
      <c r="A39" s="56" t="str">
        <f>IF(B39="","",IFERROR(INDEX('21 2026 ÜRETİM'!$A$2:$A$501,MATCH(B39,'21 2026 ÜRETİM'!$G$2:$G$501,0)),""))</f>
        <v/>
      </c>
      <c r="B39" s="58"/>
      <c r="C39" s="56"/>
      <c r="D39" s="58"/>
      <c r="E39" s="56"/>
      <c r="F39" s="58"/>
      <c r="G39" s="56"/>
      <c r="H39" s="65"/>
    </row>
    <row r="40" spans="1:8" ht="28.25" customHeight="1" x14ac:dyDescent="0.2">
      <c r="A40" s="56" t="str">
        <f>IF(B40="","",IFERROR(INDEX('21 2026 ÜRETİM'!$A$2:$A$501,MATCH(B40,'21 2026 ÜRETİM'!$G$2:$G$501,0)),""))</f>
        <v/>
      </c>
      <c r="B40" s="58"/>
      <c r="C40" s="56"/>
      <c r="D40" s="58"/>
      <c r="E40" s="56"/>
      <c r="F40" s="58"/>
      <c r="G40" s="56"/>
      <c r="H40" s="65"/>
    </row>
    <row r="41" spans="1:8" ht="28.25" customHeight="1" x14ac:dyDescent="0.2">
      <c r="A41" s="56" t="str">
        <f>IF(B41="","",IFERROR(INDEX('21 2026 ÜRETİM'!$A$2:$A$501,MATCH(B41,'21 2026 ÜRETİM'!$G$2:$G$501,0)),""))</f>
        <v/>
      </c>
      <c r="B41" s="58"/>
      <c r="C41" s="56"/>
      <c r="D41" s="58"/>
      <c r="E41" s="56"/>
      <c r="F41" s="58"/>
      <c r="G41" s="56"/>
      <c r="H41" s="65"/>
    </row>
    <row r="42" spans="1:8" ht="28.25" customHeight="1" x14ac:dyDescent="0.2">
      <c r="A42" s="56" t="str">
        <f>IF(B42="","",IFERROR(INDEX('21 2026 ÜRETİM'!$A$2:$A$501,MATCH(B42,'21 2026 ÜRETİM'!$G$2:$G$501,0)),""))</f>
        <v/>
      </c>
      <c r="B42" s="58"/>
      <c r="C42" s="56"/>
      <c r="D42" s="58"/>
      <c r="E42" s="56"/>
      <c r="F42" s="58"/>
      <c r="G42" s="56"/>
      <c r="H42" s="65"/>
    </row>
    <row r="43" spans="1:8" ht="28.25" customHeight="1" x14ac:dyDescent="0.2">
      <c r="A43" s="56" t="str">
        <f>IF(B43="","",IFERROR(INDEX('21 2026 ÜRETİM'!$A$2:$A$501,MATCH(B43,'21 2026 ÜRETİM'!$G$2:$G$501,0)),""))</f>
        <v/>
      </c>
      <c r="B43" s="58"/>
      <c r="C43" s="56"/>
      <c r="D43" s="58"/>
      <c r="E43" s="56"/>
      <c r="F43" s="58"/>
      <c r="G43" s="56"/>
      <c r="H43" s="65"/>
    </row>
    <row r="44" spans="1:8" ht="28.25" customHeight="1" x14ac:dyDescent="0.2">
      <c r="A44" s="56" t="str">
        <f>IF(B44="","",IFERROR(INDEX('21 2026 ÜRETİM'!$A$2:$A$501,MATCH(B44,'21 2026 ÜRETİM'!$G$2:$G$501,0)),""))</f>
        <v/>
      </c>
      <c r="B44" s="58"/>
      <c r="C44" s="56"/>
      <c r="D44" s="58"/>
      <c r="E44" s="56"/>
      <c r="F44" s="58"/>
      <c r="G44" s="56"/>
      <c r="H44" s="65"/>
    </row>
    <row r="45" spans="1:8" ht="28.25" customHeight="1" x14ac:dyDescent="0.2">
      <c r="A45" s="56" t="str">
        <f>IF(B45="","",IFERROR(INDEX('21 2026 ÜRETİM'!$A$2:$A$501,MATCH(B45,'21 2026 ÜRETİM'!$G$2:$G$501,0)),""))</f>
        <v/>
      </c>
      <c r="B45" s="58"/>
      <c r="C45" s="56"/>
      <c r="D45" s="58"/>
      <c r="E45" s="56"/>
      <c r="F45" s="58"/>
      <c r="G45" s="56"/>
      <c r="H45" s="65"/>
    </row>
    <row r="46" spans="1:8" ht="28.25" customHeight="1" x14ac:dyDescent="0.2">
      <c r="A46" s="56" t="str">
        <f>IF(B46="","",IFERROR(INDEX('21 2026 ÜRETİM'!$A$2:$A$501,MATCH(B46,'21 2026 ÜRETİM'!$G$2:$G$501,0)),""))</f>
        <v/>
      </c>
      <c r="B46" s="58"/>
      <c r="C46" s="56"/>
      <c r="D46" s="58"/>
      <c r="E46" s="56"/>
      <c r="F46" s="58"/>
      <c r="G46" s="56"/>
      <c r="H46" s="65"/>
    </row>
    <row r="47" spans="1:8" ht="28.25" customHeight="1" x14ac:dyDescent="0.2">
      <c r="A47" s="56" t="str">
        <f>IF(B47="","",IFERROR(INDEX('21 2026 ÜRETİM'!$A$2:$A$501,MATCH(B47,'21 2026 ÜRETİM'!$G$2:$G$501,0)),""))</f>
        <v/>
      </c>
      <c r="B47" s="58"/>
      <c r="C47" s="56"/>
      <c r="D47" s="58"/>
      <c r="E47" s="56"/>
      <c r="F47" s="58"/>
      <c r="G47" s="56"/>
      <c r="H47" s="65"/>
    </row>
    <row r="48" spans="1:8" ht="28.25" customHeight="1" x14ac:dyDescent="0.2">
      <c r="A48" s="56" t="str">
        <f>IF(B48="","",IFERROR(INDEX('21 2026 ÜRETİM'!$A$2:$A$501,MATCH(B48,'21 2026 ÜRETİM'!$G$2:$G$501,0)),""))</f>
        <v/>
      </c>
      <c r="B48" s="58"/>
      <c r="C48" s="56"/>
      <c r="D48" s="58"/>
      <c r="E48" s="56"/>
      <c r="F48" s="58"/>
      <c r="G48" s="56"/>
      <c r="H48" s="65"/>
    </row>
    <row r="49" spans="1:8" ht="28.25" customHeight="1" x14ac:dyDescent="0.2">
      <c r="A49" s="56" t="str">
        <f>IF(B49="","",IFERROR(INDEX('21 2026 ÜRETİM'!$A$2:$A$501,MATCH(B49,'21 2026 ÜRETİM'!$G$2:$G$501,0)),""))</f>
        <v/>
      </c>
      <c r="B49" s="58"/>
      <c r="C49" s="56"/>
      <c r="D49" s="58"/>
      <c r="E49" s="56"/>
      <c r="F49" s="58"/>
      <c r="G49" s="56"/>
      <c r="H49" s="65"/>
    </row>
    <row r="50" spans="1:8" ht="28.25" customHeight="1" x14ac:dyDescent="0.2">
      <c r="A50" s="56" t="str">
        <f>IF(B50="","",IFERROR(INDEX('21 2026 ÜRETİM'!$A$2:$A$501,MATCH(B50,'21 2026 ÜRETİM'!$G$2:$G$501,0)),""))</f>
        <v/>
      </c>
      <c r="B50" s="58"/>
      <c r="C50" s="56"/>
      <c r="D50" s="58"/>
      <c r="E50" s="56"/>
      <c r="F50" s="58"/>
      <c r="G50" s="56"/>
      <c r="H50" s="65"/>
    </row>
    <row r="51" spans="1:8" ht="28.25" customHeight="1" x14ac:dyDescent="0.2">
      <c r="A51" s="56" t="str">
        <f>IF(B51="","",IFERROR(INDEX('21 2026 ÜRETİM'!$A$2:$A$501,MATCH(B51,'21 2026 ÜRETİM'!$G$2:$G$501,0)),""))</f>
        <v/>
      </c>
      <c r="B51" s="58"/>
      <c r="C51" s="56"/>
      <c r="D51" s="58"/>
      <c r="E51" s="56"/>
      <c r="F51" s="58"/>
      <c r="G51" s="56"/>
      <c r="H51" s="65"/>
    </row>
    <row r="52" spans="1:8" ht="28.25" customHeight="1" x14ac:dyDescent="0.2">
      <c r="A52" s="56" t="str">
        <f>IF(B52="","",IFERROR(INDEX('21 2026 ÜRETİM'!$A$2:$A$501,MATCH(B52,'21 2026 ÜRETİM'!$G$2:$G$501,0)),""))</f>
        <v/>
      </c>
      <c r="B52" s="58"/>
      <c r="C52" s="56"/>
      <c r="D52" s="58"/>
      <c r="E52" s="56"/>
      <c r="F52" s="58"/>
      <c r="G52" s="56"/>
      <c r="H52" s="65"/>
    </row>
    <row r="53" spans="1:8" ht="28.25" customHeight="1" x14ac:dyDescent="0.2">
      <c r="A53" s="56" t="str">
        <f>IF(B53="","",IFERROR(INDEX('21 2026 ÜRETİM'!$A$2:$A$501,MATCH(B53,'21 2026 ÜRETİM'!$G$2:$G$501,0)),""))</f>
        <v/>
      </c>
      <c r="B53" s="58"/>
      <c r="C53" s="56"/>
      <c r="D53" s="58"/>
      <c r="E53" s="56"/>
      <c r="F53" s="58"/>
      <c r="G53" s="56"/>
      <c r="H53" s="65"/>
    </row>
    <row r="54" spans="1:8" ht="28.25" customHeight="1" x14ac:dyDescent="0.2">
      <c r="A54" s="56" t="str">
        <f>IF(B54="","",IFERROR(INDEX('21 2026 ÜRETİM'!$A$2:$A$501,MATCH(B54,'21 2026 ÜRETİM'!$G$2:$G$501,0)),""))</f>
        <v/>
      </c>
      <c r="B54" s="58"/>
      <c r="C54" s="56"/>
      <c r="D54" s="58"/>
      <c r="E54" s="56"/>
      <c r="F54" s="58"/>
      <c r="G54" s="56"/>
      <c r="H54" s="65"/>
    </row>
    <row r="55" spans="1:8" ht="28.25" customHeight="1" x14ac:dyDescent="0.2">
      <c r="A55" s="56" t="str">
        <f>IF(B55="","",IFERROR(INDEX('21 2026 ÜRETİM'!$A$2:$A$501,MATCH(B55,'21 2026 ÜRETİM'!$G$2:$G$501,0)),""))</f>
        <v/>
      </c>
      <c r="B55" s="58"/>
      <c r="C55" s="56"/>
      <c r="D55" s="58"/>
      <c r="E55" s="56"/>
      <c r="F55" s="58"/>
      <c r="G55" s="56"/>
      <c r="H55" s="65"/>
    </row>
    <row r="56" spans="1:8" ht="28.25" customHeight="1" x14ac:dyDescent="0.2">
      <c r="A56" s="56" t="str">
        <f>IF(B56="","",IFERROR(INDEX('21 2026 ÜRETİM'!$A$2:$A$501,MATCH(B56,'21 2026 ÜRETİM'!$G$2:$G$501,0)),""))</f>
        <v/>
      </c>
      <c r="B56" s="58"/>
      <c r="C56" s="56"/>
      <c r="D56" s="58"/>
      <c r="E56" s="56"/>
      <c r="F56" s="58"/>
      <c r="G56" s="56"/>
      <c r="H56" s="65"/>
    </row>
    <row r="57" spans="1:8" ht="28.25" customHeight="1" x14ac:dyDescent="0.2">
      <c r="A57" s="56" t="str">
        <f>IF(B57="","",IFERROR(INDEX('21 2026 ÜRETİM'!$A$2:$A$501,MATCH(B57,'21 2026 ÜRETİM'!$G$2:$G$501,0)),""))</f>
        <v/>
      </c>
      <c r="B57" s="58"/>
      <c r="C57" s="56"/>
      <c r="D57" s="58"/>
      <c r="E57" s="56"/>
      <c r="F57" s="58"/>
      <c r="G57" s="56"/>
      <c r="H57" s="65"/>
    </row>
    <row r="58" spans="1:8" ht="28.25" customHeight="1" x14ac:dyDescent="0.2">
      <c r="A58" s="56" t="str">
        <f>IF(B58="","",IFERROR(INDEX('21 2026 ÜRETİM'!$A$2:$A$501,MATCH(B58,'21 2026 ÜRETİM'!$G$2:$G$501,0)),""))</f>
        <v/>
      </c>
      <c r="B58" s="58"/>
      <c r="C58" s="56"/>
      <c r="D58" s="58"/>
      <c r="E58" s="56"/>
      <c r="F58" s="58"/>
      <c r="G58" s="56"/>
      <c r="H58" s="65"/>
    </row>
    <row r="59" spans="1:8" ht="28.25" customHeight="1" x14ac:dyDescent="0.2">
      <c r="A59" s="56" t="str">
        <f>IF(B59="","",IFERROR(INDEX('21 2026 ÜRETİM'!$A$2:$A$501,MATCH(B59,'21 2026 ÜRETİM'!$G$2:$G$501,0)),""))</f>
        <v/>
      </c>
      <c r="B59" s="58"/>
      <c r="C59" s="56"/>
      <c r="D59" s="58"/>
      <c r="E59" s="56"/>
      <c r="F59" s="58"/>
      <c r="G59" s="56"/>
      <c r="H59" s="65"/>
    </row>
    <row r="60" spans="1:8" ht="28.25" customHeight="1" x14ac:dyDescent="0.2">
      <c r="A60" s="56" t="str">
        <f>IF(B60="","",IFERROR(INDEX('21 2026 ÜRETİM'!$A$2:$A$501,MATCH(B60,'21 2026 ÜRETİM'!$G$2:$G$501,0)),""))</f>
        <v/>
      </c>
      <c r="B60" s="58"/>
      <c r="C60" s="56"/>
      <c r="D60" s="58"/>
      <c r="E60" s="56"/>
      <c r="F60" s="58"/>
      <c r="G60" s="56"/>
      <c r="H60" s="65"/>
    </row>
    <row r="61" spans="1:8" ht="28.25" customHeight="1" x14ac:dyDescent="0.2">
      <c r="A61" s="56" t="str">
        <f>IF(B61="","",IFERROR(INDEX('21 2026 ÜRETİM'!$A$2:$A$501,MATCH(B61,'21 2026 ÜRETİM'!$G$2:$G$501,0)),""))</f>
        <v/>
      </c>
      <c r="B61" s="58"/>
      <c r="C61" s="56"/>
      <c r="D61" s="58"/>
      <c r="E61" s="56"/>
      <c r="F61" s="58"/>
      <c r="G61" s="56"/>
      <c r="H61" s="65"/>
    </row>
    <row r="62" spans="1:8" ht="28.25" customHeight="1" x14ac:dyDescent="0.2">
      <c r="A62" s="56" t="str">
        <f>IF(B62="","",IFERROR(INDEX('21 2026 ÜRETİM'!$A$2:$A$501,MATCH(B62,'21 2026 ÜRETİM'!$G$2:$G$501,0)),""))</f>
        <v/>
      </c>
      <c r="B62" s="58"/>
      <c r="C62" s="56"/>
      <c r="D62" s="58"/>
      <c r="E62" s="56"/>
      <c r="F62" s="58"/>
      <c r="G62" s="56"/>
      <c r="H62" s="65"/>
    </row>
    <row r="63" spans="1:8" ht="28.25" customHeight="1" x14ac:dyDescent="0.2">
      <c r="A63" s="56" t="str">
        <f>IF(B63="","",IFERROR(INDEX('21 2026 ÜRETİM'!$A$2:$A$501,MATCH(B63,'21 2026 ÜRETİM'!$G$2:$G$501,0)),""))</f>
        <v/>
      </c>
      <c r="B63" s="58"/>
      <c r="C63" s="56"/>
      <c r="D63" s="58"/>
      <c r="E63" s="56"/>
      <c r="F63" s="58"/>
      <c r="G63" s="56"/>
      <c r="H63" s="65"/>
    </row>
    <row r="64" spans="1:8" ht="28.25" customHeight="1" x14ac:dyDescent="0.2">
      <c r="A64" s="56" t="str">
        <f>IF(B64="","",IFERROR(INDEX('21 2026 ÜRETİM'!$A$2:$A$501,MATCH(B64,'21 2026 ÜRETİM'!$G$2:$G$501,0)),""))</f>
        <v/>
      </c>
      <c r="B64" s="58"/>
      <c r="C64" s="56"/>
      <c r="D64" s="58"/>
      <c r="E64" s="56"/>
      <c r="F64" s="58"/>
      <c r="G64" s="56"/>
      <c r="H64" s="65"/>
    </row>
    <row r="65" spans="1:8" ht="28.25" customHeight="1" x14ac:dyDescent="0.2">
      <c r="A65" s="56" t="str">
        <f>IF(B65="","",IFERROR(INDEX('21 2026 ÜRETİM'!$A$2:$A$501,MATCH(B65,'21 2026 ÜRETİM'!$G$2:$G$501,0)),""))</f>
        <v/>
      </c>
      <c r="B65" s="58"/>
      <c r="C65" s="56"/>
      <c r="D65" s="58"/>
      <c r="E65" s="56"/>
      <c r="F65" s="58"/>
      <c r="G65" s="56"/>
      <c r="H65" s="65"/>
    </row>
    <row r="66" spans="1:8" ht="28.25" customHeight="1" x14ac:dyDescent="0.2">
      <c r="A66" s="56" t="str">
        <f>IF(B66="","",IFERROR(INDEX('21 2026 ÜRETİM'!$A$2:$A$501,MATCH(B66,'21 2026 ÜRETİM'!$G$2:$G$501,0)),""))</f>
        <v/>
      </c>
      <c r="B66" s="58"/>
      <c r="C66" s="56"/>
      <c r="D66" s="58"/>
      <c r="E66" s="56"/>
      <c r="F66" s="58"/>
      <c r="G66" s="56"/>
      <c r="H66" s="65"/>
    </row>
    <row r="67" spans="1:8" ht="28.25" customHeight="1" x14ac:dyDescent="0.2">
      <c r="A67" s="56" t="str">
        <f>IF(B67="","",IFERROR(INDEX('21 2026 ÜRETİM'!$A$2:$A$501,MATCH(B67,'21 2026 ÜRETİM'!$G$2:$G$501,0)),""))</f>
        <v/>
      </c>
      <c r="B67" s="58"/>
      <c r="C67" s="56"/>
      <c r="D67" s="58"/>
      <c r="E67" s="56"/>
      <c r="F67" s="58"/>
      <c r="G67" s="56"/>
      <c r="H67" s="65"/>
    </row>
    <row r="68" spans="1:8" ht="28.25" customHeight="1" x14ac:dyDescent="0.2">
      <c r="A68" s="56" t="str">
        <f>IF(B68="","",IFERROR(INDEX('21 2026 ÜRETİM'!$A$2:$A$501,MATCH(B68,'21 2026 ÜRETİM'!$G$2:$G$501,0)),""))</f>
        <v/>
      </c>
      <c r="B68" s="58"/>
      <c r="C68" s="56"/>
      <c r="D68" s="58"/>
      <c r="E68" s="56"/>
      <c r="F68" s="58"/>
      <c r="G68" s="56"/>
      <c r="H68" s="65"/>
    </row>
    <row r="69" spans="1:8" ht="28.25" customHeight="1" x14ac:dyDescent="0.2">
      <c r="A69" s="56" t="str">
        <f>IF(B69="","",IFERROR(INDEX('21 2026 ÜRETİM'!$A$2:$A$501,MATCH(B69,'21 2026 ÜRETİM'!$G$2:$G$501,0)),""))</f>
        <v/>
      </c>
      <c r="B69" s="58"/>
      <c r="C69" s="56"/>
      <c r="D69" s="58"/>
      <c r="E69" s="56"/>
      <c r="F69" s="58"/>
      <c r="G69" s="56"/>
      <c r="H69" s="65"/>
    </row>
    <row r="70" spans="1:8" ht="28.25" customHeight="1" x14ac:dyDescent="0.2">
      <c r="A70" s="56" t="str">
        <f>IF(B70="","",IFERROR(INDEX('21 2026 ÜRETİM'!$A$2:$A$501,MATCH(B70,'21 2026 ÜRETİM'!$G$2:$G$501,0)),""))</f>
        <v/>
      </c>
      <c r="B70" s="58"/>
      <c r="C70" s="56"/>
      <c r="D70" s="58"/>
      <c r="E70" s="56"/>
      <c r="F70" s="58"/>
      <c r="G70" s="56"/>
      <c r="H70" s="65"/>
    </row>
    <row r="71" spans="1:8" ht="28.25" customHeight="1" x14ac:dyDescent="0.2">
      <c r="A71" s="56" t="str">
        <f>IF(B71="","",IFERROR(INDEX('21 2026 ÜRETİM'!$A$2:$A$501,MATCH(B71,'21 2026 ÜRETİM'!$G$2:$G$501,0)),""))</f>
        <v/>
      </c>
      <c r="B71" s="58"/>
      <c r="C71" s="56"/>
      <c r="D71" s="58"/>
      <c r="E71" s="56"/>
      <c r="F71" s="58"/>
      <c r="G71" s="56"/>
      <c r="H71" s="65"/>
    </row>
    <row r="72" spans="1:8" ht="28.25" customHeight="1" x14ac:dyDescent="0.2">
      <c r="A72" s="56" t="str">
        <f>IF(B72="","",IFERROR(INDEX('21 2026 ÜRETİM'!$A$2:$A$501,MATCH(B72,'21 2026 ÜRETİM'!$G$2:$G$501,0)),""))</f>
        <v/>
      </c>
      <c r="B72" s="58"/>
      <c r="C72" s="56"/>
      <c r="D72" s="58"/>
      <c r="E72" s="56"/>
      <c r="F72" s="58"/>
      <c r="G72" s="56"/>
      <c r="H72" s="65"/>
    </row>
    <row r="73" spans="1:8" ht="28.25" customHeight="1" x14ac:dyDescent="0.2">
      <c r="A73" s="56" t="str">
        <f>IF(B73="","",IFERROR(INDEX('21 2026 ÜRETİM'!$A$2:$A$501,MATCH(B73,'21 2026 ÜRETİM'!$G$2:$G$501,0)),""))</f>
        <v/>
      </c>
      <c r="B73" s="58"/>
      <c r="C73" s="56"/>
      <c r="D73" s="58"/>
      <c r="E73" s="56"/>
      <c r="F73" s="58"/>
      <c r="G73" s="56"/>
      <c r="H73" s="65"/>
    </row>
    <row r="74" spans="1:8" ht="28.25" customHeight="1" x14ac:dyDescent="0.2">
      <c r="A74" s="56" t="str">
        <f>IF(B74="","",IFERROR(INDEX('21 2026 ÜRETİM'!$A$2:$A$501,MATCH(B74,'21 2026 ÜRETİM'!$G$2:$G$501,0)),""))</f>
        <v/>
      </c>
      <c r="B74" s="58"/>
      <c r="C74" s="56"/>
      <c r="D74" s="58"/>
      <c r="E74" s="56"/>
      <c r="F74" s="58"/>
      <c r="G74" s="56"/>
      <c r="H74" s="65"/>
    </row>
    <row r="75" spans="1:8" ht="28.25" customHeight="1" x14ac:dyDescent="0.2">
      <c r="A75" s="56" t="str">
        <f>IF(B75="","",IFERROR(INDEX('21 2026 ÜRETİM'!$A$2:$A$501,MATCH(B75,'21 2026 ÜRETİM'!$G$2:$G$501,0)),""))</f>
        <v/>
      </c>
      <c r="B75" s="58"/>
      <c r="C75" s="56"/>
      <c r="D75" s="58"/>
      <c r="E75" s="56"/>
      <c r="F75" s="58"/>
      <c r="G75" s="56"/>
      <c r="H75" s="65"/>
    </row>
    <row r="76" spans="1:8" ht="28.25" customHeight="1" x14ac:dyDescent="0.2">
      <c r="A76" s="56" t="str">
        <f>IF(B76="","",IFERROR(INDEX('21 2026 ÜRETİM'!$A$2:$A$501,MATCH(B76,'21 2026 ÜRETİM'!$G$2:$G$501,0)),""))</f>
        <v/>
      </c>
      <c r="B76" s="58"/>
      <c r="C76" s="56"/>
      <c r="D76" s="58"/>
      <c r="E76" s="56"/>
      <c r="F76" s="58"/>
      <c r="G76" s="56"/>
      <c r="H76" s="65"/>
    </row>
    <row r="77" spans="1:8" ht="28.25" customHeight="1" x14ac:dyDescent="0.2">
      <c r="A77" s="56" t="str">
        <f>IF(B77="","",IFERROR(INDEX('21 2026 ÜRETİM'!$A$2:$A$501,MATCH(B77,'21 2026 ÜRETİM'!$G$2:$G$501,0)),""))</f>
        <v/>
      </c>
      <c r="B77" s="58"/>
      <c r="C77" s="56"/>
      <c r="D77" s="58"/>
      <c r="E77" s="56"/>
      <c r="F77" s="58"/>
      <c r="G77" s="56"/>
      <c r="H77" s="65"/>
    </row>
    <row r="78" spans="1:8" ht="28.25" customHeight="1" x14ac:dyDescent="0.2">
      <c r="A78" s="56" t="str">
        <f>IF(B78="","",IFERROR(INDEX('21 2026 ÜRETİM'!$A$2:$A$501,MATCH(B78,'21 2026 ÜRETİM'!$G$2:$G$501,0)),""))</f>
        <v/>
      </c>
      <c r="B78" s="58"/>
      <c r="C78" s="56"/>
      <c r="D78" s="58"/>
      <c r="E78" s="56"/>
      <c r="F78" s="58"/>
      <c r="G78" s="56"/>
      <c r="H78" s="65"/>
    </row>
    <row r="79" spans="1:8" ht="28.25" customHeight="1" x14ac:dyDescent="0.2">
      <c r="A79" s="56" t="str">
        <f>IF(B79="","",IFERROR(INDEX('21 2026 ÜRETİM'!$A$2:$A$501,MATCH(B79,'21 2026 ÜRETİM'!$G$2:$G$501,0)),""))</f>
        <v/>
      </c>
      <c r="B79" s="58"/>
      <c r="C79" s="56"/>
      <c r="D79" s="58"/>
      <c r="E79" s="56"/>
      <c r="F79" s="58"/>
      <c r="G79" s="56"/>
      <c r="H79" s="65"/>
    </row>
    <row r="80" spans="1:8" ht="28.25" customHeight="1" x14ac:dyDescent="0.2">
      <c r="A80" s="56" t="str">
        <f>IF(B80="","",IFERROR(INDEX('21 2026 ÜRETİM'!$A$2:$A$501,MATCH(B80,'21 2026 ÜRETİM'!$G$2:$G$501,0)),""))</f>
        <v/>
      </c>
      <c r="B80" s="58"/>
      <c r="C80" s="56"/>
      <c r="D80" s="58"/>
      <c r="E80" s="56"/>
      <c r="F80" s="58"/>
      <c r="G80" s="56"/>
      <c r="H80" s="65"/>
    </row>
    <row r="81" spans="1:8" ht="28.25" customHeight="1" x14ac:dyDescent="0.2">
      <c r="A81" s="56" t="str">
        <f>IF(B81="","",IFERROR(INDEX('21 2026 ÜRETİM'!$A$2:$A$501,MATCH(B81,'21 2026 ÜRETİM'!$G$2:$G$501,0)),""))</f>
        <v/>
      </c>
      <c r="B81" s="58"/>
      <c r="C81" s="56"/>
      <c r="D81" s="58"/>
      <c r="E81" s="56"/>
      <c r="F81" s="58"/>
      <c r="G81" s="56"/>
      <c r="H81" s="65"/>
    </row>
    <row r="82" spans="1:8" ht="28.25" customHeight="1" x14ac:dyDescent="0.2">
      <c r="A82" s="56" t="str">
        <f>IF(B82="","",IFERROR(INDEX('21 2026 ÜRETİM'!$A$2:$A$501,MATCH(B82,'21 2026 ÜRETİM'!$G$2:$G$501,0)),""))</f>
        <v/>
      </c>
      <c r="B82" s="58"/>
      <c r="C82" s="56"/>
      <c r="D82" s="58"/>
      <c r="E82" s="56"/>
      <c r="F82" s="58"/>
      <c r="G82" s="56"/>
      <c r="H82" s="65"/>
    </row>
    <row r="83" spans="1:8" ht="28.25" customHeight="1" x14ac:dyDescent="0.2">
      <c r="A83" s="56" t="str">
        <f>IF(B83="","",IFERROR(INDEX('21 2026 ÜRETİM'!$A$2:$A$501,MATCH(B83,'21 2026 ÜRETİM'!$G$2:$G$501,0)),""))</f>
        <v/>
      </c>
      <c r="B83" s="58"/>
      <c r="C83" s="56"/>
      <c r="D83" s="58"/>
      <c r="E83" s="56"/>
      <c r="F83" s="58"/>
      <c r="G83" s="56"/>
      <c r="H83" s="65"/>
    </row>
    <row r="84" spans="1:8" ht="28.25" customHeight="1" x14ac:dyDescent="0.2">
      <c r="A84" s="56" t="str">
        <f>IF(B84="","",IFERROR(INDEX('21 2026 ÜRETİM'!$A$2:$A$501,MATCH(B84,'21 2026 ÜRETİM'!$G$2:$G$501,0)),""))</f>
        <v/>
      </c>
      <c r="B84" s="58"/>
      <c r="C84" s="56"/>
      <c r="D84" s="58"/>
      <c r="E84" s="56"/>
      <c r="F84" s="58"/>
      <c r="G84" s="56"/>
      <c r="H84" s="65"/>
    </row>
    <row r="85" spans="1:8" ht="28.25" customHeight="1" x14ac:dyDescent="0.2">
      <c r="A85" s="56" t="str">
        <f>IF(B85="","",IFERROR(INDEX('21 2026 ÜRETİM'!$A$2:$A$501,MATCH(B85,'21 2026 ÜRETİM'!$G$2:$G$501,0)),""))</f>
        <v/>
      </c>
      <c r="B85" s="58"/>
      <c r="C85" s="56"/>
      <c r="D85" s="58"/>
      <c r="E85" s="56"/>
      <c r="F85" s="58"/>
      <c r="G85" s="56"/>
      <c r="H85" s="65"/>
    </row>
    <row r="86" spans="1:8" ht="28.25" customHeight="1" x14ac:dyDescent="0.2">
      <c r="A86" s="56" t="str">
        <f>IF(B86="","",IFERROR(INDEX('21 2026 ÜRETİM'!$A$2:$A$501,MATCH(B86,'21 2026 ÜRETİM'!$G$2:$G$501,0)),""))</f>
        <v/>
      </c>
      <c r="B86" s="58"/>
      <c r="C86" s="56"/>
      <c r="D86" s="58"/>
      <c r="E86" s="56"/>
      <c r="F86" s="58"/>
      <c r="G86" s="56"/>
      <c r="H86" s="65"/>
    </row>
    <row r="87" spans="1:8" ht="28.25" customHeight="1" x14ac:dyDescent="0.2">
      <c r="A87" s="56" t="str">
        <f>IF(B87="","",IFERROR(INDEX('21 2026 ÜRETİM'!$A$2:$A$501,MATCH(B87,'21 2026 ÜRETİM'!$G$2:$G$501,0)),""))</f>
        <v/>
      </c>
      <c r="B87" s="58"/>
      <c r="C87" s="56"/>
      <c r="D87" s="58"/>
      <c r="E87" s="56"/>
      <c r="F87" s="58"/>
      <c r="G87" s="56"/>
      <c r="H87" s="65"/>
    </row>
    <row r="88" spans="1:8" ht="28.25" customHeight="1" x14ac:dyDescent="0.2">
      <c r="A88" s="56" t="str">
        <f>IF(B88="","",IFERROR(INDEX('21 2026 ÜRETİM'!$A$2:$A$501,MATCH(B88,'21 2026 ÜRETİM'!$G$2:$G$501,0)),""))</f>
        <v/>
      </c>
      <c r="B88" s="58"/>
      <c r="C88" s="56"/>
      <c r="D88" s="58"/>
      <c r="E88" s="56"/>
      <c r="F88" s="58"/>
      <c r="G88" s="56"/>
      <c r="H88" s="65"/>
    </row>
    <row r="89" spans="1:8" ht="28.25" customHeight="1" x14ac:dyDescent="0.2">
      <c r="A89" s="56" t="str">
        <f>IF(B89="","",IFERROR(INDEX('21 2026 ÜRETİM'!$A$2:$A$501,MATCH(B89,'21 2026 ÜRETİM'!$G$2:$G$501,0)),""))</f>
        <v/>
      </c>
      <c r="B89" s="58"/>
      <c r="C89" s="56"/>
      <c r="D89" s="58"/>
      <c r="E89" s="56"/>
      <c r="F89" s="58"/>
      <c r="G89" s="56"/>
      <c r="H89" s="65"/>
    </row>
    <row r="90" spans="1:8" ht="28.25" customHeight="1" x14ac:dyDescent="0.2">
      <c r="A90" s="56" t="str">
        <f>IF(B90="","",IFERROR(INDEX('21 2026 ÜRETİM'!$A$2:$A$501,MATCH(B90,'21 2026 ÜRETİM'!$G$2:$G$501,0)),""))</f>
        <v/>
      </c>
      <c r="B90" s="58"/>
      <c r="C90" s="56"/>
      <c r="D90" s="58"/>
      <c r="E90" s="56"/>
      <c r="F90" s="58"/>
      <c r="G90" s="56"/>
      <c r="H90" s="65"/>
    </row>
    <row r="91" spans="1:8" ht="28.25" customHeight="1" x14ac:dyDescent="0.2">
      <c r="A91" s="56" t="str">
        <f>IF(B91="","",IFERROR(INDEX('21 2026 ÜRETİM'!$A$2:$A$501,MATCH(B91,'21 2026 ÜRETİM'!$G$2:$G$501,0)),""))</f>
        <v/>
      </c>
      <c r="B91" s="58"/>
      <c r="C91" s="56"/>
      <c r="D91" s="58"/>
      <c r="E91" s="56"/>
      <c r="F91" s="58"/>
      <c r="G91" s="56"/>
      <c r="H91" s="65"/>
    </row>
    <row r="92" spans="1:8" ht="28.25" customHeight="1" x14ac:dyDescent="0.2">
      <c r="A92" s="56" t="str">
        <f>IF(B92="","",IFERROR(INDEX('21 2026 ÜRETİM'!$A$2:$A$501,MATCH(B92,'21 2026 ÜRETİM'!$G$2:$G$501,0)),""))</f>
        <v/>
      </c>
      <c r="B92" s="58"/>
      <c r="C92" s="56"/>
      <c r="D92" s="58"/>
      <c r="E92" s="56"/>
      <c r="F92" s="58"/>
      <c r="G92" s="56"/>
      <c r="H92" s="65"/>
    </row>
    <row r="93" spans="1:8" ht="28.25" customHeight="1" x14ac:dyDescent="0.2">
      <c r="A93" s="56" t="str">
        <f>IF(B93="","",IFERROR(INDEX('21 2026 ÜRETİM'!$A$2:$A$501,MATCH(B93,'21 2026 ÜRETİM'!$G$2:$G$501,0)),""))</f>
        <v/>
      </c>
      <c r="B93" s="58"/>
      <c r="C93" s="56"/>
      <c r="D93" s="58"/>
      <c r="E93" s="56"/>
      <c r="F93" s="58"/>
      <c r="G93" s="56"/>
      <c r="H93" s="65"/>
    </row>
    <row r="94" spans="1:8" ht="28.25" customHeight="1" x14ac:dyDescent="0.2">
      <c r="A94" s="56" t="str">
        <f>IF(B94="","",IFERROR(INDEX('21 2026 ÜRETİM'!$A$2:$A$501,MATCH(B94,'21 2026 ÜRETİM'!$G$2:$G$501,0)),""))</f>
        <v/>
      </c>
      <c r="B94" s="58"/>
      <c r="C94" s="56"/>
      <c r="D94" s="58"/>
      <c r="E94" s="56"/>
      <c r="F94" s="58"/>
      <c r="G94" s="56"/>
      <c r="H94" s="65"/>
    </row>
    <row r="95" spans="1:8" ht="28.25" customHeight="1" x14ac:dyDescent="0.2">
      <c r="A95" s="56" t="str">
        <f>IF(B95="","",IFERROR(INDEX('21 2026 ÜRETİM'!$A$2:$A$501,MATCH(B95,'21 2026 ÜRETİM'!$G$2:$G$501,0)),""))</f>
        <v/>
      </c>
      <c r="B95" s="58"/>
      <c r="C95" s="56"/>
      <c r="D95" s="58"/>
      <c r="E95" s="56"/>
      <c r="F95" s="58"/>
      <c r="G95" s="56"/>
      <c r="H95" s="65"/>
    </row>
    <row r="96" spans="1:8" ht="28.25" customHeight="1" x14ac:dyDescent="0.2">
      <c r="A96" s="56" t="str">
        <f>IF(B96="","",IFERROR(INDEX('21 2026 ÜRETİM'!$A$2:$A$501,MATCH(B96,'21 2026 ÜRETİM'!$G$2:$G$501,0)),""))</f>
        <v/>
      </c>
      <c r="B96" s="58"/>
      <c r="C96" s="56"/>
      <c r="D96" s="58"/>
      <c r="E96" s="56"/>
      <c r="F96" s="58"/>
      <c r="G96" s="56"/>
      <c r="H96" s="65"/>
    </row>
    <row r="97" spans="1:8" ht="28.25" customHeight="1" x14ac:dyDescent="0.2">
      <c r="A97" s="56" t="str">
        <f>IF(B97="","",IFERROR(INDEX('21 2026 ÜRETİM'!$A$2:$A$501,MATCH(B97,'21 2026 ÜRETİM'!$G$2:$G$501,0)),""))</f>
        <v/>
      </c>
      <c r="B97" s="58"/>
      <c r="C97" s="56"/>
      <c r="D97" s="58"/>
      <c r="E97" s="56"/>
      <c r="F97" s="58"/>
      <c r="G97" s="56"/>
      <c r="H97" s="65"/>
    </row>
    <row r="98" spans="1:8" ht="28.25" customHeight="1" x14ac:dyDescent="0.2">
      <c r="A98" s="56" t="str">
        <f>IF(B98="","",IFERROR(INDEX('21 2026 ÜRETİM'!$A$2:$A$501,MATCH(B98,'21 2026 ÜRETİM'!$G$2:$G$501,0)),""))</f>
        <v/>
      </c>
      <c r="B98" s="58"/>
      <c r="C98" s="56"/>
      <c r="D98" s="58"/>
      <c r="E98" s="56"/>
      <c r="F98" s="58"/>
      <c r="G98" s="56"/>
      <c r="H98" s="65"/>
    </row>
    <row r="99" spans="1:8" ht="28.25" customHeight="1" x14ac:dyDescent="0.2">
      <c r="A99" s="56" t="str">
        <f>IF(B99="","",IFERROR(INDEX('21 2026 ÜRETİM'!$A$2:$A$501,MATCH(B99,'21 2026 ÜRETİM'!$G$2:$G$501,0)),""))</f>
        <v/>
      </c>
      <c r="B99" s="58"/>
      <c r="C99" s="56"/>
      <c r="D99" s="58"/>
      <c r="E99" s="56"/>
      <c r="F99" s="58"/>
      <c r="G99" s="56"/>
      <c r="H99" s="65"/>
    </row>
    <row r="100" spans="1:8" ht="28.25" customHeight="1" x14ac:dyDescent="0.2">
      <c r="A100" s="56" t="str">
        <f>IF(B100="","",IFERROR(INDEX('21 2026 ÜRETİM'!$A$2:$A$501,MATCH(B100,'21 2026 ÜRETİM'!$G$2:$G$501,0)),""))</f>
        <v/>
      </c>
      <c r="B100" s="58"/>
      <c r="C100" s="56"/>
      <c r="D100" s="58"/>
      <c r="E100" s="56"/>
      <c r="F100" s="58"/>
      <c r="G100" s="56"/>
      <c r="H100" s="65"/>
    </row>
    <row r="101" spans="1:8" ht="28.25" customHeight="1" x14ac:dyDescent="0.2">
      <c r="A101" s="56" t="str">
        <f>IF(B101="","",IFERROR(INDEX('21 2026 ÜRETİM'!$A$2:$A$501,MATCH(B101,'21 2026 ÜRETİM'!$G$2:$G$501,0)),""))</f>
        <v/>
      </c>
      <c r="B101" s="58"/>
      <c r="C101" s="56"/>
      <c r="D101" s="58"/>
      <c r="E101" s="56"/>
      <c r="F101" s="58"/>
      <c r="G101" s="56"/>
      <c r="H101" s="65"/>
    </row>
    <row r="102" spans="1:8" ht="28.25" customHeight="1" x14ac:dyDescent="0.2">
      <c r="A102" s="56" t="str">
        <f>IF(B102="","",IFERROR(INDEX('21 2026 ÜRETİM'!$A$2:$A$501,MATCH(B102,'21 2026 ÜRETİM'!$G$2:$G$501,0)),""))</f>
        <v/>
      </c>
      <c r="B102" s="58"/>
      <c r="C102" s="56"/>
      <c r="D102" s="58"/>
      <c r="E102" s="56"/>
      <c r="F102" s="58"/>
      <c r="G102" s="56"/>
      <c r="H102" s="65"/>
    </row>
    <row r="103" spans="1:8" ht="28.25" customHeight="1" x14ac:dyDescent="0.2">
      <c r="A103" s="56" t="str">
        <f>IF(B103="","",IFERROR(INDEX('21 2026 ÜRETİM'!$A$2:$A$501,MATCH(B103,'21 2026 ÜRETİM'!$G$2:$G$501,0)),""))</f>
        <v/>
      </c>
      <c r="B103" s="58"/>
      <c r="C103" s="56"/>
      <c r="D103" s="58"/>
      <c r="E103" s="56"/>
      <c r="F103" s="58"/>
      <c r="G103" s="56"/>
      <c r="H103" s="65"/>
    </row>
    <row r="104" spans="1:8" ht="28.25" customHeight="1" x14ac:dyDescent="0.2">
      <c r="A104" s="56" t="str">
        <f>IF(B104="","",IFERROR(INDEX('21 2026 ÜRETİM'!$A$2:$A$501,MATCH(B104,'21 2026 ÜRETİM'!$G$2:$G$501,0)),""))</f>
        <v/>
      </c>
      <c r="B104" s="58"/>
      <c r="C104" s="56"/>
      <c r="D104" s="58"/>
      <c r="E104" s="56"/>
      <c r="F104" s="58"/>
      <c r="G104" s="56"/>
      <c r="H104" s="65"/>
    </row>
    <row r="105" spans="1:8" ht="28.25" customHeight="1" x14ac:dyDescent="0.2">
      <c r="A105" s="56" t="str">
        <f>IF(B105="","",IFERROR(INDEX('21 2026 ÜRETİM'!$A$2:$A$501,MATCH(B105,'21 2026 ÜRETİM'!$G$2:$G$501,0)),""))</f>
        <v/>
      </c>
      <c r="B105" s="58"/>
      <c r="C105" s="56"/>
      <c r="D105" s="58"/>
      <c r="E105" s="56"/>
      <c r="F105" s="58"/>
      <c r="G105" s="56"/>
      <c r="H105" s="65"/>
    </row>
    <row r="106" spans="1:8" ht="28.25" customHeight="1" x14ac:dyDescent="0.2">
      <c r="A106" s="56" t="str">
        <f>IF(B106="","",IFERROR(INDEX('21 2026 ÜRETİM'!$A$2:$A$501,MATCH(B106,'21 2026 ÜRETİM'!$G$2:$G$501,0)),""))</f>
        <v/>
      </c>
      <c r="B106" s="58"/>
      <c r="C106" s="56"/>
      <c r="D106" s="58"/>
      <c r="E106" s="56"/>
      <c r="F106" s="58"/>
      <c r="G106" s="56"/>
      <c r="H106" s="65"/>
    </row>
    <row r="107" spans="1:8" ht="28.25" customHeight="1" x14ac:dyDescent="0.2">
      <c r="A107" s="56" t="str">
        <f>IF(B107="","",IFERROR(INDEX('21 2026 ÜRETİM'!$A$2:$A$501,MATCH(B107,'21 2026 ÜRETİM'!$G$2:$G$501,0)),""))</f>
        <v/>
      </c>
      <c r="B107" s="58"/>
      <c r="C107" s="56"/>
      <c r="D107" s="58"/>
      <c r="E107" s="56"/>
      <c r="F107" s="58"/>
      <c r="G107" s="56"/>
      <c r="H107" s="65"/>
    </row>
    <row r="108" spans="1:8" ht="28.25" customHeight="1" x14ac:dyDescent="0.2">
      <c r="A108" s="56" t="str">
        <f>IF(B108="","",IFERROR(INDEX('21 2026 ÜRETİM'!$A$2:$A$501,MATCH(B108,'21 2026 ÜRETİM'!$G$2:$G$501,0)),""))</f>
        <v/>
      </c>
      <c r="B108" s="58"/>
      <c r="C108" s="56"/>
      <c r="D108" s="58"/>
      <c r="E108" s="56"/>
      <c r="F108" s="58"/>
      <c r="G108" s="56"/>
      <c r="H108" s="65"/>
    </row>
    <row r="109" spans="1:8" ht="28.25" customHeight="1" x14ac:dyDescent="0.2">
      <c r="A109" s="56" t="str">
        <f>IF(B109="","",IFERROR(INDEX('21 2026 ÜRETİM'!$A$2:$A$501,MATCH(B109,'21 2026 ÜRETİM'!$G$2:$G$501,0)),""))</f>
        <v/>
      </c>
      <c r="B109" s="58"/>
      <c r="C109" s="56"/>
      <c r="D109" s="58"/>
      <c r="E109" s="56"/>
      <c r="F109" s="58"/>
      <c r="G109" s="56"/>
      <c r="H109" s="65"/>
    </row>
    <row r="110" spans="1:8" ht="28.25" customHeight="1" x14ac:dyDescent="0.2">
      <c r="A110" s="56" t="str">
        <f>IF(B110="","",IFERROR(INDEX('21 2026 ÜRETİM'!$A$2:$A$501,MATCH(B110,'21 2026 ÜRETİM'!$G$2:$G$501,0)),""))</f>
        <v/>
      </c>
      <c r="B110" s="58"/>
      <c r="C110" s="56"/>
      <c r="D110" s="58"/>
      <c r="E110" s="56"/>
      <c r="F110" s="58"/>
      <c r="G110" s="56"/>
      <c r="H110" s="65"/>
    </row>
    <row r="111" spans="1:8" ht="28.25" customHeight="1" x14ac:dyDescent="0.2">
      <c r="A111" s="56" t="str">
        <f>IF(B111="","",IFERROR(INDEX('21 2026 ÜRETİM'!$A$2:$A$501,MATCH(B111,'21 2026 ÜRETİM'!$G$2:$G$501,0)),""))</f>
        <v/>
      </c>
      <c r="B111" s="58"/>
      <c r="C111" s="56"/>
      <c r="D111" s="58"/>
      <c r="E111" s="56"/>
      <c r="F111" s="58"/>
      <c r="G111" s="56"/>
      <c r="H111" s="65"/>
    </row>
    <row r="112" spans="1:8" ht="28.25" customHeight="1" x14ac:dyDescent="0.2">
      <c r="A112" s="56" t="str">
        <f>IF(B112="","",IFERROR(INDEX('21 2026 ÜRETİM'!$A$2:$A$501,MATCH(B112,'21 2026 ÜRETİM'!$G$2:$G$501,0)),""))</f>
        <v/>
      </c>
      <c r="B112" s="58"/>
      <c r="C112" s="56"/>
      <c r="D112" s="58"/>
      <c r="E112" s="56"/>
      <c r="F112" s="58"/>
      <c r="G112" s="56"/>
      <c r="H112" s="65"/>
    </row>
    <row r="113" spans="1:8" ht="28.25" customHeight="1" x14ac:dyDescent="0.2">
      <c r="A113" s="56" t="str">
        <f>IF(B113="","",IFERROR(INDEX('21 2026 ÜRETİM'!$A$2:$A$501,MATCH(B113,'21 2026 ÜRETİM'!$G$2:$G$501,0)),""))</f>
        <v/>
      </c>
      <c r="B113" s="58"/>
      <c r="C113" s="56"/>
      <c r="D113" s="58"/>
      <c r="E113" s="56"/>
      <c r="F113" s="58"/>
      <c r="G113" s="56"/>
      <c r="H113" s="65"/>
    </row>
    <row r="114" spans="1:8" ht="28.25" customHeight="1" x14ac:dyDescent="0.2">
      <c r="A114" s="56" t="str">
        <f>IF(B114="","",IFERROR(INDEX('21 2026 ÜRETİM'!$A$2:$A$501,MATCH(B114,'21 2026 ÜRETİM'!$G$2:$G$501,0)),""))</f>
        <v/>
      </c>
      <c r="B114" s="58"/>
      <c r="C114" s="56"/>
      <c r="D114" s="58"/>
      <c r="E114" s="56"/>
      <c r="F114" s="58"/>
      <c r="G114" s="56"/>
      <c r="H114" s="65"/>
    </row>
    <row r="115" spans="1:8" ht="28.25" customHeight="1" x14ac:dyDescent="0.2">
      <c r="A115" s="56" t="str">
        <f>IF(B115="","",IFERROR(INDEX('21 2026 ÜRETİM'!$A$2:$A$501,MATCH(B115,'21 2026 ÜRETİM'!$G$2:$G$501,0)),""))</f>
        <v/>
      </c>
      <c r="B115" s="58"/>
      <c r="C115" s="56"/>
      <c r="D115" s="58"/>
      <c r="E115" s="56"/>
      <c r="F115" s="58"/>
      <c r="G115" s="56"/>
      <c r="H115" s="65"/>
    </row>
    <row r="116" spans="1:8" ht="28.25" customHeight="1" x14ac:dyDescent="0.2">
      <c r="A116" s="56" t="str">
        <f>IF(B116="","",IFERROR(INDEX('21 2026 ÜRETİM'!$A$2:$A$501,MATCH(B116,'21 2026 ÜRETİM'!$G$2:$G$501,0)),""))</f>
        <v/>
      </c>
      <c r="B116" s="58"/>
      <c r="C116" s="56"/>
      <c r="D116" s="58"/>
      <c r="E116" s="56"/>
      <c r="F116" s="58"/>
      <c r="G116" s="56"/>
      <c r="H116" s="65"/>
    </row>
    <row r="117" spans="1:8" ht="28.25" customHeight="1" x14ac:dyDescent="0.2">
      <c r="A117" s="56" t="str">
        <f>IF(B117="","",IFERROR(INDEX('21 2026 ÜRETİM'!$A$2:$A$501,MATCH(B117,'21 2026 ÜRETİM'!$G$2:$G$501,0)),""))</f>
        <v/>
      </c>
      <c r="B117" s="58"/>
      <c r="C117" s="56"/>
      <c r="D117" s="58"/>
      <c r="E117" s="56"/>
      <c r="F117" s="58"/>
      <c r="G117" s="56"/>
      <c r="H117" s="65"/>
    </row>
    <row r="118" spans="1:8" ht="28.25" customHeight="1" x14ac:dyDescent="0.2">
      <c r="A118" s="56" t="str">
        <f>IF(B118="","",IFERROR(INDEX('21 2026 ÜRETİM'!$A$2:$A$501,MATCH(B118,'21 2026 ÜRETİM'!$G$2:$G$501,0)),""))</f>
        <v/>
      </c>
      <c r="B118" s="58"/>
      <c r="C118" s="56"/>
      <c r="D118" s="58"/>
      <c r="E118" s="56"/>
      <c r="F118" s="58"/>
      <c r="G118" s="56"/>
      <c r="H118" s="65"/>
    </row>
    <row r="119" spans="1:8" ht="28.25" customHeight="1" x14ac:dyDescent="0.2">
      <c r="A119" s="56" t="str">
        <f>IF(B119="","",IFERROR(INDEX('21 2026 ÜRETİM'!$A$2:$A$501,MATCH(B119,'21 2026 ÜRETİM'!$G$2:$G$501,0)),""))</f>
        <v/>
      </c>
      <c r="B119" s="58"/>
      <c r="C119" s="56"/>
      <c r="D119" s="58"/>
      <c r="E119" s="56"/>
      <c r="F119" s="58"/>
      <c r="G119" s="56"/>
      <c r="H119" s="65"/>
    </row>
    <row r="120" spans="1:8" ht="28.25" customHeight="1" x14ac:dyDescent="0.2">
      <c r="A120" s="56" t="str">
        <f>IF(B120="","",IFERROR(INDEX('21 2026 ÜRETİM'!$A$2:$A$501,MATCH(B120,'21 2026 ÜRETİM'!$G$2:$G$501,0)),""))</f>
        <v/>
      </c>
      <c r="B120" s="58"/>
      <c r="C120" s="56"/>
      <c r="D120" s="58"/>
      <c r="E120" s="56"/>
      <c r="F120" s="58"/>
      <c r="G120" s="56"/>
      <c r="H120" s="65"/>
    </row>
    <row r="121" spans="1:8" ht="28.25" customHeight="1" x14ac:dyDescent="0.2">
      <c r="A121" s="56" t="str">
        <f>IF(B121="","",IFERROR(INDEX('21 2026 ÜRETİM'!$A$2:$A$501,MATCH(B121,'21 2026 ÜRETİM'!$G$2:$G$501,0)),""))</f>
        <v/>
      </c>
      <c r="B121" s="58"/>
      <c r="C121" s="56"/>
      <c r="D121" s="58"/>
      <c r="E121" s="56"/>
      <c r="F121" s="58"/>
      <c r="G121" s="56"/>
      <c r="H121" s="65"/>
    </row>
    <row r="122" spans="1:8" ht="28.25" customHeight="1" x14ac:dyDescent="0.2">
      <c r="A122" s="56" t="str">
        <f>IF(B122="","",IFERROR(INDEX('21 2026 ÜRETİM'!$A$2:$A$501,MATCH(B122,'21 2026 ÜRETİM'!$G$2:$G$501,0)),""))</f>
        <v/>
      </c>
      <c r="B122" s="58"/>
      <c r="C122" s="56"/>
      <c r="D122" s="58"/>
      <c r="E122" s="56"/>
      <c r="F122" s="58"/>
      <c r="G122" s="56"/>
      <c r="H122" s="65"/>
    </row>
    <row r="123" spans="1:8" ht="28.25" customHeight="1" x14ac:dyDescent="0.2">
      <c r="A123" s="56" t="str">
        <f>IF(B123="","",IFERROR(INDEX('21 2026 ÜRETİM'!$A$2:$A$501,MATCH(B123,'21 2026 ÜRETİM'!$G$2:$G$501,0)),""))</f>
        <v/>
      </c>
      <c r="B123" s="58"/>
      <c r="C123" s="56"/>
      <c r="D123" s="58"/>
      <c r="E123" s="56"/>
      <c r="F123" s="58"/>
      <c r="G123" s="56"/>
      <c r="H123" s="65"/>
    </row>
    <row r="124" spans="1:8" ht="28.25" customHeight="1" x14ac:dyDescent="0.2">
      <c r="A124" s="56" t="str">
        <f>IF(B124="","",IFERROR(INDEX('21 2026 ÜRETİM'!$A$2:$A$501,MATCH(B124,'21 2026 ÜRETİM'!$G$2:$G$501,0)),""))</f>
        <v/>
      </c>
      <c r="B124" s="58"/>
      <c r="C124" s="56"/>
      <c r="D124" s="58"/>
      <c r="E124" s="56"/>
      <c r="F124" s="58"/>
      <c r="G124" s="56"/>
      <c r="H124" s="65"/>
    </row>
    <row r="125" spans="1:8" ht="28.25" customHeight="1" x14ac:dyDescent="0.2">
      <c r="A125" s="56" t="str">
        <f>IF(B125="","",IFERROR(INDEX('21 2026 ÜRETİM'!$A$2:$A$501,MATCH(B125,'21 2026 ÜRETİM'!$G$2:$G$501,0)),""))</f>
        <v/>
      </c>
      <c r="B125" s="58"/>
      <c r="C125" s="56"/>
      <c r="D125" s="58"/>
      <c r="E125" s="56"/>
      <c r="F125" s="58"/>
      <c r="G125" s="56"/>
      <c r="H125" s="65"/>
    </row>
    <row r="126" spans="1:8" ht="28.25" customHeight="1" x14ac:dyDescent="0.2">
      <c r="A126" s="56" t="str">
        <f>IF(B126="","",IFERROR(INDEX('21 2026 ÜRETİM'!$A$2:$A$501,MATCH(B126,'21 2026 ÜRETİM'!$G$2:$G$501,0)),""))</f>
        <v/>
      </c>
      <c r="B126" s="58"/>
      <c r="C126" s="56"/>
      <c r="D126" s="58"/>
      <c r="E126" s="56"/>
      <c r="F126" s="58"/>
      <c r="G126" s="56"/>
      <c r="H126" s="65"/>
    </row>
    <row r="127" spans="1:8" ht="28.25" customHeight="1" x14ac:dyDescent="0.2">
      <c r="A127" s="56" t="str">
        <f>IF(B127="","",IFERROR(INDEX('21 2026 ÜRETİM'!$A$2:$A$501,MATCH(B127,'21 2026 ÜRETİM'!$G$2:$G$501,0)),""))</f>
        <v/>
      </c>
      <c r="B127" s="58"/>
      <c r="C127" s="56"/>
      <c r="D127" s="58"/>
      <c r="E127" s="56"/>
      <c r="F127" s="58"/>
      <c r="G127" s="56"/>
      <c r="H127" s="65"/>
    </row>
    <row r="128" spans="1:8" ht="28.25" customHeight="1" x14ac:dyDescent="0.2">
      <c r="A128" s="56" t="str">
        <f>IF(B128="","",IFERROR(INDEX('21 2026 ÜRETİM'!$A$2:$A$501,MATCH(B128,'21 2026 ÜRETİM'!$G$2:$G$501,0)),""))</f>
        <v/>
      </c>
      <c r="B128" s="58"/>
      <c r="C128" s="56"/>
      <c r="D128" s="58"/>
      <c r="E128" s="56"/>
      <c r="F128" s="58"/>
      <c r="G128" s="56"/>
      <c r="H128" s="65"/>
    </row>
    <row r="129" spans="1:8" ht="28.25" customHeight="1" x14ac:dyDescent="0.2">
      <c r="A129" s="56" t="str">
        <f>IF(B129="","",IFERROR(INDEX('21 2026 ÜRETİM'!$A$2:$A$501,MATCH(B129,'21 2026 ÜRETİM'!$G$2:$G$501,0)),""))</f>
        <v/>
      </c>
      <c r="B129" s="58"/>
      <c r="C129" s="56"/>
      <c r="D129" s="58"/>
      <c r="E129" s="56"/>
      <c r="F129" s="58"/>
      <c r="G129" s="56"/>
      <c r="H129" s="65"/>
    </row>
    <row r="130" spans="1:8" ht="28.25" customHeight="1" x14ac:dyDescent="0.2">
      <c r="A130" s="56" t="str">
        <f>IF(B130="","",IFERROR(INDEX('21 2026 ÜRETİM'!$A$2:$A$501,MATCH(B130,'21 2026 ÜRETİM'!$G$2:$G$501,0)),""))</f>
        <v/>
      </c>
      <c r="B130" s="58"/>
      <c r="C130" s="56"/>
      <c r="D130" s="58"/>
      <c r="E130" s="56"/>
      <c r="F130" s="58"/>
      <c r="G130" s="56"/>
      <c r="H130" s="65"/>
    </row>
    <row r="131" spans="1:8" ht="28.25" customHeight="1" x14ac:dyDescent="0.2">
      <c r="A131" s="56" t="str">
        <f>IF(B131="","",IFERROR(INDEX('21 2026 ÜRETİM'!$A$2:$A$501,MATCH(B131,'21 2026 ÜRETİM'!$G$2:$G$501,0)),""))</f>
        <v/>
      </c>
      <c r="B131" s="58"/>
      <c r="C131" s="56"/>
      <c r="D131" s="58"/>
      <c r="E131" s="56"/>
      <c r="F131" s="58"/>
      <c r="G131" s="56"/>
      <c r="H131" s="65"/>
    </row>
    <row r="132" spans="1:8" ht="28.25" customHeight="1" x14ac:dyDescent="0.2">
      <c r="A132" s="56" t="str">
        <f>IF(B132="","",IFERROR(INDEX('21 2026 ÜRETİM'!$A$2:$A$501,MATCH(B132,'21 2026 ÜRETİM'!$G$2:$G$501,0)),""))</f>
        <v/>
      </c>
      <c r="B132" s="58"/>
      <c r="C132" s="56"/>
      <c r="D132" s="58"/>
      <c r="E132" s="56"/>
      <c r="F132" s="58"/>
      <c r="G132" s="56"/>
      <c r="H132" s="65"/>
    </row>
    <row r="133" spans="1:8" ht="28.25" customHeight="1" x14ac:dyDescent="0.2">
      <c r="A133" s="56" t="str">
        <f>IF(B133="","",IFERROR(INDEX('21 2026 ÜRETİM'!$A$2:$A$501,MATCH(B133,'21 2026 ÜRETİM'!$G$2:$G$501,0)),""))</f>
        <v/>
      </c>
      <c r="B133" s="58"/>
      <c r="C133" s="56"/>
      <c r="D133" s="58"/>
      <c r="E133" s="56"/>
      <c r="F133" s="58"/>
      <c r="G133" s="56"/>
      <c r="H133" s="65"/>
    </row>
    <row r="134" spans="1:8" ht="28.25" customHeight="1" x14ac:dyDescent="0.2">
      <c r="A134" s="56" t="str">
        <f>IF(B134="","",IFERROR(INDEX('21 2026 ÜRETİM'!$A$2:$A$501,MATCH(B134,'21 2026 ÜRETİM'!$G$2:$G$501,0)),""))</f>
        <v/>
      </c>
      <c r="B134" s="58"/>
      <c r="C134" s="56"/>
      <c r="D134" s="58"/>
      <c r="E134" s="56"/>
      <c r="F134" s="58"/>
      <c r="G134" s="56"/>
      <c r="H134" s="65"/>
    </row>
    <row r="135" spans="1:8" ht="28.25" customHeight="1" x14ac:dyDescent="0.2">
      <c r="A135" s="56" t="str">
        <f>IF(B135="","",IFERROR(INDEX('21 2026 ÜRETİM'!$A$2:$A$501,MATCH(B135,'21 2026 ÜRETİM'!$G$2:$G$501,0)),""))</f>
        <v/>
      </c>
      <c r="B135" s="58"/>
      <c r="C135" s="56"/>
      <c r="D135" s="58"/>
      <c r="E135" s="56"/>
      <c r="F135" s="58"/>
      <c r="G135" s="56"/>
      <c r="H135" s="65"/>
    </row>
    <row r="136" spans="1:8" ht="28.25" customHeight="1" x14ac:dyDescent="0.2">
      <c r="A136" s="56" t="str">
        <f>IF(B136="","",IFERROR(INDEX('21 2026 ÜRETİM'!$A$2:$A$501,MATCH(B136,'21 2026 ÜRETİM'!$G$2:$G$501,0)),""))</f>
        <v/>
      </c>
      <c r="B136" s="58"/>
      <c r="C136" s="56"/>
      <c r="D136" s="58"/>
      <c r="E136" s="56"/>
      <c r="F136" s="58"/>
      <c r="G136" s="56"/>
      <c r="H136" s="65"/>
    </row>
    <row r="137" spans="1:8" ht="28.25" customHeight="1" x14ac:dyDescent="0.2">
      <c r="A137" s="56" t="str">
        <f>IF(B137="","",IFERROR(INDEX('21 2026 ÜRETİM'!$A$2:$A$501,MATCH(B137,'21 2026 ÜRETİM'!$G$2:$G$501,0)),""))</f>
        <v/>
      </c>
      <c r="B137" s="58"/>
      <c r="C137" s="56"/>
      <c r="D137" s="58"/>
      <c r="E137" s="56"/>
      <c r="F137" s="58"/>
      <c r="G137" s="56"/>
      <c r="H137" s="65"/>
    </row>
    <row r="138" spans="1:8" ht="28.25" customHeight="1" x14ac:dyDescent="0.2">
      <c r="A138" s="56" t="str">
        <f>IF(B138="","",IFERROR(INDEX('21 2026 ÜRETİM'!$A$2:$A$501,MATCH(B138,'21 2026 ÜRETİM'!$G$2:$G$501,0)),""))</f>
        <v/>
      </c>
      <c r="B138" s="58"/>
      <c r="C138" s="56"/>
      <c r="D138" s="58"/>
      <c r="E138" s="56"/>
      <c r="F138" s="58"/>
      <c r="G138" s="56"/>
      <c r="H138" s="65"/>
    </row>
    <row r="139" spans="1:8" ht="28.25" customHeight="1" x14ac:dyDescent="0.2">
      <c r="A139" s="56" t="str">
        <f>IF(B139="","",IFERROR(INDEX('21 2026 ÜRETİM'!$A$2:$A$501,MATCH(B139,'21 2026 ÜRETİM'!$G$2:$G$501,0)),""))</f>
        <v/>
      </c>
      <c r="B139" s="58"/>
      <c r="C139" s="56"/>
      <c r="D139" s="58"/>
      <c r="E139" s="56"/>
      <c r="F139" s="58"/>
      <c r="G139" s="56"/>
      <c r="H139" s="65"/>
    </row>
    <row r="140" spans="1:8" ht="28.25" customHeight="1" x14ac:dyDescent="0.2">
      <c r="A140" s="56" t="str">
        <f>IF(B140="","",IFERROR(INDEX('21 2026 ÜRETİM'!$A$2:$A$501,MATCH(B140,'21 2026 ÜRETİM'!$G$2:$G$501,0)),""))</f>
        <v/>
      </c>
      <c r="B140" s="58"/>
      <c r="C140" s="56"/>
      <c r="D140" s="58"/>
      <c r="E140" s="56"/>
      <c r="F140" s="58"/>
      <c r="G140" s="56"/>
      <c r="H140" s="65"/>
    </row>
    <row r="141" spans="1:8" ht="28.25" customHeight="1" x14ac:dyDescent="0.2">
      <c r="A141" s="56" t="str">
        <f>IF(B141="","",IFERROR(INDEX('21 2026 ÜRETİM'!$A$2:$A$501,MATCH(B141,'21 2026 ÜRETİM'!$G$2:$G$501,0)),""))</f>
        <v/>
      </c>
      <c r="B141" s="58"/>
      <c r="C141" s="56"/>
      <c r="D141" s="58"/>
      <c r="E141" s="56"/>
      <c r="F141" s="58"/>
      <c r="G141" s="56"/>
      <c r="H141" s="65"/>
    </row>
    <row r="142" spans="1:8" ht="28.25" customHeight="1" x14ac:dyDescent="0.2">
      <c r="A142" s="56" t="str">
        <f>IF(B142="","",IFERROR(INDEX('21 2026 ÜRETİM'!$A$2:$A$501,MATCH(B142,'21 2026 ÜRETİM'!$G$2:$G$501,0)),""))</f>
        <v/>
      </c>
      <c r="B142" s="58"/>
      <c r="C142" s="56"/>
      <c r="D142" s="58"/>
      <c r="E142" s="56"/>
      <c r="F142" s="58"/>
      <c r="G142" s="56"/>
      <c r="H142" s="65"/>
    </row>
    <row r="143" spans="1:8" ht="28.25" customHeight="1" x14ac:dyDescent="0.2">
      <c r="A143" s="56" t="str">
        <f>IF(B143="","",IFERROR(INDEX('21 2026 ÜRETİM'!$A$2:$A$501,MATCH(B143,'21 2026 ÜRETİM'!$G$2:$G$501,0)),""))</f>
        <v/>
      </c>
      <c r="B143" s="58"/>
      <c r="C143" s="56"/>
      <c r="D143" s="58"/>
      <c r="E143" s="56"/>
      <c r="F143" s="58"/>
      <c r="G143" s="56"/>
      <c r="H143" s="65"/>
    </row>
    <row r="144" spans="1:8" ht="28.25" customHeight="1" x14ac:dyDescent="0.2">
      <c r="A144" s="56" t="str">
        <f>IF(B144="","",IFERROR(INDEX('21 2026 ÜRETİM'!$A$2:$A$501,MATCH(B144,'21 2026 ÜRETİM'!$G$2:$G$501,0)),""))</f>
        <v/>
      </c>
      <c r="B144" s="58"/>
      <c r="C144" s="56"/>
      <c r="D144" s="58"/>
      <c r="E144" s="56"/>
      <c r="F144" s="58"/>
      <c r="G144" s="56"/>
      <c r="H144" s="65"/>
    </row>
    <row r="145" spans="1:8" ht="28.25" customHeight="1" x14ac:dyDescent="0.2">
      <c r="A145" s="56" t="str">
        <f>IF(B145="","",IFERROR(INDEX('21 2026 ÜRETİM'!$A$2:$A$501,MATCH(B145,'21 2026 ÜRETİM'!$G$2:$G$501,0)),""))</f>
        <v/>
      </c>
      <c r="B145" s="58"/>
      <c r="C145" s="56"/>
      <c r="D145" s="58"/>
      <c r="E145" s="56"/>
      <c r="F145" s="58"/>
      <c r="G145" s="56"/>
      <c r="H145" s="65"/>
    </row>
    <row r="146" spans="1:8" ht="28.25" customHeight="1" x14ac:dyDescent="0.2">
      <c r="A146" s="56" t="str">
        <f>IF(B146="","",IFERROR(INDEX('21 2026 ÜRETİM'!$A$2:$A$501,MATCH(B146,'21 2026 ÜRETİM'!$G$2:$G$501,0)),""))</f>
        <v/>
      </c>
      <c r="B146" s="58"/>
      <c r="C146" s="56"/>
      <c r="D146" s="58"/>
      <c r="E146" s="56"/>
      <c r="F146" s="58"/>
      <c r="G146" s="56"/>
      <c r="H146" s="65"/>
    </row>
    <row r="147" spans="1:8" ht="28.25" customHeight="1" x14ac:dyDescent="0.2">
      <c r="A147" s="56" t="str">
        <f>IF(B147="","",IFERROR(INDEX('21 2026 ÜRETİM'!$A$2:$A$501,MATCH(B147,'21 2026 ÜRETİM'!$G$2:$G$501,0)),""))</f>
        <v/>
      </c>
      <c r="B147" s="58"/>
      <c r="C147" s="56"/>
      <c r="D147" s="58"/>
      <c r="E147" s="56"/>
      <c r="F147" s="58"/>
      <c r="G147" s="56"/>
      <c r="H147" s="65"/>
    </row>
    <row r="148" spans="1:8" ht="28.25" customHeight="1" x14ac:dyDescent="0.2">
      <c r="A148" s="56" t="str">
        <f>IF(B148="","",IFERROR(INDEX('21 2026 ÜRETİM'!$A$2:$A$501,MATCH(B148,'21 2026 ÜRETİM'!$G$2:$G$501,0)),""))</f>
        <v/>
      </c>
      <c r="B148" s="58"/>
      <c r="C148" s="56"/>
      <c r="D148" s="58"/>
      <c r="E148" s="56"/>
      <c r="F148" s="58"/>
      <c r="G148" s="56"/>
      <c r="H148" s="65"/>
    </row>
    <row r="149" spans="1:8" ht="28.25" customHeight="1" x14ac:dyDescent="0.2">
      <c r="A149" s="56" t="str">
        <f>IF(B149="","",IFERROR(INDEX('21 2026 ÜRETİM'!$A$2:$A$501,MATCH(B149,'21 2026 ÜRETİM'!$G$2:$G$501,0)),""))</f>
        <v/>
      </c>
      <c r="B149" s="58"/>
      <c r="C149" s="56"/>
      <c r="D149" s="58"/>
      <c r="E149" s="56"/>
      <c r="F149" s="58"/>
      <c r="G149" s="56"/>
      <c r="H149" s="65"/>
    </row>
    <row r="150" spans="1:8" ht="28.25" customHeight="1" x14ac:dyDescent="0.2">
      <c r="A150" s="56" t="str">
        <f>IF(B150="","",IFERROR(INDEX('21 2026 ÜRETİM'!$A$2:$A$501,MATCH(B150,'21 2026 ÜRETİM'!$G$2:$G$501,0)),""))</f>
        <v/>
      </c>
      <c r="B150" s="58"/>
      <c r="C150" s="56"/>
      <c r="D150" s="58"/>
      <c r="E150" s="56"/>
      <c r="F150" s="58"/>
      <c r="G150" s="56"/>
      <c r="H150" s="65"/>
    </row>
    <row r="151" spans="1:8" ht="28.25" customHeight="1" x14ac:dyDescent="0.2">
      <c r="A151" s="56" t="str">
        <f>IF(B151="","",IFERROR(INDEX('21 2026 ÜRETİM'!$A$2:$A$501,MATCH(B151,'21 2026 ÜRETİM'!$G$2:$G$501,0)),""))</f>
        <v/>
      </c>
      <c r="B151" s="58"/>
      <c r="C151" s="56"/>
      <c r="D151" s="58"/>
      <c r="E151" s="56"/>
      <c r="F151" s="58"/>
      <c r="G151" s="56"/>
      <c r="H151" s="65"/>
    </row>
    <row r="152" spans="1:8" ht="28.25" customHeight="1" x14ac:dyDescent="0.2">
      <c r="A152" s="56" t="str">
        <f>IF(B152="","",IFERROR(INDEX('21 2026 ÜRETİM'!$A$2:$A$501,MATCH(B152,'21 2026 ÜRETİM'!$G$2:$G$501,0)),""))</f>
        <v/>
      </c>
      <c r="B152" s="58"/>
      <c r="C152" s="56"/>
      <c r="D152" s="58"/>
      <c r="E152" s="56"/>
      <c r="F152" s="58"/>
      <c r="G152" s="56"/>
      <c r="H152" s="65"/>
    </row>
    <row r="153" spans="1:8" ht="28.25" customHeight="1" x14ac:dyDescent="0.2">
      <c r="A153" s="56" t="str">
        <f>IF(B153="","",IFERROR(INDEX('21 2026 ÜRETİM'!$A$2:$A$501,MATCH(B153,'21 2026 ÜRETİM'!$G$2:$G$501,0)),""))</f>
        <v/>
      </c>
      <c r="B153" s="58"/>
      <c r="C153" s="56"/>
      <c r="D153" s="58"/>
      <c r="E153" s="56"/>
      <c r="F153" s="58"/>
      <c r="G153" s="56"/>
      <c r="H153" s="65"/>
    </row>
    <row r="154" spans="1:8" ht="28.25" customHeight="1" x14ac:dyDescent="0.2">
      <c r="A154" s="56" t="str">
        <f>IF(B154="","",IFERROR(INDEX('21 2026 ÜRETİM'!$A$2:$A$501,MATCH(B154,'21 2026 ÜRETİM'!$G$2:$G$501,0)),""))</f>
        <v/>
      </c>
      <c r="B154" s="58"/>
      <c r="C154" s="56"/>
      <c r="D154" s="58"/>
      <c r="E154" s="56"/>
      <c r="F154" s="58"/>
      <c r="G154" s="56"/>
      <c r="H154" s="65"/>
    </row>
    <row r="155" spans="1:8" ht="28.25" customHeight="1" x14ac:dyDescent="0.2">
      <c r="A155" s="56" t="str">
        <f>IF(B155="","",IFERROR(INDEX('21 2026 ÜRETİM'!$A$2:$A$501,MATCH(B155,'21 2026 ÜRETİM'!$G$2:$G$501,0)),""))</f>
        <v/>
      </c>
      <c r="B155" s="58"/>
      <c r="C155" s="56"/>
      <c r="D155" s="58"/>
      <c r="E155" s="56"/>
      <c r="F155" s="58"/>
      <c r="G155" s="56"/>
      <c r="H155" s="65"/>
    </row>
    <row r="156" spans="1:8" ht="28.25" customHeight="1" x14ac:dyDescent="0.2">
      <c r="A156" s="56" t="str">
        <f>IF(B156="","",IFERROR(INDEX('21 2026 ÜRETİM'!$A$2:$A$501,MATCH(B156,'21 2026 ÜRETİM'!$G$2:$G$501,0)),""))</f>
        <v/>
      </c>
      <c r="B156" s="58"/>
      <c r="C156" s="56"/>
      <c r="D156" s="58"/>
      <c r="E156" s="56"/>
      <c r="F156" s="58"/>
      <c r="G156" s="56"/>
      <c r="H156" s="65"/>
    </row>
    <row r="157" spans="1:8" ht="28.25" customHeight="1" x14ac:dyDescent="0.2">
      <c r="A157" s="56" t="str">
        <f>IF(B157="","",IFERROR(INDEX('21 2026 ÜRETİM'!$A$2:$A$501,MATCH(B157,'21 2026 ÜRETİM'!$G$2:$G$501,0)),""))</f>
        <v/>
      </c>
      <c r="B157" s="58"/>
      <c r="C157" s="56"/>
      <c r="D157" s="58"/>
      <c r="E157" s="56"/>
      <c r="F157" s="58"/>
      <c r="G157" s="56"/>
      <c r="H157" s="65"/>
    </row>
    <row r="158" spans="1:8" ht="28.25" customHeight="1" x14ac:dyDescent="0.2">
      <c r="A158" s="56" t="str">
        <f>IF(B158="","",IFERROR(INDEX('21 2026 ÜRETİM'!$A$2:$A$501,MATCH(B158,'21 2026 ÜRETİM'!$G$2:$G$501,0)),""))</f>
        <v/>
      </c>
      <c r="B158" s="58"/>
      <c r="C158" s="56"/>
      <c r="D158" s="58"/>
      <c r="E158" s="56"/>
      <c r="F158" s="58"/>
      <c r="G158" s="56"/>
      <c r="H158" s="65"/>
    </row>
    <row r="159" spans="1:8" ht="28.25" customHeight="1" x14ac:dyDescent="0.2">
      <c r="A159" s="56" t="str">
        <f>IF(B159="","",IFERROR(INDEX('21 2026 ÜRETİM'!$A$2:$A$501,MATCH(B159,'21 2026 ÜRETİM'!$G$2:$G$501,0)),""))</f>
        <v/>
      </c>
      <c r="B159" s="58"/>
      <c r="C159" s="56"/>
      <c r="D159" s="58"/>
      <c r="E159" s="56"/>
      <c r="F159" s="58"/>
      <c r="G159" s="56"/>
      <c r="H159" s="65"/>
    </row>
    <row r="160" spans="1:8" ht="28.25" customHeight="1" x14ac:dyDescent="0.2">
      <c r="A160" s="56" t="str">
        <f>IF(B160="","",IFERROR(INDEX('21 2026 ÜRETİM'!$A$2:$A$501,MATCH(B160,'21 2026 ÜRETİM'!$G$2:$G$501,0)),""))</f>
        <v/>
      </c>
      <c r="B160" s="58"/>
      <c r="C160" s="56"/>
      <c r="D160" s="58"/>
      <c r="E160" s="56"/>
      <c r="F160" s="58"/>
      <c r="G160" s="56"/>
      <c r="H160" s="65"/>
    </row>
    <row r="161" spans="1:8" ht="28.25" customHeight="1" x14ac:dyDescent="0.2">
      <c r="A161" s="56" t="str">
        <f>IF(B161="","",IFERROR(INDEX('21 2026 ÜRETİM'!$A$2:$A$501,MATCH(B161,'21 2026 ÜRETİM'!$G$2:$G$501,0)),""))</f>
        <v/>
      </c>
      <c r="B161" s="58"/>
      <c r="C161" s="56"/>
      <c r="D161" s="58"/>
      <c r="E161" s="56"/>
      <c r="F161" s="58"/>
      <c r="G161" s="56"/>
      <c r="H161" s="65"/>
    </row>
    <row r="162" spans="1:8" ht="28.25" customHeight="1" x14ac:dyDescent="0.2">
      <c r="A162" s="56" t="str">
        <f>IF(B162="","",IFERROR(INDEX('21 2026 ÜRETİM'!$A$2:$A$501,MATCH(B162,'21 2026 ÜRETİM'!$G$2:$G$501,0)),""))</f>
        <v/>
      </c>
      <c r="B162" s="58"/>
      <c r="C162" s="56"/>
      <c r="D162" s="58"/>
      <c r="E162" s="56"/>
      <c r="F162" s="58"/>
      <c r="G162" s="56"/>
      <c r="H162" s="65"/>
    </row>
    <row r="163" spans="1:8" ht="28.25" customHeight="1" x14ac:dyDescent="0.2">
      <c r="A163" s="56" t="str">
        <f>IF(B163="","",IFERROR(INDEX('21 2026 ÜRETİM'!$A$2:$A$501,MATCH(B163,'21 2026 ÜRETİM'!$G$2:$G$501,0)),""))</f>
        <v/>
      </c>
      <c r="B163" s="58"/>
      <c r="C163" s="56"/>
      <c r="D163" s="58"/>
      <c r="E163" s="56"/>
      <c r="F163" s="58"/>
      <c r="G163" s="56"/>
      <c r="H163" s="65"/>
    </row>
    <row r="164" spans="1:8" ht="28.25" customHeight="1" x14ac:dyDescent="0.2">
      <c r="A164" s="56" t="str">
        <f>IF(B164="","",IFERROR(INDEX('21 2026 ÜRETİM'!$A$2:$A$501,MATCH(B164,'21 2026 ÜRETİM'!$G$2:$G$501,0)),""))</f>
        <v/>
      </c>
      <c r="B164" s="58"/>
      <c r="C164" s="56"/>
      <c r="D164" s="58"/>
      <c r="E164" s="56"/>
      <c r="F164" s="58"/>
      <c r="G164" s="56"/>
      <c r="H164" s="65"/>
    </row>
    <row r="165" spans="1:8" ht="28.25" customHeight="1" x14ac:dyDescent="0.2">
      <c r="A165" s="56" t="str">
        <f>IF(B165="","",IFERROR(INDEX('21 2026 ÜRETİM'!$A$2:$A$501,MATCH(B165,'21 2026 ÜRETİM'!$G$2:$G$501,0)),""))</f>
        <v/>
      </c>
      <c r="B165" s="58"/>
      <c r="C165" s="56"/>
      <c r="D165" s="58"/>
      <c r="E165" s="56"/>
      <c r="F165" s="58"/>
      <c r="G165" s="56"/>
      <c r="H165" s="65"/>
    </row>
    <row r="166" spans="1:8" ht="28.25" customHeight="1" x14ac:dyDescent="0.2">
      <c r="A166" s="56" t="str">
        <f>IF(B166="","",IFERROR(INDEX('21 2026 ÜRETİM'!$A$2:$A$501,MATCH(B166,'21 2026 ÜRETİM'!$G$2:$G$501,0)),""))</f>
        <v/>
      </c>
      <c r="B166" s="58"/>
      <c r="C166" s="56"/>
      <c r="D166" s="58"/>
      <c r="E166" s="56"/>
      <c r="F166" s="58"/>
      <c r="G166" s="56"/>
      <c r="H166" s="65"/>
    </row>
    <row r="167" spans="1:8" ht="28.25" customHeight="1" x14ac:dyDescent="0.2">
      <c r="A167" s="56" t="str">
        <f>IF(B167="","",IFERROR(INDEX('21 2026 ÜRETİM'!$A$2:$A$501,MATCH(B167,'21 2026 ÜRETİM'!$G$2:$G$501,0)),""))</f>
        <v/>
      </c>
      <c r="B167" s="58"/>
      <c r="C167" s="56"/>
      <c r="D167" s="58"/>
      <c r="E167" s="56"/>
      <c r="F167" s="58"/>
      <c r="G167" s="56"/>
      <c r="H167" s="65"/>
    </row>
    <row r="168" spans="1:8" ht="28.25" customHeight="1" x14ac:dyDescent="0.2">
      <c r="A168" s="56" t="str">
        <f>IF(B168="","",IFERROR(INDEX('21 2026 ÜRETİM'!$A$2:$A$501,MATCH(B168,'21 2026 ÜRETİM'!$G$2:$G$501,0)),""))</f>
        <v/>
      </c>
      <c r="B168" s="58"/>
      <c r="C168" s="56"/>
      <c r="D168" s="58"/>
      <c r="E168" s="56"/>
      <c r="F168" s="58"/>
      <c r="G168" s="56"/>
      <c r="H168" s="65"/>
    </row>
    <row r="169" spans="1:8" ht="28.25" customHeight="1" x14ac:dyDescent="0.2">
      <c r="A169" s="56" t="str">
        <f>IF(B169="","",IFERROR(INDEX('21 2026 ÜRETİM'!$A$2:$A$501,MATCH(B169,'21 2026 ÜRETİM'!$G$2:$G$501,0)),""))</f>
        <v/>
      </c>
      <c r="B169" s="58"/>
      <c r="C169" s="56"/>
      <c r="D169" s="58"/>
      <c r="E169" s="56"/>
      <c r="F169" s="58"/>
      <c r="G169" s="56"/>
      <c r="H169" s="65"/>
    </row>
    <row r="170" spans="1:8" ht="28.25" customHeight="1" x14ac:dyDescent="0.2">
      <c r="A170" s="56" t="str">
        <f>IF(B170="","",IFERROR(INDEX('21 2026 ÜRETİM'!$A$2:$A$501,MATCH(B170,'21 2026 ÜRETİM'!$G$2:$G$501,0)),""))</f>
        <v/>
      </c>
      <c r="B170" s="58"/>
      <c r="C170" s="56"/>
      <c r="D170" s="58"/>
      <c r="E170" s="56"/>
      <c r="F170" s="58"/>
      <c r="G170" s="56"/>
      <c r="H170" s="65"/>
    </row>
    <row r="171" spans="1:8" ht="28.25" customHeight="1" x14ac:dyDescent="0.2">
      <c r="A171" s="56" t="str">
        <f>IF(B171="","",IFERROR(INDEX('21 2026 ÜRETİM'!$A$2:$A$501,MATCH(B171,'21 2026 ÜRETİM'!$G$2:$G$501,0)),""))</f>
        <v/>
      </c>
      <c r="B171" s="58"/>
      <c r="C171" s="56"/>
      <c r="D171" s="58"/>
      <c r="E171" s="56"/>
      <c r="F171" s="58"/>
      <c r="G171" s="56"/>
      <c r="H171" s="65"/>
    </row>
    <row r="172" spans="1:8" ht="28.25" customHeight="1" x14ac:dyDescent="0.2">
      <c r="A172" s="56" t="str">
        <f>IF(B172="","",IFERROR(INDEX('21 2026 ÜRETİM'!$A$2:$A$501,MATCH(B172,'21 2026 ÜRETİM'!$G$2:$G$501,0)),""))</f>
        <v/>
      </c>
      <c r="B172" s="58"/>
      <c r="C172" s="56"/>
      <c r="D172" s="58"/>
      <c r="E172" s="56"/>
      <c r="F172" s="58"/>
      <c r="G172" s="56"/>
      <c r="H172" s="65"/>
    </row>
    <row r="173" spans="1:8" ht="28.25" customHeight="1" x14ac:dyDescent="0.2">
      <c r="A173" s="56" t="str">
        <f>IF(B173="","",IFERROR(INDEX('21 2026 ÜRETİM'!$A$2:$A$501,MATCH(B173,'21 2026 ÜRETİM'!$G$2:$G$501,0)),""))</f>
        <v/>
      </c>
      <c r="B173" s="58"/>
      <c r="C173" s="56"/>
      <c r="D173" s="58"/>
      <c r="E173" s="56"/>
      <c r="F173" s="58"/>
      <c r="G173" s="56"/>
      <c r="H173" s="65"/>
    </row>
    <row r="174" spans="1:8" ht="28.25" customHeight="1" x14ac:dyDescent="0.2">
      <c r="A174" s="56" t="str">
        <f>IF(B174="","",IFERROR(INDEX('21 2026 ÜRETİM'!$A$2:$A$501,MATCH(B174,'21 2026 ÜRETİM'!$G$2:$G$501,0)),""))</f>
        <v/>
      </c>
      <c r="B174" s="58"/>
      <c r="C174" s="56"/>
      <c r="D174" s="58"/>
      <c r="E174" s="56"/>
      <c r="F174" s="58"/>
      <c r="G174" s="56"/>
      <c r="H174" s="65"/>
    </row>
    <row r="175" spans="1:8" ht="28.25" customHeight="1" x14ac:dyDescent="0.2">
      <c r="A175" s="56" t="str">
        <f>IF(B175="","",IFERROR(INDEX('21 2026 ÜRETİM'!$A$2:$A$501,MATCH(B175,'21 2026 ÜRETİM'!$G$2:$G$501,0)),""))</f>
        <v/>
      </c>
      <c r="B175" s="58"/>
      <c r="C175" s="56"/>
      <c r="D175" s="58"/>
      <c r="E175" s="56"/>
      <c r="F175" s="58"/>
      <c r="G175" s="56"/>
      <c r="H175" s="65"/>
    </row>
    <row r="176" spans="1:8" ht="28.25" customHeight="1" x14ac:dyDescent="0.2">
      <c r="A176" s="56" t="str">
        <f>IF(B176="","",IFERROR(INDEX('21 2026 ÜRETİM'!$A$2:$A$501,MATCH(B176,'21 2026 ÜRETİM'!$G$2:$G$501,0)),""))</f>
        <v/>
      </c>
      <c r="B176" s="58"/>
      <c r="C176" s="56"/>
      <c r="D176" s="58"/>
      <c r="E176" s="56"/>
      <c r="F176" s="58"/>
      <c r="G176" s="56"/>
      <c r="H176" s="65"/>
    </row>
    <row r="177" spans="1:8" ht="28.25" customHeight="1" x14ac:dyDescent="0.2">
      <c r="A177" s="56" t="str">
        <f>IF(B177="","",IFERROR(INDEX('21 2026 ÜRETİM'!$A$2:$A$501,MATCH(B177,'21 2026 ÜRETİM'!$G$2:$G$501,0)),""))</f>
        <v/>
      </c>
      <c r="B177" s="58"/>
      <c r="C177" s="56"/>
      <c r="D177" s="58"/>
      <c r="E177" s="56"/>
      <c r="F177" s="58"/>
      <c r="G177" s="56"/>
      <c r="H177" s="65"/>
    </row>
    <row r="178" spans="1:8" ht="28.25" customHeight="1" x14ac:dyDescent="0.2">
      <c r="A178" s="56" t="str">
        <f>IF(B178="","",IFERROR(INDEX('21 2026 ÜRETİM'!$A$2:$A$501,MATCH(B178,'21 2026 ÜRETİM'!$G$2:$G$501,0)),""))</f>
        <v/>
      </c>
      <c r="B178" s="58"/>
      <c r="C178" s="56"/>
      <c r="D178" s="58"/>
      <c r="E178" s="56"/>
      <c r="F178" s="58"/>
      <c r="G178" s="56"/>
      <c r="H178" s="65"/>
    </row>
    <row r="179" spans="1:8" ht="28.25" customHeight="1" x14ac:dyDescent="0.2">
      <c r="A179" s="56" t="str">
        <f>IF(B179="","",IFERROR(INDEX('21 2026 ÜRETİM'!$A$2:$A$501,MATCH(B179,'21 2026 ÜRETİM'!$G$2:$G$501,0)),""))</f>
        <v/>
      </c>
      <c r="B179" s="58"/>
      <c r="C179" s="56"/>
      <c r="D179" s="58"/>
      <c r="E179" s="56"/>
      <c r="F179" s="58"/>
      <c r="G179" s="56"/>
      <c r="H179" s="65"/>
    </row>
    <row r="180" spans="1:8" ht="28.25" customHeight="1" x14ac:dyDescent="0.2">
      <c r="A180" s="56" t="str">
        <f>IF(B180="","",IFERROR(INDEX('21 2026 ÜRETİM'!$A$2:$A$501,MATCH(B180,'21 2026 ÜRETİM'!$G$2:$G$501,0)),""))</f>
        <v/>
      </c>
      <c r="B180" s="58"/>
      <c r="C180" s="56"/>
      <c r="D180" s="58"/>
      <c r="E180" s="56"/>
      <c r="F180" s="58"/>
      <c r="G180" s="56"/>
      <c r="H180" s="65"/>
    </row>
    <row r="181" spans="1:8" ht="28.25" customHeight="1" x14ac:dyDescent="0.2">
      <c r="A181" s="56" t="str">
        <f>IF(B181="","",IFERROR(INDEX('21 2026 ÜRETİM'!$A$2:$A$501,MATCH(B181,'21 2026 ÜRETİM'!$G$2:$G$501,0)),""))</f>
        <v/>
      </c>
      <c r="B181" s="58"/>
      <c r="C181" s="56"/>
      <c r="D181" s="58"/>
      <c r="E181" s="56"/>
      <c r="F181" s="58"/>
      <c r="G181" s="56"/>
      <c r="H181" s="65"/>
    </row>
    <row r="182" spans="1:8" ht="28.25" customHeight="1" x14ac:dyDescent="0.2">
      <c r="A182" s="56" t="str">
        <f>IF(B182="","",IFERROR(INDEX('21 2026 ÜRETİM'!$A$2:$A$501,MATCH(B182,'21 2026 ÜRETİM'!$G$2:$G$501,0)),""))</f>
        <v/>
      </c>
      <c r="B182" s="58"/>
      <c r="C182" s="56"/>
      <c r="D182" s="58"/>
      <c r="E182" s="56"/>
      <c r="F182" s="58"/>
      <c r="G182" s="56"/>
      <c r="H182" s="65"/>
    </row>
    <row r="183" spans="1:8" ht="28.25" customHeight="1" x14ac:dyDescent="0.2">
      <c r="A183" s="56" t="str">
        <f>IF(B183="","",IFERROR(INDEX('21 2026 ÜRETİM'!$A$2:$A$501,MATCH(B183,'21 2026 ÜRETİM'!$G$2:$G$501,0)),""))</f>
        <v/>
      </c>
      <c r="B183" s="58"/>
      <c r="C183" s="56"/>
      <c r="D183" s="58"/>
      <c r="E183" s="56"/>
      <c r="F183" s="58"/>
      <c r="G183" s="56"/>
      <c r="H183" s="65"/>
    </row>
    <row r="184" spans="1:8" ht="28.25" customHeight="1" x14ac:dyDescent="0.2">
      <c r="A184" s="56" t="str">
        <f>IF(B184="","",IFERROR(INDEX('21 2026 ÜRETİM'!$A$2:$A$501,MATCH(B184,'21 2026 ÜRETİM'!$G$2:$G$501,0)),""))</f>
        <v/>
      </c>
      <c r="B184" s="58"/>
      <c r="C184" s="56"/>
      <c r="D184" s="58"/>
      <c r="E184" s="56"/>
      <c r="F184" s="58"/>
      <c r="G184" s="56"/>
      <c r="H184" s="65"/>
    </row>
    <row r="185" spans="1:8" ht="28.25" customHeight="1" x14ac:dyDescent="0.2">
      <c r="A185" s="56" t="str">
        <f>IF(B185="","",IFERROR(INDEX('21 2026 ÜRETİM'!$A$2:$A$501,MATCH(B185,'21 2026 ÜRETİM'!$G$2:$G$501,0)),""))</f>
        <v/>
      </c>
      <c r="B185" s="58"/>
      <c r="C185" s="56"/>
      <c r="D185" s="58"/>
      <c r="E185" s="56"/>
      <c r="F185" s="58"/>
      <c r="G185" s="56"/>
      <c r="H185" s="65"/>
    </row>
    <row r="186" spans="1:8" ht="28.25" customHeight="1" x14ac:dyDescent="0.2">
      <c r="A186" s="56" t="str">
        <f>IF(B186="","",IFERROR(INDEX('21 2026 ÜRETİM'!$A$2:$A$501,MATCH(B186,'21 2026 ÜRETİM'!$G$2:$G$501,0)),""))</f>
        <v/>
      </c>
      <c r="B186" s="58"/>
      <c r="C186" s="56"/>
      <c r="D186" s="58"/>
      <c r="E186" s="56"/>
      <c r="F186" s="58"/>
      <c r="G186" s="56"/>
      <c r="H186" s="65"/>
    </row>
    <row r="187" spans="1:8" ht="28.25" customHeight="1" x14ac:dyDescent="0.2">
      <c r="A187" s="56" t="str">
        <f>IF(B187="","",IFERROR(INDEX('21 2026 ÜRETİM'!$A$2:$A$501,MATCH(B187,'21 2026 ÜRETİM'!$G$2:$G$501,0)),""))</f>
        <v/>
      </c>
      <c r="B187" s="58"/>
      <c r="C187" s="56"/>
      <c r="D187" s="58"/>
      <c r="E187" s="56"/>
      <c r="F187" s="58"/>
      <c r="G187" s="56"/>
      <c r="H187" s="65"/>
    </row>
    <row r="188" spans="1:8" ht="28.25" customHeight="1" x14ac:dyDescent="0.2">
      <c r="A188" s="56" t="str">
        <f>IF(B188="","",IFERROR(INDEX('21 2026 ÜRETİM'!$A$2:$A$501,MATCH(B188,'21 2026 ÜRETİM'!$G$2:$G$501,0)),""))</f>
        <v/>
      </c>
      <c r="B188" s="58"/>
      <c r="C188" s="56"/>
      <c r="D188" s="58"/>
      <c r="E188" s="56"/>
      <c r="F188" s="58"/>
      <c r="G188" s="56"/>
      <c r="H188" s="65"/>
    </row>
    <row r="189" spans="1:8" ht="28.25" customHeight="1" x14ac:dyDescent="0.2">
      <c r="A189" s="56" t="str">
        <f>IF(B189="","",IFERROR(INDEX('21 2026 ÜRETİM'!$A$2:$A$501,MATCH(B189,'21 2026 ÜRETİM'!$G$2:$G$501,0)),""))</f>
        <v/>
      </c>
      <c r="B189" s="58"/>
      <c r="C189" s="56"/>
      <c r="D189" s="58"/>
      <c r="E189" s="56"/>
      <c r="F189" s="58"/>
      <c r="G189" s="56"/>
      <c r="H189" s="65"/>
    </row>
    <row r="190" spans="1:8" ht="28.25" customHeight="1" x14ac:dyDescent="0.2">
      <c r="A190" s="56" t="str">
        <f>IF(B190="","",IFERROR(INDEX('21 2026 ÜRETİM'!$A$2:$A$501,MATCH(B190,'21 2026 ÜRETİM'!$G$2:$G$501,0)),""))</f>
        <v/>
      </c>
      <c r="B190" s="58"/>
      <c r="C190" s="56"/>
      <c r="D190" s="58"/>
      <c r="E190" s="56"/>
      <c r="F190" s="58"/>
      <c r="G190" s="56"/>
      <c r="H190" s="65"/>
    </row>
    <row r="191" spans="1:8" ht="28.25" customHeight="1" x14ac:dyDescent="0.2">
      <c r="A191" s="56" t="str">
        <f>IF(B191="","",IFERROR(INDEX('21 2026 ÜRETİM'!$A$2:$A$501,MATCH(B191,'21 2026 ÜRETİM'!$G$2:$G$501,0)),""))</f>
        <v/>
      </c>
      <c r="B191" s="58"/>
      <c r="C191" s="56"/>
      <c r="D191" s="58"/>
      <c r="E191" s="56"/>
      <c r="F191" s="58"/>
      <c r="G191" s="56"/>
      <c r="H191" s="65"/>
    </row>
    <row r="192" spans="1:8" ht="28.25" customHeight="1" x14ac:dyDescent="0.2">
      <c r="A192" s="56" t="str">
        <f>IF(B192="","",IFERROR(INDEX('21 2026 ÜRETİM'!$A$2:$A$501,MATCH(B192,'21 2026 ÜRETİM'!$G$2:$G$501,0)),""))</f>
        <v/>
      </c>
      <c r="B192" s="58"/>
      <c r="C192" s="56"/>
      <c r="D192" s="58"/>
      <c r="E192" s="56"/>
      <c r="F192" s="58"/>
      <c r="G192" s="56"/>
      <c r="H192" s="65"/>
    </row>
    <row r="193" spans="1:8" ht="28.25" customHeight="1" x14ac:dyDescent="0.2">
      <c r="A193" s="56" t="str">
        <f>IF(B193="","",IFERROR(INDEX('21 2026 ÜRETİM'!$A$2:$A$501,MATCH(B193,'21 2026 ÜRETİM'!$G$2:$G$501,0)),""))</f>
        <v/>
      </c>
      <c r="B193" s="58"/>
      <c r="C193" s="56"/>
      <c r="D193" s="58"/>
      <c r="E193" s="56"/>
      <c r="F193" s="58"/>
      <c r="G193" s="56"/>
      <c r="H193" s="65"/>
    </row>
    <row r="194" spans="1:8" ht="28.25" customHeight="1" x14ac:dyDescent="0.2">
      <c r="A194" s="56" t="str">
        <f>IF(B194="","",IFERROR(INDEX('21 2026 ÜRETİM'!$A$2:$A$501,MATCH(B194,'21 2026 ÜRETİM'!$G$2:$G$501,0)),""))</f>
        <v/>
      </c>
      <c r="B194" s="58"/>
      <c r="C194" s="56"/>
      <c r="D194" s="58"/>
      <c r="E194" s="56"/>
      <c r="F194" s="58"/>
      <c r="G194" s="56"/>
      <c r="H194" s="65"/>
    </row>
    <row r="195" spans="1:8" ht="28.25" customHeight="1" x14ac:dyDescent="0.2">
      <c r="A195" s="56" t="str">
        <f>IF(B195="","",IFERROR(INDEX('21 2026 ÜRETİM'!$A$2:$A$501,MATCH(B195,'21 2026 ÜRETİM'!$G$2:$G$501,0)),""))</f>
        <v/>
      </c>
      <c r="B195" s="58"/>
      <c r="C195" s="56"/>
      <c r="D195" s="58"/>
      <c r="E195" s="56"/>
      <c r="F195" s="58"/>
      <c r="G195" s="56"/>
      <c r="H195" s="65"/>
    </row>
    <row r="196" spans="1:8" ht="28.25" customHeight="1" x14ac:dyDescent="0.2">
      <c r="A196" s="56" t="str">
        <f>IF(B196="","",IFERROR(INDEX('21 2026 ÜRETİM'!$A$2:$A$501,MATCH(B196,'21 2026 ÜRETİM'!$G$2:$G$501,0)),""))</f>
        <v/>
      </c>
      <c r="B196" s="58"/>
      <c r="C196" s="56"/>
      <c r="D196" s="58"/>
      <c r="E196" s="56"/>
      <c r="F196" s="58"/>
      <c r="G196" s="56"/>
      <c r="H196" s="65"/>
    </row>
    <row r="197" spans="1:8" ht="28.25" customHeight="1" x14ac:dyDescent="0.2">
      <c r="A197" s="56" t="str">
        <f>IF(B197="","",IFERROR(INDEX('21 2026 ÜRETİM'!$A$2:$A$501,MATCH(B197,'21 2026 ÜRETİM'!$G$2:$G$501,0)),""))</f>
        <v/>
      </c>
      <c r="B197" s="58"/>
      <c r="C197" s="56"/>
      <c r="D197" s="58"/>
      <c r="E197" s="56"/>
      <c r="F197" s="58"/>
      <c r="G197" s="56"/>
      <c r="H197" s="65"/>
    </row>
    <row r="198" spans="1:8" ht="28.25" customHeight="1" x14ac:dyDescent="0.2">
      <c r="A198" s="56" t="str">
        <f>IF(B198="","",IFERROR(INDEX('21 2026 ÜRETİM'!$A$2:$A$501,MATCH(B198,'21 2026 ÜRETİM'!$G$2:$G$501,0)),""))</f>
        <v/>
      </c>
      <c r="B198" s="58"/>
      <c r="C198" s="56"/>
      <c r="D198" s="58"/>
      <c r="E198" s="56"/>
      <c r="F198" s="58"/>
      <c r="G198" s="56"/>
      <c r="H198" s="65"/>
    </row>
    <row r="199" spans="1:8" ht="28.25" customHeight="1" x14ac:dyDescent="0.2">
      <c r="A199" s="56" t="str">
        <f>IF(B199="","",IFERROR(INDEX('21 2026 ÜRETİM'!$A$2:$A$501,MATCH(B199,'21 2026 ÜRETİM'!$G$2:$G$501,0)),""))</f>
        <v/>
      </c>
      <c r="B199" s="58"/>
      <c r="C199" s="56"/>
      <c r="D199" s="58"/>
      <c r="E199" s="56"/>
      <c r="F199" s="58"/>
      <c r="G199" s="56"/>
      <c r="H199" s="65"/>
    </row>
    <row r="200" spans="1:8" ht="28.25" customHeight="1" x14ac:dyDescent="0.2">
      <c r="A200" s="56" t="str">
        <f>IF(B200="","",IFERROR(INDEX('21 2026 ÜRETİM'!$A$2:$A$501,MATCH(B200,'21 2026 ÜRETİM'!$G$2:$G$501,0)),""))</f>
        <v/>
      </c>
      <c r="B200" s="58"/>
      <c r="C200" s="56"/>
      <c r="D200" s="58"/>
      <c r="E200" s="56"/>
      <c r="F200" s="58"/>
      <c r="G200" s="56"/>
      <c r="H200" s="65"/>
    </row>
    <row r="201" spans="1:8" ht="28.25" customHeight="1" x14ac:dyDescent="0.2">
      <c r="A201" s="56" t="str">
        <f>IF(B201="","",IFERROR(INDEX('21 2026 ÜRETİM'!$A$2:$A$501,MATCH(B201,'21 2026 ÜRETİM'!$G$2:$G$501,0)),""))</f>
        <v/>
      </c>
      <c r="B201" s="58"/>
      <c r="C201" s="56"/>
      <c r="D201" s="58"/>
      <c r="E201" s="56"/>
      <c r="F201" s="58"/>
      <c r="G201" s="56"/>
      <c r="H201" s="65"/>
    </row>
    <row r="202" spans="1:8" ht="28.25" customHeight="1" x14ac:dyDescent="0.2">
      <c r="A202" s="56" t="str">
        <f>IF(B202="","",IFERROR(INDEX('21 2026 ÜRETİM'!$A$2:$A$501,MATCH(B202,'21 2026 ÜRETİM'!$G$2:$G$501,0)),""))</f>
        <v/>
      </c>
      <c r="B202" s="58"/>
      <c r="C202" s="56"/>
      <c r="D202" s="58"/>
      <c r="E202" s="56"/>
      <c r="F202" s="58"/>
      <c r="G202" s="56"/>
      <c r="H202" s="65"/>
    </row>
    <row r="203" spans="1:8" ht="28.25" customHeight="1" x14ac:dyDescent="0.2">
      <c r="A203" s="56" t="str">
        <f>IF(B203="","",IFERROR(INDEX('21 2026 ÜRETİM'!$A$2:$A$501,MATCH(B203,'21 2026 ÜRETİM'!$G$2:$G$501,0)),""))</f>
        <v/>
      </c>
      <c r="B203" s="58"/>
      <c r="C203" s="56"/>
      <c r="D203" s="58"/>
      <c r="E203" s="56"/>
      <c r="F203" s="58"/>
      <c r="G203" s="56"/>
      <c r="H203" s="65"/>
    </row>
    <row r="204" spans="1:8" ht="28.25" customHeight="1" x14ac:dyDescent="0.2">
      <c r="A204" s="56" t="str">
        <f>IF(B204="","",IFERROR(INDEX('21 2026 ÜRETİM'!$A$2:$A$501,MATCH(B204,'21 2026 ÜRETİM'!$G$2:$G$501,0)),""))</f>
        <v/>
      </c>
      <c r="B204" s="58"/>
      <c r="C204" s="56"/>
      <c r="D204" s="58"/>
      <c r="E204" s="56"/>
      <c r="F204" s="58"/>
      <c r="G204" s="56"/>
      <c r="H204" s="65"/>
    </row>
    <row r="205" spans="1:8" ht="28.25" customHeight="1" x14ac:dyDescent="0.2">
      <c r="A205" s="56" t="str">
        <f>IF(B205="","",IFERROR(INDEX('21 2026 ÜRETİM'!$A$2:$A$501,MATCH(B205,'21 2026 ÜRETİM'!$G$2:$G$501,0)),""))</f>
        <v/>
      </c>
      <c r="B205" s="58"/>
      <c r="C205" s="56"/>
      <c r="D205" s="58"/>
      <c r="E205" s="56"/>
      <c r="F205" s="58"/>
      <c r="G205" s="56"/>
      <c r="H205" s="65"/>
    </row>
    <row r="206" spans="1:8" ht="28.25" customHeight="1" x14ac:dyDescent="0.2">
      <c r="A206" s="56" t="str">
        <f>IF(B206="","",IFERROR(INDEX('21 2026 ÜRETİM'!$A$2:$A$501,MATCH(B206,'21 2026 ÜRETİM'!$G$2:$G$501,0)),""))</f>
        <v/>
      </c>
      <c r="B206" s="58"/>
      <c r="C206" s="56"/>
      <c r="D206" s="58"/>
      <c r="E206" s="56"/>
      <c r="F206" s="58"/>
      <c r="G206" s="56"/>
      <c r="H206" s="65"/>
    </row>
    <row r="207" spans="1:8" ht="28.25" customHeight="1" x14ac:dyDescent="0.2">
      <c r="A207" s="56" t="str">
        <f>IF(B207="","",IFERROR(INDEX('21 2026 ÜRETİM'!$A$2:$A$501,MATCH(B207,'21 2026 ÜRETİM'!$G$2:$G$501,0)),""))</f>
        <v/>
      </c>
      <c r="B207" s="58"/>
      <c r="C207" s="56"/>
      <c r="D207" s="58"/>
      <c r="E207" s="56"/>
      <c r="F207" s="58"/>
      <c r="G207" s="56"/>
      <c r="H207" s="65"/>
    </row>
    <row r="208" spans="1:8" ht="28.25" customHeight="1" x14ac:dyDescent="0.2">
      <c r="A208" s="56" t="str">
        <f>IF(B208="","",IFERROR(INDEX('21 2026 ÜRETİM'!$A$2:$A$501,MATCH(B208,'21 2026 ÜRETİM'!$G$2:$G$501,0)),""))</f>
        <v/>
      </c>
      <c r="B208" s="58"/>
      <c r="C208" s="56"/>
      <c r="D208" s="58"/>
      <c r="E208" s="56"/>
      <c r="F208" s="58"/>
      <c r="G208" s="56"/>
      <c r="H208" s="65"/>
    </row>
    <row r="209" spans="1:8" ht="28.25" customHeight="1" x14ac:dyDescent="0.2">
      <c r="A209" s="56" t="str">
        <f>IF(B209="","",IFERROR(INDEX('21 2026 ÜRETİM'!$A$2:$A$501,MATCH(B209,'21 2026 ÜRETİM'!$G$2:$G$501,0)),""))</f>
        <v/>
      </c>
      <c r="B209" s="58"/>
      <c r="C209" s="56"/>
      <c r="D209" s="58"/>
      <c r="E209" s="56"/>
      <c r="F209" s="58"/>
      <c r="G209" s="56"/>
      <c r="H209" s="65"/>
    </row>
    <row r="210" spans="1:8" ht="28.25" customHeight="1" x14ac:dyDescent="0.2">
      <c r="A210" s="56" t="str">
        <f>IF(B210="","",IFERROR(INDEX('21 2026 ÜRETİM'!$A$2:$A$501,MATCH(B210,'21 2026 ÜRETİM'!$G$2:$G$501,0)),""))</f>
        <v/>
      </c>
      <c r="B210" s="58"/>
      <c r="C210" s="56"/>
      <c r="D210" s="58"/>
      <c r="E210" s="56"/>
      <c r="F210" s="58"/>
      <c r="G210" s="56"/>
      <c r="H210" s="65"/>
    </row>
    <row r="211" spans="1:8" ht="28.25" customHeight="1" x14ac:dyDescent="0.2">
      <c r="A211" s="56" t="str">
        <f>IF(B211="","",IFERROR(INDEX('21 2026 ÜRETİM'!$A$2:$A$501,MATCH(B211,'21 2026 ÜRETİM'!$G$2:$G$501,0)),""))</f>
        <v/>
      </c>
      <c r="B211" s="58"/>
      <c r="C211" s="56"/>
      <c r="D211" s="58"/>
      <c r="E211" s="56"/>
      <c r="F211" s="58"/>
      <c r="G211" s="56"/>
      <c r="H211" s="65"/>
    </row>
    <row r="212" spans="1:8" ht="28.25" customHeight="1" x14ac:dyDescent="0.2">
      <c r="A212" s="56" t="str">
        <f>IF(B212="","",IFERROR(INDEX('21 2026 ÜRETİM'!$A$2:$A$501,MATCH(B212,'21 2026 ÜRETİM'!$G$2:$G$501,0)),""))</f>
        <v/>
      </c>
      <c r="B212" s="58"/>
      <c r="C212" s="56"/>
      <c r="D212" s="58"/>
      <c r="E212" s="56"/>
      <c r="F212" s="58"/>
      <c r="G212" s="56"/>
      <c r="H212" s="65"/>
    </row>
    <row r="213" spans="1:8" ht="28.25" customHeight="1" x14ac:dyDescent="0.2">
      <c r="A213" s="56" t="str">
        <f>IF(B213="","",IFERROR(INDEX('21 2026 ÜRETİM'!$A$2:$A$501,MATCH(B213,'21 2026 ÜRETİM'!$G$2:$G$501,0)),""))</f>
        <v/>
      </c>
      <c r="B213" s="58"/>
      <c r="C213" s="56"/>
      <c r="D213" s="58"/>
      <c r="E213" s="56"/>
      <c r="F213" s="58"/>
      <c r="G213" s="56"/>
      <c r="H213" s="65"/>
    </row>
    <row r="214" spans="1:8" ht="28.25" customHeight="1" x14ac:dyDescent="0.2">
      <c r="A214" s="56" t="str">
        <f>IF(B214="","",IFERROR(INDEX('21 2026 ÜRETİM'!$A$2:$A$501,MATCH(B214,'21 2026 ÜRETİM'!$G$2:$G$501,0)),""))</f>
        <v/>
      </c>
      <c r="B214" s="58"/>
      <c r="C214" s="56"/>
      <c r="D214" s="58"/>
      <c r="E214" s="56"/>
      <c r="F214" s="58"/>
      <c r="G214" s="56"/>
      <c r="H214" s="65"/>
    </row>
    <row r="215" spans="1:8" ht="28.25" customHeight="1" x14ac:dyDescent="0.2">
      <c r="A215" s="56" t="str">
        <f>IF(B215="","",IFERROR(INDEX('21 2026 ÜRETİM'!$A$2:$A$501,MATCH(B215,'21 2026 ÜRETİM'!$G$2:$G$501,0)),""))</f>
        <v/>
      </c>
      <c r="B215" s="58"/>
      <c r="C215" s="56"/>
      <c r="D215" s="58"/>
      <c r="E215" s="56"/>
      <c r="F215" s="58"/>
      <c r="G215" s="56"/>
      <c r="H215" s="65"/>
    </row>
    <row r="216" spans="1:8" ht="28.25" customHeight="1" x14ac:dyDescent="0.2">
      <c r="A216" s="56" t="str">
        <f>IF(B216="","",IFERROR(INDEX('21 2026 ÜRETİM'!$A$2:$A$501,MATCH(B216,'21 2026 ÜRETİM'!$G$2:$G$501,0)),""))</f>
        <v/>
      </c>
      <c r="B216" s="58"/>
      <c r="C216" s="56"/>
      <c r="D216" s="58"/>
      <c r="E216" s="56"/>
      <c r="F216" s="58"/>
      <c r="G216" s="56"/>
      <c r="H216" s="65"/>
    </row>
    <row r="217" spans="1:8" ht="28.25" customHeight="1" x14ac:dyDescent="0.2">
      <c r="A217" s="56" t="str">
        <f>IF(B217="","",IFERROR(INDEX('21 2026 ÜRETİM'!$A$2:$A$501,MATCH(B217,'21 2026 ÜRETİM'!$G$2:$G$501,0)),""))</f>
        <v/>
      </c>
      <c r="B217" s="58"/>
      <c r="C217" s="56"/>
      <c r="D217" s="58"/>
      <c r="E217" s="56"/>
      <c r="F217" s="58"/>
      <c r="G217" s="56"/>
      <c r="H217" s="65"/>
    </row>
    <row r="218" spans="1:8" ht="28.25" customHeight="1" x14ac:dyDescent="0.2">
      <c r="A218" s="56" t="str">
        <f>IF(B218="","",IFERROR(INDEX('21 2026 ÜRETİM'!$A$2:$A$501,MATCH(B218,'21 2026 ÜRETİM'!$G$2:$G$501,0)),""))</f>
        <v/>
      </c>
      <c r="B218" s="58"/>
      <c r="C218" s="56"/>
      <c r="D218" s="58"/>
      <c r="E218" s="56"/>
      <c r="F218" s="58"/>
      <c r="G218" s="56"/>
      <c r="H218" s="65"/>
    </row>
    <row r="219" spans="1:8" ht="28.25" customHeight="1" x14ac:dyDescent="0.2">
      <c r="A219" s="56" t="str">
        <f>IF(B219="","",IFERROR(INDEX('21 2026 ÜRETİM'!$A$2:$A$501,MATCH(B219,'21 2026 ÜRETİM'!$G$2:$G$501,0)),""))</f>
        <v/>
      </c>
      <c r="B219" s="58"/>
      <c r="C219" s="56"/>
      <c r="D219" s="58"/>
      <c r="E219" s="56"/>
      <c r="F219" s="58"/>
      <c r="G219" s="56"/>
      <c r="H219" s="65"/>
    </row>
    <row r="220" spans="1:8" ht="28.25" customHeight="1" x14ac:dyDescent="0.2">
      <c r="A220" s="56" t="str">
        <f>IF(B220="","",IFERROR(INDEX('21 2026 ÜRETİM'!$A$2:$A$501,MATCH(B220,'21 2026 ÜRETİM'!$G$2:$G$501,0)),""))</f>
        <v/>
      </c>
      <c r="B220" s="58"/>
      <c r="C220" s="56"/>
      <c r="D220" s="58"/>
      <c r="E220" s="56"/>
      <c r="F220" s="58"/>
      <c r="G220" s="56"/>
      <c r="H220" s="65"/>
    </row>
    <row r="221" spans="1:8" ht="28.25" customHeight="1" x14ac:dyDescent="0.2">
      <c r="A221" s="56" t="str">
        <f>IF(B221="","",IFERROR(INDEX('21 2026 ÜRETİM'!$A$2:$A$501,MATCH(B221,'21 2026 ÜRETİM'!$G$2:$G$501,0)),""))</f>
        <v/>
      </c>
      <c r="B221" s="58"/>
      <c r="C221" s="56"/>
      <c r="D221" s="58"/>
      <c r="E221" s="56"/>
      <c r="F221" s="58"/>
      <c r="G221" s="56"/>
      <c r="H221" s="65"/>
    </row>
    <row r="222" spans="1:8" ht="28.25" customHeight="1" x14ac:dyDescent="0.2">
      <c r="A222" s="56" t="str">
        <f>IF(B222="","",IFERROR(INDEX('21 2026 ÜRETİM'!$A$2:$A$501,MATCH(B222,'21 2026 ÜRETİM'!$G$2:$G$501,0)),""))</f>
        <v/>
      </c>
      <c r="B222" s="58"/>
      <c r="C222" s="56"/>
      <c r="D222" s="58"/>
      <c r="E222" s="56"/>
      <c r="F222" s="58"/>
      <c r="G222" s="56"/>
      <c r="H222" s="65"/>
    </row>
    <row r="223" spans="1:8" ht="28.25" customHeight="1" x14ac:dyDescent="0.2">
      <c r="A223" s="56" t="str">
        <f>IF(B223="","",IFERROR(INDEX('21 2026 ÜRETİM'!$A$2:$A$501,MATCH(B223,'21 2026 ÜRETİM'!$G$2:$G$501,0)),""))</f>
        <v/>
      </c>
      <c r="B223" s="58"/>
      <c r="C223" s="56"/>
      <c r="D223" s="58"/>
      <c r="E223" s="56"/>
      <c r="F223" s="58"/>
      <c r="G223" s="56"/>
      <c r="H223" s="65"/>
    </row>
    <row r="224" spans="1:8" ht="28.25" customHeight="1" x14ac:dyDescent="0.2">
      <c r="A224" s="56" t="str">
        <f>IF(B224="","",IFERROR(INDEX('21 2026 ÜRETİM'!$A$2:$A$501,MATCH(B224,'21 2026 ÜRETİM'!$G$2:$G$501,0)),""))</f>
        <v/>
      </c>
      <c r="B224" s="58"/>
      <c r="C224" s="56"/>
      <c r="D224" s="58"/>
      <c r="E224" s="56"/>
      <c r="F224" s="58"/>
      <c r="G224" s="56"/>
      <c r="H224" s="65"/>
    </row>
    <row r="225" spans="1:8" ht="28.25" customHeight="1" x14ac:dyDescent="0.2">
      <c r="A225" s="56" t="str">
        <f>IF(B225="","",IFERROR(INDEX('21 2026 ÜRETİM'!$A$2:$A$501,MATCH(B225,'21 2026 ÜRETİM'!$G$2:$G$501,0)),""))</f>
        <v/>
      </c>
      <c r="B225" s="58"/>
      <c r="C225" s="56"/>
      <c r="D225" s="58"/>
      <c r="E225" s="56"/>
      <c r="F225" s="58"/>
      <c r="G225" s="56"/>
      <c r="H225" s="65"/>
    </row>
    <row r="226" spans="1:8" ht="28.25" customHeight="1" x14ac:dyDescent="0.2">
      <c r="A226" s="56" t="str">
        <f>IF(B226="","",IFERROR(INDEX('21 2026 ÜRETİM'!$A$2:$A$501,MATCH(B226,'21 2026 ÜRETİM'!$G$2:$G$501,0)),""))</f>
        <v/>
      </c>
      <c r="B226" s="58"/>
      <c r="C226" s="56"/>
      <c r="D226" s="58"/>
      <c r="E226" s="56"/>
      <c r="F226" s="58"/>
      <c r="G226" s="56"/>
      <c r="H226" s="65"/>
    </row>
    <row r="227" spans="1:8" ht="28.25" customHeight="1" x14ac:dyDescent="0.2">
      <c r="A227" s="56" t="str">
        <f>IF(B227="","",IFERROR(INDEX('21 2026 ÜRETİM'!$A$2:$A$501,MATCH(B227,'21 2026 ÜRETİM'!$G$2:$G$501,0)),""))</f>
        <v/>
      </c>
      <c r="B227" s="58"/>
      <c r="C227" s="56"/>
      <c r="D227" s="58"/>
      <c r="E227" s="56"/>
      <c r="F227" s="58"/>
      <c r="G227" s="56"/>
      <c r="H227" s="65"/>
    </row>
    <row r="228" spans="1:8" ht="28.25" customHeight="1" x14ac:dyDescent="0.2">
      <c r="A228" s="56" t="str">
        <f>IF(B228="","",IFERROR(INDEX('21 2026 ÜRETİM'!$A$2:$A$501,MATCH(B228,'21 2026 ÜRETİM'!$G$2:$G$501,0)),""))</f>
        <v/>
      </c>
      <c r="B228" s="58"/>
      <c r="C228" s="56"/>
      <c r="D228" s="58"/>
      <c r="E228" s="56"/>
      <c r="F228" s="58"/>
      <c r="G228" s="56"/>
      <c r="H228" s="65"/>
    </row>
    <row r="229" spans="1:8" ht="28.25" customHeight="1" x14ac:dyDescent="0.2">
      <c r="A229" s="56" t="str">
        <f>IF(B229="","",IFERROR(INDEX('21 2026 ÜRETİM'!$A$2:$A$501,MATCH(B229,'21 2026 ÜRETİM'!$G$2:$G$501,0)),""))</f>
        <v/>
      </c>
      <c r="B229" s="58"/>
      <c r="C229" s="56"/>
      <c r="D229" s="58"/>
      <c r="E229" s="56"/>
      <c r="F229" s="58"/>
      <c r="G229" s="56"/>
      <c r="H229" s="65"/>
    </row>
    <row r="230" spans="1:8" ht="28.25" customHeight="1" x14ac:dyDescent="0.2">
      <c r="A230" s="56" t="str">
        <f>IF(B230="","",IFERROR(INDEX('21 2026 ÜRETİM'!$A$2:$A$501,MATCH(B230,'21 2026 ÜRETİM'!$G$2:$G$501,0)),""))</f>
        <v/>
      </c>
      <c r="B230" s="58"/>
      <c r="C230" s="56"/>
      <c r="D230" s="58"/>
      <c r="E230" s="56"/>
      <c r="F230" s="58"/>
      <c r="G230" s="56"/>
      <c r="H230" s="65"/>
    </row>
    <row r="231" spans="1:8" ht="28.25" customHeight="1" x14ac:dyDescent="0.2">
      <c r="A231" s="56" t="str">
        <f>IF(B231="","",IFERROR(INDEX('21 2026 ÜRETİM'!$A$2:$A$501,MATCH(B231,'21 2026 ÜRETİM'!$G$2:$G$501,0)),""))</f>
        <v/>
      </c>
      <c r="B231" s="58"/>
      <c r="C231" s="56"/>
      <c r="D231" s="58"/>
      <c r="E231" s="56"/>
      <c r="F231" s="58"/>
      <c r="G231" s="56"/>
      <c r="H231" s="65"/>
    </row>
    <row r="232" spans="1:8" ht="28.25" customHeight="1" x14ac:dyDescent="0.2">
      <c r="A232" s="56" t="str">
        <f>IF(B232="","",IFERROR(INDEX('21 2026 ÜRETİM'!$A$2:$A$501,MATCH(B232,'21 2026 ÜRETİM'!$G$2:$G$501,0)),""))</f>
        <v/>
      </c>
      <c r="B232" s="58"/>
      <c r="C232" s="56"/>
      <c r="D232" s="58"/>
      <c r="E232" s="56"/>
      <c r="F232" s="58"/>
      <c r="G232" s="56"/>
      <c r="H232" s="65"/>
    </row>
    <row r="233" spans="1:8" ht="28.25" customHeight="1" x14ac:dyDescent="0.2">
      <c r="A233" s="56" t="str">
        <f>IF(B233="","",IFERROR(INDEX('21 2026 ÜRETİM'!$A$2:$A$501,MATCH(B233,'21 2026 ÜRETİM'!$G$2:$G$501,0)),""))</f>
        <v/>
      </c>
      <c r="B233" s="58"/>
      <c r="C233" s="56"/>
      <c r="D233" s="58"/>
      <c r="E233" s="56"/>
      <c r="F233" s="58"/>
      <c r="G233" s="56"/>
      <c r="H233" s="65"/>
    </row>
    <row r="234" spans="1:8" ht="28.25" customHeight="1" x14ac:dyDescent="0.2">
      <c r="A234" s="56" t="str">
        <f>IF(B234="","",IFERROR(INDEX('21 2026 ÜRETİM'!$A$2:$A$501,MATCH(B234,'21 2026 ÜRETİM'!$G$2:$G$501,0)),""))</f>
        <v/>
      </c>
      <c r="B234" s="58"/>
      <c r="C234" s="56"/>
      <c r="D234" s="58"/>
      <c r="E234" s="56"/>
      <c r="F234" s="58"/>
      <c r="G234" s="56"/>
      <c r="H234" s="65"/>
    </row>
    <row r="235" spans="1:8" ht="28.25" customHeight="1" x14ac:dyDescent="0.2">
      <c r="A235" s="56" t="str">
        <f>IF(B235="","",IFERROR(INDEX('21 2026 ÜRETİM'!$A$2:$A$501,MATCH(B235,'21 2026 ÜRETİM'!$G$2:$G$501,0)),""))</f>
        <v/>
      </c>
      <c r="B235" s="58"/>
      <c r="C235" s="56"/>
      <c r="D235" s="58"/>
      <c r="E235" s="56"/>
      <c r="F235" s="58"/>
      <c r="G235" s="56"/>
      <c r="H235" s="65"/>
    </row>
    <row r="236" spans="1:8" ht="28.25" customHeight="1" x14ac:dyDescent="0.2">
      <c r="A236" s="56" t="str">
        <f>IF(B236="","",IFERROR(INDEX('21 2026 ÜRETİM'!$A$2:$A$501,MATCH(B236,'21 2026 ÜRETİM'!$G$2:$G$501,0)),""))</f>
        <v/>
      </c>
      <c r="B236" s="58"/>
      <c r="C236" s="56"/>
      <c r="D236" s="58"/>
      <c r="E236" s="56"/>
      <c r="F236" s="58"/>
      <c r="G236" s="56"/>
      <c r="H236" s="65"/>
    </row>
    <row r="237" spans="1:8" ht="28.25" customHeight="1" x14ac:dyDescent="0.2">
      <c r="A237" s="56" t="str">
        <f>IF(B237="","",IFERROR(INDEX('21 2026 ÜRETİM'!$A$2:$A$501,MATCH(B237,'21 2026 ÜRETİM'!$G$2:$G$501,0)),""))</f>
        <v/>
      </c>
      <c r="B237" s="58"/>
      <c r="C237" s="56"/>
      <c r="D237" s="58"/>
      <c r="E237" s="56"/>
      <c r="F237" s="58"/>
      <c r="G237" s="56"/>
      <c r="H237" s="65"/>
    </row>
    <row r="238" spans="1:8" ht="28.25" customHeight="1" x14ac:dyDescent="0.2">
      <c r="A238" s="56" t="str">
        <f>IF(B238="","",IFERROR(INDEX('21 2026 ÜRETİM'!$A$2:$A$501,MATCH(B238,'21 2026 ÜRETİM'!$G$2:$G$501,0)),""))</f>
        <v/>
      </c>
      <c r="B238" s="58"/>
      <c r="C238" s="56"/>
      <c r="D238" s="58"/>
      <c r="E238" s="56"/>
      <c r="F238" s="58"/>
      <c r="G238" s="56"/>
      <c r="H238" s="65"/>
    </row>
    <row r="239" spans="1:8" ht="28.25" customHeight="1" x14ac:dyDescent="0.2">
      <c r="A239" s="56" t="str">
        <f>IF(B239="","",IFERROR(INDEX('21 2026 ÜRETİM'!$A$2:$A$501,MATCH(B239,'21 2026 ÜRETİM'!$G$2:$G$501,0)),""))</f>
        <v/>
      </c>
      <c r="B239" s="58"/>
      <c r="C239" s="56"/>
      <c r="D239" s="58"/>
      <c r="E239" s="56"/>
      <c r="F239" s="58"/>
      <c r="G239" s="56"/>
      <c r="H239" s="65"/>
    </row>
    <row r="240" spans="1:8" ht="28.25" customHeight="1" x14ac:dyDescent="0.2">
      <c r="A240" s="56" t="str">
        <f>IF(B240="","",IFERROR(INDEX('21 2026 ÜRETİM'!$A$2:$A$501,MATCH(B240,'21 2026 ÜRETİM'!$G$2:$G$501,0)),""))</f>
        <v/>
      </c>
      <c r="B240" s="58"/>
      <c r="C240" s="56"/>
      <c r="D240" s="58"/>
      <c r="E240" s="56"/>
      <c r="F240" s="58"/>
      <c r="G240" s="56"/>
      <c r="H240" s="65"/>
    </row>
    <row r="241" spans="1:8" ht="28.25" customHeight="1" x14ac:dyDescent="0.2">
      <c r="A241" s="56" t="str">
        <f>IF(B241="","",IFERROR(INDEX('21 2026 ÜRETİM'!$A$2:$A$501,MATCH(B241,'21 2026 ÜRETİM'!$G$2:$G$501,0)),""))</f>
        <v/>
      </c>
      <c r="B241" s="58"/>
      <c r="C241" s="56"/>
      <c r="D241" s="58"/>
      <c r="E241" s="56"/>
      <c r="F241" s="58"/>
      <c r="G241" s="56"/>
      <c r="H241" s="65"/>
    </row>
    <row r="242" spans="1:8" ht="28.25" customHeight="1" x14ac:dyDescent="0.2">
      <c r="A242" s="56" t="str">
        <f>IF(B242="","",IFERROR(INDEX('21 2026 ÜRETİM'!$A$2:$A$501,MATCH(B242,'21 2026 ÜRETİM'!$G$2:$G$501,0)),""))</f>
        <v/>
      </c>
      <c r="B242" s="58"/>
      <c r="C242" s="56"/>
      <c r="D242" s="58"/>
      <c r="E242" s="56"/>
      <c r="F242" s="58"/>
      <c r="G242" s="56"/>
      <c r="H242" s="65"/>
    </row>
    <row r="243" spans="1:8" ht="28.25" customHeight="1" x14ac:dyDescent="0.2">
      <c r="A243" s="56" t="str">
        <f>IF(B243="","",IFERROR(INDEX('21 2026 ÜRETİM'!$A$2:$A$501,MATCH(B243,'21 2026 ÜRETİM'!$G$2:$G$501,0)),""))</f>
        <v/>
      </c>
      <c r="B243" s="58"/>
      <c r="C243" s="56"/>
      <c r="D243" s="58"/>
      <c r="E243" s="56"/>
      <c r="F243" s="58"/>
      <c r="G243" s="56"/>
      <c r="H243" s="65"/>
    </row>
    <row r="244" spans="1:8" ht="28.25" customHeight="1" x14ac:dyDescent="0.2">
      <c r="A244" s="56" t="str">
        <f>IF(B244="","",IFERROR(INDEX('21 2026 ÜRETİM'!$A$2:$A$501,MATCH(B244,'21 2026 ÜRETİM'!$G$2:$G$501,0)),""))</f>
        <v/>
      </c>
      <c r="B244" s="58"/>
      <c r="C244" s="56"/>
      <c r="D244" s="58"/>
      <c r="E244" s="56"/>
      <c r="F244" s="58"/>
      <c r="G244" s="56"/>
      <c r="H244" s="65"/>
    </row>
    <row r="245" spans="1:8" ht="28.25" customHeight="1" x14ac:dyDescent="0.2">
      <c r="A245" s="56" t="str">
        <f>IF(B245="","",IFERROR(INDEX('21 2026 ÜRETİM'!$A$2:$A$501,MATCH(B245,'21 2026 ÜRETİM'!$G$2:$G$501,0)),""))</f>
        <v/>
      </c>
      <c r="B245" s="58"/>
      <c r="C245" s="56"/>
      <c r="D245" s="58"/>
      <c r="E245" s="56"/>
      <c r="F245" s="58"/>
      <c r="G245" s="56"/>
      <c r="H245" s="65"/>
    </row>
    <row r="246" spans="1:8" ht="28.25" customHeight="1" x14ac:dyDescent="0.2">
      <c r="A246" s="56" t="str">
        <f>IF(B246="","",IFERROR(INDEX('21 2026 ÜRETİM'!$A$2:$A$501,MATCH(B246,'21 2026 ÜRETİM'!$G$2:$G$501,0)),""))</f>
        <v/>
      </c>
      <c r="B246" s="58"/>
      <c r="C246" s="56"/>
      <c r="D246" s="58"/>
      <c r="E246" s="56"/>
      <c r="F246" s="58"/>
      <c r="G246" s="56"/>
      <c r="H246" s="65"/>
    </row>
    <row r="247" spans="1:8" ht="28.25" customHeight="1" x14ac:dyDescent="0.2">
      <c r="A247" s="56" t="str">
        <f>IF(B247="","",IFERROR(INDEX('21 2026 ÜRETİM'!$A$2:$A$501,MATCH(B247,'21 2026 ÜRETİM'!$G$2:$G$501,0)),""))</f>
        <v/>
      </c>
      <c r="B247" s="58"/>
      <c r="C247" s="56"/>
      <c r="D247" s="58"/>
      <c r="E247" s="56"/>
      <c r="F247" s="58"/>
      <c r="G247" s="56"/>
      <c r="H247" s="65"/>
    </row>
    <row r="248" spans="1:8" ht="28.25" customHeight="1" x14ac:dyDescent="0.2">
      <c r="A248" s="56" t="str">
        <f>IF(B248="","",IFERROR(INDEX('21 2026 ÜRETİM'!$A$2:$A$501,MATCH(B248,'21 2026 ÜRETİM'!$G$2:$G$501,0)),""))</f>
        <v/>
      </c>
      <c r="B248" s="58"/>
      <c r="C248" s="56"/>
      <c r="D248" s="58"/>
      <c r="E248" s="56"/>
      <c r="F248" s="58"/>
      <c r="G248" s="56"/>
      <c r="H248" s="65"/>
    </row>
    <row r="249" spans="1:8" ht="28.25" customHeight="1" x14ac:dyDescent="0.2">
      <c r="A249" s="56" t="str">
        <f>IF(B249="","",IFERROR(INDEX('21 2026 ÜRETİM'!$A$2:$A$501,MATCH(B249,'21 2026 ÜRETİM'!$G$2:$G$501,0)),""))</f>
        <v/>
      </c>
      <c r="B249" s="58"/>
      <c r="C249" s="56"/>
      <c r="D249" s="58"/>
      <c r="E249" s="56"/>
      <c r="F249" s="58"/>
      <c r="G249" s="56"/>
      <c r="H249" s="65"/>
    </row>
    <row r="250" spans="1:8" ht="28.25" customHeight="1" x14ac:dyDescent="0.2">
      <c r="A250" s="56" t="str">
        <f>IF(B250="","",IFERROR(INDEX('21 2026 ÜRETİM'!$A$2:$A$501,MATCH(B250,'21 2026 ÜRETİM'!$G$2:$G$501,0)),""))</f>
        <v/>
      </c>
      <c r="B250" s="58"/>
      <c r="C250" s="56"/>
      <c r="D250" s="58"/>
      <c r="E250" s="56"/>
      <c r="F250" s="58"/>
      <c r="G250" s="56"/>
      <c r="H250" s="65"/>
    </row>
    <row r="251" spans="1:8" ht="28.25" customHeight="1" x14ac:dyDescent="0.2">
      <c r="A251" s="56" t="str">
        <f>IF(B251="","",IFERROR(INDEX('21 2026 ÜRETİM'!$A$2:$A$501,MATCH(B251,'21 2026 ÜRETİM'!$G$2:$G$501,0)),""))</f>
        <v/>
      </c>
      <c r="B251" s="58"/>
      <c r="C251" s="56"/>
      <c r="D251" s="58"/>
      <c r="E251" s="56"/>
      <c r="F251" s="58"/>
      <c r="G251" s="56"/>
      <c r="H251" s="65"/>
    </row>
    <row r="252" spans="1:8" ht="28.25" customHeight="1" x14ac:dyDescent="0.2">
      <c r="A252" s="56" t="str">
        <f>IF(B252="","",IFERROR(INDEX('21 2026 ÜRETİM'!$A$2:$A$501,MATCH(B252,'21 2026 ÜRETİM'!$G$2:$G$501,0)),""))</f>
        <v/>
      </c>
      <c r="B252" s="58"/>
      <c r="C252" s="56"/>
      <c r="D252" s="58"/>
      <c r="E252" s="56"/>
      <c r="F252" s="58"/>
      <c r="G252" s="56"/>
      <c r="H252" s="65"/>
    </row>
    <row r="253" spans="1:8" ht="28.25" customHeight="1" x14ac:dyDescent="0.2">
      <c r="A253" s="56" t="str">
        <f>IF(B253="","",IFERROR(INDEX('21 2026 ÜRETİM'!$A$2:$A$501,MATCH(B253,'21 2026 ÜRETİM'!$G$2:$G$501,0)),""))</f>
        <v/>
      </c>
      <c r="B253" s="58"/>
      <c r="C253" s="56"/>
      <c r="D253" s="58"/>
      <c r="E253" s="56"/>
      <c r="F253" s="58"/>
      <c r="G253" s="56"/>
      <c r="H253" s="65"/>
    </row>
    <row r="254" spans="1:8" ht="28.25" customHeight="1" x14ac:dyDescent="0.2">
      <c r="A254" s="56" t="str">
        <f>IF(B254="","",IFERROR(INDEX('21 2026 ÜRETİM'!$A$2:$A$501,MATCH(B254,'21 2026 ÜRETİM'!$G$2:$G$501,0)),""))</f>
        <v/>
      </c>
      <c r="B254" s="58"/>
      <c r="C254" s="56"/>
      <c r="D254" s="58"/>
      <c r="E254" s="56"/>
      <c r="F254" s="58"/>
      <c r="G254" s="56"/>
      <c r="H254" s="65"/>
    </row>
    <row r="255" spans="1:8" ht="28.25" customHeight="1" x14ac:dyDescent="0.2">
      <c r="A255" s="56" t="str">
        <f>IF(B255="","",IFERROR(INDEX('21 2026 ÜRETİM'!$A$2:$A$501,MATCH(B255,'21 2026 ÜRETİM'!$G$2:$G$501,0)),""))</f>
        <v/>
      </c>
      <c r="B255" s="58"/>
      <c r="C255" s="56"/>
      <c r="D255" s="58"/>
      <c r="E255" s="56"/>
      <c r="F255" s="58"/>
      <c r="G255" s="56"/>
      <c r="H255" s="65"/>
    </row>
    <row r="256" spans="1:8" ht="28.25" customHeight="1" x14ac:dyDescent="0.2">
      <c r="A256" s="56" t="str">
        <f>IF(B256="","",IFERROR(INDEX('21 2026 ÜRETİM'!$A$2:$A$501,MATCH(B256,'21 2026 ÜRETİM'!$G$2:$G$501,0)),""))</f>
        <v/>
      </c>
      <c r="B256" s="58"/>
      <c r="C256" s="56"/>
      <c r="D256" s="58"/>
      <c r="E256" s="56"/>
      <c r="F256" s="58"/>
      <c r="G256" s="56"/>
      <c r="H256" s="65"/>
    </row>
    <row r="257" spans="1:8" ht="28.25" customHeight="1" x14ac:dyDescent="0.2">
      <c r="A257" s="56" t="str">
        <f>IF(B257="","",IFERROR(INDEX('21 2026 ÜRETİM'!$A$2:$A$501,MATCH(B257,'21 2026 ÜRETİM'!$G$2:$G$501,0)),""))</f>
        <v/>
      </c>
      <c r="B257" s="58"/>
      <c r="C257" s="56"/>
      <c r="D257" s="58"/>
      <c r="E257" s="56"/>
      <c r="F257" s="58"/>
      <c r="G257" s="56"/>
      <c r="H257" s="65"/>
    </row>
    <row r="258" spans="1:8" ht="28.25" customHeight="1" x14ac:dyDescent="0.2">
      <c r="A258" s="56" t="str">
        <f>IF(B258="","",IFERROR(INDEX('21 2026 ÜRETİM'!$A$2:$A$501,MATCH(B258,'21 2026 ÜRETİM'!$G$2:$G$501,0)),""))</f>
        <v/>
      </c>
      <c r="B258" s="58"/>
      <c r="C258" s="56"/>
      <c r="D258" s="58"/>
      <c r="E258" s="56"/>
      <c r="F258" s="58"/>
      <c r="G258" s="56"/>
      <c r="H258" s="65"/>
    </row>
    <row r="259" spans="1:8" ht="28.25" customHeight="1" x14ac:dyDescent="0.2">
      <c r="A259" s="56" t="str">
        <f>IF(B259="","",IFERROR(INDEX('21 2026 ÜRETİM'!$A$2:$A$501,MATCH(B259,'21 2026 ÜRETİM'!$G$2:$G$501,0)),""))</f>
        <v/>
      </c>
      <c r="B259" s="58"/>
      <c r="C259" s="56"/>
      <c r="D259" s="58"/>
      <c r="E259" s="56"/>
      <c r="F259" s="58"/>
      <c r="G259" s="56"/>
      <c r="H259" s="65"/>
    </row>
    <row r="260" spans="1:8" ht="28.25" customHeight="1" x14ac:dyDescent="0.2">
      <c r="A260" s="56" t="str">
        <f>IF(B260="","",IFERROR(INDEX('21 2026 ÜRETİM'!$A$2:$A$501,MATCH(B260,'21 2026 ÜRETİM'!$G$2:$G$501,0)),""))</f>
        <v/>
      </c>
      <c r="B260" s="58"/>
      <c r="C260" s="56"/>
      <c r="D260" s="58"/>
      <c r="E260" s="56"/>
      <c r="F260" s="58"/>
      <c r="G260" s="56"/>
      <c r="H260" s="65"/>
    </row>
    <row r="261" spans="1:8" ht="28.25" customHeight="1" x14ac:dyDescent="0.2">
      <c r="A261" s="56" t="str">
        <f>IF(B261="","",IFERROR(INDEX('21 2026 ÜRETİM'!$A$2:$A$501,MATCH(B261,'21 2026 ÜRETİM'!$G$2:$G$501,0)),""))</f>
        <v/>
      </c>
      <c r="B261" s="58"/>
      <c r="C261" s="56"/>
      <c r="D261" s="58"/>
      <c r="E261" s="56"/>
      <c r="F261" s="58"/>
      <c r="G261" s="56"/>
      <c r="H261" s="65"/>
    </row>
    <row r="262" spans="1:8" ht="28.25" customHeight="1" x14ac:dyDescent="0.2">
      <c r="A262" s="56" t="str">
        <f>IF(B262="","",IFERROR(INDEX('21 2026 ÜRETİM'!$A$2:$A$501,MATCH(B262,'21 2026 ÜRETİM'!$G$2:$G$501,0)),""))</f>
        <v/>
      </c>
      <c r="B262" s="58"/>
      <c r="C262" s="56"/>
      <c r="D262" s="58"/>
      <c r="E262" s="56"/>
      <c r="F262" s="58"/>
      <c r="G262" s="56"/>
      <c r="H262" s="65"/>
    </row>
    <row r="263" spans="1:8" ht="28.25" customHeight="1" x14ac:dyDescent="0.2">
      <c r="A263" s="56" t="str">
        <f>IF(B263="","",IFERROR(INDEX('21 2026 ÜRETİM'!$A$2:$A$501,MATCH(B263,'21 2026 ÜRETİM'!$G$2:$G$501,0)),""))</f>
        <v/>
      </c>
      <c r="B263" s="58"/>
      <c r="C263" s="56"/>
      <c r="D263" s="58"/>
      <c r="E263" s="56"/>
      <c r="F263" s="58"/>
      <c r="G263" s="56"/>
      <c r="H263" s="65"/>
    </row>
    <row r="264" spans="1:8" ht="28.25" customHeight="1" x14ac:dyDescent="0.2">
      <c r="A264" s="56" t="str">
        <f>IF(B264="","",IFERROR(INDEX('21 2026 ÜRETİM'!$A$2:$A$501,MATCH(B264,'21 2026 ÜRETİM'!$G$2:$G$501,0)),""))</f>
        <v/>
      </c>
      <c r="B264" s="58"/>
      <c r="C264" s="56"/>
      <c r="D264" s="58"/>
      <c r="E264" s="56"/>
      <c r="F264" s="58"/>
      <c r="G264" s="56"/>
      <c r="H264" s="65"/>
    </row>
    <row r="265" spans="1:8" ht="28.25" customHeight="1" x14ac:dyDescent="0.2">
      <c r="A265" s="56" t="str">
        <f>IF(B265="","",IFERROR(INDEX('21 2026 ÜRETİM'!$A$2:$A$501,MATCH(B265,'21 2026 ÜRETİM'!$G$2:$G$501,0)),""))</f>
        <v/>
      </c>
      <c r="B265" s="58"/>
      <c r="C265" s="56"/>
      <c r="D265" s="58"/>
      <c r="E265" s="56"/>
      <c r="F265" s="58"/>
      <c r="G265" s="56"/>
      <c r="H265" s="65"/>
    </row>
    <row r="266" spans="1:8" ht="28.25" customHeight="1" x14ac:dyDescent="0.2">
      <c r="A266" s="56" t="str">
        <f>IF(B266="","",IFERROR(INDEX('21 2026 ÜRETİM'!$A$2:$A$501,MATCH(B266,'21 2026 ÜRETİM'!$G$2:$G$501,0)),""))</f>
        <v/>
      </c>
      <c r="B266" s="58"/>
      <c r="C266" s="56"/>
      <c r="D266" s="58"/>
      <c r="E266" s="56"/>
      <c r="F266" s="58"/>
      <c r="G266" s="56"/>
      <c r="H266" s="65"/>
    </row>
    <row r="267" spans="1:8" ht="28.25" customHeight="1" x14ac:dyDescent="0.2">
      <c r="A267" s="56" t="str">
        <f>IF(B267="","",IFERROR(INDEX('21 2026 ÜRETİM'!$A$2:$A$501,MATCH(B267,'21 2026 ÜRETİM'!$G$2:$G$501,0)),""))</f>
        <v/>
      </c>
      <c r="B267" s="58"/>
      <c r="C267" s="56"/>
      <c r="D267" s="58"/>
      <c r="E267" s="56"/>
      <c r="F267" s="58"/>
      <c r="G267" s="56"/>
      <c r="H267" s="65"/>
    </row>
    <row r="268" spans="1:8" ht="28.25" customHeight="1" x14ac:dyDescent="0.2">
      <c r="A268" s="56" t="str">
        <f>IF(B268="","",IFERROR(INDEX('21 2026 ÜRETİM'!$A$2:$A$501,MATCH(B268,'21 2026 ÜRETİM'!$G$2:$G$501,0)),""))</f>
        <v/>
      </c>
      <c r="B268" s="58"/>
      <c r="C268" s="56"/>
      <c r="D268" s="58"/>
      <c r="E268" s="56"/>
      <c r="F268" s="58"/>
      <c r="G268" s="56"/>
      <c r="H268" s="65"/>
    </row>
    <row r="269" spans="1:8" ht="28.25" customHeight="1" x14ac:dyDescent="0.2">
      <c r="A269" s="56" t="str">
        <f>IF(B269="","",IFERROR(INDEX('21 2026 ÜRETİM'!$A$2:$A$501,MATCH(B269,'21 2026 ÜRETİM'!$G$2:$G$501,0)),""))</f>
        <v/>
      </c>
      <c r="B269" s="58"/>
      <c r="C269" s="56"/>
      <c r="D269" s="58"/>
      <c r="E269" s="56"/>
      <c r="F269" s="58"/>
      <c r="G269" s="56"/>
      <c r="H269" s="65"/>
    </row>
    <row r="270" spans="1:8" ht="28.25" customHeight="1" x14ac:dyDescent="0.2">
      <c r="A270" s="56" t="str">
        <f>IF(B270="","",IFERROR(INDEX('21 2026 ÜRETİM'!$A$2:$A$501,MATCH(B270,'21 2026 ÜRETİM'!$G$2:$G$501,0)),""))</f>
        <v/>
      </c>
      <c r="B270" s="58"/>
      <c r="C270" s="56"/>
      <c r="D270" s="58"/>
      <c r="E270" s="56"/>
      <c r="F270" s="58"/>
      <c r="G270" s="56"/>
      <c r="H270" s="65"/>
    </row>
    <row r="271" spans="1:8" ht="28.25" customHeight="1" x14ac:dyDescent="0.2">
      <c r="A271" s="56" t="str">
        <f>IF(B271="","",IFERROR(INDEX('21 2026 ÜRETİM'!$A$2:$A$501,MATCH(B271,'21 2026 ÜRETİM'!$G$2:$G$501,0)),""))</f>
        <v/>
      </c>
      <c r="B271" s="58"/>
      <c r="C271" s="56"/>
      <c r="D271" s="58"/>
      <c r="E271" s="56"/>
      <c r="F271" s="58"/>
      <c r="G271" s="56"/>
      <c r="H271" s="65"/>
    </row>
    <row r="272" spans="1:8" ht="28.25" customHeight="1" x14ac:dyDescent="0.2">
      <c r="A272" s="56" t="str">
        <f>IF(B272="","",IFERROR(INDEX('21 2026 ÜRETİM'!$A$2:$A$501,MATCH(B272,'21 2026 ÜRETİM'!$G$2:$G$501,0)),""))</f>
        <v/>
      </c>
      <c r="B272" s="58"/>
      <c r="C272" s="56"/>
      <c r="D272" s="58"/>
      <c r="E272" s="56"/>
      <c r="F272" s="58"/>
      <c r="G272" s="56"/>
      <c r="H272" s="65"/>
    </row>
    <row r="273" spans="1:8" ht="28.25" customHeight="1" x14ac:dyDescent="0.2">
      <c r="A273" s="56" t="str">
        <f>IF(B273="","",IFERROR(INDEX('21 2026 ÜRETİM'!$A$2:$A$501,MATCH(B273,'21 2026 ÜRETİM'!$G$2:$G$501,0)),""))</f>
        <v/>
      </c>
      <c r="B273" s="58"/>
      <c r="C273" s="56"/>
      <c r="D273" s="58"/>
      <c r="E273" s="56"/>
      <c r="F273" s="58"/>
      <c r="G273" s="56"/>
      <c r="H273" s="65"/>
    </row>
    <row r="274" spans="1:8" ht="28.25" customHeight="1" x14ac:dyDescent="0.2">
      <c r="A274" s="56" t="str">
        <f>IF(B274="","",IFERROR(INDEX('21 2026 ÜRETİM'!$A$2:$A$501,MATCH(B274,'21 2026 ÜRETİM'!$G$2:$G$501,0)),""))</f>
        <v/>
      </c>
      <c r="B274" s="58"/>
      <c r="C274" s="56"/>
      <c r="D274" s="58"/>
      <c r="E274" s="56"/>
      <c r="F274" s="58"/>
      <c r="G274" s="56"/>
      <c r="H274" s="65"/>
    </row>
    <row r="275" spans="1:8" ht="28.25" customHeight="1" x14ac:dyDescent="0.2">
      <c r="A275" s="56" t="str">
        <f>IF(B275="","",IFERROR(INDEX('21 2026 ÜRETİM'!$A$2:$A$501,MATCH(B275,'21 2026 ÜRETİM'!$G$2:$G$501,0)),""))</f>
        <v/>
      </c>
      <c r="B275" s="58"/>
      <c r="C275" s="56"/>
      <c r="D275" s="58"/>
      <c r="E275" s="56"/>
      <c r="F275" s="58"/>
      <c r="G275" s="56"/>
      <c r="H275" s="65"/>
    </row>
    <row r="276" spans="1:8" ht="28.25" customHeight="1" x14ac:dyDescent="0.2">
      <c r="A276" s="56" t="str">
        <f>IF(B276="","",IFERROR(INDEX('21 2026 ÜRETİM'!$A$2:$A$501,MATCH(B276,'21 2026 ÜRETİM'!$G$2:$G$501,0)),""))</f>
        <v/>
      </c>
      <c r="B276" s="58"/>
      <c r="C276" s="56"/>
      <c r="D276" s="58"/>
      <c r="E276" s="56"/>
      <c r="F276" s="58"/>
      <c r="G276" s="56"/>
      <c r="H276" s="65"/>
    </row>
    <row r="277" spans="1:8" ht="28.25" customHeight="1" x14ac:dyDescent="0.2">
      <c r="A277" s="56" t="str">
        <f>IF(B277="","",IFERROR(INDEX('21 2026 ÜRETİM'!$A$2:$A$501,MATCH(B277,'21 2026 ÜRETİM'!$G$2:$G$501,0)),""))</f>
        <v/>
      </c>
      <c r="B277" s="58"/>
      <c r="C277" s="56"/>
      <c r="D277" s="58"/>
      <c r="E277" s="56"/>
      <c r="F277" s="58"/>
      <c r="G277" s="56"/>
      <c r="H277" s="65"/>
    </row>
    <row r="278" spans="1:8" ht="28.25" customHeight="1" x14ac:dyDescent="0.2">
      <c r="A278" s="56" t="str">
        <f>IF(B278="","",IFERROR(INDEX('21 2026 ÜRETİM'!$A$2:$A$501,MATCH(B278,'21 2026 ÜRETİM'!$G$2:$G$501,0)),""))</f>
        <v/>
      </c>
      <c r="B278" s="58"/>
      <c r="C278" s="56"/>
      <c r="D278" s="58"/>
      <c r="E278" s="56"/>
      <c r="F278" s="58"/>
      <c r="G278" s="56"/>
      <c r="H278" s="65"/>
    </row>
    <row r="279" spans="1:8" ht="28.25" customHeight="1" x14ac:dyDescent="0.2">
      <c r="A279" s="56" t="str">
        <f>IF(B279="","",IFERROR(INDEX('21 2026 ÜRETİM'!$A$2:$A$501,MATCH(B279,'21 2026 ÜRETİM'!$G$2:$G$501,0)),""))</f>
        <v/>
      </c>
      <c r="B279" s="58"/>
      <c r="C279" s="56"/>
      <c r="D279" s="58"/>
      <c r="E279" s="56"/>
      <c r="F279" s="58"/>
      <c r="G279" s="56"/>
      <c r="H279" s="65"/>
    </row>
    <row r="280" spans="1:8" ht="28.25" customHeight="1" x14ac:dyDescent="0.2">
      <c r="A280" s="56" t="str">
        <f>IF(B280="","",IFERROR(INDEX('21 2026 ÜRETİM'!$A$2:$A$501,MATCH(B280,'21 2026 ÜRETİM'!$G$2:$G$501,0)),""))</f>
        <v/>
      </c>
      <c r="B280" s="58"/>
      <c r="C280" s="56"/>
      <c r="D280" s="58"/>
      <c r="E280" s="56"/>
      <c r="F280" s="58"/>
      <c r="G280" s="56"/>
      <c r="H280" s="65"/>
    </row>
    <row r="281" spans="1:8" ht="28.25" customHeight="1" x14ac:dyDescent="0.2">
      <c r="A281" s="56" t="str">
        <f>IF(B281="","",IFERROR(INDEX('21 2026 ÜRETİM'!$A$2:$A$501,MATCH(B281,'21 2026 ÜRETİM'!$G$2:$G$501,0)),""))</f>
        <v/>
      </c>
      <c r="B281" s="58"/>
      <c r="C281" s="56"/>
      <c r="D281" s="58"/>
      <c r="E281" s="56"/>
      <c r="F281" s="58"/>
      <c r="G281" s="56"/>
      <c r="H281" s="65"/>
    </row>
    <row r="282" spans="1:8" ht="28.25" customHeight="1" x14ac:dyDescent="0.2">
      <c r="A282" s="56" t="str">
        <f>IF(B282="","",IFERROR(INDEX('21 2026 ÜRETİM'!$A$2:$A$501,MATCH(B282,'21 2026 ÜRETİM'!$G$2:$G$501,0)),""))</f>
        <v/>
      </c>
      <c r="B282" s="58"/>
      <c r="C282" s="56"/>
      <c r="D282" s="58"/>
      <c r="E282" s="56"/>
      <c r="F282" s="58"/>
      <c r="G282" s="56"/>
      <c r="H282" s="65"/>
    </row>
    <row r="283" spans="1:8" ht="28.25" customHeight="1" x14ac:dyDescent="0.2">
      <c r="A283" s="56" t="str">
        <f>IF(B283="","",IFERROR(INDEX('21 2026 ÜRETİM'!$A$2:$A$501,MATCH(B283,'21 2026 ÜRETİM'!$G$2:$G$501,0)),""))</f>
        <v/>
      </c>
      <c r="B283" s="58"/>
      <c r="C283" s="56"/>
      <c r="D283" s="58"/>
      <c r="E283" s="56"/>
      <c r="F283" s="58"/>
      <c r="G283" s="56"/>
      <c r="H283" s="65"/>
    </row>
    <row r="284" spans="1:8" ht="28.25" customHeight="1" x14ac:dyDescent="0.2">
      <c r="A284" s="56" t="str">
        <f>IF(B284="","",IFERROR(INDEX('21 2026 ÜRETİM'!$A$2:$A$501,MATCH(B284,'21 2026 ÜRETİM'!$G$2:$G$501,0)),""))</f>
        <v/>
      </c>
      <c r="B284" s="58"/>
      <c r="C284" s="56"/>
      <c r="D284" s="58"/>
      <c r="E284" s="56"/>
      <c r="F284" s="58"/>
      <c r="G284" s="56"/>
      <c r="H284" s="65"/>
    </row>
    <row r="285" spans="1:8" ht="28.25" customHeight="1" x14ac:dyDescent="0.2">
      <c r="A285" s="56" t="str">
        <f>IF(B285="","",IFERROR(INDEX('21 2026 ÜRETİM'!$A$2:$A$501,MATCH(B285,'21 2026 ÜRETİM'!$G$2:$G$501,0)),""))</f>
        <v/>
      </c>
      <c r="B285" s="58"/>
      <c r="C285" s="56"/>
      <c r="D285" s="58"/>
      <c r="E285" s="56"/>
      <c r="F285" s="58"/>
      <c r="G285" s="56"/>
      <c r="H285" s="65"/>
    </row>
    <row r="286" spans="1:8" ht="28.25" customHeight="1" x14ac:dyDescent="0.2">
      <c r="A286" s="56" t="str">
        <f>IF(B286="","",IFERROR(INDEX('21 2026 ÜRETİM'!$A$2:$A$501,MATCH(B286,'21 2026 ÜRETİM'!$G$2:$G$501,0)),""))</f>
        <v/>
      </c>
      <c r="B286" s="58"/>
      <c r="C286" s="56"/>
      <c r="D286" s="58"/>
      <c r="E286" s="56"/>
      <c r="F286" s="58"/>
      <c r="G286" s="56"/>
      <c r="H286" s="65"/>
    </row>
    <row r="287" spans="1:8" ht="28.25" customHeight="1" x14ac:dyDescent="0.2">
      <c r="A287" s="56" t="str">
        <f>IF(B287="","",IFERROR(INDEX('21 2026 ÜRETİM'!$A$2:$A$501,MATCH(B287,'21 2026 ÜRETİM'!$G$2:$G$501,0)),""))</f>
        <v/>
      </c>
      <c r="B287" s="58"/>
      <c r="C287" s="56"/>
      <c r="D287" s="58"/>
      <c r="E287" s="56"/>
      <c r="F287" s="58"/>
      <c r="G287" s="56"/>
      <c r="H287" s="65"/>
    </row>
    <row r="288" spans="1:8" ht="28.25" customHeight="1" x14ac:dyDescent="0.2">
      <c r="A288" s="56" t="str">
        <f>IF(B288="","",IFERROR(INDEX('21 2026 ÜRETİM'!$A$2:$A$501,MATCH(B288,'21 2026 ÜRETİM'!$G$2:$G$501,0)),""))</f>
        <v/>
      </c>
      <c r="B288" s="58"/>
      <c r="C288" s="56"/>
      <c r="D288" s="58"/>
      <c r="E288" s="56"/>
      <c r="F288" s="58"/>
      <c r="G288" s="56"/>
      <c r="H288" s="65"/>
    </row>
    <row r="289" spans="1:8" ht="28.25" customHeight="1" x14ac:dyDescent="0.2">
      <c r="A289" s="56" t="str">
        <f>IF(B289="","",IFERROR(INDEX('21 2026 ÜRETİM'!$A$2:$A$501,MATCH(B289,'21 2026 ÜRETİM'!$G$2:$G$501,0)),""))</f>
        <v/>
      </c>
      <c r="B289" s="58"/>
      <c r="C289" s="56"/>
      <c r="D289" s="58"/>
      <c r="E289" s="56"/>
      <c r="F289" s="58"/>
      <c r="G289" s="56"/>
      <c r="H289" s="65"/>
    </row>
    <row r="290" spans="1:8" ht="28.25" customHeight="1" x14ac:dyDescent="0.2">
      <c r="A290" s="56" t="str">
        <f>IF(B290="","",IFERROR(INDEX('21 2026 ÜRETİM'!$A$2:$A$501,MATCH(B290,'21 2026 ÜRETİM'!$G$2:$G$501,0)),""))</f>
        <v/>
      </c>
      <c r="B290" s="58"/>
      <c r="C290" s="56"/>
      <c r="D290" s="58"/>
      <c r="E290" s="56"/>
      <c r="F290" s="58"/>
      <c r="G290" s="56"/>
      <c r="H290" s="65"/>
    </row>
    <row r="291" spans="1:8" ht="28.25" customHeight="1" x14ac:dyDescent="0.2">
      <c r="A291" s="56" t="str">
        <f>IF(B291="","",IFERROR(INDEX('21 2026 ÜRETİM'!$A$2:$A$501,MATCH(B291,'21 2026 ÜRETİM'!$G$2:$G$501,0)),""))</f>
        <v/>
      </c>
      <c r="B291" s="58"/>
      <c r="C291" s="56"/>
      <c r="D291" s="58"/>
      <c r="E291" s="56"/>
      <c r="F291" s="58"/>
      <c r="G291" s="56"/>
      <c r="H291" s="65"/>
    </row>
    <row r="292" spans="1:8" ht="28.25" customHeight="1" x14ac:dyDescent="0.2">
      <c r="A292" s="56" t="str">
        <f>IF(B292="","",IFERROR(INDEX('21 2026 ÜRETİM'!$A$2:$A$501,MATCH(B292,'21 2026 ÜRETİM'!$G$2:$G$501,0)),""))</f>
        <v/>
      </c>
      <c r="B292" s="58"/>
      <c r="C292" s="56"/>
      <c r="D292" s="58"/>
      <c r="E292" s="56"/>
      <c r="F292" s="58"/>
      <c r="G292" s="56"/>
      <c r="H292" s="65"/>
    </row>
    <row r="293" spans="1:8" ht="28.25" customHeight="1" x14ac:dyDescent="0.2">
      <c r="A293" s="56" t="str">
        <f>IF(B293="","",IFERROR(INDEX('21 2026 ÜRETİM'!$A$2:$A$501,MATCH(B293,'21 2026 ÜRETİM'!$G$2:$G$501,0)),""))</f>
        <v/>
      </c>
      <c r="B293" s="58"/>
      <c r="C293" s="56"/>
      <c r="D293" s="58"/>
      <c r="E293" s="56"/>
      <c r="F293" s="58"/>
      <c r="G293" s="56"/>
      <c r="H293" s="65"/>
    </row>
    <row r="294" spans="1:8" ht="28.25" customHeight="1" x14ac:dyDescent="0.2">
      <c r="A294" s="56" t="str">
        <f>IF(B294="","",IFERROR(INDEX('21 2026 ÜRETİM'!$A$2:$A$501,MATCH(B294,'21 2026 ÜRETİM'!$G$2:$G$501,0)),""))</f>
        <v/>
      </c>
      <c r="B294" s="58"/>
      <c r="C294" s="56"/>
      <c r="D294" s="58"/>
      <c r="E294" s="56"/>
      <c r="F294" s="58"/>
      <c r="G294" s="56"/>
      <c r="H294" s="65"/>
    </row>
    <row r="295" spans="1:8" ht="28.25" customHeight="1" x14ac:dyDescent="0.2">
      <c r="A295" s="56" t="str">
        <f>IF(B295="","",IFERROR(INDEX('21 2026 ÜRETİM'!$A$2:$A$501,MATCH(B295,'21 2026 ÜRETİM'!$G$2:$G$501,0)),""))</f>
        <v/>
      </c>
      <c r="B295" s="58"/>
      <c r="C295" s="56"/>
      <c r="D295" s="58"/>
      <c r="E295" s="56"/>
      <c r="F295" s="58"/>
      <c r="G295" s="56"/>
      <c r="H295" s="65"/>
    </row>
    <row r="296" spans="1:8" ht="28.25" customHeight="1" x14ac:dyDescent="0.2">
      <c r="A296" s="56" t="str">
        <f>IF(B296="","",IFERROR(INDEX('21 2026 ÜRETİM'!$A$2:$A$501,MATCH(B296,'21 2026 ÜRETİM'!$G$2:$G$501,0)),""))</f>
        <v/>
      </c>
      <c r="B296" s="58"/>
      <c r="C296" s="56"/>
      <c r="D296" s="58"/>
      <c r="E296" s="56"/>
      <c r="F296" s="58"/>
      <c r="G296" s="56"/>
      <c r="H296" s="65"/>
    </row>
    <row r="297" spans="1:8" ht="28.25" customHeight="1" x14ac:dyDescent="0.2">
      <c r="A297" s="56" t="str">
        <f>IF(B297="","",IFERROR(INDEX('21 2026 ÜRETİM'!$A$2:$A$501,MATCH(B297,'21 2026 ÜRETİM'!$G$2:$G$501,0)),""))</f>
        <v/>
      </c>
      <c r="B297" s="58"/>
      <c r="C297" s="56"/>
      <c r="D297" s="58"/>
      <c r="E297" s="56"/>
      <c r="F297" s="58"/>
      <c r="G297" s="56"/>
      <c r="H297" s="65"/>
    </row>
    <row r="298" spans="1:8" ht="28.25" customHeight="1" x14ac:dyDescent="0.2">
      <c r="A298" s="56" t="str">
        <f>IF(B298="","",IFERROR(INDEX('21 2026 ÜRETİM'!$A$2:$A$501,MATCH(B298,'21 2026 ÜRETİM'!$G$2:$G$501,0)),""))</f>
        <v/>
      </c>
      <c r="B298" s="58"/>
      <c r="C298" s="56"/>
      <c r="D298" s="58"/>
      <c r="E298" s="56"/>
      <c r="F298" s="58"/>
      <c r="G298" s="56"/>
      <c r="H298" s="65"/>
    </row>
    <row r="299" spans="1:8" ht="28.25" customHeight="1" x14ac:dyDescent="0.2">
      <c r="A299" s="56" t="str">
        <f>IF(B299="","",IFERROR(INDEX('21 2026 ÜRETİM'!$A$2:$A$501,MATCH(B299,'21 2026 ÜRETİM'!$G$2:$G$501,0)),""))</f>
        <v/>
      </c>
      <c r="B299" s="58"/>
      <c r="C299" s="56"/>
      <c r="D299" s="58"/>
      <c r="E299" s="56"/>
      <c r="F299" s="58"/>
      <c r="G299" s="56"/>
      <c r="H299" s="65"/>
    </row>
    <row r="300" spans="1:8" ht="28.25" customHeight="1" x14ac:dyDescent="0.2">
      <c r="A300" s="56" t="str">
        <f>IF(B300="","",IFERROR(INDEX('21 2026 ÜRETİM'!$A$2:$A$501,MATCH(B300,'21 2026 ÜRETİM'!$G$2:$G$501,0)),""))</f>
        <v/>
      </c>
      <c r="B300" s="58"/>
      <c r="C300" s="56"/>
      <c r="D300" s="58"/>
      <c r="E300" s="56"/>
      <c r="F300" s="58"/>
      <c r="G300" s="56"/>
      <c r="H300" s="65"/>
    </row>
    <row r="301" spans="1:8" ht="28.25" customHeight="1" x14ac:dyDescent="0.2">
      <c r="A301" s="56" t="str">
        <f>IF(B301="","",IFERROR(INDEX('21 2026 ÜRETİM'!$A$2:$A$501,MATCH(B301,'21 2026 ÜRETİM'!$G$2:$G$501,0)),""))</f>
        <v/>
      </c>
      <c r="B301" s="58"/>
      <c r="C301" s="56"/>
      <c r="D301" s="58"/>
      <c r="E301" s="56"/>
      <c r="F301" s="58"/>
      <c r="G301" s="56"/>
      <c r="H301" s="65"/>
    </row>
    <row r="302" spans="1:8" ht="28.25" customHeight="1" x14ac:dyDescent="0.2">
      <c r="A302" s="56" t="str">
        <f>IF(B302="","",IFERROR(INDEX('21 2026 ÜRETİM'!$A$2:$A$501,MATCH(B302,'21 2026 ÜRETİM'!$G$2:$G$501,0)),""))</f>
        <v/>
      </c>
      <c r="B302" s="58"/>
      <c r="C302" s="56"/>
      <c r="D302" s="58"/>
      <c r="E302" s="56"/>
      <c r="F302" s="58"/>
      <c r="G302" s="56"/>
      <c r="H302" s="65"/>
    </row>
    <row r="303" spans="1:8" ht="28.25" customHeight="1" x14ac:dyDescent="0.2">
      <c r="A303" s="56" t="str">
        <f>IF(B303="","",IFERROR(INDEX('21 2026 ÜRETİM'!$A$2:$A$501,MATCH(B303,'21 2026 ÜRETİM'!$G$2:$G$501,0)),""))</f>
        <v/>
      </c>
      <c r="B303" s="58"/>
      <c r="C303" s="56"/>
      <c r="D303" s="58"/>
      <c r="E303" s="56"/>
      <c r="F303" s="58"/>
      <c r="G303" s="56"/>
      <c r="H303" s="65"/>
    </row>
    <row r="304" spans="1:8" ht="28.25" customHeight="1" x14ac:dyDescent="0.2">
      <c r="A304" s="56" t="str">
        <f>IF(B304="","",IFERROR(INDEX('21 2026 ÜRETİM'!$A$2:$A$501,MATCH(B304,'21 2026 ÜRETİM'!$G$2:$G$501,0)),""))</f>
        <v/>
      </c>
      <c r="B304" s="58"/>
      <c r="C304" s="56"/>
      <c r="D304" s="58"/>
      <c r="E304" s="56"/>
      <c r="F304" s="58"/>
      <c r="G304" s="56"/>
      <c r="H304" s="65"/>
    </row>
    <row r="305" spans="1:8" ht="28.25" customHeight="1" x14ac:dyDescent="0.2">
      <c r="A305" s="56" t="str">
        <f>IF(B305="","",IFERROR(INDEX('21 2026 ÜRETİM'!$A$2:$A$501,MATCH(B305,'21 2026 ÜRETİM'!$G$2:$G$501,0)),""))</f>
        <v/>
      </c>
      <c r="B305" s="58"/>
      <c r="C305" s="56"/>
      <c r="D305" s="58"/>
      <c r="E305" s="56"/>
      <c r="F305" s="58"/>
      <c r="G305" s="56"/>
      <c r="H305" s="65"/>
    </row>
    <row r="306" spans="1:8" ht="28.25" customHeight="1" x14ac:dyDescent="0.2">
      <c r="A306" s="56" t="str">
        <f>IF(B306="","",IFERROR(INDEX('21 2026 ÜRETİM'!$A$2:$A$501,MATCH(B306,'21 2026 ÜRETİM'!$G$2:$G$501,0)),""))</f>
        <v/>
      </c>
      <c r="B306" s="58"/>
      <c r="C306" s="56"/>
      <c r="D306" s="58"/>
      <c r="E306" s="56"/>
      <c r="F306" s="58"/>
      <c r="G306" s="56"/>
      <c r="H306" s="65"/>
    </row>
    <row r="307" spans="1:8" ht="28.25" customHeight="1" x14ac:dyDescent="0.2">
      <c r="A307" s="56" t="str">
        <f>IF(B307="","",IFERROR(INDEX('21 2026 ÜRETİM'!$A$2:$A$501,MATCH(B307,'21 2026 ÜRETİM'!$G$2:$G$501,0)),""))</f>
        <v/>
      </c>
      <c r="B307" s="58"/>
      <c r="C307" s="56"/>
      <c r="D307" s="58"/>
      <c r="E307" s="56"/>
      <c r="F307" s="58"/>
      <c r="G307" s="56"/>
      <c r="H307" s="65"/>
    </row>
    <row r="308" spans="1:8" ht="28.25" customHeight="1" x14ac:dyDescent="0.2">
      <c r="A308" s="56" t="str">
        <f>IF(B308="","",IFERROR(INDEX('21 2026 ÜRETİM'!$A$2:$A$501,MATCH(B308,'21 2026 ÜRETİM'!$G$2:$G$501,0)),""))</f>
        <v/>
      </c>
      <c r="B308" s="58"/>
      <c r="C308" s="56"/>
      <c r="D308" s="58"/>
      <c r="E308" s="56"/>
      <c r="F308" s="58"/>
      <c r="G308" s="56"/>
      <c r="H308" s="65"/>
    </row>
    <row r="309" spans="1:8" ht="28.25" customHeight="1" x14ac:dyDescent="0.2">
      <c r="A309" s="56" t="str">
        <f>IF(B309="","",IFERROR(INDEX('21 2026 ÜRETİM'!$A$2:$A$501,MATCH(B309,'21 2026 ÜRETİM'!$G$2:$G$501,0)),""))</f>
        <v/>
      </c>
      <c r="B309" s="58"/>
      <c r="C309" s="56"/>
      <c r="D309" s="58"/>
      <c r="E309" s="56"/>
      <c r="F309" s="58"/>
      <c r="G309" s="56"/>
      <c r="H309" s="65"/>
    </row>
    <row r="310" spans="1:8" ht="28.25" customHeight="1" x14ac:dyDescent="0.2">
      <c r="A310" s="56" t="str">
        <f>IF(B310="","",IFERROR(INDEX('21 2026 ÜRETİM'!$A$2:$A$501,MATCH(B310,'21 2026 ÜRETİM'!$G$2:$G$501,0)),""))</f>
        <v/>
      </c>
      <c r="B310" s="58"/>
      <c r="C310" s="56"/>
      <c r="D310" s="58"/>
      <c r="E310" s="56"/>
      <c r="F310" s="58"/>
      <c r="G310" s="56"/>
      <c r="H310" s="65"/>
    </row>
    <row r="311" spans="1:8" ht="28.25" customHeight="1" x14ac:dyDescent="0.2">
      <c r="A311" s="56" t="str">
        <f>IF(B311="","",IFERROR(INDEX('21 2026 ÜRETİM'!$A$2:$A$501,MATCH(B311,'21 2026 ÜRETİM'!$G$2:$G$501,0)),""))</f>
        <v/>
      </c>
      <c r="B311" s="58"/>
      <c r="C311" s="56"/>
      <c r="D311" s="58"/>
      <c r="E311" s="56"/>
      <c r="F311" s="58"/>
      <c r="G311" s="56"/>
      <c r="H311" s="65"/>
    </row>
    <row r="312" spans="1:8" ht="28.25" customHeight="1" x14ac:dyDescent="0.2">
      <c r="A312" s="56" t="str">
        <f>IF(B312="","",IFERROR(INDEX('21 2026 ÜRETİM'!$A$2:$A$501,MATCH(B312,'21 2026 ÜRETİM'!$G$2:$G$501,0)),""))</f>
        <v/>
      </c>
      <c r="B312" s="58"/>
      <c r="C312" s="56"/>
      <c r="D312" s="58"/>
      <c r="E312" s="56"/>
      <c r="F312" s="58"/>
      <c r="G312" s="56"/>
      <c r="H312" s="65"/>
    </row>
    <row r="313" spans="1:8" ht="28.25" customHeight="1" x14ac:dyDescent="0.2">
      <c r="A313" s="56" t="str">
        <f>IF(B313="","",IFERROR(INDEX('21 2026 ÜRETİM'!$A$2:$A$501,MATCH(B313,'21 2026 ÜRETİM'!$G$2:$G$501,0)),""))</f>
        <v/>
      </c>
      <c r="B313" s="58"/>
      <c r="C313" s="56"/>
      <c r="D313" s="58"/>
      <c r="E313" s="56"/>
      <c r="F313" s="58"/>
      <c r="G313" s="56"/>
      <c r="H313" s="65"/>
    </row>
    <row r="314" spans="1:8" ht="28.25" customHeight="1" x14ac:dyDescent="0.2">
      <c r="A314" s="56" t="str">
        <f>IF(B314="","",IFERROR(INDEX('21 2026 ÜRETİM'!$A$2:$A$501,MATCH(B314,'21 2026 ÜRETİM'!$G$2:$G$501,0)),""))</f>
        <v/>
      </c>
      <c r="B314" s="58"/>
      <c r="C314" s="56"/>
      <c r="D314" s="58"/>
      <c r="E314" s="56"/>
      <c r="F314" s="58"/>
      <c r="G314" s="56"/>
      <c r="H314" s="65"/>
    </row>
    <row r="315" spans="1:8" ht="28.25" customHeight="1" x14ac:dyDescent="0.2">
      <c r="A315" s="56" t="str">
        <f>IF(B315="","",IFERROR(INDEX('21 2026 ÜRETİM'!$A$2:$A$501,MATCH(B315,'21 2026 ÜRETİM'!$G$2:$G$501,0)),""))</f>
        <v/>
      </c>
      <c r="B315" s="58"/>
      <c r="C315" s="56"/>
      <c r="D315" s="58"/>
      <c r="E315" s="56"/>
      <c r="F315" s="58"/>
      <c r="G315" s="56"/>
      <c r="H315" s="65"/>
    </row>
    <row r="316" spans="1:8" ht="28.25" customHeight="1" x14ac:dyDescent="0.2">
      <c r="A316" s="56" t="str">
        <f>IF(B316="","",IFERROR(INDEX('21 2026 ÜRETİM'!$A$2:$A$501,MATCH(B316,'21 2026 ÜRETİM'!$G$2:$G$501,0)),""))</f>
        <v/>
      </c>
      <c r="B316" s="58"/>
      <c r="C316" s="56"/>
      <c r="D316" s="58"/>
      <c r="E316" s="56"/>
      <c r="F316" s="58"/>
      <c r="G316" s="56"/>
      <c r="H316" s="65"/>
    </row>
    <row r="317" spans="1:8" ht="28.25" customHeight="1" x14ac:dyDescent="0.2">
      <c r="A317" s="56" t="str">
        <f>IF(B317="","",IFERROR(INDEX('21 2026 ÜRETİM'!$A$2:$A$501,MATCH(B317,'21 2026 ÜRETİM'!$G$2:$G$501,0)),""))</f>
        <v/>
      </c>
      <c r="B317" s="58"/>
      <c r="C317" s="56"/>
      <c r="D317" s="58"/>
      <c r="E317" s="56"/>
      <c r="F317" s="58"/>
      <c r="G317" s="56"/>
      <c r="H317" s="65"/>
    </row>
    <row r="318" spans="1:8" ht="28.25" customHeight="1" x14ac:dyDescent="0.2">
      <c r="A318" s="56" t="str">
        <f>IF(B318="","",IFERROR(INDEX('21 2026 ÜRETİM'!$A$2:$A$501,MATCH(B318,'21 2026 ÜRETİM'!$G$2:$G$501,0)),""))</f>
        <v/>
      </c>
      <c r="B318" s="58"/>
      <c r="C318" s="56"/>
      <c r="D318" s="58"/>
      <c r="E318" s="56"/>
      <c r="F318" s="58"/>
      <c r="G318" s="56"/>
      <c r="H318" s="65"/>
    </row>
    <row r="319" spans="1:8" ht="28.25" customHeight="1" x14ac:dyDescent="0.2">
      <c r="A319" s="56" t="str">
        <f>IF(B319="","",IFERROR(INDEX('21 2026 ÜRETİM'!$A$2:$A$501,MATCH(B319,'21 2026 ÜRETİM'!$G$2:$G$501,0)),""))</f>
        <v/>
      </c>
      <c r="B319" s="58"/>
      <c r="C319" s="56"/>
      <c r="D319" s="58"/>
      <c r="E319" s="56"/>
      <c r="F319" s="58"/>
      <c r="G319" s="56"/>
      <c r="H319" s="65"/>
    </row>
    <row r="320" spans="1:8" ht="28.25" customHeight="1" x14ac:dyDescent="0.2">
      <c r="A320" s="56" t="str">
        <f>IF(B320="","",IFERROR(INDEX('21 2026 ÜRETİM'!$A$2:$A$501,MATCH(B320,'21 2026 ÜRETİM'!$G$2:$G$501,0)),""))</f>
        <v/>
      </c>
      <c r="B320" s="58"/>
      <c r="C320" s="56"/>
      <c r="D320" s="58"/>
      <c r="E320" s="56"/>
      <c r="F320" s="58"/>
      <c r="G320" s="56"/>
      <c r="H320" s="65"/>
    </row>
    <row r="321" spans="1:8" ht="28.25" customHeight="1" x14ac:dyDescent="0.2">
      <c r="A321" s="56" t="str">
        <f>IF(B321="","",IFERROR(INDEX('21 2026 ÜRETİM'!$A$2:$A$501,MATCH(B321,'21 2026 ÜRETİM'!$G$2:$G$501,0)),""))</f>
        <v/>
      </c>
      <c r="B321" s="58"/>
      <c r="C321" s="56"/>
      <c r="D321" s="58"/>
      <c r="E321" s="56"/>
      <c r="F321" s="58"/>
      <c r="G321" s="56"/>
      <c r="H321" s="65"/>
    </row>
    <row r="322" spans="1:8" ht="28.25" customHeight="1" x14ac:dyDescent="0.2">
      <c r="A322" s="56" t="str">
        <f>IF(B322="","",IFERROR(INDEX('21 2026 ÜRETİM'!$A$2:$A$501,MATCH(B322,'21 2026 ÜRETİM'!$G$2:$G$501,0)),""))</f>
        <v/>
      </c>
      <c r="B322" s="58"/>
      <c r="C322" s="56"/>
      <c r="D322" s="58"/>
      <c r="E322" s="56"/>
      <c r="F322" s="58"/>
      <c r="G322" s="56"/>
      <c r="H322" s="65"/>
    </row>
    <row r="323" spans="1:8" ht="28.25" customHeight="1" x14ac:dyDescent="0.2">
      <c r="A323" s="56" t="str">
        <f>IF(B323="","",IFERROR(INDEX('21 2026 ÜRETİM'!$A$2:$A$501,MATCH(B323,'21 2026 ÜRETİM'!$G$2:$G$501,0)),""))</f>
        <v/>
      </c>
      <c r="B323" s="58"/>
      <c r="C323" s="56"/>
      <c r="D323" s="58"/>
      <c r="E323" s="56"/>
      <c r="F323" s="58"/>
      <c r="G323" s="56"/>
      <c r="H323" s="65"/>
    </row>
    <row r="324" spans="1:8" ht="28.25" customHeight="1" x14ac:dyDescent="0.2">
      <c r="A324" s="56" t="str">
        <f>IF(B324="","",IFERROR(INDEX('21 2026 ÜRETİM'!$A$2:$A$501,MATCH(B324,'21 2026 ÜRETİM'!$G$2:$G$501,0)),""))</f>
        <v/>
      </c>
      <c r="B324" s="58"/>
      <c r="C324" s="56"/>
      <c r="D324" s="58"/>
      <c r="E324" s="56"/>
      <c r="F324" s="58"/>
      <c r="G324" s="56"/>
      <c r="H324" s="65"/>
    </row>
    <row r="325" spans="1:8" ht="28.25" customHeight="1" x14ac:dyDescent="0.2">
      <c r="A325" s="56" t="str">
        <f>IF(B325="","",IFERROR(INDEX('21 2026 ÜRETİM'!$A$2:$A$501,MATCH(B325,'21 2026 ÜRETİM'!$G$2:$G$501,0)),""))</f>
        <v/>
      </c>
      <c r="B325" s="58"/>
      <c r="C325" s="56"/>
      <c r="D325" s="58"/>
      <c r="E325" s="56"/>
      <c r="F325" s="58"/>
      <c r="G325" s="56"/>
      <c r="H325" s="65"/>
    </row>
    <row r="326" spans="1:8" ht="28.25" customHeight="1" x14ac:dyDescent="0.2">
      <c r="A326" s="56" t="str">
        <f>IF(B326="","",IFERROR(INDEX('21 2026 ÜRETİM'!$A$2:$A$501,MATCH(B326,'21 2026 ÜRETİM'!$G$2:$G$501,0)),""))</f>
        <v/>
      </c>
      <c r="B326" s="58"/>
      <c r="C326" s="56"/>
      <c r="D326" s="58"/>
      <c r="E326" s="56"/>
      <c r="F326" s="58"/>
      <c r="G326" s="56"/>
      <c r="H326" s="65"/>
    </row>
    <row r="327" spans="1:8" ht="28.25" customHeight="1" x14ac:dyDescent="0.2">
      <c r="A327" s="56" t="str">
        <f>IF(B327="","",IFERROR(INDEX('21 2026 ÜRETİM'!$A$2:$A$501,MATCH(B327,'21 2026 ÜRETİM'!$G$2:$G$501,0)),""))</f>
        <v/>
      </c>
      <c r="B327" s="58"/>
      <c r="C327" s="56"/>
      <c r="D327" s="58"/>
      <c r="E327" s="56"/>
      <c r="F327" s="58"/>
      <c r="G327" s="56"/>
      <c r="H327" s="65"/>
    </row>
    <row r="328" spans="1:8" ht="28.25" customHeight="1" x14ac:dyDescent="0.2">
      <c r="A328" s="56" t="str">
        <f>IF(B328="","",IFERROR(INDEX('21 2026 ÜRETİM'!$A$2:$A$501,MATCH(B328,'21 2026 ÜRETİM'!$G$2:$G$501,0)),""))</f>
        <v/>
      </c>
      <c r="B328" s="58"/>
      <c r="C328" s="56"/>
      <c r="D328" s="58"/>
      <c r="E328" s="56"/>
      <c r="F328" s="58"/>
      <c r="G328" s="56"/>
      <c r="H328" s="65"/>
    </row>
    <row r="329" spans="1:8" ht="28.25" customHeight="1" x14ac:dyDescent="0.2">
      <c r="A329" s="56" t="str">
        <f>IF(B329="","",IFERROR(INDEX('21 2026 ÜRETİM'!$A$2:$A$501,MATCH(B329,'21 2026 ÜRETİM'!$G$2:$G$501,0)),""))</f>
        <v/>
      </c>
      <c r="B329" s="58"/>
      <c r="C329" s="56"/>
      <c r="D329" s="58"/>
      <c r="E329" s="56"/>
      <c r="F329" s="58"/>
      <c r="G329" s="56"/>
      <c r="H329" s="65"/>
    </row>
    <row r="330" spans="1:8" ht="28.25" customHeight="1" x14ac:dyDescent="0.2">
      <c r="A330" s="56" t="str">
        <f>IF(B330="","",IFERROR(INDEX('21 2026 ÜRETİM'!$A$2:$A$501,MATCH(B330,'21 2026 ÜRETİM'!$G$2:$G$501,0)),""))</f>
        <v/>
      </c>
      <c r="B330" s="58"/>
      <c r="C330" s="56"/>
      <c r="D330" s="58"/>
      <c r="E330" s="56"/>
      <c r="F330" s="58"/>
      <c r="G330" s="56"/>
      <c r="H330" s="65"/>
    </row>
    <row r="331" spans="1:8" ht="28.25" customHeight="1" x14ac:dyDescent="0.2">
      <c r="A331" s="56" t="str">
        <f>IF(B331="","",IFERROR(INDEX('21 2026 ÜRETİM'!$A$2:$A$501,MATCH(B331,'21 2026 ÜRETİM'!$G$2:$G$501,0)),""))</f>
        <v/>
      </c>
      <c r="B331" s="58"/>
      <c r="C331" s="56"/>
      <c r="D331" s="58"/>
      <c r="E331" s="56"/>
      <c r="F331" s="58"/>
      <c r="G331" s="56"/>
      <c r="H331" s="65"/>
    </row>
    <row r="332" spans="1:8" ht="28.25" customHeight="1" x14ac:dyDescent="0.2">
      <c r="A332" s="56" t="str">
        <f>IF(B332="","",IFERROR(INDEX('21 2026 ÜRETİM'!$A$2:$A$501,MATCH(B332,'21 2026 ÜRETİM'!$G$2:$G$501,0)),""))</f>
        <v/>
      </c>
      <c r="B332" s="58"/>
      <c r="C332" s="56"/>
      <c r="D332" s="58"/>
      <c r="E332" s="56"/>
      <c r="F332" s="58"/>
      <c r="G332" s="56"/>
      <c r="H332" s="65"/>
    </row>
    <row r="333" spans="1:8" ht="28.25" customHeight="1" x14ac:dyDescent="0.2">
      <c r="A333" s="56" t="str">
        <f>IF(B333="","",IFERROR(INDEX('21 2026 ÜRETİM'!$A$2:$A$501,MATCH(B333,'21 2026 ÜRETİM'!$G$2:$G$501,0)),""))</f>
        <v/>
      </c>
      <c r="B333" s="58"/>
      <c r="C333" s="56"/>
      <c r="D333" s="58"/>
      <c r="E333" s="56"/>
      <c r="F333" s="58"/>
      <c r="G333" s="56"/>
      <c r="H333" s="65"/>
    </row>
    <row r="334" spans="1:8" ht="28.25" customHeight="1" x14ac:dyDescent="0.2">
      <c r="A334" s="56" t="str">
        <f>IF(B334="","",IFERROR(INDEX('21 2026 ÜRETİM'!$A$2:$A$501,MATCH(B334,'21 2026 ÜRETİM'!$G$2:$G$501,0)),""))</f>
        <v/>
      </c>
      <c r="B334" s="58"/>
      <c r="C334" s="56"/>
      <c r="D334" s="58"/>
      <c r="E334" s="56"/>
      <c r="F334" s="58"/>
      <c r="G334" s="56"/>
      <c r="H334" s="65"/>
    </row>
    <row r="335" spans="1:8" ht="28.25" customHeight="1" x14ac:dyDescent="0.2">
      <c r="A335" s="56" t="str">
        <f>IF(B335="","",IFERROR(INDEX('21 2026 ÜRETİM'!$A$2:$A$501,MATCH(B335,'21 2026 ÜRETİM'!$G$2:$G$501,0)),""))</f>
        <v/>
      </c>
      <c r="B335" s="58"/>
      <c r="C335" s="56"/>
      <c r="D335" s="58"/>
      <c r="E335" s="56"/>
      <c r="F335" s="58"/>
      <c r="G335" s="56"/>
      <c r="H335" s="65"/>
    </row>
    <row r="336" spans="1:8" ht="28.25" customHeight="1" x14ac:dyDescent="0.2">
      <c r="A336" s="56" t="str">
        <f>IF(B336="","",IFERROR(INDEX('21 2026 ÜRETİM'!$A$2:$A$501,MATCH(B336,'21 2026 ÜRETİM'!$G$2:$G$501,0)),""))</f>
        <v/>
      </c>
      <c r="B336" s="58"/>
      <c r="C336" s="56"/>
      <c r="D336" s="58"/>
      <c r="E336" s="56"/>
      <c r="F336" s="58"/>
      <c r="G336" s="56"/>
      <c r="H336" s="65"/>
    </row>
    <row r="337" spans="1:8" ht="28.25" customHeight="1" x14ac:dyDescent="0.2">
      <c r="A337" s="56" t="str">
        <f>IF(B337="","",IFERROR(INDEX('21 2026 ÜRETİM'!$A$2:$A$501,MATCH(B337,'21 2026 ÜRETİM'!$G$2:$G$501,0)),""))</f>
        <v/>
      </c>
      <c r="B337" s="58"/>
      <c r="C337" s="56"/>
      <c r="D337" s="58"/>
      <c r="E337" s="56"/>
      <c r="F337" s="58"/>
      <c r="G337" s="56"/>
      <c r="H337" s="65"/>
    </row>
    <row r="338" spans="1:8" ht="28.25" customHeight="1" x14ac:dyDescent="0.2">
      <c r="A338" s="56" t="str">
        <f>IF(B338="","",IFERROR(INDEX('21 2026 ÜRETİM'!$A$2:$A$501,MATCH(B338,'21 2026 ÜRETİM'!$G$2:$G$501,0)),""))</f>
        <v/>
      </c>
      <c r="B338" s="58"/>
      <c r="C338" s="56"/>
      <c r="D338" s="58"/>
      <c r="E338" s="56"/>
      <c r="F338" s="58"/>
      <c r="G338" s="56"/>
      <c r="H338" s="65"/>
    </row>
    <row r="339" spans="1:8" ht="28.25" customHeight="1" x14ac:dyDescent="0.2">
      <c r="A339" s="56" t="str">
        <f>IF(B339="","",IFERROR(INDEX('21 2026 ÜRETİM'!$A$2:$A$501,MATCH(B339,'21 2026 ÜRETİM'!$G$2:$G$501,0)),""))</f>
        <v/>
      </c>
      <c r="B339" s="58"/>
      <c r="C339" s="56"/>
      <c r="D339" s="58"/>
      <c r="E339" s="56"/>
      <c r="F339" s="58"/>
      <c r="G339" s="56"/>
      <c r="H339" s="65"/>
    </row>
    <row r="340" spans="1:8" ht="28.25" customHeight="1" x14ac:dyDescent="0.2">
      <c r="A340" s="56" t="str">
        <f>IF(B340="","",IFERROR(INDEX('21 2026 ÜRETİM'!$A$2:$A$501,MATCH(B340,'21 2026 ÜRETİM'!$G$2:$G$501,0)),""))</f>
        <v/>
      </c>
      <c r="B340" s="58"/>
      <c r="C340" s="56"/>
      <c r="D340" s="58"/>
      <c r="E340" s="56"/>
      <c r="F340" s="58"/>
      <c r="G340" s="56"/>
      <c r="H340" s="65"/>
    </row>
    <row r="341" spans="1:8" ht="28.25" customHeight="1" x14ac:dyDescent="0.2">
      <c r="A341" s="56" t="str">
        <f>IF(B341="","",IFERROR(INDEX('21 2026 ÜRETİM'!$A$2:$A$501,MATCH(B341,'21 2026 ÜRETİM'!$G$2:$G$501,0)),""))</f>
        <v/>
      </c>
      <c r="B341" s="58"/>
      <c r="C341" s="56"/>
      <c r="D341" s="58"/>
      <c r="E341" s="56"/>
      <c r="F341" s="58"/>
      <c r="G341" s="56"/>
      <c r="H341" s="65"/>
    </row>
    <row r="342" spans="1:8" ht="28.25" customHeight="1" x14ac:dyDescent="0.2">
      <c r="A342" s="56" t="str">
        <f>IF(B342="","",IFERROR(INDEX('21 2026 ÜRETİM'!$A$2:$A$501,MATCH(B342,'21 2026 ÜRETİM'!$G$2:$G$501,0)),""))</f>
        <v/>
      </c>
      <c r="B342" s="58"/>
      <c r="C342" s="56"/>
      <c r="D342" s="58"/>
      <c r="E342" s="56"/>
      <c r="F342" s="58"/>
      <c r="G342" s="56"/>
      <c r="H342" s="65"/>
    </row>
    <row r="343" spans="1:8" ht="28.25" customHeight="1" x14ac:dyDescent="0.2">
      <c r="A343" s="56" t="str">
        <f>IF(B343="","",IFERROR(INDEX('21 2026 ÜRETİM'!$A$2:$A$501,MATCH(B343,'21 2026 ÜRETİM'!$G$2:$G$501,0)),""))</f>
        <v/>
      </c>
      <c r="B343" s="58"/>
      <c r="C343" s="56"/>
      <c r="D343" s="58"/>
      <c r="E343" s="56"/>
      <c r="F343" s="58"/>
      <c r="G343" s="56"/>
      <c r="H343" s="65"/>
    </row>
    <row r="344" spans="1:8" ht="28.25" customHeight="1" x14ac:dyDescent="0.2">
      <c r="A344" s="56" t="str">
        <f>IF(B344="","",IFERROR(INDEX('21 2026 ÜRETİM'!$A$2:$A$501,MATCH(B344,'21 2026 ÜRETİM'!$G$2:$G$501,0)),""))</f>
        <v/>
      </c>
      <c r="B344" s="58"/>
      <c r="C344" s="56"/>
      <c r="D344" s="58"/>
      <c r="E344" s="56"/>
      <c r="F344" s="58"/>
      <c r="G344" s="56"/>
      <c r="H344" s="65"/>
    </row>
    <row r="345" spans="1:8" ht="28.25" customHeight="1" x14ac:dyDescent="0.2">
      <c r="A345" s="56" t="str">
        <f>IF(B345="","",IFERROR(INDEX('21 2026 ÜRETİM'!$A$2:$A$501,MATCH(B345,'21 2026 ÜRETİM'!$G$2:$G$501,0)),""))</f>
        <v/>
      </c>
      <c r="B345" s="58"/>
      <c r="C345" s="56"/>
      <c r="D345" s="58"/>
      <c r="E345" s="56"/>
      <c r="F345" s="58"/>
      <c r="G345" s="56"/>
      <c r="H345" s="65"/>
    </row>
    <row r="346" spans="1:8" ht="28.25" customHeight="1" x14ac:dyDescent="0.2">
      <c r="A346" s="56" t="str">
        <f>IF(B346="","",IFERROR(INDEX('21 2026 ÜRETİM'!$A$2:$A$501,MATCH(B346,'21 2026 ÜRETİM'!$G$2:$G$501,0)),""))</f>
        <v/>
      </c>
      <c r="B346" s="58"/>
      <c r="C346" s="56"/>
      <c r="D346" s="58"/>
      <c r="E346" s="56"/>
      <c r="F346" s="58"/>
      <c r="G346" s="56"/>
      <c r="H346" s="65"/>
    </row>
    <row r="347" spans="1:8" ht="28.25" customHeight="1" x14ac:dyDescent="0.2">
      <c r="A347" s="56" t="str">
        <f>IF(B347="","",IFERROR(INDEX('21 2026 ÜRETİM'!$A$2:$A$501,MATCH(B347,'21 2026 ÜRETİM'!$G$2:$G$501,0)),""))</f>
        <v/>
      </c>
      <c r="B347" s="58"/>
      <c r="C347" s="56"/>
      <c r="D347" s="58"/>
      <c r="E347" s="56"/>
      <c r="F347" s="58"/>
      <c r="G347" s="56"/>
      <c r="H347" s="65"/>
    </row>
    <row r="348" spans="1:8" ht="28.25" customHeight="1" x14ac:dyDescent="0.2">
      <c r="A348" s="56" t="str">
        <f>IF(B348="","",IFERROR(INDEX('21 2026 ÜRETİM'!$A$2:$A$501,MATCH(B348,'21 2026 ÜRETİM'!$G$2:$G$501,0)),""))</f>
        <v/>
      </c>
      <c r="B348" s="58"/>
      <c r="C348" s="56"/>
      <c r="D348" s="58"/>
      <c r="E348" s="56"/>
      <c r="F348" s="58"/>
      <c r="G348" s="56"/>
      <c r="H348" s="65"/>
    </row>
    <row r="349" spans="1:8" ht="28.25" customHeight="1" x14ac:dyDescent="0.2">
      <c r="A349" s="56" t="str">
        <f>IF(B349="","",IFERROR(INDEX('21 2026 ÜRETİM'!$A$2:$A$501,MATCH(B349,'21 2026 ÜRETİM'!$G$2:$G$501,0)),""))</f>
        <v/>
      </c>
      <c r="B349" s="58"/>
      <c r="C349" s="56"/>
      <c r="D349" s="58"/>
      <c r="E349" s="56"/>
      <c r="F349" s="58"/>
      <c r="G349" s="56"/>
      <c r="H349" s="65"/>
    </row>
    <row r="350" spans="1:8" ht="28.25" customHeight="1" x14ac:dyDescent="0.2">
      <c r="A350" s="56" t="str">
        <f>IF(B350="","",IFERROR(INDEX('21 2026 ÜRETİM'!$A$2:$A$501,MATCH(B350,'21 2026 ÜRETİM'!$G$2:$G$501,0)),""))</f>
        <v/>
      </c>
      <c r="B350" s="58"/>
      <c r="C350" s="56"/>
      <c r="D350" s="58"/>
      <c r="E350" s="56"/>
      <c r="F350" s="58"/>
      <c r="G350" s="56"/>
      <c r="H350" s="65"/>
    </row>
    <row r="351" spans="1:8" ht="28.25" customHeight="1" x14ac:dyDescent="0.2">
      <c r="A351" s="56" t="str">
        <f>IF(B351="","",IFERROR(INDEX('21 2026 ÜRETİM'!$A$2:$A$501,MATCH(B351,'21 2026 ÜRETİM'!$G$2:$G$501,0)),""))</f>
        <v/>
      </c>
      <c r="B351" s="58"/>
      <c r="C351" s="56"/>
      <c r="D351" s="58"/>
      <c r="E351" s="56"/>
      <c r="F351" s="58"/>
      <c r="G351" s="56"/>
      <c r="H351" s="65"/>
    </row>
    <row r="352" spans="1:8" ht="28.25" customHeight="1" x14ac:dyDescent="0.2">
      <c r="A352" s="56" t="str">
        <f>IF(B352="","",IFERROR(INDEX('21 2026 ÜRETİM'!$A$2:$A$501,MATCH(B352,'21 2026 ÜRETİM'!$G$2:$G$501,0)),""))</f>
        <v/>
      </c>
      <c r="B352" s="58"/>
      <c r="C352" s="56"/>
      <c r="D352" s="58"/>
      <c r="E352" s="56"/>
      <c r="F352" s="58"/>
      <c r="G352" s="56"/>
      <c r="H352" s="65"/>
    </row>
    <row r="353" spans="1:8" ht="28.25" customHeight="1" x14ac:dyDescent="0.2">
      <c r="A353" s="56" t="str">
        <f>IF(B353="","",IFERROR(INDEX('21 2026 ÜRETİM'!$A$2:$A$501,MATCH(B353,'21 2026 ÜRETİM'!$G$2:$G$501,0)),""))</f>
        <v/>
      </c>
      <c r="B353" s="58"/>
      <c r="C353" s="56"/>
      <c r="D353" s="58"/>
      <c r="E353" s="56"/>
      <c r="F353" s="58"/>
      <c r="G353" s="56"/>
      <c r="H353" s="65"/>
    </row>
    <row r="354" spans="1:8" ht="28.25" customHeight="1" x14ac:dyDescent="0.2">
      <c r="A354" s="56" t="str">
        <f>IF(B354="","",IFERROR(INDEX('21 2026 ÜRETİM'!$A$2:$A$501,MATCH(B354,'21 2026 ÜRETİM'!$G$2:$G$501,0)),""))</f>
        <v/>
      </c>
      <c r="B354" s="58"/>
      <c r="C354" s="56"/>
      <c r="D354" s="58"/>
      <c r="E354" s="56"/>
      <c r="F354" s="58"/>
      <c r="G354" s="56"/>
      <c r="H354" s="65"/>
    </row>
    <row r="355" spans="1:8" ht="28.25" customHeight="1" x14ac:dyDescent="0.2">
      <c r="A355" s="56" t="str">
        <f>IF(B355="","",IFERROR(INDEX('21 2026 ÜRETİM'!$A$2:$A$501,MATCH(B355,'21 2026 ÜRETİM'!$G$2:$G$501,0)),""))</f>
        <v/>
      </c>
      <c r="B355" s="58"/>
      <c r="C355" s="56"/>
      <c r="D355" s="58"/>
      <c r="E355" s="56"/>
      <c r="F355" s="58"/>
      <c r="G355" s="56"/>
      <c r="H355" s="65"/>
    </row>
    <row r="356" spans="1:8" ht="28.25" customHeight="1" x14ac:dyDescent="0.2">
      <c r="A356" s="56" t="str">
        <f>IF(B356="","",IFERROR(INDEX('21 2026 ÜRETİM'!$A$2:$A$501,MATCH(B356,'21 2026 ÜRETİM'!$G$2:$G$501,0)),""))</f>
        <v/>
      </c>
      <c r="B356" s="58"/>
      <c r="C356" s="56"/>
      <c r="D356" s="58"/>
      <c r="E356" s="56"/>
      <c r="F356" s="58"/>
      <c r="G356" s="56"/>
      <c r="H356" s="65"/>
    </row>
    <row r="357" spans="1:8" ht="28.25" customHeight="1" x14ac:dyDescent="0.2">
      <c r="A357" s="56" t="str">
        <f>IF(B357="","",IFERROR(INDEX('21 2026 ÜRETİM'!$A$2:$A$501,MATCH(B357,'21 2026 ÜRETİM'!$G$2:$G$501,0)),""))</f>
        <v/>
      </c>
      <c r="B357" s="58"/>
      <c r="C357" s="56"/>
      <c r="D357" s="58"/>
      <c r="E357" s="56"/>
      <c r="F357" s="58"/>
      <c r="G357" s="56"/>
      <c r="H357" s="65"/>
    </row>
    <row r="358" spans="1:8" ht="28.25" customHeight="1" x14ac:dyDescent="0.2">
      <c r="A358" s="56" t="str">
        <f>IF(B358="","",IFERROR(INDEX('21 2026 ÜRETİM'!$A$2:$A$501,MATCH(B358,'21 2026 ÜRETİM'!$G$2:$G$501,0)),""))</f>
        <v/>
      </c>
      <c r="B358" s="58"/>
      <c r="C358" s="56"/>
      <c r="D358" s="58"/>
      <c r="E358" s="56"/>
      <c r="F358" s="58"/>
      <c r="G358" s="56"/>
      <c r="H358" s="65"/>
    </row>
    <row r="359" spans="1:8" ht="28.25" customHeight="1" x14ac:dyDescent="0.2">
      <c r="A359" s="56" t="str">
        <f>IF(B359="","",IFERROR(INDEX('21 2026 ÜRETİM'!$A$2:$A$501,MATCH(B359,'21 2026 ÜRETİM'!$G$2:$G$501,0)),""))</f>
        <v/>
      </c>
      <c r="B359" s="58"/>
      <c r="C359" s="56"/>
      <c r="D359" s="58"/>
      <c r="E359" s="56"/>
      <c r="F359" s="58"/>
      <c r="G359" s="56"/>
      <c r="H359" s="65"/>
    </row>
    <row r="360" spans="1:8" ht="28.25" customHeight="1" x14ac:dyDescent="0.2">
      <c r="A360" s="56" t="str">
        <f>IF(B360="","",IFERROR(INDEX('21 2026 ÜRETİM'!$A$2:$A$501,MATCH(B360,'21 2026 ÜRETİM'!$G$2:$G$501,0)),""))</f>
        <v/>
      </c>
      <c r="B360" s="58"/>
      <c r="C360" s="56"/>
      <c r="D360" s="58"/>
      <c r="E360" s="56"/>
      <c r="F360" s="58"/>
      <c r="G360" s="56"/>
      <c r="H360" s="65"/>
    </row>
    <row r="361" spans="1:8" ht="28.25" customHeight="1" x14ac:dyDescent="0.2">
      <c r="A361" s="56" t="str">
        <f>IF(B361="","",IFERROR(INDEX('21 2026 ÜRETİM'!$A$2:$A$501,MATCH(B361,'21 2026 ÜRETİM'!$G$2:$G$501,0)),""))</f>
        <v/>
      </c>
      <c r="B361" s="58"/>
      <c r="C361" s="56"/>
      <c r="D361" s="58"/>
      <c r="E361" s="56"/>
      <c r="F361" s="58"/>
      <c r="G361" s="56"/>
      <c r="H361" s="65"/>
    </row>
    <row r="362" spans="1:8" ht="28.25" customHeight="1" x14ac:dyDescent="0.2">
      <c r="A362" s="56" t="str">
        <f>IF(B362="","",IFERROR(INDEX('21 2026 ÜRETİM'!$A$2:$A$501,MATCH(B362,'21 2026 ÜRETİM'!$G$2:$G$501,0)),""))</f>
        <v/>
      </c>
      <c r="B362" s="58"/>
      <c r="C362" s="56"/>
      <c r="D362" s="58"/>
      <c r="E362" s="56"/>
      <c r="F362" s="58"/>
      <c r="G362" s="56"/>
      <c r="H362" s="65"/>
    </row>
    <row r="363" spans="1:8" ht="28.25" customHeight="1" x14ac:dyDescent="0.2">
      <c r="A363" s="56" t="str">
        <f>IF(B363="","",IFERROR(INDEX('21 2026 ÜRETİM'!$A$2:$A$501,MATCH(B363,'21 2026 ÜRETİM'!$G$2:$G$501,0)),""))</f>
        <v/>
      </c>
      <c r="B363" s="58"/>
      <c r="C363" s="56"/>
      <c r="D363" s="58"/>
      <c r="E363" s="56"/>
      <c r="F363" s="58"/>
      <c r="G363" s="56"/>
      <c r="H363" s="65"/>
    </row>
    <row r="364" spans="1:8" ht="28.25" customHeight="1" x14ac:dyDescent="0.2">
      <c r="A364" s="56" t="str">
        <f>IF(B364="","",IFERROR(INDEX('21 2026 ÜRETİM'!$A$2:$A$501,MATCH(B364,'21 2026 ÜRETİM'!$G$2:$G$501,0)),""))</f>
        <v/>
      </c>
      <c r="B364" s="58"/>
      <c r="C364" s="56"/>
      <c r="D364" s="58"/>
      <c r="E364" s="56"/>
      <c r="F364" s="58"/>
      <c r="G364" s="56"/>
      <c r="H364" s="65"/>
    </row>
    <row r="365" spans="1:8" ht="28.25" customHeight="1" x14ac:dyDescent="0.2">
      <c r="A365" s="56" t="str">
        <f>IF(B365="","",IFERROR(INDEX('21 2026 ÜRETİM'!$A$2:$A$501,MATCH(B365,'21 2026 ÜRETİM'!$G$2:$G$501,0)),""))</f>
        <v/>
      </c>
      <c r="B365" s="58"/>
      <c r="C365" s="56"/>
      <c r="D365" s="58"/>
      <c r="E365" s="56"/>
      <c r="F365" s="58"/>
      <c r="G365" s="56"/>
      <c r="H365" s="65"/>
    </row>
    <row r="366" spans="1:8" ht="28.25" customHeight="1" x14ac:dyDescent="0.2">
      <c r="A366" s="56" t="str">
        <f>IF(B366="","",IFERROR(INDEX('21 2026 ÜRETİM'!$A$2:$A$501,MATCH(B366,'21 2026 ÜRETİM'!$G$2:$G$501,0)),""))</f>
        <v/>
      </c>
      <c r="B366" s="58"/>
      <c r="C366" s="56"/>
      <c r="D366" s="58"/>
      <c r="E366" s="56"/>
      <c r="F366" s="58"/>
      <c r="G366" s="56"/>
      <c r="H366" s="65"/>
    </row>
    <row r="367" spans="1:8" ht="28.25" customHeight="1" x14ac:dyDescent="0.2">
      <c r="A367" s="56" t="str">
        <f>IF(B367="","",IFERROR(INDEX('21 2026 ÜRETİM'!$A$2:$A$501,MATCH(B367,'21 2026 ÜRETİM'!$G$2:$G$501,0)),""))</f>
        <v/>
      </c>
      <c r="B367" s="58"/>
      <c r="C367" s="56"/>
      <c r="D367" s="58"/>
      <c r="E367" s="56"/>
      <c r="F367" s="58"/>
      <c r="G367" s="56"/>
      <c r="H367" s="65"/>
    </row>
    <row r="368" spans="1:8" ht="28.25" customHeight="1" x14ac:dyDescent="0.2">
      <c r="A368" s="56" t="str">
        <f>IF(B368="","",IFERROR(INDEX('21 2026 ÜRETİM'!$A$2:$A$501,MATCH(B368,'21 2026 ÜRETİM'!$G$2:$G$501,0)),""))</f>
        <v/>
      </c>
      <c r="B368" s="58"/>
      <c r="C368" s="56"/>
      <c r="D368" s="58"/>
      <c r="E368" s="56"/>
      <c r="F368" s="58"/>
      <c r="G368" s="56"/>
      <c r="H368" s="65"/>
    </row>
    <row r="369" spans="1:8" ht="28.25" customHeight="1" x14ac:dyDescent="0.2">
      <c r="A369" s="56" t="str">
        <f>IF(B369="","",IFERROR(INDEX('21 2026 ÜRETİM'!$A$2:$A$501,MATCH(B369,'21 2026 ÜRETİM'!$G$2:$G$501,0)),""))</f>
        <v/>
      </c>
      <c r="B369" s="58"/>
      <c r="C369" s="56"/>
      <c r="D369" s="58"/>
      <c r="E369" s="56"/>
      <c r="F369" s="58"/>
      <c r="G369" s="56"/>
      <c r="H369" s="65"/>
    </row>
    <row r="370" spans="1:8" ht="28.25" customHeight="1" x14ac:dyDescent="0.2">
      <c r="A370" s="56" t="str">
        <f>IF(B370="","",IFERROR(INDEX('21 2026 ÜRETİM'!$A$2:$A$501,MATCH(B370,'21 2026 ÜRETİM'!$G$2:$G$501,0)),""))</f>
        <v/>
      </c>
      <c r="B370" s="58"/>
      <c r="C370" s="56"/>
      <c r="D370" s="58"/>
      <c r="E370" s="56"/>
      <c r="F370" s="58"/>
      <c r="G370" s="56"/>
      <c r="H370" s="65"/>
    </row>
    <row r="371" spans="1:8" ht="28.25" customHeight="1" x14ac:dyDescent="0.2">
      <c r="A371" s="56" t="str">
        <f>IF(B371="","",IFERROR(INDEX('21 2026 ÜRETİM'!$A$2:$A$501,MATCH(B371,'21 2026 ÜRETİM'!$G$2:$G$501,0)),""))</f>
        <v/>
      </c>
      <c r="B371" s="58"/>
      <c r="C371" s="56"/>
      <c r="D371" s="58"/>
      <c r="E371" s="56"/>
      <c r="F371" s="58"/>
      <c r="G371" s="56"/>
      <c r="H371" s="65"/>
    </row>
    <row r="372" spans="1:8" ht="28.25" customHeight="1" x14ac:dyDescent="0.2">
      <c r="A372" s="56" t="str">
        <f>IF(B372="","",IFERROR(INDEX('21 2026 ÜRETİM'!$A$2:$A$501,MATCH(B372,'21 2026 ÜRETİM'!$G$2:$G$501,0)),""))</f>
        <v/>
      </c>
      <c r="B372" s="58"/>
      <c r="C372" s="56"/>
      <c r="D372" s="58"/>
      <c r="E372" s="56"/>
      <c r="F372" s="58"/>
      <c r="G372" s="56"/>
      <c r="H372" s="65"/>
    </row>
    <row r="373" spans="1:8" ht="28.25" customHeight="1" x14ac:dyDescent="0.2">
      <c r="A373" s="56" t="str">
        <f>IF(B373="","",IFERROR(INDEX('21 2026 ÜRETİM'!$A$2:$A$501,MATCH(B373,'21 2026 ÜRETİM'!$G$2:$G$501,0)),""))</f>
        <v/>
      </c>
      <c r="B373" s="58"/>
      <c r="C373" s="56"/>
      <c r="D373" s="58"/>
      <c r="E373" s="56"/>
      <c r="F373" s="58"/>
      <c r="G373" s="56"/>
      <c r="H373" s="65"/>
    </row>
    <row r="374" spans="1:8" ht="28.25" customHeight="1" x14ac:dyDescent="0.2">
      <c r="A374" s="56" t="str">
        <f>IF(B374="","",IFERROR(INDEX('21 2026 ÜRETİM'!$A$2:$A$501,MATCH(B374,'21 2026 ÜRETİM'!$G$2:$G$501,0)),""))</f>
        <v/>
      </c>
      <c r="B374" s="58"/>
      <c r="C374" s="56"/>
      <c r="D374" s="58"/>
      <c r="E374" s="56"/>
      <c r="F374" s="58"/>
      <c r="G374" s="56"/>
      <c r="H374" s="65"/>
    </row>
    <row r="375" spans="1:8" ht="28.25" customHeight="1" x14ac:dyDescent="0.2">
      <c r="A375" s="56" t="str">
        <f>IF(B375="","",IFERROR(INDEX('21 2026 ÜRETİM'!$A$2:$A$501,MATCH(B375,'21 2026 ÜRETİM'!$G$2:$G$501,0)),""))</f>
        <v/>
      </c>
      <c r="B375" s="58"/>
      <c r="C375" s="56"/>
      <c r="D375" s="58"/>
      <c r="E375" s="56"/>
      <c r="F375" s="58"/>
      <c r="G375" s="56"/>
      <c r="H375" s="65"/>
    </row>
    <row r="376" spans="1:8" ht="28.25" customHeight="1" x14ac:dyDescent="0.2">
      <c r="A376" s="56" t="str">
        <f>IF(B376="","",IFERROR(INDEX('21 2026 ÜRETİM'!$A$2:$A$501,MATCH(B376,'21 2026 ÜRETİM'!$G$2:$G$501,0)),""))</f>
        <v/>
      </c>
      <c r="B376" s="58"/>
      <c r="C376" s="56"/>
      <c r="D376" s="58"/>
      <c r="E376" s="56"/>
      <c r="F376" s="58"/>
      <c r="G376" s="56"/>
      <c r="H376" s="65"/>
    </row>
    <row r="377" spans="1:8" ht="28.25" customHeight="1" x14ac:dyDescent="0.2">
      <c r="A377" s="56" t="str">
        <f>IF(B377="","",IFERROR(INDEX('21 2026 ÜRETİM'!$A$2:$A$501,MATCH(B377,'21 2026 ÜRETİM'!$G$2:$G$501,0)),""))</f>
        <v/>
      </c>
      <c r="B377" s="58"/>
      <c r="C377" s="56"/>
      <c r="D377" s="58"/>
      <c r="E377" s="56"/>
      <c r="F377" s="58"/>
      <c r="G377" s="56"/>
      <c r="H377" s="65"/>
    </row>
    <row r="378" spans="1:8" ht="28.25" customHeight="1" x14ac:dyDescent="0.2">
      <c r="A378" s="56" t="str">
        <f>IF(B378="","",IFERROR(INDEX('21 2026 ÜRETİM'!$A$2:$A$501,MATCH(B378,'21 2026 ÜRETİM'!$G$2:$G$501,0)),""))</f>
        <v/>
      </c>
      <c r="B378" s="58"/>
      <c r="C378" s="56"/>
      <c r="D378" s="58"/>
      <c r="E378" s="56"/>
      <c r="F378" s="58"/>
      <c r="G378" s="56"/>
      <c r="H378" s="65"/>
    </row>
    <row r="379" spans="1:8" ht="28.25" customHeight="1" x14ac:dyDescent="0.2">
      <c r="A379" s="56" t="str">
        <f>IF(B379="","",IFERROR(INDEX('21 2026 ÜRETİM'!$A$2:$A$501,MATCH(B379,'21 2026 ÜRETİM'!$G$2:$G$501,0)),""))</f>
        <v/>
      </c>
      <c r="B379" s="58"/>
      <c r="C379" s="56"/>
      <c r="D379" s="58"/>
      <c r="E379" s="56"/>
      <c r="F379" s="58"/>
      <c r="G379" s="56"/>
      <c r="H379" s="65"/>
    </row>
    <row r="380" spans="1:8" ht="28.25" customHeight="1" x14ac:dyDescent="0.2">
      <c r="A380" s="56" t="str">
        <f>IF(B380="","",IFERROR(INDEX('21 2026 ÜRETİM'!$A$2:$A$501,MATCH(B380,'21 2026 ÜRETİM'!$G$2:$G$501,0)),""))</f>
        <v/>
      </c>
      <c r="B380" s="58"/>
      <c r="C380" s="56"/>
      <c r="D380" s="58"/>
      <c r="E380" s="56"/>
      <c r="F380" s="58"/>
      <c r="G380" s="56"/>
      <c r="H380" s="65"/>
    </row>
    <row r="381" spans="1:8" ht="28.25" customHeight="1" x14ac:dyDescent="0.2">
      <c r="A381" s="56" t="str">
        <f>IF(B381="","",IFERROR(INDEX('21 2026 ÜRETİM'!$A$2:$A$501,MATCH(B381,'21 2026 ÜRETİM'!$G$2:$G$501,0)),""))</f>
        <v/>
      </c>
      <c r="B381" s="58"/>
      <c r="C381" s="56"/>
      <c r="D381" s="58"/>
      <c r="E381" s="56"/>
      <c r="F381" s="58"/>
      <c r="G381" s="56"/>
      <c r="H381" s="65"/>
    </row>
    <row r="382" spans="1:8" ht="28.25" customHeight="1" x14ac:dyDescent="0.2">
      <c r="A382" s="56" t="str">
        <f>IF(B382="","",IFERROR(INDEX('21 2026 ÜRETİM'!$A$2:$A$501,MATCH(B382,'21 2026 ÜRETİM'!$G$2:$G$501,0)),""))</f>
        <v/>
      </c>
      <c r="B382" s="58"/>
      <c r="C382" s="56"/>
      <c r="D382" s="58"/>
      <c r="E382" s="56"/>
      <c r="F382" s="58"/>
      <c r="G382" s="56"/>
      <c r="H382" s="65"/>
    </row>
    <row r="383" spans="1:8" ht="28.25" customHeight="1" x14ac:dyDescent="0.2">
      <c r="A383" s="56" t="str">
        <f>IF(B383="","",IFERROR(INDEX('21 2026 ÜRETİM'!$A$2:$A$501,MATCH(B383,'21 2026 ÜRETİM'!$G$2:$G$501,0)),""))</f>
        <v/>
      </c>
      <c r="B383" s="58"/>
      <c r="C383" s="56"/>
      <c r="D383" s="58"/>
      <c r="E383" s="56"/>
      <c r="F383" s="58"/>
      <c r="G383" s="56"/>
      <c r="H383" s="65"/>
    </row>
    <row r="384" spans="1:8" ht="28.25" customHeight="1" x14ac:dyDescent="0.2">
      <c r="A384" s="56" t="str">
        <f>IF(B384="","",IFERROR(INDEX('21 2026 ÜRETİM'!$A$2:$A$501,MATCH(B384,'21 2026 ÜRETİM'!$G$2:$G$501,0)),""))</f>
        <v/>
      </c>
      <c r="B384" s="58"/>
      <c r="C384" s="56"/>
      <c r="D384" s="58"/>
      <c r="E384" s="56"/>
      <c r="F384" s="58"/>
      <c r="G384" s="56"/>
      <c r="H384" s="65"/>
    </row>
    <row r="385" spans="1:8" ht="28.25" customHeight="1" x14ac:dyDescent="0.2">
      <c r="A385" s="56" t="str">
        <f>IF(B385="","",IFERROR(INDEX('21 2026 ÜRETİM'!$A$2:$A$501,MATCH(B385,'21 2026 ÜRETİM'!$G$2:$G$501,0)),""))</f>
        <v/>
      </c>
      <c r="B385" s="58"/>
      <c r="C385" s="56"/>
      <c r="D385" s="58"/>
      <c r="E385" s="56"/>
      <c r="F385" s="58"/>
      <c r="G385" s="56"/>
      <c r="H385" s="65"/>
    </row>
    <row r="386" spans="1:8" ht="28.25" customHeight="1" x14ac:dyDescent="0.2">
      <c r="A386" s="56" t="str">
        <f>IF(B386="","",IFERROR(INDEX('21 2026 ÜRETİM'!$A$2:$A$501,MATCH(B386,'21 2026 ÜRETİM'!$G$2:$G$501,0)),""))</f>
        <v/>
      </c>
      <c r="B386" s="58"/>
      <c r="C386" s="56"/>
      <c r="D386" s="58"/>
      <c r="E386" s="56"/>
      <c r="F386" s="58"/>
      <c r="G386" s="56"/>
      <c r="H386" s="65"/>
    </row>
    <row r="387" spans="1:8" ht="28.25" customHeight="1" x14ac:dyDescent="0.2">
      <c r="A387" s="56" t="str">
        <f>IF(B387="","",IFERROR(INDEX('21 2026 ÜRETİM'!$A$2:$A$501,MATCH(B387,'21 2026 ÜRETİM'!$G$2:$G$501,0)),""))</f>
        <v/>
      </c>
      <c r="B387" s="58"/>
      <c r="C387" s="56"/>
      <c r="D387" s="58"/>
      <c r="E387" s="56"/>
      <c r="F387" s="58"/>
      <c r="G387" s="56"/>
      <c r="H387" s="65"/>
    </row>
    <row r="388" spans="1:8" ht="28.25" customHeight="1" x14ac:dyDescent="0.2">
      <c r="A388" s="56" t="str">
        <f>IF(B388="","",IFERROR(INDEX('21 2026 ÜRETİM'!$A$2:$A$501,MATCH(B388,'21 2026 ÜRETİM'!$G$2:$G$501,0)),""))</f>
        <v/>
      </c>
      <c r="B388" s="58"/>
      <c r="C388" s="56"/>
      <c r="D388" s="58"/>
      <c r="E388" s="56"/>
      <c r="F388" s="58"/>
      <c r="G388" s="56"/>
      <c r="H388" s="65"/>
    </row>
    <row r="389" spans="1:8" ht="28.25" customHeight="1" x14ac:dyDescent="0.2">
      <c r="A389" s="56" t="str">
        <f>IF(B389="","",IFERROR(INDEX('21 2026 ÜRETİM'!$A$2:$A$501,MATCH(B389,'21 2026 ÜRETİM'!$G$2:$G$501,0)),""))</f>
        <v/>
      </c>
      <c r="B389" s="58"/>
      <c r="C389" s="56"/>
      <c r="D389" s="58"/>
      <c r="E389" s="56"/>
      <c r="F389" s="58"/>
      <c r="G389" s="56"/>
      <c r="H389" s="65"/>
    </row>
    <row r="390" spans="1:8" ht="28.25" customHeight="1" x14ac:dyDescent="0.2">
      <c r="A390" s="56" t="str">
        <f>IF(B390="","",IFERROR(INDEX('21 2026 ÜRETİM'!$A$2:$A$501,MATCH(B390,'21 2026 ÜRETİM'!$G$2:$G$501,0)),""))</f>
        <v/>
      </c>
      <c r="B390" s="58"/>
      <c r="C390" s="56"/>
      <c r="D390" s="58"/>
      <c r="E390" s="56"/>
      <c r="F390" s="58"/>
      <c r="G390" s="56"/>
      <c r="H390" s="65"/>
    </row>
    <row r="391" spans="1:8" ht="28.25" customHeight="1" x14ac:dyDescent="0.2">
      <c r="A391" s="56" t="str">
        <f>IF(B391="","",IFERROR(INDEX('21 2026 ÜRETİM'!$A$2:$A$501,MATCH(B391,'21 2026 ÜRETİM'!$G$2:$G$501,0)),""))</f>
        <v/>
      </c>
      <c r="B391" s="58"/>
      <c r="C391" s="56"/>
      <c r="D391" s="58"/>
      <c r="E391" s="56"/>
      <c r="F391" s="58"/>
      <c r="G391" s="56"/>
      <c r="H391" s="65"/>
    </row>
    <row r="392" spans="1:8" ht="28.25" customHeight="1" x14ac:dyDescent="0.2">
      <c r="A392" s="56" t="str">
        <f>IF(B392="","",IFERROR(INDEX('21 2026 ÜRETİM'!$A$2:$A$501,MATCH(B392,'21 2026 ÜRETİM'!$G$2:$G$501,0)),""))</f>
        <v/>
      </c>
      <c r="B392" s="58"/>
      <c r="C392" s="56"/>
      <c r="D392" s="58"/>
      <c r="E392" s="56"/>
      <c r="F392" s="58"/>
      <c r="G392" s="56"/>
      <c r="H392" s="65"/>
    </row>
    <row r="393" spans="1:8" ht="28.25" customHeight="1" x14ac:dyDescent="0.2">
      <c r="A393" s="56" t="str">
        <f>IF(B393="","",IFERROR(INDEX('21 2026 ÜRETİM'!$A$2:$A$501,MATCH(B393,'21 2026 ÜRETİM'!$G$2:$G$501,0)),""))</f>
        <v/>
      </c>
      <c r="B393" s="58"/>
      <c r="C393" s="56"/>
      <c r="D393" s="58"/>
      <c r="E393" s="56"/>
      <c r="F393" s="58"/>
      <c r="G393" s="56"/>
      <c r="H393" s="65"/>
    </row>
    <row r="394" spans="1:8" ht="28.25" customHeight="1" x14ac:dyDescent="0.2">
      <c r="A394" s="56" t="str">
        <f>IF(B394="","",IFERROR(INDEX('21 2026 ÜRETİM'!$A$2:$A$501,MATCH(B394,'21 2026 ÜRETİM'!$G$2:$G$501,0)),""))</f>
        <v/>
      </c>
      <c r="B394" s="58"/>
      <c r="C394" s="56"/>
      <c r="D394" s="58"/>
      <c r="E394" s="56"/>
      <c r="F394" s="58"/>
      <c r="G394" s="56"/>
      <c r="H394" s="65"/>
    </row>
    <row r="395" spans="1:8" ht="28.25" customHeight="1" x14ac:dyDescent="0.2">
      <c r="A395" s="56" t="str">
        <f>IF(B395="","",IFERROR(INDEX('21 2026 ÜRETİM'!$A$2:$A$501,MATCH(B395,'21 2026 ÜRETİM'!$G$2:$G$501,0)),""))</f>
        <v/>
      </c>
      <c r="B395" s="58"/>
      <c r="C395" s="56"/>
      <c r="D395" s="58"/>
      <c r="E395" s="56"/>
      <c r="F395" s="58"/>
      <c r="G395" s="56"/>
      <c r="H395" s="65"/>
    </row>
    <row r="396" spans="1:8" ht="28.25" customHeight="1" x14ac:dyDescent="0.2">
      <c r="A396" s="56" t="str">
        <f>IF(B396="","",IFERROR(INDEX('21 2026 ÜRETİM'!$A$2:$A$501,MATCH(B396,'21 2026 ÜRETİM'!$G$2:$G$501,0)),""))</f>
        <v/>
      </c>
      <c r="B396" s="58"/>
      <c r="C396" s="56"/>
      <c r="D396" s="58"/>
      <c r="E396" s="56"/>
      <c r="F396" s="58"/>
      <c r="G396" s="56"/>
      <c r="H396" s="65"/>
    </row>
    <row r="397" spans="1:8" ht="28.25" customHeight="1" x14ac:dyDescent="0.2">
      <c r="A397" s="56" t="str">
        <f>IF(B397="","",IFERROR(INDEX('21 2026 ÜRETİM'!$A$2:$A$501,MATCH(B397,'21 2026 ÜRETİM'!$G$2:$G$501,0)),""))</f>
        <v/>
      </c>
      <c r="B397" s="58"/>
      <c r="C397" s="56"/>
      <c r="D397" s="58"/>
      <c r="E397" s="56"/>
      <c r="F397" s="58"/>
      <c r="G397" s="56"/>
      <c r="H397" s="65"/>
    </row>
    <row r="398" spans="1:8" ht="28.25" customHeight="1" x14ac:dyDescent="0.2">
      <c r="A398" s="56" t="str">
        <f>IF(B398="","",IFERROR(INDEX('21 2026 ÜRETİM'!$A$2:$A$501,MATCH(B398,'21 2026 ÜRETİM'!$G$2:$G$501,0)),""))</f>
        <v/>
      </c>
      <c r="B398" s="58"/>
      <c r="C398" s="56"/>
      <c r="D398" s="58"/>
      <c r="E398" s="56"/>
      <c r="F398" s="58"/>
      <c r="G398" s="56"/>
      <c r="H398" s="65"/>
    </row>
    <row r="399" spans="1:8" ht="28.25" customHeight="1" x14ac:dyDescent="0.2">
      <c r="A399" s="56" t="str">
        <f>IF(B399="","",IFERROR(INDEX('21 2026 ÜRETİM'!$A$2:$A$501,MATCH(B399,'21 2026 ÜRETİM'!$G$2:$G$501,0)),""))</f>
        <v/>
      </c>
      <c r="B399" s="58"/>
      <c r="C399" s="56"/>
      <c r="D399" s="58"/>
      <c r="E399" s="56"/>
      <c r="F399" s="58"/>
      <c r="G399" s="56"/>
      <c r="H399" s="65"/>
    </row>
    <row r="400" spans="1:8" ht="28.25" customHeight="1" x14ac:dyDescent="0.2">
      <c r="A400" s="56" t="str">
        <f>IF(B400="","",IFERROR(INDEX('21 2026 ÜRETİM'!$A$2:$A$501,MATCH(B400,'21 2026 ÜRETİM'!$G$2:$G$501,0)),""))</f>
        <v/>
      </c>
      <c r="B400" s="58"/>
      <c r="C400" s="56"/>
      <c r="D400" s="58"/>
      <c r="E400" s="56"/>
      <c r="F400" s="58"/>
      <c r="G400" s="56"/>
      <c r="H400" s="65"/>
    </row>
    <row r="401" spans="1:8" ht="28.25" customHeight="1" x14ac:dyDescent="0.2">
      <c r="A401" s="56" t="str">
        <f>IF(B401="","",IFERROR(INDEX('21 2026 ÜRETİM'!$A$2:$A$501,MATCH(B401,'21 2026 ÜRETİM'!$G$2:$G$501,0)),""))</f>
        <v/>
      </c>
      <c r="B401" s="58"/>
      <c r="C401" s="56"/>
      <c r="D401" s="58"/>
      <c r="E401" s="56"/>
      <c r="F401" s="58"/>
      <c r="G401" s="56"/>
      <c r="H401" s="65"/>
    </row>
    <row r="402" spans="1:8" ht="28.25" customHeight="1" x14ac:dyDescent="0.2">
      <c r="A402" s="56" t="str">
        <f>IF(B402="","",IFERROR(INDEX('21 2026 ÜRETİM'!$A$2:$A$501,MATCH(B402,'21 2026 ÜRETİM'!$G$2:$G$501,0)),""))</f>
        <v/>
      </c>
      <c r="B402" s="58"/>
      <c r="C402" s="56"/>
      <c r="D402" s="58"/>
      <c r="E402" s="56"/>
      <c r="F402" s="58"/>
      <c r="G402" s="56"/>
      <c r="H402" s="65"/>
    </row>
    <row r="403" spans="1:8" ht="28.25" customHeight="1" x14ac:dyDescent="0.2">
      <c r="A403" s="56" t="str">
        <f>IF(B403="","",IFERROR(INDEX('21 2026 ÜRETİM'!$A$2:$A$501,MATCH(B403,'21 2026 ÜRETİM'!$G$2:$G$501,0)),""))</f>
        <v/>
      </c>
      <c r="B403" s="58"/>
      <c r="C403" s="56"/>
      <c r="D403" s="58"/>
      <c r="E403" s="56"/>
      <c r="F403" s="58"/>
      <c r="G403" s="56"/>
      <c r="H403" s="65"/>
    </row>
    <row r="404" spans="1:8" ht="28.25" customHeight="1" x14ac:dyDescent="0.2">
      <c r="A404" s="56" t="str">
        <f>IF(B404="","",IFERROR(INDEX('21 2026 ÜRETİM'!$A$2:$A$501,MATCH(B404,'21 2026 ÜRETİM'!$G$2:$G$501,0)),""))</f>
        <v/>
      </c>
      <c r="B404" s="58"/>
      <c r="C404" s="56"/>
      <c r="D404" s="58"/>
      <c r="E404" s="56"/>
      <c r="F404" s="58"/>
      <c r="G404" s="56"/>
      <c r="H404" s="65"/>
    </row>
    <row r="405" spans="1:8" ht="28.25" customHeight="1" x14ac:dyDescent="0.2">
      <c r="A405" s="56" t="str">
        <f>IF(B405="","",IFERROR(INDEX('21 2026 ÜRETİM'!$A$2:$A$501,MATCH(B405,'21 2026 ÜRETİM'!$G$2:$G$501,0)),""))</f>
        <v/>
      </c>
      <c r="B405" s="58"/>
      <c r="C405" s="56"/>
      <c r="D405" s="58"/>
      <c r="E405" s="56"/>
      <c r="F405" s="58"/>
      <c r="G405" s="56"/>
      <c r="H405" s="65"/>
    </row>
    <row r="406" spans="1:8" ht="28.25" customHeight="1" x14ac:dyDescent="0.2">
      <c r="A406" s="56" t="str">
        <f>IF(B406="","",IFERROR(INDEX('21 2026 ÜRETİM'!$A$2:$A$501,MATCH(B406,'21 2026 ÜRETİM'!$G$2:$G$501,0)),""))</f>
        <v/>
      </c>
      <c r="B406" s="58"/>
      <c r="C406" s="56"/>
      <c r="D406" s="58"/>
      <c r="E406" s="56"/>
      <c r="F406" s="58"/>
      <c r="G406" s="56"/>
      <c r="H406" s="65"/>
    </row>
    <row r="407" spans="1:8" ht="28.25" customHeight="1" x14ac:dyDescent="0.2">
      <c r="A407" s="56" t="str">
        <f>IF(B407="","",IFERROR(INDEX('21 2026 ÜRETİM'!$A$2:$A$501,MATCH(B407,'21 2026 ÜRETİM'!$G$2:$G$501,0)),""))</f>
        <v/>
      </c>
      <c r="B407" s="58"/>
      <c r="C407" s="56"/>
      <c r="D407" s="58"/>
      <c r="E407" s="56"/>
      <c r="F407" s="58"/>
      <c r="G407" s="56"/>
      <c r="H407" s="65"/>
    </row>
    <row r="408" spans="1:8" ht="28.25" customHeight="1" x14ac:dyDescent="0.2">
      <c r="A408" s="56" t="str">
        <f>IF(B408="","",IFERROR(INDEX('21 2026 ÜRETİM'!$A$2:$A$501,MATCH(B408,'21 2026 ÜRETİM'!$G$2:$G$501,0)),""))</f>
        <v/>
      </c>
      <c r="B408" s="58"/>
      <c r="C408" s="56"/>
      <c r="D408" s="58"/>
      <c r="E408" s="56"/>
      <c r="F408" s="58"/>
      <c r="G408" s="56"/>
      <c r="H408" s="65"/>
    </row>
    <row r="409" spans="1:8" ht="28.25" customHeight="1" x14ac:dyDescent="0.2">
      <c r="A409" s="56" t="str">
        <f>IF(B409="","",IFERROR(INDEX('21 2026 ÜRETİM'!$A$2:$A$501,MATCH(B409,'21 2026 ÜRETİM'!$G$2:$G$501,0)),""))</f>
        <v/>
      </c>
      <c r="B409" s="58"/>
      <c r="C409" s="56"/>
      <c r="D409" s="58"/>
      <c r="E409" s="56"/>
      <c r="F409" s="58"/>
      <c r="G409" s="56"/>
      <c r="H409" s="65"/>
    </row>
    <row r="410" spans="1:8" ht="28.25" customHeight="1" x14ac:dyDescent="0.2">
      <c r="A410" s="56" t="str">
        <f>IF(B410="","",IFERROR(INDEX('21 2026 ÜRETİM'!$A$2:$A$501,MATCH(B410,'21 2026 ÜRETİM'!$G$2:$G$501,0)),""))</f>
        <v/>
      </c>
      <c r="B410" s="58"/>
      <c r="C410" s="56"/>
      <c r="D410" s="58"/>
      <c r="E410" s="56"/>
      <c r="F410" s="58"/>
      <c r="G410" s="56"/>
      <c r="H410" s="65"/>
    </row>
    <row r="411" spans="1:8" ht="28.25" customHeight="1" x14ac:dyDescent="0.2">
      <c r="A411" s="56" t="str">
        <f>IF(B411="","",IFERROR(INDEX('21 2026 ÜRETİM'!$A$2:$A$501,MATCH(B411,'21 2026 ÜRETİM'!$G$2:$G$501,0)),""))</f>
        <v/>
      </c>
      <c r="B411" s="58"/>
      <c r="C411" s="56"/>
      <c r="D411" s="58"/>
      <c r="E411" s="56"/>
      <c r="F411" s="58"/>
      <c r="G411" s="56"/>
      <c r="H411" s="65"/>
    </row>
    <row r="412" spans="1:8" ht="28.25" customHeight="1" x14ac:dyDescent="0.2">
      <c r="A412" s="56" t="str">
        <f>IF(B412="","",IFERROR(INDEX('21 2026 ÜRETİM'!$A$2:$A$501,MATCH(B412,'21 2026 ÜRETİM'!$G$2:$G$501,0)),""))</f>
        <v/>
      </c>
      <c r="B412" s="58"/>
      <c r="C412" s="56"/>
      <c r="D412" s="58"/>
      <c r="E412" s="56"/>
      <c r="F412" s="58"/>
      <c r="G412" s="56"/>
      <c r="H412" s="65"/>
    </row>
    <row r="413" spans="1:8" ht="28.25" customHeight="1" x14ac:dyDescent="0.2">
      <c r="A413" s="56" t="str">
        <f>IF(B413="","",IFERROR(INDEX('21 2026 ÜRETİM'!$A$2:$A$501,MATCH(B413,'21 2026 ÜRETİM'!$G$2:$G$501,0)),""))</f>
        <v/>
      </c>
      <c r="B413" s="58"/>
      <c r="C413" s="56"/>
      <c r="D413" s="58"/>
      <c r="E413" s="56"/>
      <c r="F413" s="58"/>
      <c r="G413" s="56"/>
      <c r="H413" s="65"/>
    </row>
    <row r="414" spans="1:8" ht="28.25" customHeight="1" x14ac:dyDescent="0.2">
      <c r="A414" s="56" t="str">
        <f>IF(B414="","",IFERROR(INDEX('21 2026 ÜRETİM'!$A$2:$A$501,MATCH(B414,'21 2026 ÜRETİM'!$G$2:$G$501,0)),""))</f>
        <v/>
      </c>
      <c r="B414" s="58"/>
      <c r="C414" s="56"/>
      <c r="D414" s="58"/>
      <c r="E414" s="56"/>
      <c r="F414" s="58"/>
      <c r="G414" s="56"/>
      <c r="H414" s="65"/>
    </row>
    <row r="415" spans="1:8" ht="28.25" customHeight="1" x14ac:dyDescent="0.2">
      <c r="A415" s="56" t="str">
        <f>IF(B415="","",IFERROR(INDEX('21 2026 ÜRETİM'!$A$2:$A$501,MATCH(B415,'21 2026 ÜRETİM'!$G$2:$G$501,0)),""))</f>
        <v/>
      </c>
      <c r="B415" s="58"/>
      <c r="C415" s="56"/>
      <c r="D415" s="58"/>
      <c r="E415" s="56"/>
      <c r="F415" s="58"/>
      <c r="G415" s="56"/>
      <c r="H415" s="65"/>
    </row>
    <row r="416" spans="1:8" ht="28.25" customHeight="1" x14ac:dyDescent="0.2">
      <c r="A416" s="56" t="str">
        <f>IF(B416="","",IFERROR(INDEX('21 2026 ÜRETİM'!$A$2:$A$501,MATCH(B416,'21 2026 ÜRETİM'!$G$2:$G$501,0)),""))</f>
        <v/>
      </c>
      <c r="B416" s="58"/>
      <c r="C416" s="56"/>
      <c r="D416" s="58"/>
      <c r="E416" s="56"/>
      <c r="F416" s="58"/>
      <c r="G416" s="56"/>
      <c r="H416" s="65"/>
    </row>
    <row r="417" spans="1:8" ht="28.25" customHeight="1" x14ac:dyDescent="0.2">
      <c r="A417" s="56" t="str">
        <f>IF(B417="","",IFERROR(INDEX('21 2026 ÜRETİM'!$A$2:$A$501,MATCH(B417,'21 2026 ÜRETİM'!$G$2:$G$501,0)),""))</f>
        <v/>
      </c>
      <c r="B417" s="58"/>
      <c r="C417" s="56"/>
      <c r="D417" s="58"/>
      <c r="E417" s="56"/>
      <c r="F417" s="58"/>
      <c r="G417" s="56"/>
      <c r="H417" s="65"/>
    </row>
    <row r="418" spans="1:8" ht="28.25" customHeight="1" x14ac:dyDescent="0.2">
      <c r="A418" s="56" t="str">
        <f>IF(B418="","",IFERROR(INDEX('21 2026 ÜRETİM'!$A$2:$A$501,MATCH(B418,'21 2026 ÜRETİM'!$G$2:$G$501,0)),""))</f>
        <v/>
      </c>
      <c r="B418" s="58"/>
      <c r="C418" s="56"/>
      <c r="D418" s="58"/>
      <c r="E418" s="56"/>
      <c r="F418" s="58"/>
      <c r="G418" s="56"/>
      <c r="H418" s="65"/>
    </row>
    <row r="419" spans="1:8" ht="28.25" customHeight="1" x14ac:dyDescent="0.2">
      <c r="A419" s="56" t="str">
        <f>IF(B419="","",IFERROR(INDEX('21 2026 ÜRETİM'!$A$2:$A$501,MATCH(B419,'21 2026 ÜRETİM'!$G$2:$G$501,0)),""))</f>
        <v/>
      </c>
      <c r="B419" s="58"/>
      <c r="C419" s="56"/>
      <c r="D419" s="58"/>
      <c r="E419" s="56"/>
      <c r="F419" s="58"/>
      <c r="G419" s="56"/>
      <c r="H419" s="65"/>
    </row>
    <row r="420" spans="1:8" ht="28.25" customHeight="1" x14ac:dyDescent="0.2">
      <c r="A420" s="56" t="str">
        <f>IF(B420="","",IFERROR(INDEX('21 2026 ÜRETİM'!$A$2:$A$501,MATCH(B420,'21 2026 ÜRETİM'!$G$2:$G$501,0)),""))</f>
        <v/>
      </c>
      <c r="B420" s="58"/>
      <c r="C420" s="56"/>
      <c r="D420" s="58"/>
      <c r="E420" s="56"/>
      <c r="F420" s="58"/>
      <c r="G420" s="56"/>
      <c r="H420" s="65"/>
    </row>
    <row r="421" spans="1:8" ht="28.25" customHeight="1" x14ac:dyDescent="0.2">
      <c r="A421" s="56" t="str">
        <f>IF(B421="","",IFERROR(INDEX('21 2026 ÜRETİM'!$A$2:$A$501,MATCH(B421,'21 2026 ÜRETİM'!$G$2:$G$501,0)),""))</f>
        <v/>
      </c>
      <c r="B421" s="58"/>
      <c r="C421" s="56"/>
      <c r="D421" s="58"/>
      <c r="E421" s="56"/>
      <c r="F421" s="58"/>
      <c r="G421" s="56"/>
      <c r="H421" s="65"/>
    </row>
    <row r="422" spans="1:8" ht="28.25" customHeight="1" x14ac:dyDescent="0.2">
      <c r="A422" s="56" t="str">
        <f>IF(B422="","",IFERROR(INDEX('21 2026 ÜRETİM'!$A$2:$A$501,MATCH(B422,'21 2026 ÜRETİM'!$G$2:$G$501,0)),""))</f>
        <v/>
      </c>
      <c r="B422" s="58"/>
      <c r="C422" s="56"/>
      <c r="D422" s="58"/>
      <c r="E422" s="56"/>
      <c r="F422" s="58"/>
      <c r="G422" s="56"/>
      <c r="H422" s="65"/>
    </row>
    <row r="423" spans="1:8" ht="28.25" customHeight="1" x14ac:dyDescent="0.2">
      <c r="A423" s="56" t="str">
        <f>IF(B423="","",IFERROR(INDEX('21 2026 ÜRETİM'!$A$2:$A$501,MATCH(B423,'21 2026 ÜRETİM'!$G$2:$G$501,0)),""))</f>
        <v/>
      </c>
      <c r="B423" s="58"/>
      <c r="C423" s="56"/>
      <c r="D423" s="58"/>
      <c r="E423" s="56"/>
      <c r="F423" s="58"/>
      <c r="G423" s="56"/>
      <c r="H423" s="65"/>
    </row>
    <row r="424" spans="1:8" ht="28.25" customHeight="1" x14ac:dyDescent="0.2">
      <c r="A424" s="56" t="str">
        <f>IF(B424="","",IFERROR(INDEX('21 2026 ÜRETİM'!$A$2:$A$501,MATCH(B424,'21 2026 ÜRETİM'!$G$2:$G$501,0)),""))</f>
        <v/>
      </c>
      <c r="B424" s="58"/>
      <c r="C424" s="56"/>
      <c r="D424" s="58"/>
      <c r="E424" s="56"/>
      <c r="F424" s="58"/>
      <c r="G424" s="56"/>
      <c r="H424" s="65"/>
    </row>
    <row r="425" spans="1:8" ht="28.25" customHeight="1" x14ac:dyDescent="0.2">
      <c r="A425" s="56" t="str">
        <f>IF(B425="","",IFERROR(INDEX('21 2026 ÜRETİM'!$A$2:$A$501,MATCH(B425,'21 2026 ÜRETİM'!$G$2:$G$501,0)),""))</f>
        <v/>
      </c>
      <c r="B425" s="58"/>
      <c r="C425" s="56"/>
      <c r="D425" s="58"/>
      <c r="E425" s="56"/>
      <c r="F425" s="58"/>
      <c r="G425" s="56"/>
      <c r="H425" s="65"/>
    </row>
    <row r="426" spans="1:8" ht="28.25" customHeight="1" x14ac:dyDescent="0.2">
      <c r="A426" s="56" t="str">
        <f>IF(B426="","",IFERROR(INDEX('21 2026 ÜRETİM'!$A$2:$A$501,MATCH(B426,'21 2026 ÜRETİM'!$G$2:$G$501,0)),""))</f>
        <v/>
      </c>
      <c r="B426" s="58"/>
      <c r="C426" s="56"/>
      <c r="D426" s="58"/>
      <c r="E426" s="56"/>
      <c r="F426" s="58"/>
      <c r="G426" s="56"/>
      <c r="H426" s="65"/>
    </row>
    <row r="427" spans="1:8" ht="28.25" customHeight="1" x14ac:dyDescent="0.2">
      <c r="A427" s="56" t="str">
        <f>IF(B427="","",IFERROR(INDEX('21 2026 ÜRETİM'!$A$2:$A$501,MATCH(B427,'21 2026 ÜRETİM'!$G$2:$G$501,0)),""))</f>
        <v/>
      </c>
      <c r="B427" s="58"/>
      <c r="C427" s="56"/>
      <c r="D427" s="58"/>
      <c r="E427" s="56"/>
      <c r="F427" s="58"/>
      <c r="G427" s="56"/>
      <c r="H427" s="65"/>
    </row>
    <row r="428" spans="1:8" ht="28.25" customHeight="1" x14ac:dyDescent="0.2">
      <c r="A428" s="56" t="str">
        <f>IF(B428="","",IFERROR(INDEX('21 2026 ÜRETİM'!$A$2:$A$501,MATCH(B428,'21 2026 ÜRETİM'!$G$2:$G$501,0)),""))</f>
        <v/>
      </c>
      <c r="B428" s="58"/>
      <c r="C428" s="56"/>
      <c r="D428" s="58"/>
      <c r="E428" s="56"/>
      <c r="F428" s="58"/>
      <c r="G428" s="56"/>
      <c r="H428" s="65"/>
    </row>
    <row r="429" spans="1:8" ht="28.25" customHeight="1" x14ac:dyDescent="0.2">
      <c r="A429" s="56" t="str">
        <f>IF(B429="","",IFERROR(INDEX('21 2026 ÜRETİM'!$A$2:$A$501,MATCH(B429,'21 2026 ÜRETİM'!$G$2:$G$501,0)),""))</f>
        <v/>
      </c>
      <c r="B429" s="58"/>
      <c r="C429" s="56"/>
      <c r="D429" s="58"/>
      <c r="E429" s="56"/>
      <c r="F429" s="58"/>
      <c r="G429" s="56"/>
      <c r="H429" s="65"/>
    </row>
    <row r="430" spans="1:8" ht="28.25" customHeight="1" x14ac:dyDescent="0.2">
      <c r="A430" s="56" t="str">
        <f>IF(B430="","",IFERROR(INDEX('21 2026 ÜRETİM'!$A$2:$A$501,MATCH(B430,'21 2026 ÜRETİM'!$G$2:$G$501,0)),""))</f>
        <v/>
      </c>
      <c r="B430" s="58"/>
      <c r="C430" s="56"/>
      <c r="D430" s="58"/>
      <c r="E430" s="56"/>
      <c r="F430" s="58"/>
      <c r="G430" s="56"/>
      <c r="H430" s="65"/>
    </row>
    <row r="431" spans="1:8" ht="28.25" customHeight="1" x14ac:dyDescent="0.2">
      <c r="A431" s="56" t="str">
        <f>IF(B431="","",IFERROR(INDEX('21 2026 ÜRETİM'!$A$2:$A$501,MATCH(B431,'21 2026 ÜRETİM'!$G$2:$G$501,0)),""))</f>
        <v/>
      </c>
      <c r="B431" s="58"/>
      <c r="C431" s="56"/>
      <c r="D431" s="58"/>
      <c r="E431" s="56"/>
      <c r="F431" s="58"/>
      <c r="G431" s="56"/>
      <c r="H431" s="65"/>
    </row>
    <row r="432" spans="1:8" ht="28.25" customHeight="1" x14ac:dyDescent="0.2">
      <c r="A432" s="56" t="str">
        <f>IF(B432="","",IFERROR(INDEX('21 2026 ÜRETİM'!$A$2:$A$501,MATCH(B432,'21 2026 ÜRETİM'!$G$2:$G$501,0)),""))</f>
        <v/>
      </c>
      <c r="B432" s="58"/>
      <c r="C432" s="56"/>
      <c r="D432" s="58"/>
      <c r="E432" s="56"/>
      <c r="F432" s="58"/>
      <c r="G432" s="56"/>
      <c r="H432" s="65"/>
    </row>
    <row r="433" spans="1:8" ht="28.25" customHeight="1" x14ac:dyDescent="0.2">
      <c r="A433" s="56" t="str">
        <f>IF(B433="","",IFERROR(INDEX('21 2026 ÜRETİM'!$A$2:$A$501,MATCH(B433,'21 2026 ÜRETİM'!$G$2:$G$501,0)),""))</f>
        <v/>
      </c>
      <c r="B433" s="58"/>
      <c r="C433" s="56"/>
      <c r="D433" s="58"/>
      <c r="E433" s="56"/>
      <c r="F433" s="58"/>
      <c r="G433" s="56"/>
      <c r="H433" s="65"/>
    </row>
    <row r="434" spans="1:8" ht="28.25" customHeight="1" x14ac:dyDescent="0.2">
      <c r="A434" s="56" t="str">
        <f>IF(B434="","",IFERROR(INDEX('21 2026 ÜRETİM'!$A$2:$A$501,MATCH(B434,'21 2026 ÜRETİM'!$G$2:$G$501,0)),""))</f>
        <v/>
      </c>
      <c r="B434" s="58"/>
      <c r="C434" s="56"/>
      <c r="D434" s="58"/>
      <c r="E434" s="56"/>
      <c r="F434" s="58"/>
      <c r="G434" s="56"/>
      <c r="H434" s="65"/>
    </row>
    <row r="435" spans="1:8" ht="28.25" customHeight="1" x14ac:dyDescent="0.2">
      <c r="A435" s="56" t="str">
        <f>IF(B435="","",IFERROR(INDEX('21 2026 ÜRETİM'!$A$2:$A$501,MATCH(B435,'21 2026 ÜRETİM'!$G$2:$G$501,0)),""))</f>
        <v/>
      </c>
      <c r="B435" s="58"/>
      <c r="C435" s="56"/>
      <c r="D435" s="58"/>
      <c r="E435" s="56"/>
      <c r="F435" s="58"/>
      <c r="G435" s="56"/>
      <c r="H435" s="65"/>
    </row>
    <row r="436" spans="1:8" ht="28.25" customHeight="1" x14ac:dyDescent="0.2">
      <c r="A436" s="56" t="str">
        <f>IF(B436="","",IFERROR(INDEX('21 2026 ÜRETİM'!$A$2:$A$501,MATCH(B436,'21 2026 ÜRETİM'!$G$2:$G$501,0)),""))</f>
        <v/>
      </c>
      <c r="B436" s="58"/>
      <c r="C436" s="56"/>
      <c r="D436" s="58"/>
      <c r="E436" s="56"/>
      <c r="F436" s="58"/>
      <c r="G436" s="56"/>
      <c r="H436" s="65"/>
    </row>
    <row r="437" spans="1:8" ht="28.25" customHeight="1" x14ac:dyDescent="0.2">
      <c r="A437" s="56" t="str">
        <f>IF(B437="","",IFERROR(INDEX('21 2026 ÜRETİM'!$A$2:$A$501,MATCH(B437,'21 2026 ÜRETİM'!$G$2:$G$501,0)),""))</f>
        <v/>
      </c>
      <c r="B437" s="58"/>
      <c r="C437" s="56"/>
      <c r="D437" s="58"/>
      <c r="E437" s="56"/>
      <c r="F437" s="58"/>
      <c r="G437" s="56"/>
      <c r="H437" s="65"/>
    </row>
    <row r="438" spans="1:8" ht="28.25" customHeight="1" x14ac:dyDescent="0.2">
      <c r="A438" s="56" t="str">
        <f>IF(B438="","",IFERROR(INDEX('21 2026 ÜRETİM'!$A$2:$A$501,MATCH(B438,'21 2026 ÜRETİM'!$G$2:$G$501,0)),""))</f>
        <v/>
      </c>
      <c r="B438" s="58"/>
      <c r="C438" s="56"/>
      <c r="D438" s="58"/>
      <c r="E438" s="56"/>
      <c r="F438" s="58"/>
      <c r="G438" s="56"/>
      <c r="H438" s="65"/>
    </row>
    <row r="439" spans="1:8" ht="28.25" customHeight="1" x14ac:dyDescent="0.2">
      <c r="A439" s="56" t="str">
        <f>IF(B439="","",IFERROR(INDEX('21 2026 ÜRETİM'!$A$2:$A$501,MATCH(B439,'21 2026 ÜRETİM'!$G$2:$G$501,0)),""))</f>
        <v/>
      </c>
      <c r="B439" s="58"/>
      <c r="C439" s="56"/>
      <c r="D439" s="58"/>
      <c r="E439" s="56"/>
      <c r="F439" s="58"/>
      <c r="G439" s="56"/>
      <c r="H439" s="65"/>
    </row>
    <row r="440" spans="1:8" ht="28.25" customHeight="1" x14ac:dyDescent="0.2">
      <c r="A440" s="56" t="str">
        <f>IF(B440="","",IFERROR(INDEX('21 2026 ÜRETİM'!$A$2:$A$501,MATCH(B440,'21 2026 ÜRETİM'!$G$2:$G$501,0)),""))</f>
        <v/>
      </c>
      <c r="B440" s="58"/>
      <c r="C440" s="56"/>
      <c r="D440" s="58"/>
      <c r="E440" s="56"/>
      <c r="F440" s="58"/>
      <c r="G440" s="56"/>
      <c r="H440" s="65"/>
    </row>
    <row r="441" spans="1:8" ht="28.25" customHeight="1" x14ac:dyDescent="0.2">
      <c r="A441" s="56" t="str">
        <f>IF(B441="","",IFERROR(INDEX('21 2026 ÜRETİM'!$A$2:$A$501,MATCH(B441,'21 2026 ÜRETİM'!$G$2:$G$501,0)),""))</f>
        <v/>
      </c>
      <c r="B441" s="58"/>
      <c r="C441" s="56"/>
      <c r="D441" s="58"/>
      <c r="E441" s="56"/>
      <c r="F441" s="58"/>
      <c r="G441" s="56"/>
      <c r="H441" s="65"/>
    </row>
    <row r="442" spans="1:8" ht="28.25" customHeight="1" x14ac:dyDescent="0.2">
      <c r="A442" s="56" t="str">
        <f>IF(B442="","",IFERROR(INDEX('21 2026 ÜRETİM'!$A$2:$A$501,MATCH(B442,'21 2026 ÜRETİM'!$G$2:$G$501,0)),""))</f>
        <v/>
      </c>
      <c r="B442" s="58"/>
      <c r="C442" s="56"/>
      <c r="D442" s="58"/>
      <c r="E442" s="56"/>
      <c r="F442" s="58"/>
      <c r="G442" s="56"/>
      <c r="H442" s="65"/>
    </row>
    <row r="443" spans="1:8" ht="28.25" customHeight="1" x14ac:dyDescent="0.2">
      <c r="A443" s="56" t="str">
        <f>IF(B443="","",IFERROR(INDEX('21 2026 ÜRETİM'!$A$2:$A$501,MATCH(B443,'21 2026 ÜRETİM'!$G$2:$G$501,0)),""))</f>
        <v/>
      </c>
      <c r="B443" s="58"/>
      <c r="C443" s="56"/>
      <c r="D443" s="58"/>
      <c r="E443" s="56"/>
      <c r="F443" s="58"/>
      <c r="G443" s="56"/>
      <c r="H443" s="65"/>
    </row>
    <row r="444" spans="1:8" ht="28.25" customHeight="1" x14ac:dyDescent="0.2">
      <c r="A444" s="56" t="str">
        <f>IF(B444="","",IFERROR(INDEX('21 2026 ÜRETİM'!$A$2:$A$501,MATCH(B444,'21 2026 ÜRETİM'!$G$2:$G$501,0)),""))</f>
        <v/>
      </c>
      <c r="B444" s="58"/>
      <c r="C444" s="56"/>
      <c r="D444" s="58"/>
      <c r="E444" s="56"/>
      <c r="F444" s="58"/>
      <c r="G444" s="56"/>
      <c r="H444" s="65"/>
    </row>
    <row r="445" spans="1:8" ht="28.25" customHeight="1" x14ac:dyDescent="0.2">
      <c r="A445" s="56" t="str">
        <f>IF(B445="","",IFERROR(INDEX('21 2026 ÜRETİM'!$A$2:$A$501,MATCH(B445,'21 2026 ÜRETİM'!$G$2:$G$501,0)),""))</f>
        <v/>
      </c>
      <c r="B445" s="58"/>
      <c r="C445" s="56"/>
      <c r="D445" s="58"/>
      <c r="E445" s="56"/>
      <c r="F445" s="58"/>
      <c r="G445" s="56"/>
      <c r="H445" s="65"/>
    </row>
    <row r="446" spans="1:8" ht="28.25" customHeight="1" x14ac:dyDescent="0.2">
      <c r="A446" s="56" t="str">
        <f>IF(B446="","",IFERROR(INDEX('21 2026 ÜRETİM'!$A$2:$A$501,MATCH(B446,'21 2026 ÜRETİM'!$G$2:$G$501,0)),""))</f>
        <v/>
      </c>
      <c r="B446" s="58"/>
      <c r="C446" s="56"/>
      <c r="D446" s="58"/>
      <c r="E446" s="56"/>
      <c r="F446" s="58"/>
      <c r="G446" s="56"/>
      <c r="H446" s="65"/>
    </row>
    <row r="447" spans="1:8" ht="28.25" customHeight="1" x14ac:dyDescent="0.2">
      <c r="A447" s="56" t="str">
        <f>IF(B447="","",IFERROR(INDEX('21 2026 ÜRETİM'!$A$2:$A$501,MATCH(B447,'21 2026 ÜRETİM'!$G$2:$G$501,0)),""))</f>
        <v/>
      </c>
      <c r="B447" s="58"/>
      <c r="C447" s="56"/>
      <c r="D447" s="58"/>
      <c r="E447" s="56"/>
      <c r="F447" s="58"/>
      <c r="G447" s="56"/>
      <c r="H447" s="65"/>
    </row>
    <row r="448" spans="1:8" ht="28.25" customHeight="1" x14ac:dyDescent="0.2">
      <c r="A448" s="56" t="str">
        <f>IF(B448="","",IFERROR(INDEX('21 2026 ÜRETİM'!$A$2:$A$501,MATCH(B448,'21 2026 ÜRETİM'!$G$2:$G$501,0)),""))</f>
        <v/>
      </c>
      <c r="B448" s="58"/>
      <c r="C448" s="56"/>
      <c r="D448" s="58"/>
      <c r="E448" s="56"/>
      <c r="F448" s="58"/>
      <c r="G448" s="56"/>
      <c r="H448" s="65"/>
    </row>
    <row r="449" spans="1:8" ht="28.25" customHeight="1" x14ac:dyDescent="0.2">
      <c r="A449" s="56" t="str">
        <f>IF(B449="","",IFERROR(INDEX('21 2026 ÜRETİM'!$A$2:$A$501,MATCH(B449,'21 2026 ÜRETİM'!$G$2:$G$501,0)),""))</f>
        <v/>
      </c>
      <c r="B449" s="58"/>
      <c r="C449" s="56"/>
      <c r="D449" s="58"/>
      <c r="E449" s="56"/>
      <c r="F449" s="58"/>
      <c r="G449" s="56"/>
      <c r="H449" s="65"/>
    </row>
    <row r="450" spans="1:8" ht="28.25" customHeight="1" x14ac:dyDescent="0.2">
      <c r="A450" s="56" t="str">
        <f>IF(B450="","",IFERROR(INDEX('21 2026 ÜRETİM'!$A$2:$A$501,MATCH(B450,'21 2026 ÜRETİM'!$G$2:$G$501,0)),""))</f>
        <v/>
      </c>
      <c r="B450" s="58"/>
      <c r="C450" s="56"/>
      <c r="D450" s="58"/>
      <c r="E450" s="56"/>
      <c r="F450" s="58"/>
      <c r="G450" s="56"/>
      <c r="H450" s="65"/>
    </row>
    <row r="451" spans="1:8" ht="28.25" customHeight="1" x14ac:dyDescent="0.2">
      <c r="A451" s="56" t="str">
        <f>IF(B451="","",IFERROR(INDEX('21 2026 ÜRETİM'!$A$2:$A$501,MATCH(B451,'21 2026 ÜRETİM'!$G$2:$G$501,0)),""))</f>
        <v/>
      </c>
      <c r="B451" s="58"/>
      <c r="C451" s="56"/>
      <c r="D451" s="58"/>
      <c r="E451" s="56"/>
      <c r="F451" s="58"/>
      <c r="G451" s="56"/>
      <c r="H451" s="65"/>
    </row>
    <row r="452" spans="1:8" ht="28.25" customHeight="1" x14ac:dyDescent="0.2">
      <c r="A452" s="56" t="str">
        <f>IF(B452="","",IFERROR(INDEX('21 2026 ÜRETİM'!$A$2:$A$501,MATCH(B452,'21 2026 ÜRETİM'!$G$2:$G$501,0)),""))</f>
        <v/>
      </c>
      <c r="B452" s="58"/>
      <c r="C452" s="56"/>
      <c r="D452" s="58"/>
      <c r="E452" s="56"/>
      <c r="F452" s="58"/>
      <c r="G452" s="56"/>
      <c r="H452" s="65"/>
    </row>
    <row r="453" spans="1:8" ht="28.25" customHeight="1" x14ac:dyDescent="0.2">
      <c r="A453" s="56" t="str">
        <f>IF(B453="","",IFERROR(INDEX('21 2026 ÜRETİM'!$A$2:$A$501,MATCH(B453,'21 2026 ÜRETİM'!$G$2:$G$501,0)),""))</f>
        <v/>
      </c>
      <c r="B453" s="58"/>
      <c r="C453" s="56"/>
      <c r="D453" s="58"/>
      <c r="E453" s="56"/>
      <c r="F453" s="58"/>
      <c r="G453" s="56"/>
      <c r="H453" s="65"/>
    </row>
    <row r="454" spans="1:8" ht="28.25" customHeight="1" x14ac:dyDescent="0.2">
      <c r="A454" s="56" t="str">
        <f>IF(B454="","",IFERROR(INDEX('21 2026 ÜRETİM'!$A$2:$A$501,MATCH(B454,'21 2026 ÜRETİM'!$G$2:$G$501,0)),""))</f>
        <v/>
      </c>
      <c r="B454" s="58"/>
      <c r="C454" s="56"/>
      <c r="D454" s="58"/>
      <c r="E454" s="56"/>
      <c r="F454" s="58"/>
      <c r="G454" s="56"/>
      <c r="H454" s="65"/>
    </row>
    <row r="455" spans="1:8" ht="28.25" customHeight="1" x14ac:dyDescent="0.2">
      <c r="A455" s="56" t="str">
        <f>IF(B455="","",IFERROR(INDEX('21 2026 ÜRETİM'!$A$2:$A$501,MATCH(B455,'21 2026 ÜRETİM'!$G$2:$G$501,0)),""))</f>
        <v/>
      </c>
      <c r="B455" s="58"/>
      <c r="C455" s="56"/>
      <c r="D455" s="58"/>
      <c r="E455" s="56"/>
      <c r="F455" s="58"/>
      <c r="G455" s="56"/>
      <c r="H455" s="65"/>
    </row>
    <row r="456" spans="1:8" ht="28.25" customHeight="1" x14ac:dyDescent="0.2">
      <c r="A456" s="56" t="str">
        <f>IF(B456="","",IFERROR(INDEX('21 2026 ÜRETİM'!$A$2:$A$501,MATCH(B456,'21 2026 ÜRETİM'!$G$2:$G$501,0)),""))</f>
        <v/>
      </c>
      <c r="B456" s="58"/>
      <c r="C456" s="56"/>
      <c r="D456" s="58"/>
      <c r="E456" s="56"/>
      <c r="F456" s="58"/>
      <c r="G456" s="56"/>
      <c r="H456" s="65"/>
    </row>
    <row r="457" spans="1:8" ht="28.25" customHeight="1" x14ac:dyDescent="0.2">
      <c r="A457" s="56" t="str">
        <f>IF(B457="","",IFERROR(INDEX('21 2026 ÜRETİM'!$A$2:$A$501,MATCH(B457,'21 2026 ÜRETİM'!$G$2:$G$501,0)),""))</f>
        <v/>
      </c>
      <c r="B457" s="58"/>
      <c r="C457" s="56"/>
      <c r="D457" s="58"/>
      <c r="E457" s="56"/>
      <c r="F457" s="58"/>
      <c r="G457" s="56"/>
      <c r="H457" s="65"/>
    </row>
    <row r="458" spans="1:8" ht="28.25" customHeight="1" x14ac:dyDescent="0.2">
      <c r="A458" s="56" t="str">
        <f>IF(B458="","",IFERROR(INDEX('21 2026 ÜRETİM'!$A$2:$A$501,MATCH(B458,'21 2026 ÜRETİM'!$G$2:$G$501,0)),""))</f>
        <v/>
      </c>
      <c r="B458" s="58"/>
      <c r="C458" s="56"/>
      <c r="D458" s="58"/>
      <c r="E458" s="56"/>
      <c r="F458" s="58"/>
      <c r="G458" s="56"/>
      <c r="H458" s="65"/>
    </row>
    <row r="459" spans="1:8" ht="28.25" customHeight="1" x14ac:dyDescent="0.2">
      <c r="A459" s="56" t="str">
        <f>IF(B459="","",IFERROR(INDEX('21 2026 ÜRETİM'!$A$2:$A$501,MATCH(B459,'21 2026 ÜRETİM'!$G$2:$G$501,0)),""))</f>
        <v/>
      </c>
      <c r="B459" s="58"/>
      <c r="C459" s="56"/>
      <c r="D459" s="58"/>
      <c r="E459" s="56"/>
      <c r="F459" s="58"/>
      <c r="G459" s="56"/>
      <c r="H459" s="65"/>
    </row>
    <row r="460" spans="1:8" ht="28.25" customHeight="1" x14ac:dyDescent="0.2">
      <c r="A460" s="56" t="str">
        <f>IF(B460="","",IFERROR(INDEX('21 2026 ÜRETİM'!$A$2:$A$501,MATCH(B460,'21 2026 ÜRETİM'!$G$2:$G$501,0)),""))</f>
        <v/>
      </c>
      <c r="B460" s="58"/>
      <c r="C460" s="56"/>
      <c r="D460" s="58"/>
      <c r="E460" s="56"/>
      <c r="F460" s="58"/>
      <c r="G460" s="56"/>
      <c r="H460" s="65"/>
    </row>
    <row r="461" spans="1:8" ht="28.25" customHeight="1" x14ac:dyDescent="0.2">
      <c r="A461" s="56" t="str">
        <f>IF(B461="","",IFERROR(INDEX('21 2026 ÜRETİM'!$A$2:$A$501,MATCH(B461,'21 2026 ÜRETİM'!$G$2:$G$501,0)),""))</f>
        <v/>
      </c>
      <c r="B461" s="58"/>
      <c r="C461" s="56"/>
      <c r="D461" s="58"/>
      <c r="E461" s="56"/>
      <c r="F461" s="58"/>
      <c r="G461" s="56"/>
      <c r="H461" s="65"/>
    </row>
    <row r="462" spans="1:8" ht="28.25" customHeight="1" x14ac:dyDescent="0.2">
      <c r="A462" s="56" t="str">
        <f>IF(B462="","",IFERROR(INDEX('21 2026 ÜRETİM'!$A$2:$A$501,MATCH(B462,'21 2026 ÜRETİM'!$G$2:$G$501,0)),""))</f>
        <v/>
      </c>
      <c r="B462" s="58"/>
      <c r="C462" s="56"/>
      <c r="D462" s="58"/>
      <c r="E462" s="56"/>
      <c r="F462" s="58"/>
      <c r="G462" s="56"/>
      <c r="H462" s="65"/>
    </row>
    <row r="463" spans="1:8" ht="28.25" customHeight="1" x14ac:dyDescent="0.2">
      <c r="A463" s="56" t="str">
        <f>IF(B463="","",IFERROR(INDEX('21 2026 ÜRETİM'!$A$2:$A$501,MATCH(B463,'21 2026 ÜRETİM'!$G$2:$G$501,0)),""))</f>
        <v/>
      </c>
      <c r="B463" s="58"/>
      <c r="C463" s="56"/>
      <c r="D463" s="58"/>
      <c r="E463" s="56"/>
      <c r="F463" s="58"/>
      <c r="G463" s="56"/>
      <c r="H463" s="65"/>
    </row>
    <row r="464" spans="1:8" ht="28.25" customHeight="1" x14ac:dyDescent="0.2">
      <c r="A464" s="56" t="str">
        <f>IF(B464="","",IFERROR(INDEX('21 2026 ÜRETİM'!$A$2:$A$501,MATCH(B464,'21 2026 ÜRETİM'!$G$2:$G$501,0)),""))</f>
        <v/>
      </c>
      <c r="B464" s="58"/>
      <c r="C464" s="56"/>
      <c r="D464" s="58"/>
      <c r="E464" s="56"/>
      <c r="F464" s="58"/>
      <c r="G464" s="56"/>
      <c r="H464" s="65"/>
    </row>
    <row r="465" spans="1:8" ht="28.25" customHeight="1" x14ac:dyDescent="0.2">
      <c r="A465" s="56" t="str">
        <f>IF(B465="","",IFERROR(INDEX('21 2026 ÜRETİM'!$A$2:$A$501,MATCH(B465,'21 2026 ÜRETİM'!$G$2:$G$501,0)),""))</f>
        <v/>
      </c>
      <c r="B465" s="58"/>
      <c r="C465" s="56"/>
      <c r="D465" s="58"/>
      <c r="E465" s="56"/>
      <c r="F465" s="58"/>
      <c r="G465" s="56"/>
      <c r="H465" s="65"/>
    </row>
    <row r="466" spans="1:8" ht="28.25" customHeight="1" x14ac:dyDescent="0.2">
      <c r="A466" s="56" t="str">
        <f>IF(B466="","",IFERROR(INDEX('21 2026 ÜRETİM'!$A$2:$A$501,MATCH(B466,'21 2026 ÜRETİM'!$G$2:$G$501,0)),""))</f>
        <v/>
      </c>
      <c r="B466" s="58"/>
      <c r="C466" s="56"/>
      <c r="D466" s="58"/>
      <c r="E466" s="56"/>
      <c r="F466" s="58"/>
      <c r="G466" s="56"/>
      <c r="H466" s="65"/>
    </row>
    <row r="467" spans="1:8" ht="28.25" customHeight="1" x14ac:dyDescent="0.2">
      <c r="A467" s="56" t="str">
        <f>IF(B467="","",IFERROR(INDEX('21 2026 ÜRETİM'!$A$2:$A$501,MATCH(B467,'21 2026 ÜRETİM'!$G$2:$G$501,0)),""))</f>
        <v/>
      </c>
      <c r="B467" s="58"/>
      <c r="C467" s="56"/>
      <c r="D467" s="58"/>
      <c r="E467" s="56"/>
      <c r="F467" s="58"/>
      <c r="G467" s="56"/>
      <c r="H467" s="65"/>
    </row>
    <row r="468" spans="1:8" ht="28.25" customHeight="1" x14ac:dyDescent="0.2">
      <c r="A468" s="56" t="str">
        <f>IF(B468="","",IFERROR(INDEX('21 2026 ÜRETİM'!$A$2:$A$501,MATCH(B468,'21 2026 ÜRETİM'!$G$2:$G$501,0)),""))</f>
        <v/>
      </c>
      <c r="B468" s="58"/>
      <c r="C468" s="56"/>
      <c r="D468" s="58"/>
      <c r="E468" s="56"/>
      <c r="F468" s="58"/>
      <c r="G468" s="56"/>
      <c r="H468" s="65"/>
    </row>
    <row r="469" spans="1:8" ht="28.25" customHeight="1" x14ac:dyDescent="0.2">
      <c r="A469" s="56" t="str">
        <f>IF(B469="","",IFERROR(INDEX('21 2026 ÜRETİM'!$A$2:$A$501,MATCH(B469,'21 2026 ÜRETİM'!$G$2:$G$501,0)),""))</f>
        <v/>
      </c>
      <c r="B469" s="58"/>
      <c r="C469" s="56"/>
      <c r="D469" s="58"/>
      <c r="E469" s="56"/>
      <c r="F469" s="58"/>
      <c r="G469" s="56"/>
      <c r="H469" s="65"/>
    </row>
    <row r="470" spans="1:8" ht="28.25" customHeight="1" x14ac:dyDescent="0.2">
      <c r="A470" s="56" t="str">
        <f>IF(B470="","",IFERROR(INDEX('21 2026 ÜRETİM'!$A$2:$A$501,MATCH(B470,'21 2026 ÜRETİM'!$G$2:$G$501,0)),""))</f>
        <v/>
      </c>
      <c r="B470" s="58"/>
      <c r="C470" s="56"/>
      <c r="D470" s="58"/>
      <c r="E470" s="56"/>
      <c r="F470" s="58"/>
      <c r="G470" s="56"/>
      <c r="H470" s="65"/>
    </row>
    <row r="471" spans="1:8" ht="28.25" customHeight="1" x14ac:dyDescent="0.2">
      <c r="A471" s="56" t="str">
        <f>IF(B471="","",IFERROR(INDEX('21 2026 ÜRETİM'!$A$2:$A$501,MATCH(B471,'21 2026 ÜRETİM'!$G$2:$G$501,0)),""))</f>
        <v/>
      </c>
      <c r="B471" s="58"/>
      <c r="C471" s="56"/>
      <c r="D471" s="58"/>
      <c r="E471" s="56"/>
      <c r="F471" s="58"/>
      <c r="G471" s="56"/>
      <c r="H471" s="65"/>
    </row>
    <row r="472" spans="1:8" ht="28.25" customHeight="1" x14ac:dyDescent="0.2">
      <c r="A472" s="56" t="str">
        <f>IF(B472="","",IFERROR(INDEX('21 2026 ÜRETİM'!$A$2:$A$501,MATCH(B472,'21 2026 ÜRETİM'!$G$2:$G$501,0)),""))</f>
        <v/>
      </c>
      <c r="B472" s="58"/>
      <c r="C472" s="56"/>
      <c r="D472" s="58"/>
      <c r="E472" s="56"/>
      <c r="F472" s="58"/>
      <c r="G472" s="56"/>
      <c r="H472" s="65"/>
    </row>
    <row r="473" spans="1:8" ht="28.25" customHeight="1" x14ac:dyDescent="0.2">
      <c r="A473" s="56" t="str">
        <f>IF(B473="","",IFERROR(INDEX('21 2026 ÜRETİM'!$A$2:$A$501,MATCH(B473,'21 2026 ÜRETİM'!$G$2:$G$501,0)),""))</f>
        <v/>
      </c>
      <c r="B473" s="58"/>
      <c r="C473" s="56"/>
      <c r="D473" s="58"/>
      <c r="E473" s="56"/>
      <c r="F473" s="58"/>
      <c r="G473" s="56"/>
      <c r="H473" s="65"/>
    </row>
    <row r="474" spans="1:8" ht="28.25" customHeight="1" x14ac:dyDescent="0.2">
      <c r="A474" s="56" t="str">
        <f>IF(B474="","",IFERROR(INDEX('21 2026 ÜRETİM'!$A$2:$A$501,MATCH(B474,'21 2026 ÜRETİM'!$G$2:$G$501,0)),""))</f>
        <v/>
      </c>
      <c r="B474" s="58"/>
      <c r="C474" s="56"/>
      <c r="D474" s="58"/>
      <c r="E474" s="56"/>
      <c r="F474" s="58"/>
      <c r="G474" s="56"/>
      <c r="H474" s="65"/>
    </row>
    <row r="475" spans="1:8" ht="28.25" customHeight="1" x14ac:dyDescent="0.2">
      <c r="A475" s="56" t="str">
        <f>IF(B475="","",IFERROR(INDEX('21 2026 ÜRETİM'!$A$2:$A$501,MATCH(B475,'21 2026 ÜRETİM'!$G$2:$G$501,0)),""))</f>
        <v/>
      </c>
      <c r="B475" s="58"/>
      <c r="C475" s="56"/>
      <c r="D475" s="58"/>
      <c r="E475" s="56"/>
      <c r="F475" s="58"/>
      <c r="G475" s="56"/>
      <c r="H475" s="65"/>
    </row>
    <row r="476" spans="1:8" ht="28.25" customHeight="1" x14ac:dyDescent="0.2">
      <c r="A476" s="56" t="str">
        <f>IF(B476="","",IFERROR(INDEX('21 2026 ÜRETİM'!$A$2:$A$501,MATCH(B476,'21 2026 ÜRETİM'!$G$2:$G$501,0)),""))</f>
        <v/>
      </c>
      <c r="B476" s="58"/>
      <c r="C476" s="56"/>
      <c r="D476" s="58"/>
      <c r="E476" s="56"/>
      <c r="F476" s="58"/>
      <c r="G476" s="56"/>
      <c r="H476" s="65"/>
    </row>
    <row r="477" spans="1:8" ht="28.25" customHeight="1" x14ac:dyDescent="0.2">
      <c r="A477" s="56" t="str">
        <f>IF(B477="","",IFERROR(INDEX('21 2026 ÜRETİM'!$A$2:$A$501,MATCH(B477,'21 2026 ÜRETİM'!$G$2:$G$501,0)),""))</f>
        <v/>
      </c>
      <c r="B477" s="58"/>
      <c r="C477" s="56"/>
      <c r="D477" s="58"/>
      <c r="E477" s="56"/>
      <c r="F477" s="58"/>
      <c r="G477" s="56"/>
      <c r="H477" s="65"/>
    </row>
    <row r="478" spans="1:8" ht="28.25" customHeight="1" x14ac:dyDescent="0.2">
      <c r="A478" s="56" t="str">
        <f>IF(B478="","",IFERROR(INDEX('21 2026 ÜRETİM'!$A$2:$A$501,MATCH(B478,'21 2026 ÜRETİM'!$G$2:$G$501,0)),""))</f>
        <v/>
      </c>
      <c r="B478" s="58"/>
      <c r="C478" s="56"/>
      <c r="D478" s="58"/>
      <c r="E478" s="56"/>
      <c r="F478" s="58"/>
      <c r="G478" s="56"/>
      <c r="H478" s="65"/>
    </row>
    <row r="479" spans="1:8" ht="28.25" customHeight="1" x14ac:dyDescent="0.2">
      <c r="A479" s="56" t="str">
        <f>IF(B479="","",IFERROR(INDEX('21 2026 ÜRETİM'!$A$2:$A$501,MATCH(B479,'21 2026 ÜRETİM'!$G$2:$G$501,0)),""))</f>
        <v/>
      </c>
      <c r="B479" s="58"/>
      <c r="C479" s="56"/>
      <c r="D479" s="58"/>
      <c r="E479" s="56"/>
      <c r="F479" s="58"/>
      <c r="G479" s="56"/>
      <c r="H479" s="65"/>
    </row>
    <row r="480" spans="1:8" ht="28.25" customHeight="1" x14ac:dyDescent="0.2">
      <c r="A480" s="56" t="str">
        <f>IF(B480="","",IFERROR(INDEX('21 2026 ÜRETİM'!$A$2:$A$501,MATCH(B480,'21 2026 ÜRETİM'!$G$2:$G$501,0)),""))</f>
        <v/>
      </c>
      <c r="B480" s="58"/>
      <c r="C480" s="56"/>
      <c r="D480" s="58"/>
      <c r="E480" s="56"/>
      <c r="F480" s="58"/>
      <c r="G480" s="56"/>
      <c r="H480" s="65"/>
    </row>
    <row r="481" spans="1:8" ht="28.25" customHeight="1" x14ac:dyDescent="0.2">
      <c r="A481" s="56" t="str">
        <f>IF(B481="","",IFERROR(INDEX('21 2026 ÜRETİM'!$A$2:$A$501,MATCH(B481,'21 2026 ÜRETİM'!$G$2:$G$501,0)),""))</f>
        <v/>
      </c>
      <c r="B481" s="58"/>
      <c r="C481" s="56"/>
      <c r="D481" s="58"/>
      <c r="E481" s="56"/>
      <c r="F481" s="58"/>
      <c r="G481" s="56"/>
      <c r="H481" s="65"/>
    </row>
    <row r="482" spans="1:8" ht="28.25" customHeight="1" x14ac:dyDescent="0.2">
      <c r="A482" s="56" t="str">
        <f>IF(B482="","",IFERROR(INDEX('21 2026 ÜRETİM'!$A$2:$A$501,MATCH(B482,'21 2026 ÜRETİM'!$G$2:$G$501,0)),""))</f>
        <v/>
      </c>
      <c r="B482" s="58"/>
      <c r="C482" s="56"/>
      <c r="D482" s="58"/>
      <c r="E482" s="56"/>
      <c r="F482" s="58"/>
      <c r="G482" s="56"/>
      <c r="H482" s="65"/>
    </row>
    <row r="483" spans="1:8" ht="28.25" customHeight="1" x14ac:dyDescent="0.2">
      <c r="A483" s="56" t="str">
        <f>IF(B483="","",IFERROR(INDEX('21 2026 ÜRETİM'!$A$2:$A$501,MATCH(B483,'21 2026 ÜRETİM'!$G$2:$G$501,0)),""))</f>
        <v/>
      </c>
      <c r="B483" s="58"/>
      <c r="C483" s="56"/>
      <c r="D483" s="58"/>
      <c r="E483" s="56"/>
      <c r="F483" s="58"/>
      <c r="G483" s="56"/>
      <c r="H483" s="65"/>
    </row>
    <row r="484" spans="1:8" ht="28.25" customHeight="1" x14ac:dyDescent="0.2">
      <c r="A484" s="56" t="str">
        <f>IF(B484="","",IFERROR(INDEX('21 2026 ÜRETİM'!$A$2:$A$501,MATCH(B484,'21 2026 ÜRETİM'!$G$2:$G$501,0)),""))</f>
        <v/>
      </c>
      <c r="B484" s="58"/>
      <c r="C484" s="56"/>
      <c r="D484" s="58"/>
      <c r="E484" s="56"/>
      <c r="F484" s="58"/>
      <c r="G484" s="56"/>
      <c r="H484" s="65"/>
    </row>
    <row r="485" spans="1:8" ht="28.25" customHeight="1" x14ac:dyDescent="0.2">
      <c r="A485" s="56" t="str">
        <f>IF(B485="","",IFERROR(INDEX('21 2026 ÜRETİM'!$A$2:$A$501,MATCH(B485,'21 2026 ÜRETİM'!$G$2:$G$501,0)),""))</f>
        <v/>
      </c>
      <c r="B485" s="58"/>
      <c r="C485" s="56"/>
      <c r="D485" s="58"/>
      <c r="E485" s="56"/>
      <c r="F485" s="58"/>
      <c r="G485" s="56"/>
      <c r="H485" s="65"/>
    </row>
    <row r="486" spans="1:8" ht="28.25" customHeight="1" x14ac:dyDescent="0.2">
      <c r="A486" s="56" t="str">
        <f>IF(B486="","",IFERROR(INDEX('21 2026 ÜRETİM'!$A$2:$A$501,MATCH(B486,'21 2026 ÜRETİM'!$G$2:$G$501,0)),""))</f>
        <v/>
      </c>
      <c r="B486" s="58"/>
      <c r="C486" s="56"/>
      <c r="D486" s="58"/>
      <c r="E486" s="56"/>
      <c r="F486" s="58"/>
      <c r="G486" s="56"/>
      <c r="H486" s="65"/>
    </row>
    <row r="487" spans="1:8" ht="28.25" customHeight="1" x14ac:dyDescent="0.2">
      <c r="A487" s="56" t="str">
        <f>IF(B487="","",IFERROR(INDEX('21 2026 ÜRETİM'!$A$2:$A$501,MATCH(B487,'21 2026 ÜRETİM'!$G$2:$G$501,0)),""))</f>
        <v/>
      </c>
      <c r="B487" s="58"/>
      <c r="C487" s="56"/>
      <c r="D487" s="58"/>
      <c r="E487" s="56"/>
      <c r="F487" s="58"/>
      <c r="G487" s="56"/>
      <c r="H487" s="65"/>
    </row>
    <row r="488" spans="1:8" ht="28.25" customHeight="1" x14ac:dyDescent="0.2">
      <c r="A488" s="56" t="str">
        <f>IF(B488="","",IFERROR(INDEX('21 2026 ÜRETİM'!$A$2:$A$501,MATCH(B488,'21 2026 ÜRETİM'!$G$2:$G$501,0)),""))</f>
        <v/>
      </c>
      <c r="B488" s="58"/>
      <c r="C488" s="56"/>
      <c r="D488" s="58"/>
      <c r="E488" s="56"/>
      <c r="F488" s="58"/>
      <c r="G488" s="56"/>
      <c r="H488" s="65"/>
    </row>
    <row r="489" spans="1:8" ht="28.25" customHeight="1" x14ac:dyDescent="0.2">
      <c r="A489" s="56" t="str">
        <f>IF(B489="","",IFERROR(INDEX('21 2026 ÜRETİM'!$A$2:$A$501,MATCH(B489,'21 2026 ÜRETİM'!$G$2:$G$501,0)),""))</f>
        <v/>
      </c>
      <c r="B489" s="58"/>
      <c r="C489" s="56"/>
      <c r="D489" s="58"/>
      <c r="E489" s="56"/>
      <c r="F489" s="58"/>
      <c r="G489" s="56"/>
      <c r="H489" s="65"/>
    </row>
    <row r="490" spans="1:8" ht="28.25" customHeight="1" x14ac:dyDescent="0.2">
      <c r="A490" s="56" t="str">
        <f>IF(B490="","",IFERROR(INDEX('21 2026 ÜRETİM'!$A$2:$A$501,MATCH(B490,'21 2026 ÜRETİM'!$G$2:$G$501,0)),""))</f>
        <v/>
      </c>
      <c r="B490" s="58"/>
      <c r="C490" s="56"/>
      <c r="D490" s="58"/>
      <c r="E490" s="56"/>
      <c r="F490" s="58"/>
      <c r="G490" s="56"/>
      <c r="H490" s="65"/>
    </row>
    <row r="491" spans="1:8" ht="28.25" customHeight="1" x14ac:dyDescent="0.2">
      <c r="A491" s="56" t="str">
        <f>IF(B491="","",IFERROR(INDEX('21 2026 ÜRETİM'!$A$2:$A$501,MATCH(B491,'21 2026 ÜRETİM'!$G$2:$G$501,0)),""))</f>
        <v/>
      </c>
      <c r="B491" s="58"/>
      <c r="C491" s="56"/>
      <c r="D491" s="58"/>
      <c r="E491" s="56"/>
      <c r="F491" s="58"/>
      <c r="G491" s="56"/>
      <c r="H491" s="65"/>
    </row>
    <row r="492" spans="1:8" ht="28.25" customHeight="1" x14ac:dyDescent="0.2">
      <c r="A492" s="56" t="str">
        <f>IF(B492="","",IFERROR(INDEX('21 2026 ÜRETİM'!$A$2:$A$501,MATCH(B492,'21 2026 ÜRETİM'!$G$2:$G$501,0)),""))</f>
        <v/>
      </c>
      <c r="B492" s="58"/>
      <c r="C492" s="56"/>
      <c r="D492" s="58"/>
      <c r="E492" s="56"/>
      <c r="F492" s="58"/>
      <c r="G492" s="56"/>
      <c r="H492" s="65"/>
    </row>
    <row r="493" spans="1:8" ht="28.25" customHeight="1" x14ac:dyDescent="0.2">
      <c r="A493" s="56" t="str">
        <f>IF(B493="","",IFERROR(INDEX('21 2026 ÜRETİM'!$A$2:$A$501,MATCH(B493,'21 2026 ÜRETİM'!$G$2:$G$501,0)),""))</f>
        <v/>
      </c>
      <c r="B493" s="58"/>
      <c r="C493" s="56"/>
      <c r="D493" s="58"/>
      <c r="E493" s="56"/>
      <c r="F493" s="58"/>
      <c r="G493" s="56"/>
      <c r="H493" s="65"/>
    </row>
    <row r="494" spans="1:8" ht="28.25" customHeight="1" x14ac:dyDescent="0.2">
      <c r="A494" s="56" t="str">
        <f>IF(B494="","",IFERROR(INDEX('21 2026 ÜRETİM'!$A$2:$A$501,MATCH(B494,'21 2026 ÜRETİM'!$G$2:$G$501,0)),""))</f>
        <v/>
      </c>
      <c r="B494" s="58"/>
      <c r="C494" s="56"/>
      <c r="D494" s="58"/>
      <c r="E494" s="56"/>
      <c r="F494" s="58"/>
      <c r="G494" s="56"/>
      <c r="H494" s="65"/>
    </row>
    <row r="495" spans="1:8" ht="28.25" customHeight="1" x14ac:dyDescent="0.2">
      <c r="A495" s="56" t="str">
        <f>IF(B495="","",IFERROR(INDEX('21 2026 ÜRETİM'!$A$2:$A$501,MATCH(B495,'21 2026 ÜRETİM'!$G$2:$G$501,0)),""))</f>
        <v/>
      </c>
      <c r="B495" s="58"/>
      <c r="C495" s="56"/>
      <c r="D495" s="58"/>
      <c r="E495" s="56"/>
      <c r="F495" s="58"/>
      <c r="G495" s="56"/>
      <c r="H495" s="65"/>
    </row>
    <row r="496" spans="1:8" ht="28.25" customHeight="1" x14ac:dyDescent="0.2">
      <c r="A496" s="56" t="str">
        <f>IF(B496="","",IFERROR(INDEX('21 2026 ÜRETİM'!$A$2:$A$501,MATCH(B496,'21 2026 ÜRETİM'!$G$2:$G$501,0)),""))</f>
        <v/>
      </c>
      <c r="B496" s="58"/>
      <c r="C496" s="56"/>
      <c r="D496" s="58"/>
      <c r="E496" s="56"/>
      <c r="F496" s="58"/>
      <c r="G496" s="56"/>
      <c r="H496" s="65"/>
    </row>
    <row r="497" spans="1:8" ht="28.25" customHeight="1" x14ac:dyDescent="0.2">
      <c r="A497" s="56" t="str">
        <f>IF(B497="","",IFERROR(INDEX('21 2026 ÜRETİM'!$A$2:$A$501,MATCH(B497,'21 2026 ÜRETİM'!$G$2:$G$501,0)),""))</f>
        <v/>
      </c>
      <c r="B497" s="58"/>
      <c r="C497" s="56"/>
      <c r="D497" s="58"/>
      <c r="E497" s="56"/>
      <c r="F497" s="58"/>
      <c r="G497" s="56"/>
      <c r="H497" s="65"/>
    </row>
    <row r="498" spans="1:8" ht="28.25" customHeight="1" x14ac:dyDescent="0.2">
      <c r="A498" s="56" t="str">
        <f>IF(B498="","",IFERROR(INDEX('21 2026 ÜRETİM'!$A$2:$A$501,MATCH(B498,'21 2026 ÜRETİM'!$G$2:$G$501,0)),""))</f>
        <v/>
      </c>
      <c r="B498" s="58"/>
      <c r="C498" s="56"/>
      <c r="D498" s="58"/>
      <c r="E498" s="56"/>
      <c r="F498" s="58"/>
      <c r="G498" s="56"/>
      <c r="H498" s="65"/>
    </row>
    <row r="499" spans="1:8" ht="28.25" customHeight="1" x14ac:dyDescent="0.2">
      <c r="A499" s="56" t="str">
        <f>IF(B499="","",IFERROR(INDEX('21 2026 ÜRETİM'!$A$2:$A$501,MATCH(B499,'21 2026 ÜRETİM'!$G$2:$G$501,0)),""))</f>
        <v/>
      </c>
      <c r="B499" s="58"/>
      <c r="C499" s="56"/>
      <c r="D499" s="58"/>
      <c r="E499" s="56"/>
      <c r="F499" s="58"/>
      <c r="G499" s="56"/>
      <c r="H499" s="65"/>
    </row>
    <row r="500" spans="1:8" ht="28.25" customHeight="1" x14ac:dyDescent="0.2">
      <c r="A500" s="56" t="str">
        <f>IF(B500="","",IFERROR(INDEX('21 2026 ÜRETİM'!$A$2:$A$501,MATCH(B500,'21 2026 ÜRETİM'!$G$2:$G$501,0)),""))</f>
        <v/>
      </c>
      <c r="B500" s="58"/>
      <c r="C500" s="56"/>
      <c r="D500" s="58"/>
      <c r="E500" s="56"/>
      <c r="F500" s="58"/>
      <c r="G500" s="56"/>
      <c r="H500" s="65"/>
    </row>
    <row r="501" spans="1:8" ht="28.25" customHeight="1" x14ac:dyDescent="0.2">
      <c r="A501" s="56" t="str">
        <f>IF(B501="","",IFERROR(INDEX('21 2026 ÜRETİM'!$A$2:$A$501,MATCH(B501,'21 2026 ÜRETİM'!$G$2:$G$501,0)),""))</f>
        <v/>
      </c>
      <c r="B501" s="58"/>
      <c r="C501" s="56"/>
      <c r="D501" s="58"/>
      <c r="E501" s="56"/>
      <c r="F501" s="58"/>
      <c r="G501" s="56"/>
      <c r="H501" s="65"/>
    </row>
  </sheetData>
  <autoFilter ref="A1:H501" xr:uid="{00000000-0009-0000-0000-000011000000}"/>
  <hyperlinks>
    <hyperlink ref="V1" location="'00 ANA SAYFA'!A1" display="⌂ ANA SAYFA" xr:uid="{00000000-0004-0000-1100-000000000000}"/>
    <hyperlink ref="V2" location="'21 2026 ÜRETİM'!A1" display="→ ÜRETİM" xr:uid="{00000000-0004-0000-1100-000001000000}"/>
    <hyperlink ref="V3" location="'25 2026 LOT BAĞI'!A1" display="→ LOT BAĞI" xr:uid="{00000000-0004-0000-1100-000002000000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8"/>
  <sheetViews>
    <sheetView showGridLines="0" workbookViewId="0"/>
  </sheetViews>
  <sheetFormatPr baseColWidth="10" defaultColWidth="8.83203125" defaultRowHeight="15" x14ac:dyDescent="0.2"/>
  <cols>
    <col min="1" max="1" width="34" customWidth="1"/>
    <col min="2" max="2" width="21" customWidth="1"/>
    <col min="4" max="4" width="16" customWidth="1"/>
    <col min="5" max="5" width="14" customWidth="1"/>
    <col min="6" max="6" width="18" customWidth="1"/>
    <col min="7" max="7" width="22" customWidth="1"/>
    <col min="8" max="8" width="17" customWidth="1"/>
  </cols>
  <sheetData>
    <row r="1" spans="1:9" ht="28.25" customHeight="1" x14ac:dyDescent="0.2">
      <c r="A1" s="8" t="s">
        <v>308</v>
      </c>
      <c r="B1" s="8" t="s">
        <v>311</v>
      </c>
      <c r="C1" s="8" t="s">
        <v>313</v>
      </c>
      <c r="D1" s="8" t="s">
        <v>492</v>
      </c>
      <c r="E1" s="8" t="s">
        <v>493</v>
      </c>
      <c r="F1" s="8" t="s">
        <v>494</v>
      </c>
      <c r="G1" s="8" t="s">
        <v>466</v>
      </c>
      <c r="H1" s="8" t="s">
        <v>495</v>
      </c>
      <c r="I1" s="8" t="s">
        <v>496</v>
      </c>
    </row>
    <row r="2" spans="1:9" ht="15" customHeight="1" x14ac:dyDescent="0.2">
      <c r="A2" s="1" t="s">
        <v>400</v>
      </c>
      <c r="B2" s="18">
        <v>244.94399999999999</v>
      </c>
      <c r="C2" s="18">
        <v>240.94399999999999</v>
      </c>
      <c r="D2" s="18">
        <v>240</v>
      </c>
      <c r="E2" s="18">
        <v>240</v>
      </c>
      <c r="F2" s="18">
        <v>0</v>
      </c>
      <c r="G2" s="18">
        <v>0</v>
      </c>
      <c r="H2" s="18">
        <v>0</v>
      </c>
      <c r="I2" s="10" t="s">
        <v>275</v>
      </c>
    </row>
    <row r="3" spans="1:9" ht="15" customHeight="1" x14ac:dyDescent="0.2">
      <c r="A3" s="1" t="s">
        <v>393</v>
      </c>
      <c r="B3" s="18">
        <v>224.53200000000001</v>
      </c>
      <c r="C3" s="18">
        <v>221.53200000000001</v>
      </c>
      <c r="D3" s="18">
        <v>221</v>
      </c>
      <c r="E3" s="18">
        <v>221</v>
      </c>
      <c r="F3" s="18">
        <v>0</v>
      </c>
      <c r="G3" s="18">
        <v>0</v>
      </c>
      <c r="H3" s="18">
        <v>0</v>
      </c>
      <c r="I3" s="10" t="s">
        <v>275</v>
      </c>
    </row>
    <row r="4" spans="1:9" ht="15" customHeight="1" x14ac:dyDescent="0.2">
      <c r="A4" s="1"/>
      <c r="B4" s="1"/>
      <c r="C4" s="1"/>
      <c r="D4" s="1"/>
      <c r="E4" s="1"/>
      <c r="F4" s="1"/>
      <c r="G4" s="1"/>
      <c r="H4" s="1"/>
      <c r="I4" s="1"/>
    </row>
    <row r="5" spans="1:9" ht="15" customHeight="1" x14ac:dyDescent="0.2">
      <c r="A5" s="26" t="s">
        <v>497</v>
      </c>
      <c r="B5" s="23"/>
      <c r="C5" s="23"/>
      <c r="D5" s="23"/>
      <c r="E5" s="23"/>
      <c r="F5" s="23"/>
      <c r="G5" s="23"/>
      <c r="H5" s="23"/>
      <c r="I5" s="24"/>
    </row>
    <row r="6" spans="1:9" ht="15" customHeight="1" x14ac:dyDescent="0.2">
      <c r="A6" s="27" t="s">
        <v>498</v>
      </c>
      <c r="B6" s="23"/>
      <c r="C6" s="23"/>
      <c r="D6" s="23"/>
      <c r="E6" s="23"/>
      <c r="F6" s="23"/>
      <c r="G6" s="23"/>
      <c r="H6" s="23"/>
      <c r="I6" s="24"/>
    </row>
    <row r="7" spans="1:9" ht="15" customHeight="1" x14ac:dyDescent="0.2">
      <c r="A7" s="27" t="s">
        <v>499</v>
      </c>
      <c r="B7" s="23"/>
      <c r="C7" s="23"/>
      <c r="D7" s="23"/>
      <c r="E7" s="23"/>
      <c r="F7" s="23"/>
      <c r="G7" s="23"/>
      <c r="H7" s="23"/>
      <c r="I7" s="24"/>
    </row>
    <row r="8" spans="1:9" ht="15" customHeight="1" x14ac:dyDescent="0.2">
      <c r="A8" s="27" t="s">
        <v>500</v>
      </c>
      <c r="B8" s="23"/>
      <c r="C8" s="23"/>
      <c r="D8" s="23"/>
      <c r="E8" s="23"/>
      <c r="F8" s="23"/>
      <c r="G8" s="23"/>
      <c r="H8" s="23"/>
      <c r="I8" s="24"/>
    </row>
  </sheetData>
  <autoFilter ref="A1:I8" xr:uid="{00000000-0009-0000-0000-000012000000}"/>
  <mergeCells count="4">
    <mergeCell ref="A5:I5"/>
    <mergeCell ref="A7:I7"/>
    <mergeCell ref="A8:I8"/>
    <mergeCell ref="A6:I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3"/>
  <sheetViews>
    <sheetView showGridLines="0" workbookViewId="0">
      <selection activeCell="B18" sqref="B18"/>
    </sheetView>
  </sheetViews>
  <sheetFormatPr baseColWidth="10" defaultColWidth="8.83203125" defaultRowHeight="15" x14ac:dyDescent="0.2"/>
  <cols>
    <col min="1" max="1" width="22" customWidth="1"/>
    <col min="2" max="2" width="201.5" customWidth="1"/>
  </cols>
  <sheetData>
    <row r="1" spans="1:15" ht="15" customHeight="1" x14ac:dyDescent="0.2">
      <c r="A1" s="83" t="s">
        <v>501</v>
      </c>
      <c r="B1" s="83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 ht="15" customHeight="1" x14ac:dyDescent="0.2">
      <c r="A2" s="83" t="s">
        <v>502</v>
      </c>
      <c r="B2" s="83" t="s">
        <v>503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</row>
    <row r="3" spans="1:15" ht="15" customHeight="1" x14ac:dyDescent="0.2">
      <c r="A3" s="83" t="s">
        <v>504</v>
      </c>
      <c r="B3" s="83" t="s">
        <v>505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</row>
    <row r="4" spans="1:15" ht="15" customHeight="1" x14ac:dyDescent="0.2">
      <c r="A4" s="83" t="s">
        <v>506</v>
      </c>
      <c r="B4" s="83" t="s">
        <v>507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</row>
    <row r="5" spans="1:15" ht="15" customHeight="1" x14ac:dyDescent="0.2">
      <c r="A5" s="83" t="s">
        <v>508</v>
      </c>
      <c r="B5" s="83" t="s">
        <v>509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</row>
    <row r="6" spans="1:15" ht="15" customHeight="1" x14ac:dyDescent="0.2">
      <c r="A6" s="83" t="s">
        <v>510</v>
      </c>
      <c r="B6" s="83" t="s">
        <v>511</v>
      </c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</row>
    <row r="7" spans="1:15" ht="15" customHeight="1" x14ac:dyDescent="0.2">
      <c r="A7" s="83" t="s">
        <v>512</v>
      </c>
      <c r="B7" s="83" t="s">
        <v>513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</row>
    <row r="8" spans="1:15" ht="15" customHeight="1" x14ac:dyDescent="0.2">
      <c r="A8" s="83" t="s">
        <v>514</v>
      </c>
      <c r="B8" s="83" t="s">
        <v>515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</row>
    <row r="9" spans="1:15" ht="15" customHeight="1" x14ac:dyDescent="0.2">
      <c r="A9" s="83" t="s">
        <v>80</v>
      </c>
      <c r="B9" s="83" t="s">
        <v>516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</row>
    <row r="10" spans="1:15" ht="15" customHeight="1" x14ac:dyDescent="0.2">
      <c r="A10" s="83" t="s">
        <v>517</v>
      </c>
      <c r="B10" s="83" t="s">
        <v>518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</row>
    <row r="11" spans="1:15" x14ac:dyDescent="0.2">
      <c r="A11" s="83" t="s">
        <v>519</v>
      </c>
      <c r="B11" s="83" t="s">
        <v>520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</row>
    <row r="12" spans="1:15" x14ac:dyDescent="0.2">
      <c r="A12" s="83" t="s">
        <v>521</v>
      </c>
      <c r="B12" s="83" t="s">
        <v>522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</row>
    <row r="13" spans="1:15" x14ac:dyDescent="0.2">
      <c r="A13" s="83" t="s">
        <v>523</v>
      </c>
      <c r="B13" s="83" t="s">
        <v>524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573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3" max="3" width="18" customWidth="1"/>
    <col min="4" max="4" width="40" customWidth="1"/>
    <col min="5" max="5" width="20" customWidth="1"/>
    <col min="6" max="6" width="14" customWidth="1"/>
    <col min="7" max="7" width="40" customWidth="1"/>
    <col min="9" max="9" width="15" customWidth="1"/>
    <col min="10" max="10" width="40" customWidth="1"/>
  </cols>
  <sheetData>
    <row r="1" spans="1:10" ht="26.75" customHeight="1" x14ac:dyDescent="0.2">
      <c r="A1" s="17" t="s">
        <v>308</v>
      </c>
      <c r="B1" s="17" t="s">
        <v>399</v>
      </c>
      <c r="C1" s="17" t="s">
        <v>525</v>
      </c>
      <c r="D1" s="17" t="s">
        <v>526</v>
      </c>
      <c r="E1" s="17" t="s">
        <v>527</v>
      </c>
      <c r="F1" s="17" t="s">
        <v>248</v>
      </c>
      <c r="G1" s="17" t="s">
        <v>528</v>
      </c>
      <c r="H1" s="17" t="s">
        <v>529</v>
      </c>
      <c r="I1" s="17" t="s">
        <v>478</v>
      </c>
      <c r="J1" s="17" t="s">
        <v>273</v>
      </c>
    </row>
    <row r="2" spans="1:10" ht="15" customHeight="1" x14ac:dyDescent="0.2">
      <c r="A2" s="1" t="s">
        <v>400</v>
      </c>
      <c r="B2" s="1" t="s">
        <v>401</v>
      </c>
      <c r="C2" s="1" t="s">
        <v>292</v>
      </c>
      <c r="D2" s="1" t="s">
        <v>251</v>
      </c>
      <c r="E2" s="1"/>
      <c r="F2" s="1"/>
      <c r="G2" s="1" t="s">
        <v>366</v>
      </c>
      <c r="H2" s="1" t="s">
        <v>530</v>
      </c>
      <c r="I2" s="1"/>
      <c r="J2" s="1" t="s">
        <v>531</v>
      </c>
    </row>
    <row r="3" spans="1:10" ht="15" customHeight="1" x14ac:dyDescent="0.2">
      <c r="A3" s="1" t="s">
        <v>400</v>
      </c>
      <c r="B3" s="1" t="s">
        <v>401</v>
      </c>
      <c r="C3" s="1" t="s">
        <v>293</v>
      </c>
      <c r="D3" s="1" t="s">
        <v>256</v>
      </c>
      <c r="E3" s="1"/>
      <c r="F3" s="1"/>
      <c r="G3" s="1" t="s">
        <v>368</v>
      </c>
      <c r="H3" s="1" t="s">
        <v>369</v>
      </c>
      <c r="I3" s="1"/>
      <c r="J3" s="1" t="s">
        <v>531</v>
      </c>
    </row>
    <row r="4" spans="1:10" ht="15" customHeight="1" x14ac:dyDescent="0.2">
      <c r="A4" s="1" t="s">
        <v>400</v>
      </c>
      <c r="B4" s="1" t="s">
        <v>401</v>
      </c>
      <c r="C4" s="1" t="s">
        <v>532</v>
      </c>
      <c r="D4" s="1" t="s">
        <v>533</v>
      </c>
      <c r="E4" s="1"/>
      <c r="F4" s="1"/>
      <c r="G4" s="1" t="s">
        <v>534</v>
      </c>
      <c r="H4" s="1" t="s">
        <v>535</v>
      </c>
      <c r="I4" s="1"/>
      <c r="J4" s="1" t="s">
        <v>531</v>
      </c>
    </row>
    <row r="5" spans="1:10" ht="15" customHeight="1" x14ac:dyDescent="0.2">
      <c r="A5" s="1" t="s">
        <v>400</v>
      </c>
      <c r="B5" s="1" t="s">
        <v>401</v>
      </c>
      <c r="C5" s="1" t="s">
        <v>298</v>
      </c>
      <c r="D5" s="1" t="s">
        <v>268</v>
      </c>
      <c r="E5" s="1"/>
      <c r="F5" s="1"/>
      <c r="G5" s="1" t="s">
        <v>373</v>
      </c>
      <c r="H5" s="1" t="s">
        <v>374</v>
      </c>
      <c r="I5" s="1"/>
      <c r="J5" s="1" t="s">
        <v>531</v>
      </c>
    </row>
    <row r="6" spans="1:10" ht="15" customHeight="1" x14ac:dyDescent="0.2">
      <c r="A6" s="1" t="s">
        <v>400</v>
      </c>
      <c r="B6" s="1" t="s">
        <v>401</v>
      </c>
      <c r="C6" s="1" t="s">
        <v>294</v>
      </c>
      <c r="D6" s="1" t="s">
        <v>536</v>
      </c>
      <c r="E6" s="1"/>
      <c r="F6" s="1"/>
      <c r="G6" s="1" t="s">
        <v>375</v>
      </c>
      <c r="H6" s="1" t="s">
        <v>376</v>
      </c>
      <c r="I6" s="1"/>
      <c r="J6" s="1" t="s">
        <v>531</v>
      </c>
    </row>
    <row r="7" spans="1:10" ht="15" customHeight="1" x14ac:dyDescent="0.2">
      <c r="A7" s="1" t="s">
        <v>400</v>
      </c>
      <c r="B7" s="1" t="s">
        <v>401</v>
      </c>
      <c r="C7" s="1" t="s">
        <v>297</v>
      </c>
      <c r="D7" s="1" t="s">
        <v>266</v>
      </c>
      <c r="E7" s="1"/>
      <c r="F7" s="1"/>
      <c r="G7" s="1" t="s">
        <v>378</v>
      </c>
      <c r="H7" s="1" t="s">
        <v>379</v>
      </c>
      <c r="I7" s="1"/>
      <c r="J7" s="1" t="s">
        <v>531</v>
      </c>
    </row>
    <row r="8" spans="1:10" ht="15" customHeight="1" x14ac:dyDescent="0.2">
      <c r="A8" s="1" t="s">
        <v>400</v>
      </c>
      <c r="B8" s="1" t="s">
        <v>401</v>
      </c>
      <c r="C8" s="1" t="s">
        <v>296</v>
      </c>
      <c r="D8" s="1" t="s">
        <v>265</v>
      </c>
      <c r="E8" s="1"/>
      <c r="F8" s="1"/>
      <c r="G8" s="1" t="s">
        <v>380</v>
      </c>
      <c r="H8" s="1" t="s">
        <v>381</v>
      </c>
      <c r="I8" s="1"/>
      <c r="J8" s="1" t="s">
        <v>531</v>
      </c>
    </row>
    <row r="9" spans="1:10" ht="15" customHeight="1" x14ac:dyDescent="0.2">
      <c r="A9" s="1" t="s">
        <v>393</v>
      </c>
      <c r="B9" s="1" t="s">
        <v>403</v>
      </c>
      <c r="C9" s="1" t="s">
        <v>292</v>
      </c>
      <c r="D9" s="1" t="s">
        <v>251</v>
      </c>
      <c r="E9" s="1"/>
      <c r="F9" s="1"/>
      <c r="G9" s="1" t="s">
        <v>366</v>
      </c>
      <c r="H9" s="1" t="s">
        <v>530</v>
      </c>
      <c r="I9" s="1"/>
      <c r="J9" s="1" t="s">
        <v>531</v>
      </c>
    </row>
    <row r="10" spans="1:10" ht="15" customHeight="1" x14ac:dyDescent="0.2">
      <c r="A10" s="1" t="s">
        <v>393</v>
      </c>
      <c r="B10" s="1" t="s">
        <v>403</v>
      </c>
      <c r="C10" s="1" t="s">
        <v>293</v>
      </c>
      <c r="D10" s="1" t="s">
        <v>256</v>
      </c>
      <c r="E10" s="1"/>
      <c r="F10" s="1"/>
      <c r="G10" s="1" t="s">
        <v>368</v>
      </c>
      <c r="H10" s="1" t="s">
        <v>369</v>
      </c>
      <c r="I10" s="1"/>
      <c r="J10" s="1" t="s">
        <v>531</v>
      </c>
    </row>
    <row r="11" spans="1:10" ht="15" customHeight="1" x14ac:dyDescent="0.2">
      <c r="A11" s="1" t="s">
        <v>393</v>
      </c>
      <c r="B11" s="1" t="s">
        <v>403</v>
      </c>
      <c r="C11" s="1" t="s">
        <v>532</v>
      </c>
      <c r="D11" s="1" t="s">
        <v>533</v>
      </c>
      <c r="E11" s="1"/>
      <c r="F11" s="1"/>
      <c r="G11" s="1" t="s">
        <v>534</v>
      </c>
      <c r="H11" s="1" t="s">
        <v>535</v>
      </c>
      <c r="I11" s="1"/>
      <c r="J11" s="1" t="s">
        <v>531</v>
      </c>
    </row>
    <row r="12" spans="1:10" ht="15" customHeight="1" x14ac:dyDescent="0.2">
      <c r="A12" s="1" t="s">
        <v>393</v>
      </c>
      <c r="B12" s="1" t="s">
        <v>403</v>
      </c>
      <c r="C12" s="1" t="s">
        <v>298</v>
      </c>
      <c r="D12" s="1" t="s">
        <v>268</v>
      </c>
      <c r="E12" s="1"/>
      <c r="F12" s="1"/>
      <c r="G12" s="1" t="s">
        <v>373</v>
      </c>
      <c r="H12" s="1" t="s">
        <v>374</v>
      </c>
      <c r="I12" s="1"/>
      <c r="J12" s="1" t="s">
        <v>531</v>
      </c>
    </row>
    <row r="13" spans="1:10" ht="15" customHeight="1" x14ac:dyDescent="0.2">
      <c r="A13" s="1" t="s">
        <v>393</v>
      </c>
      <c r="B13" s="1" t="s">
        <v>403</v>
      </c>
      <c r="C13" s="1" t="s">
        <v>294</v>
      </c>
      <c r="D13" s="1" t="s">
        <v>536</v>
      </c>
      <c r="E13" s="1"/>
      <c r="F13" s="1"/>
      <c r="G13" s="1" t="s">
        <v>375</v>
      </c>
      <c r="H13" s="1" t="s">
        <v>376</v>
      </c>
      <c r="I13" s="1"/>
      <c r="J13" s="1" t="s">
        <v>531</v>
      </c>
    </row>
    <row r="14" spans="1:10" ht="15" customHeight="1" x14ac:dyDescent="0.2">
      <c r="A14" s="1" t="s">
        <v>393</v>
      </c>
      <c r="B14" s="1" t="s">
        <v>403</v>
      </c>
      <c r="C14" s="1" t="s">
        <v>297</v>
      </c>
      <c r="D14" s="1" t="s">
        <v>266</v>
      </c>
      <c r="E14" s="1"/>
      <c r="F14" s="1"/>
      <c r="G14" s="1" t="s">
        <v>378</v>
      </c>
      <c r="H14" s="1" t="s">
        <v>379</v>
      </c>
      <c r="I14" s="1"/>
      <c r="J14" s="1" t="s">
        <v>531</v>
      </c>
    </row>
    <row r="15" spans="1:10" ht="15" customHeight="1" x14ac:dyDescent="0.2">
      <c r="A15" s="1" t="s">
        <v>393</v>
      </c>
      <c r="B15" s="1" t="s">
        <v>403</v>
      </c>
      <c r="C15" s="1" t="s">
        <v>296</v>
      </c>
      <c r="D15" s="1" t="s">
        <v>265</v>
      </c>
      <c r="E15" s="1"/>
      <c r="F15" s="1"/>
      <c r="G15" s="1" t="s">
        <v>380</v>
      </c>
      <c r="H15" s="1" t="s">
        <v>381</v>
      </c>
      <c r="I15" s="1"/>
      <c r="J15" s="1" t="s">
        <v>531</v>
      </c>
    </row>
    <row r="16" spans="1:10" ht="15" customHeight="1" x14ac:dyDescent="0.2">
      <c r="A16" s="13" t="s">
        <v>405</v>
      </c>
      <c r="B16" s="13" t="s">
        <v>406</v>
      </c>
      <c r="C16" s="13" t="s">
        <v>300</v>
      </c>
      <c r="D16" s="1" t="s">
        <v>251</v>
      </c>
      <c r="E16" s="13"/>
      <c r="F16" s="13"/>
      <c r="G16" s="1" t="s">
        <v>386</v>
      </c>
      <c r="H16" s="1" t="s">
        <v>387</v>
      </c>
      <c r="I16" s="13"/>
      <c r="J16" s="13" t="s">
        <v>537</v>
      </c>
    </row>
    <row r="17" spans="1:10" ht="15" customHeight="1" x14ac:dyDescent="0.2">
      <c r="A17" s="13" t="s">
        <v>405</v>
      </c>
      <c r="B17" s="13" t="s">
        <v>406</v>
      </c>
      <c r="C17" s="13" t="s">
        <v>301</v>
      </c>
      <c r="D17" s="1" t="s">
        <v>256</v>
      </c>
      <c r="E17" s="13"/>
      <c r="F17" s="13"/>
      <c r="G17" s="1" t="s">
        <v>389</v>
      </c>
      <c r="H17" s="1" t="s">
        <v>390</v>
      </c>
      <c r="I17" s="13"/>
      <c r="J17" s="13" t="s">
        <v>537</v>
      </c>
    </row>
    <row r="18" spans="1:10" ht="15" customHeight="1" x14ac:dyDescent="0.2">
      <c r="A18" s="13" t="s">
        <v>405</v>
      </c>
      <c r="B18" s="13" t="s">
        <v>406</v>
      </c>
      <c r="C18" s="13" t="s">
        <v>306</v>
      </c>
      <c r="D18" s="1" t="s">
        <v>536</v>
      </c>
      <c r="E18" s="13"/>
      <c r="F18" s="13"/>
      <c r="G18" s="1" t="s">
        <v>391</v>
      </c>
      <c r="H18" s="1" t="s">
        <v>392</v>
      </c>
      <c r="I18" s="13"/>
      <c r="J18" s="13" t="s">
        <v>537</v>
      </c>
    </row>
    <row r="19" spans="1:10" ht="15" customHeight="1" x14ac:dyDescent="0.2">
      <c r="A19" s="13" t="s">
        <v>405</v>
      </c>
      <c r="B19" s="13" t="s">
        <v>406</v>
      </c>
      <c r="C19" s="13" t="s">
        <v>305</v>
      </c>
      <c r="D19" s="1" t="s">
        <v>268</v>
      </c>
      <c r="E19" s="13"/>
      <c r="F19" s="13"/>
      <c r="G19" s="1" t="s">
        <v>397</v>
      </c>
      <c r="H19" s="1" t="s">
        <v>398</v>
      </c>
      <c r="I19" s="13"/>
      <c r="J19" s="13" t="s">
        <v>537</v>
      </c>
    </row>
    <row r="20" spans="1:10" ht="15" customHeight="1" x14ac:dyDescent="0.2">
      <c r="A20" s="13" t="s">
        <v>405</v>
      </c>
      <c r="B20" s="13" t="s">
        <v>406</v>
      </c>
      <c r="C20" s="13" t="s">
        <v>307</v>
      </c>
      <c r="D20" s="1" t="s">
        <v>266</v>
      </c>
      <c r="E20" s="13"/>
      <c r="F20" s="13"/>
      <c r="G20" s="1" t="s">
        <v>395</v>
      </c>
      <c r="H20" s="1" t="s">
        <v>396</v>
      </c>
      <c r="I20" s="13"/>
      <c r="J20" s="13" t="s">
        <v>537</v>
      </c>
    </row>
    <row r="21" spans="1:10" ht="15" customHeight="1" x14ac:dyDescent="0.2">
      <c r="A21" s="13" t="s">
        <v>405</v>
      </c>
      <c r="B21" s="13" t="s">
        <v>406</v>
      </c>
      <c r="C21" s="13" t="s">
        <v>303</v>
      </c>
      <c r="D21" s="1" t="s">
        <v>265</v>
      </c>
      <c r="E21" s="13"/>
      <c r="F21" s="13"/>
      <c r="G21" s="1" t="s">
        <v>393</v>
      </c>
      <c r="H21" s="1" t="s">
        <v>394</v>
      </c>
      <c r="I21" s="13"/>
      <c r="J21" s="13" t="s">
        <v>537</v>
      </c>
    </row>
    <row r="22" spans="1:10" ht="15" customHeight="1" x14ac:dyDescent="0.2">
      <c r="A22" s="13" t="s">
        <v>405</v>
      </c>
      <c r="B22" s="13" t="s">
        <v>406</v>
      </c>
      <c r="C22" s="13" t="s">
        <v>538</v>
      </c>
      <c r="D22" s="1" t="s">
        <v>533</v>
      </c>
      <c r="E22" s="13"/>
      <c r="F22" s="13"/>
      <c r="G22" s="1" t="s">
        <v>371</v>
      </c>
      <c r="H22" s="1" t="s">
        <v>372</v>
      </c>
      <c r="I22" s="13"/>
      <c r="J22" s="13" t="s">
        <v>537</v>
      </c>
    </row>
    <row r="23" spans="1:10" ht="15" customHeight="1" x14ac:dyDescent="0.2">
      <c r="A23" s="13" t="s">
        <v>405</v>
      </c>
      <c r="B23" s="13" t="s">
        <v>406</v>
      </c>
      <c r="C23" s="13" t="s">
        <v>295</v>
      </c>
      <c r="D23" s="1" t="s">
        <v>263</v>
      </c>
      <c r="E23" s="13"/>
      <c r="F23" s="13"/>
      <c r="G23" s="1"/>
      <c r="H23" s="1" t="s">
        <v>539</v>
      </c>
      <c r="I23" s="13"/>
      <c r="J23" s="13" t="s">
        <v>537</v>
      </c>
    </row>
    <row r="24" spans="1:10" ht="15" customHeight="1" x14ac:dyDescent="0.2">
      <c r="A24" s="13" t="s">
        <v>408</v>
      </c>
      <c r="B24" s="13" t="s">
        <v>409</v>
      </c>
      <c r="C24" s="13" t="s">
        <v>300</v>
      </c>
      <c r="D24" s="1" t="s">
        <v>251</v>
      </c>
      <c r="E24" s="13"/>
      <c r="F24" s="13"/>
      <c r="G24" s="1" t="s">
        <v>386</v>
      </c>
      <c r="H24" s="1" t="s">
        <v>387</v>
      </c>
      <c r="I24" s="13"/>
      <c r="J24" s="13" t="s">
        <v>537</v>
      </c>
    </row>
    <row r="25" spans="1:10" ht="15" customHeight="1" x14ac:dyDescent="0.2">
      <c r="A25" s="13" t="s">
        <v>408</v>
      </c>
      <c r="B25" s="13" t="s">
        <v>409</v>
      </c>
      <c r="C25" s="13" t="s">
        <v>301</v>
      </c>
      <c r="D25" s="1" t="s">
        <v>256</v>
      </c>
      <c r="E25" s="13"/>
      <c r="F25" s="13"/>
      <c r="G25" s="1" t="s">
        <v>389</v>
      </c>
      <c r="H25" s="1" t="s">
        <v>390</v>
      </c>
      <c r="I25" s="13"/>
      <c r="J25" s="13" t="s">
        <v>537</v>
      </c>
    </row>
    <row r="26" spans="1:10" ht="15" customHeight="1" x14ac:dyDescent="0.2">
      <c r="A26" s="13" t="s">
        <v>408</v>
      </c>
      <c r="B26" s="13" t="s">
        <v>409</v>
      </c>
      <c r="C26" s="13" t="s">
        <v>306</v>
      </c>
      <c r="D26" s="1" t="s">
        <v>536</v>
      </c>
      <c r="E26" s="13"/>
      <c r="F26" s="13"/>
      <c r="G26" s="1" t="s">
        <v>391</v>
      </c>
      <c r="H26" s="1" t="s">
        <v>392</v>
      </c>
      <c r="I26" s="13"/>
      <c r="J26" s="13" t="s">
        <v>537</v>
      </c>
    </row>
    <row r="27" spans="1:10" ht="15" customHeight="1" x14ac:dyDescent="0.2">
      <c r="A27" s="13" t="s">
        <v>408</v>
      </c>
      <c r="B27" s="13" t="s">
        <v>409</v>
      </c>
      <c r="C27" s="13" t="s">
        <v>305</v>
      </c>
      <c r="D27" s="1" t="s">
        <v>268</v>
      </c>
      <c r="E27" s="13"/>
      <c r="F27" s="13"/>
      <c r="G27" s="1" t="s">
        <v>397</v>
      </c>
      <c r="H27" s="1" t="s">
        <v>398</v>
      </c>
      <c r="I27" s="13"/>
      <c r="J27" s="13" t="s">
        <v>537</v>
      </c>
    </row>
    <row r="28" spans="1:10" ht="15" customHeight="1" x14ac:dyDescent="0.2">
      <c r="A28" s="13" t="s">
        <v>408</v>
      </c>
      <c r="B28" s="13" t="s">
        <v>409</v>
      </c>
      <c r="C28" s="13" t="s">
        <v>307</v>
      </c>
      <c r="D28" s="1" t="s">
        <v>266</v>
      </c>
      <c r="E28" s="13"/>
      <c r="F28" s="13"/>
      <c r="G28" s="1" t="s">
        <v>395</v>
      </c>
      <c r="H28" s="1" t="s">
        <v>396</v>
      </c>
      <c r="I28" s="13"/>
      <c r="J28" s="13" t="s">
        <v>537</v>
      </c>
    </row>
    <row r="29" spans="1:10" ht="15" customHeight="1" x14ac:dyDescent="0.2">
      <c r="A29" s="13" t="s">
        <v>408</v>
      </c>
      <c r="B29" s="13" t="s">
        <v>409</v>
      </c>
      <c r="C29" s="13" t="s">
        <v>303</v>
      </c>
      <c r="D29" s="1" t="s">
        <v>265</v>
      </c>
      <c r="E29" s="13"/>
      <c r="F29" s="13"/>
      <c r="G29" s="1" t="s">
        <v>393</v>
      </c>
      <c r="H29" s="1" t="s">
        <v>394</v>
      </c>
      <c r="I29" s="13"/>
      <c r="J29" s="13" t="s">
        <v>537</v>
      </c>
    </row>
    <row r="30" spans="1:10" ht="15" customHeight="1" x14ac:dyDescent="0.2">
      <c r="A30" s="13" t="s">
        <v>408</v>
      </c>
      <c r="B30" s="13" t="s">
        <v>409</v>
      </c>
      <c r="C30" s="13" t="s">
        <v>538</v>
      </c>
      <c r="D30" s="1" t="s">
        <v>533</v>
      </c>
      <c r="E30" s="13"/>
      <c r="F30" s="13"/>
      <c r="G30" s="1" t="s">
        <v>371</v>
      </c>
      <c r="H30" s="1" t="s">
        <v>372</v>
      </c>
      <c r="I30" s="13"/>
      <c r="J30" s="13" t="s">
        <v>537</v>
      </c>
    </row>
    <row r="31" spans="1:10" ht="15" customHeight="1" x14ac:dyDescent="0.2">
      <c r="A31" s="13" t="s">
        <v>408</v>
      </c>
      <c r="B31" s="13" t="s">
        <v>409</v>
      </c>
      <c r="C31" s="13" t="s">
        <v>295</v>
      </c>
      <c r="D31" s="1" t="s">
        <v>263</v>
      </c>
      <c r="E31" s="13"/>
      <c r="F31" s="13"/>
      <c r="G31" s="1"/>
      <c r="H31" s="1" t="s">
        <v>539</v>
      </c>
      <c r="I31" s="13"/>
      <c r="J31" s="13" t="s">
        <v>537</v>
      </c>
    </row>
    <row r="32" spans="1:10" ht="15" customHeight="1" x14ac:dyDescent="0.2">
      <c r="A32" s="13" t="s">
        <v>411</v>
      </c>
      <c r="B32" s="13" t="s">
        <v>412</v>
      </c>
      <c r="C32" s="13" t="s">
        <v>300</v>
      </c>
      <c r="D32" s="1" t="s">
        <v>251</v>
      </c>
      <c r="E32" s="13"/>
      <c r="F32" s="13"/>
      <c r="G32" s="1" t="s">
        <v>386</v>
      </c>
      <c r="H32" s="1" t="s">
        <v>387</v>
      </c>
      <c r="I32" s="13"/>
      <c r="J32" s="13" t="s">
        <v>537</v>
      </c>
    </row>
    <row r="33" spans="1:10" ht="15" customHeight="1" x14ac:dyDescent="0.2">
      <c r="A33" s="13" t="s">
        <v>411</v>
      </c>
      <c r="B33" s="13" t="s">
        <v>412</v>
      </c>
      <c r="C33" s="13" t="s">
        <v>301</v>
      </c>
      <c r="D33" s="1" t="s">
        <v>256</v>
      </c>
      <c r="E33" s="13"/>
      <c r="F33" s="13"/>
      <c r="G33" s="1" t="s">
        <v>389</v>
      </c>
      <c r="H33" s="1" t="s">
        <v>390</v>
      </c>
      <c r="I33" s="13"/>
      <c r="J33" s="13" t="s">
        <v>537</v>
      </c>
    </row>
    <row r="34" spans="1:10" ht="15" customHeight="1" x14ac:dyDescent="0.2">
      <c r="A34" s="13" t="s">
        <v>411</v>
      </c>
      <c r="B34" s="13" t="s">
        <v>412</v>
      </c>
      <c r="C34" s="13" t="s">
        <v>306</v>
      </c>
      <c r="D34" s="1" t="s">
        <v>536</v>
      </c>
      <c r="E34" s="13"/>
      <c r="F34" s="13"/>
      <c r="G34" s="1" t="s">
        <v>391</v>
      </c>
      <c r="H34" s="1" t="s">
        <v>392</v>
      </c>
      <c r="I34" s="13"/>
      <c r="J34" s="13" t="s">
        <v>537</v>
      </c>
    </row>
    <row r="35" spans="1:10" ht="15" customHeight="1" x14ac:dyDescent="0.2">
      <c r="A35" s="13" t="s">
        <v>411</v>
      </c>
      <c r="B35" s="13" t="s">
        <v>412</v>
      </c>
      <c r="C35" s="13" t="s">
        <v>305</v>
      </c>
      <c r="D35" s="1" t="s">
        <v>268</v>
      </c>
      <c r="E35" s="13"/>
      <c r="F35" s="13"/>
      <c r="G35" s="1" t="s">
        <v>397</v>
      </c>
      <c r="H35" s="1" t="s">
        <v>398</v>
      </c>
      <c r="I35" s="13"/>
      <c r="J35" s="13" t="s">
        <v>537</v>
      </c>
    </row>
    <row r="36" spans="1:10" ht="15" customHeight="1" x14ac:dyDescent="0.2">
      <c r="A36" s="13" t="s">
        <v>411</v>
      </c>
      <c r="B36" s="13" t="s">
        <v>412</v>
      </c>
      <c r="C36" s="13" t="s">
        <v>307</v>
      </c>
      <c r="D36" s="1" t="s">
        <v>266</v>
      </c>
      <c r="E36" s="13"/>
      <c r="F36" s="13"/>
      <c r="G36" s="1" t="s">
        <v>395</v>
      </c>
      <c r="H36" s="1" t="s">
        <v>396</v>
      </c>
      <c r="I36" s="13"/>
      <c r="J36" s="13" t="s">
        <v>537</v>
      </c>
    </row>
    <row r="37" spans="1:10" ht="15" customHeight="1" x14ac:dyDescent="0.2">
      <c r="A37" s="13" t="s">
        <v>411</v>
      </c>
      <c r="B37" s="13" t="s">
        <v>412</v>
      </c>
      <c r="C37" s="13" t="s">
        <v>303</v>
      </c>
      <c r="D37" s="1" t="s">
        <v>265</v>
      </c>
      <c r="E37" s="13"/>
      <c r="F37" s="13"/>
      <c r="G37" s="1" t="s">
        <v>393</v>
      </c>
      <c r="H37" s="1" t="s">
        <v>394</v>
      </c>
      <c r="I37" s="13"/>
      <c r="J37" s="13" t="s">
        <v>537</v>
      </c>
    </row>
    <row r="38" spans="1:10" ht="15" customHeight="1" x14ac:dyDescent="0.2">
      <c r="A38" s="13" t="s">
        <v>411</v>
      </c>
      <c r="B38" s="13" t="s">
        <v>412</v>
      </c>
      <c r="C38" s="13" t="s">
        <v>538</v>
      </c>
      <c r="D38" s="1" t="s">
        <v>533</v>
      </c>
      <c r="E38" s="13"/>
      <c r="F38" s="13"/>
      <c r="G38" s="1" t="s">
        <v>371</v>
      </c>
      <c r="H38" s="1" t="s">
        <v>372</v>
      </c>
      <c r="I38" s="13"/>
      <c r="J38" s="13" t="s">
        <v>537</v>
      </c>
    </row>
    <row r="39" spans="1:10" ht="15" customHeight="1" x14ac:dyDescent="0.2">
      <c r="A39" s="13" t="s">
        <v>411</v>
      </c>
      <c r="B39" s="13" t="s">
        <v>412</v>
      </c>
      <c r="C39" s="13" t="s">
        <v>295</v>
      </c>
      <c r="D39" s="1" t="s">
        <v>263</v>
      </c>
      <c r="E39" s="13"/>
      <c r="F39" s="13"/>
      <c r="G39" s="1"/>
      <c r="H39" s="1" t="s">
        <v>539</v>
      </c>
      <c r="I39" s="13"/>
      <c r="J39" s="13" t="s">
        <v>537</v>
      </c>
    </row>
    <row r="40" spans="1:10" ht="15" customHeight="1" x14ac:dyDescent="0.2">
      <c r="A40" s="13" t="s">
        <v>413</v>
      </c>
      <c r="B40" s="13" t="s">
        <v>414</v>
      </c>
      <c r="C40" s="13" t="s">
        <v>300</v>
      </c>
      <c r="D40" s="1" t="s">
        <v>251</v>
      </c>
      <c r="E40" s="13"/>
      <c r="F40" s="13"/>
      <c r="G40" s="1" t="s">
        <v>386</v>
      </c>
      <c r="H40" s="1" t="s">
        <v>387</v>
      </c>
      <c r="I40" s="13"/>
      <c r="J40" s="13" t="s">
        <v>537</v>
      </c>
    </row>
    <row r="41" spans="1:10" ht="15" customHeight="1" x14ac:dyDescent="0.2">
      <c r="A41" s="13" t="s">
        <v>413</v>
      </c>
      <c r="B41" s="13" t="s">
        <v>414</v>
      </c>
      <c r="C41" s="13" t="s">
        <v>301</v>
      </c>
      <c r="D41" s="1" t="s">
        <v>256</v>
      </c>
      <c r="E41" s="13"/>
      <c r="F41" s="13"/>
      <c r="G41" s="1" t="s">
        <v>389</v>
      </c>
      <c r="H41" s="1" t="s">
        <v>390</v>
      </c>
      <c r="I41" s="13"/>
      <c r="J41" s="13" t="s">
        <v>537</v>
      </c>
    </row>
    <row r="42" spans="1:10" ht="15" customHeight="1" x14ac:dyDescent="0.2">
      <c r="A42" s="13" t="s">
        <v>413</v>
      </c>
      <c r="B42" s="13" t="s">
        <v>414</v>
      </c>
      <c r="C42" s="13" t="s">
        <v>306</v>
      </c>
      <c r="D42" s="1" t="s">
        <v>536</v>
      </c>
      <c r="E42" s="13"/>
      <c r="F42" s="13"/>
      <c r="G42" s="1" t="s">
        <v>391</v>
      </c>
      <c r="H42" s="1" t="s">
        <v>392</v>
      </c>
      <c r="I42" s="13"/>
      <c r="J42" s="13" t="s">
        <v>537</v>
      </c>
    </row>
    <row r="43" spans="1:10" ht="15" customHeight="1" x14ac:dyDescent="0.2">
      <c r="A43" s="13" t="s">
        <v>413</v>
      </c>
      <c r="B43" s="13" t="s">
        <v>414</v>
      </c>
      <c r="C43" s="13" t="s">
        <v>305</v>
      </c>
      <c r="D43" s="1" t="s">
        <v>268</v>
      </c>
      <c r="E43" s="13"/>
      <c r="F43" s="13"/>
      <c r="G43" s="1" t="s">
        <v>397</v>
      </c>
      <c r="H43" s="1" t="s">
        <v>398</v>
      </c>
      <c r="I43" s="13"/>
      <c r="J43" s="13" t="s">
        <v>537</v>
      </c>
    </row>
    <row r="44" spans="1:10" ht="15" customHeight="1" x14ac:dyDescent="0.2">
      <c r="A44" s="13" t="s">
        <v>413</v>
      </c>
      <c r="B44" s="13" t="s">
        <v>414</v>
      </c>
      <c r="C44" s="13" t="s">
        <v>307</v>
      </c>
      <c r="D44" s="1" t="s">
        <v>266</v>
      </c>
      <c r="E44" s="13"/>
      <c r="F44" s="13"/>
      <c r="G44" s="1" t="s">
        <v>395</v>
      </c>
      <c r="H44" s="1" t="s">
        <v>396</v>
      </c>
      <c r="I44" s="13"/>
      <c r="J44" s="13" t="s">
        <v>537</v>
      </c>
    </row>
    <row r="45" spans="1:10" ht="15" customHeight="1" x14ac:dyDescent="0.2">
      <c r="A45" s="13" t="s">
        <v>413</v>
      </c>
      <c r="B45" s="13" t="s">
        <v>414</v>
      </c>
      <c r="C45" s="13" t="s">
        <v>303</v>
      </c>
      <c r="D45" s="1" t="s">
        <v>265</v>
      </c>
      <c r="E45" s="13"/>
      <c r="F45" s="13"/>
      <c r="G45" s="1" t="s">
        <v>393</v>
      </c>
      <c r="H45" s="1" t="s">
        <v>394</v>
      </c>
      <c r="I45" s="13"/>
      <c r="J45" s="13" t="s">
        <v>537</v>
      </c>
    </row>
    <row r="46" spans="1:10" ht="15" customHeight="1" x14ac:dyDescent="0.2">
      <c r="A46" s="13" t="s">
        <v>413</v>
      </c>
      <c r="B46" s="13" t="s">
        <v>414</v>
      </c>
      <c r="C46" s="13" t="s">
        <v>538</v>
      </c>
      <c r="D46" s="1" t="s">
        <v>533</v>
      </c>
      <c r="E46" s="13"/>
      <c r="F46" s="13"/>
      <c r="G46" s="1" t="s">
        <v>371</v>
      </c>
      <c r="H46" s="1" t="s">
        <v>372</v>
      </c>
      <c r="I46" s="13"/>
      <c r="J46" s="13" t="s">
        <v>537</v>
      </c>
    </row>
    <row r="47" spans="1:10" ht="15" customHeight="1" x14ac:dyDescent="0.2">
      <c r="A47" s="13" t="s">
        <v>413</v>
      </c>
      <c r="B47" s="13" t="s">
        <v>414</v>
      </c>
      <c r="C47" s="13" t="s">
        <v>295</v>
      </c>
      <c r="D47" s="1" t="s">
        <v>263</v>
      </c>
      <c r="E47" s="13"/>
      <c r="F47" s="13"/>
      <c r="G47" s="1"/>
      <c r="H47" s="1" t="s">
        <v>539</v>
      </c>
      <c r="I47" s="13"/>
      <c r="J47" s="13" t="s">
        <v>537</v>
      </c>
    </row>
    <row r="48" spans="1:10" ht="15" customHeight="1" x14ac:dyDescent="0.2">
      <c r="A48" s="13" t="s">
        <v>415</v>
      </c>
      <c r="B48" s="13" t="s">
        <v>416</v>
      </c>
      <c r="C48" s="13" t="s">
        <v>300</v>
      </c>
      <c r="D48" s="1" t="s">
        <v>251</v>
      </c>
      <c r="E48" s="13"/>
      <c r="F48" s="13"/>
      <c r="G48" s="1" t="s">
        <v>386</v>
      </c>
      <c r="H48" s="1" t="s">
        <v>387</v>
      </c>
      <c r="I48" s="13"/>
      <c r="J48" s="13" t="s">
        <v>537</v>
      </c>
    </row>
    <row r="49" spans="1:10" ht="15" customHeight="1" x14ac:dyDescent="0.2">
      <c r="A49" s="13" t="s">
        <v>415</v>
      </c>
      <c r="B49" s="13" t="s">
        <v>416</v>
      </c>
      <c r="C49" s="13" t="s">
        <v>301</v>
      </c>
      <c r="D49" s="1" t="s">
        <v>256</v>
      </c>
      <c r="E49" s="13"/>
      <c r="F49" s="13"/>
      <c r="G49" s="1" t="s">
        <v>389</v>
      </c>
      <c r="H49" s="1" t="s">
        <v>390</v>
      </c>
      <c r="I49" s="13"/>
      <c r="J49" s="13" t="s">
        <v>537</v>
      </c>
    </row>
    <row r="50" spans="1:10" ht="15" customHeight="1" x14ac:dyDescent="0.2">
      <c r="A50" s="13" t="s">
        <v>415</v>
      </c>
      <c r="B50" s="13" t="s">
        <v>416</v>
      </c>
      <c r="C50" s="13" t="s">
        <v>306</v>
      </c>
      <c r="D50" s="1" t="s">
        <v>536</v>
      </c>
      <c r="E50" s="13"/>
      <c r="F50" s="13"/>
      <c r="G50" s="1" t="s">
        <v>391</v>
      </c>
      <c r="H50" s="1" t="s">
        <v>392</v>
      </c>
      <c r="I50" s="13"/>
      <c r="J50" s="13" t="s">
        <v>537</v>
      </c>
    </row>
    <row r="51" spans="1:10" ht="15" customHeight="1" x14ac:dyDescent="0.2">
      <c r="A51" s="13" t="s">
        <v>415</v>
      </c>
      <c r="B51" s="13" t="s">
        <v>416</v>
      </c>
      <c r="C51" s="13" t="s">
        <v>305</v>
      </c>
      <c r="D51" s="1" t="s">
        <v>268</v>
      </c>
      <c r="E51" s="13"/>
      <c r="F51" s="13"/>
      <c r="G51" s="1" t="s">
        <v>397</v>
      </c>
      <c r="H51" s="1" t="s">
        <v>398</v>
      </c>
      <c r="I51" s="13"/>
      <c r="J51" s="13" t="s">
        <v>537</v>
      </c>
    </row>
    <row r="52" spans="1:10" ht="15" customHeight="1" x14ac:dyDescent="0.2">
      <c r="A52" s="13" t="s">
        <v>415</v>
      </c>
      <c r="B52" s="13" t="s">
        <v>416</v>
      </c>
      <c r="C52" s="13" t="s">
        <v>307</v>
      </c>
      <c r="D52" s="1" t="s">
        <v>266</v>
      </c>
      <c r="E52" s="13"/>
      <c r="F52" s="13"/>
      <c r="G52" s="1" t="s">
        <v>395</v>
      </c>
      <c r="H52" s="1" t="s">
        <v>396</v>
      </c>
      <c r="I52" s="13"/>
      <c r="J52" s="13" t="s">
        <v>537</v>
      </c>
    </row>
    <row r="53" spans="1:10" ht="15" customHeight="1" x14ac:dyDescent="0.2">
      <c r="A53" s="13" t="s">
        <v>415</v>
      </c>
      <c r="B53" s="13" t="s">
        <v>416</v>
      </c>
      <c r="C53" s="13" t="s">
        <v>303</v>
      </c>
      <c r="D53" s="1" t="s">
        <v>265</v>
      </c>
      <c r="E53" s="13"/>
      <c r="F53" s="13"/>
      <c r="G53" s="1" t="s">
        <v>393</v>
      </c>
      <c r="H53" s="1" t="s">
        <v>394</v>
      </c>
      <c r="I53" s="13"/>
      <c r="J53" s="13" t="s">
        <v>537</v>
      </c>
    </row>
    <row r="54" spans="1:10" ht="15" customHeight="1" x14ac:dyDescent="0.2">
      <c r="A54" s="13" t="s">
        <v>415</v>
      </c>
      <c r="B54" s="13" t="s">
        <v>416</v>
      </c>
      <c r="C54" s="13" t="s">
        <v>538</v>
      </c>
      <c r="D54" s="1" t="s">
        <v>533</v>
      </c>
      <c r="E54" s="13"/>
      <c r="F54" s="13"/>
      <c r="G54" s="1" t="s">
        <v>371</v>
      </c>
      <c r="H54" s="1" t="s">
        <v>372</v>
      </c>
      <c r="I54" s="13"/>
      <c r="J54" s="13" t="s">
        <v>537</v>
      </c>
    </row>
    <row r="55" spans="1:10" ht="15" customHeight="1" x14ac:dyDescent="0.2">
      <c r="A55" s="13" t="s">
        <v>415</v>
      </c>
      <c r="B55" s="13" t="s">
        <v>416</v>
      </c>
      <c r="C55" s="13" t="s">
        <v>295</v>
      </c>
      <c r="D55" s="1" t="s">
        <v>263</v>
      </c>
      <c r="E55" s="13"/>
      <c r="F55" s="13"/>
      <c r="G55" s="1"/>
      <c r="H55" s="1" t="s">
        <v>539</v>
      </c>
      <c r="I55" s="13"/>
      <c r="J55" s="13" t="s">
        <v>537</v>
      </c>
    </row>
    <row r="56" spans="1:10" ht="15" customHeight="1" x14ac:dyDescent="0.2">
      <c r="A56" s="13" t="s">
        <v>417</v>
      </c>
      <c r="B56" s="13" t="s">
        <v>418</v>
      </c>
      <c r="C56" s="13" t="s">
        <v>300</v>
      </c>
      <c r="D56" s="1" t="s">
        <v>251</v>
      </c>
      <c r="E56" s="13"/>
      <c r="F56" s="13"/>
      <c r="G56" s="1" t="s">
        <v>386</v>
      </c>
      <c r="H56" s="1" t="s">
        <v>387</v>
      </c>
      <c r="I56" s="13"/>
      <c r="J56" s="13" t="s">
        <v>537</v>
      </c>
    </row>
    <row r="57" spans="1:10" ht="15" customHeight="1" x14ac:dyDescent="0.2">
      <c r="A57" s="13" t="s">
        <v>417</v>
      </c>
      <c r="B57" s="13" t="s">
        <v>418</v>
      </c>
      <c r="C57" s="13" t="s">
        <v>301</v>
      </c>
      <c r="D57" s="1" t="s">
        <v>256</v>
      </c>
      <c r="E57" s="13"/>
      <c r="F57" s="13"/>
      <c r="G57" s="1" t="s">
        <v>389</v>
      </c>
      <c r="H57" s="1" t="s">
        <v>390</v>
      </c>
      <c r="I57" s="13"/>
      <c r="J57" s="13" t="s">
        <v>537</v>
      </c>
    </row>
    <row r="58" spans="1:10" ht="15" customHeight="1" x14ac:dyDescent="0.2">
      <c r="A58" s="13" t="s">
        <v>417</v>
      </c>
      <c r="B58" s="13" t="s">
        <v>418</v>
      </c>
      <c r="C58" s="13" t="s">
        <v>306</v>
      </c>
      <c r="D58" s="1" t="s">
        <v>536</v>
      </c>
      <c r="E58" s="13"/>
      <c r="F58" s="13"/>
      <c r="G58" s="1" t="s">
        <v>391</v>
      </c>
      <c r="H58" s="1" t="s">
        <v>392</v>
      </c>
      <c r="I58" s="13"/>
      <c r="J58" s="13" t="s">
        <v>537</v>
      </c>
    </row>
    <row r="59" spans="1:10" ht="15" customHeight="1" x14ac:dyDescent="0.2">
      <c r="A59" s="13" t="s">
        <v>417</v>
      </c>
      <c r="B59" s="13" t="s">
        <v>418</v>
      </c>
      <c r="C59" s="13" t="s">
        <v>305</v>
      </c>
      <c r="D59" s="1" t="s">
        <v>268</v>
      </c>
      <c r="E59" s="13"/>
      <c r="F59" s="13"/>
      <c r="G59" s="1" t="s">
        <v>397</v>
      </c>
      <c r="H59" s="1" t="s">
        <v>398</v>
      </c>
      <c r="I59" s="13"/>
      <c r="J59" s="13" t="s">
        <v>537</v>
      </c>
    </row>
    <row r="60" spans="1:10" ht="15" customHeight="1" x14ac:dyDescent="0.2">
      <c r="A60" s="13" t="s">
        <v>417</v>
      </c>
      <c r="B60" s="13" t="s">
        <v>418</v>
      </c>
      <c r="C60" s="13" t="s">
        <v>307</v>
      </c>
      <c r="D60" s="1" t="s">
        <v>266</v>
      </c>
      <c r="E60" s="13"/>
      <c r="F60" s="13"/>
      <c r="G60" s="1" t="s">
        <v>395</v>
      </c>
      <c r="H60" s="1" t="s">
        <v>396</v>
      </c>
      <c r="I60" s="13"/>
      <c r="J60" s="13" t="s">
        <v>537</v>
      </c>
    </row>
    <row r="61" spans="1:10" ht="15" customHeight="1" x14ac:dyDescent="0.2">
      <c r="A61" s="13" t="s">
        <v>417</v>
      </c>
      <c r="B61" s="13" t="s">
        <v>418</v>
      </c>
      <c r="C61" s="13" t="s">
        <v>303</v>
      </c>
      <c r="D61" s="1" t="s">
        <v>265</v>
      </c>
      <c r="E61" s="13"/>
      <c r="F61" s="13"/>
      <c r="G61" s="1" t="s">
        <v>393</v>
      </c>
      <c r="H61" s="1" t="s">
        <v>394</v>
      </c>
      <c r="I61" s="13"/>
      <c r="J61" s="13" t="s">
        <v>537</v>
      </c>
    </row>
    <row r="62" spans="1:10" ht="15" customHeight="1" x14ac:dyDescent="0.2">
      <c r="A62" s="13" t="s">
        <v>417</v>
      </c>
      <c r="B62" s="13" t="s">
        <v>418</v>
      </c>
      <c r="C62" s="13" t="s">
        <v>538</v>
      </c>
      <c r="D62" s="1" t="s">
        <v>533</v>
      </c>
      <c r="E62" s="13"/>
      <c r="F62" s="13"/>
      <c r="G62" s="1" t="s">
        <v>371</v>
      </c>
      <c r="H62" s="1" t="s">
        <v>372</v>
      </c>
      <c r="I62" s="13"/>
      <c r="J62" s="13" t="s">
        <v>537</v>
      </c>
    </row>
    <row r="63" spans="1:10" ht="15" customHeight="1" x14ac:dyDescent="0.2">
      <c r="A63" s="13" t="s">
        <v>417</v>
      </c>
      <c r="B63" s="13" t="s">
        <v>418</v>
      </c>
      <c r="C63" s="13" t="s">
        <v>295</v>
      </c>
      <c r="D63" s="1" t="s">
        <v>263</v>
      </c>
      <c r="E63" s="13"/>
      <c r="F63" s="13"/>
      <c r="G63" s="1"/>
      <c r="H63" s="1" t="s">
        <v>539</v>
      </c>
      <c r="I63" s="13"/>
      <c r="J63" s="13" t="s">
        <v>537</v>
      </c>
    </row>
    <row r="64" spans="1:10" ht="15" customHeight="1" x14ac:dyDescent="0.2">
      <c r="A64" s="13" t="s">
        <v>419</v>
      </c>
      <c r="B64" s="13" t="s">
        <v>420</v>
      </c>
      <c r="C64" s="13" t="s">
        <v>300</v>
      </c>
      <c r="D64" s="1" t="s">
        <v>251</v>
      </c>
      <c r="E64" s="13"/>
      <c r="F64" s="13"/>
      <c r="G64" s="1" t="s">
        <v>386</v>
      </c>
      <c r="H64" s="1" t="s">
        <v>387</v>
      </c>
      <c r="I64" s="13"/>
      <c r="J64" s="13" t="s">
        <v>537</v>
      </c>
    </row>
    <row r="65" spans="1:10" ht="15" customHeight="1" x14ac:dyDescent="0.2">
      <c r="A65" s="13" t="s">
        <v>419</v>
      </c>
      <c r="B65" s="13" t="s">
        <v>420</v>
      </c>
      <c r="C65" s="13" t="s">
        <v>301</v>
      </c>
      <c r="D65" s="1" t="s">
        <v>256</v>
      </c>
      <c r="E65" s="13"/>
      <c r="F65" s="13"/>
      <c r="G65" s="1" t="s">
        <v>389</v>
      </c>
      <c r="H65" s="1" t="s">
        <v>390</v>
      </c>
      <c r="I65" s="13"/>
      <c r="J65" s="13" t="s">
        <v>537</v>
      </c>
    </row>
    <row r="66" spans="1:10" ht="15" customHeight="1" x14ac:dyDescent="0.2">
      <c r="A66" s="13" t="s">
        <v>419</v>
      </c>
      <c r="B66" s="13" t="s">
        <v>420</v>
      </c>
      <c r="C66" s="13" t="s">
        <v>306</v>
      </c>
      <c r="D66" s="1" t="s">
        <v>536</v>
      </c>
      <c r="E66" s="13"/>
      <c r="F66" s="13"/>
      <c r="G66" s="1" t="s">
        <v>391</v>
      </c>
      <c r="H66" s="1" t="s">
        <v>392</v>
      </c>
      <c r="I66" s="13"/>
      <c r="J66" s="13" t="s">
        <v>537</v>
      </c>
    </row>
    <row r="67" spans="1:10" ht="15" customHeight="1" x14ac:dyDescent="0.2">
      <c r="A67" s="13" t="s">
        <v>419</v>
      </c>
      <c r="B67" s="13" t="s">
        <v>420</v>
      </c>
      <c r="C67" s="13" t="s">
        <v>305</v>
      </c>
      <c r="D67" s="1" t="s">
        <v>268</v>
      </c>
      <c r="E67" s="13"/>
      <c r="F67" s="13"/>
      <c r="G67" s="1" t="s">
        <v>397</v>
      </c>
      <c r="H67" s="1" t="s">
        <v>398</v>
      </c>
      <c r="I67" s="13"/>
      <c r="J67" s="13" t="s">
        <v>537</v>
      </c>
    </row>
    <row r="68" spans="1:10" ht="15" customHeight="1" x14ac:dyDescent="0.2">
      <c r="A68" s="13" t="s">
        <v>419</v>
      </c>
      <c r="B68" s="13" t="s">
        <v>420</v>
      </c>
      <c r="C68" s="13" t="s">
        <v>307</v>
      </c>
      <c r="D68" s="1" t="s">
        <v>266</v>
      </c>
      <c r="E68" s="13"/>
      <c r="F68" s="13"/>
      <c r="G68" s="1" t="s">
        <v>395</v>
      </c>
      <c r="H68" s="1" t="s">
        <v>396</v>
      </c>
      <c r="I68" s="13"/>
      <c r="J68" s="13" t="s">
        <v>537</v>
      </c>
    </row>
    <row r="69" spans="1:10" ht="15" customHeight="1" x14ac:dyDescent="0.2">
      <c r="A69" s="13" t="s">
        <v>419</v>
      </c>
      <c r="B69" s="13" t="s">
        <v>420</v>
      </c>
      <c r="C69" s="13" t="s">
        <v>303</v>
      </c>
      <c r="D69" s="1" t="s">
        <v>265</v>
      </c>
      <c r="E69" s="13"/>
      <c r="F69" s="13"/>
      <c r="G69" s="1" t="s">
        <v>393</v>
      </c>
      <c r="H69" s="1" t="s">
        <v>394</v>
      </c>
      <c r="I69" s="13"/>
      <c r="J69" s="13" t="s">
        <v>537</v>
      </c>
    </row>
    <row r="70" spans="1:10" ht="15" customHeight="1" x14ac:dyDescent="0.2">
      <c r="A70" s="13" t="s">
        <v>419</v>
      </c>
      <c r="B70" s="13" t="s">
        <v>420</v>
      </c>
      <c r="C70" s="13" t="s">
        <v>538</v>
      </c>
      <c r="D70" s="1" t="s">
        <v>533</v>
      </c>
      <c r="E70" s="13"/>
      <c r="F70" s="13"/>
      <c r="G70" s="1" t="s">
        <v>371</v>
      </c>
      <c r="H70" s="1" t="s">
        <v>372</v>
      </c>
      <c r="I70" s="13"/>
      <c r="J70" s="13" t="s">
        <v>537</v>
      </c>
    </row>
    <row r="71" spans="1:10" ht="15" customHeight="1" x14ac:dyDescent="0.2">
      <c r="A71" s="13" t="s">
        <v>419</v>
      </c>
      <c r="B71" s="13" t="s">
        <v>420</v>
      </c>
      <c r="C71" s="13" t="s">
        <v>295</v>
      </c>
      <c r="D71" s="1" t="s">
        <v>263</v>
      </c>
      <c r="E71" s="13"/>
      <c r="F71" s="13"/>
      <c r="G71" s="1"/>
      <c r="H71" s="1" t="s">
        <v>539</v>
      </c>
      <c r="I71" s="13"/>
      <c r="J71" s="13" t="s">
        <v>537</v>
      </c>
    </row>
    <row r="72" spans="1:10" ht="15" customHeight="1" x14ac:dyDescent="0.2">
      <c r="A72" s="13" t="s">
        <v>422</v>
      </c>
      <c r="B72" s="13" t="s">
        <v>423</v>
      </c>
      <c r="C72" s="13" t="s">
        <v>300</v>
      </c>
      <c r="D72" s="1" t="s">
        <v>251</v>
      </c>
      <c r="E72" s="13"/>
      <c r="F72" s="13"/>
      <c r="G72" s="1" t="s">
        <v>386</v>
      </c>
      <c r="H72" s="1" t="s">
        <v>387</v>
      </c>
      <c r="I72" s="13"/>
      <c r="J72" s="13" t="s">
        <v>537</v>
      </c>
    </row>
    <row r="73" spans="1:10" ht="15" customHeight="1" x14ac:dyDescent="0.2">
      <c r="A73" s="13" t="s">
        <v>422</v>
      </c>
      <c r="B73" s="13" t="s">
        <v>423</v>
      </c>
      <c r="C73" s="13" t="s">
        <v>301</v>
      </c>
      <c r="D73" s="1" t="s">
        <v>256</v>
      </c>
      <c r="E73" s="13"/>
      <c r="F73" s="13"/>
      <c r="G73" s="1" t="s">
        <v>389</v>
      </c>
      <c r="H73" s="1" t="s">
        <v>390</v>
      </c>
      <c r="I73" s="13"/>
      <c r="J73" s="13" t="s">
        <v>537</v>
      </c>
    </row>
    <row r="74" spans="1:10" ht="15" customHeight="1" x14ac:dyDescent="0.2">
      <c r="A74" s="13" t="s">
        <v>422</v>
      </c>
      <c r="B74" s="13" t="s">
        <v>423</v>
      </c>
      <c r="C74" s="13" t="s">
        <v>306</v>
      </c>
      <c r="D74" s="1" t="s">
        <v>536</v>
      </c>
      <c r="E74" s="13"/>
      <c r="F74" s="13"/>
      <c r="G74" s="1" t="s">
        <v>391</v>
      </c>
      <c r="H74" s="1" t="s">
        <v>392</v>
      </c>
      <c r="I74" s="13"/>
      <c r="J74" s="13" t="s">
        <v>537</v>
      </c>
    </row>
    <row r="75" spans="1:10" ht="15" customHeight="1" x14ac:dyDescent="0.2">
      <c r="A75" s="13" t="s">
        <v>422</v>
      </c>
      <c r="B75" s="13" t="s">
        <v>423</v>
      </c>
      <c r="C75" s="13" t="s">
        <v>305</v>
      </c>
      <c r="D75" s="1" t="s">
        <v>268</v>
      </c>
      <c r="E75" s="13"/>
      <c r="F75" s="13"/>
      <c r="G75" s="1" t="s">
        <v>397</v>
      </c>
      <c r="H75" s="1" t="s">
        <v>398</v>
      </c>
      <c r="I75" s="13"/>
      <c r="J75" s="13" t="s">
        <v>537</v>
      </c>
    </row>
    <row r="76" spans="1:10" ht="15" customHeight="1" x14ac:dyDescent="0.2">
      <c r="A76" s="13" t="s">
        <v>422</v>
      </c>
      <c r="B76" s="13" t="s">
        <v>423</v>
      </c>
      <c r="C76" s="13" t="s">
        <v>307</v>
      </c>
      <c r="D76" s="1" t="s">
        <v>266</v>
      </c>
      <c r="E76" s="13"/>
      <c r="F76" s="13"/>
      <c r="G76" s="1" t="s">
        <v>395</v>
      </c>
      <c r="H76" s="1" t="s">
        <v>396</v>
      </c>
      <c r="I76" s="13"/>
      <c r="J76" s="13" t="s">
        <v>537</v>
      </c>
    </row>
    <row r="77" spans="1:10" ht="15" customHeight="1" x14ac:dyDescent="0.2">
      <c r="A77" s="13" t="s">
        <v>422</v>
      </c>
      <c r="B77" s="13" t="s">
        <v>423</v>
      </c>
      <c r="C77" s="13" t="s">
        <v>303</v>
      </c>
      <c r="D77" s="1" t="s">
        <v>265</v>
      </c>
      <c r="E77" s="13"/>
      <c r="F77" s="13"/>
      <c r="G77" s="1" t="s">
        <v>393</v>
      </c>
      <c r="H77" s="1" t="s">
        <v>394</v>
      </c>
      <c r="I77" s="13"/>
      <c r="J77" s="13" t="s">
        <v>537</v>
      </c>
    </row>
    <row r="78" spans="1:10" ht="15" customHeight="1" x14ac:dyDescent="0.2">
      <c r="A78" s="13" t="s">
        <v>422</v>
      </c>
      <c r="B78" s="13" t="s">
        <v>423</v>
      </c>
      <c r="C78" s="13" t="s">
        <v>538</v>
      </c>
      <c r="D78" s="1" t="s">
        <v>533</v>
      </c>
      <c r="E78" s="13"/>
      <c r="F78" s="13"/>
      <c r="G78" s="1" t="s">
        <v>371</v>
      </c>
      <c r="H78" s="1" t="s">
        <v>372</v>
      </c>
      <c r="I78" s="13"/>
      <c r="J78" s="13" t="s">
        <v>537</v>
      </c>
    </row>
    <row r="79" spans="1:10" ht="15" customHeight="1" x14ac:dyDescent="0.2">
      <c r="A79" s="13" t="s">
        <v>422</v>
      </c>
      <c r="B79" s="13" t="s">
        <v>423</v>
      </c>
      <c r="C79" s="13" t="s">
        <v>295</v>
      </c>
      <c r="D79" s="1" t="s">
        <v>263</v>
      </c>
      <c r="E79" s="13"/>
      <c r="F79" s="13"/>
      <c r="G79" s="1"/>
      <c r="H79" s="1" t="s">
        <v>539</v>
      </c>
      <c r="I79" s="13"/>
      <c r="J79" s="13" t="s">
        <v>537</v>
      </c>
    </row>
    <row r="80" spans="1:10" ht="15" customHeight="1" x14ac:dyDescent="0.2">
      <c r="A80" s="13" t="s">
        <v>425</v>
      </c>
      <c r="B80" s="13" t="s">
        <v>426</v>
      </c>
      <c r="C80" s="13" t="s">
        <v>300</v>
      </c>
      <c r="D80" s="1" t="s">
        <v>251</v>
      </c>
      <c r="E80" s="13"/>
      <c r="F80" s="13"/>
      <c r="G80" s="1" t="s">
        <v>386</v>
      </c>
      <c r="H80" s="1" t="s">
        <v>387</v>
      </c>
      <c r="I80" s="13"/>
      <c r="J80" s="13" t="s">
        <v>537</v>
      </c>
    </row>
    <row r="81" spans="1:10" ht="15" customHeight="1" x14ac:dyDescent="0.2">
      <c r="A81" s="13" t="s">
        <v>425</v>
      </c>
      <c r="B81" s="13" t="s">
        <v>426</v>
      </c>
      <c r="C81" s="13" t="s">
        <v>301</v>
      </c>
      <c r="D81" s="1" t="s">
        <v>256</v>
      </c>
      <c r="E81" s="13"/>
      <c r="F81" s="13"/>
      <c r="G81" s="1" t="s">
        <v>389</v>
      </c>
      <c r="H81" s="1" t="s">
        <v>390</v>
      </c>
      <c r="I81" s="13"/>
      <c r="J81" s="13" t="s">
        <v>537</v>
      </c>
    </row>
    <row r="82" spans="1:10" ht="15" customHeight="1" x14ac:dyDescent="0.2">
      <c r="A82" s="13" t="s">
        <v>425</v>
      </c>
      <c r="B82" s="13" t="s">
        <v>426</v>
      </c>
      <c r="C82" s="13" t="s">
        <v>306</v>
      </c>
      <c r="D82" s="1" t="s">
        <v>536</v>
      </c>
      <c r="E82" s="13"/>
      <c r="F82" s="13"/>
      <c r="G82" s="1" t="s">
        <v>391</v>
      </c>
      <c r="H82" s="1" t="s">
        <v>392</v>
      </c>
      <c r="I82" s="13"/>
      <c r="J82" s="13" t="s">
        <v>537</v>
      </c>
    </row>
    <row r="83" spans="1:10" ht="15" customHeight="1" x14ac:dyDescent="0.2">
      <c r="A83" s="13" t="s">
        <v>425</v>
      </c>
      <c r="B83" s="13" t="s">
        <v>426</v>
      </c>
      <c r="C83" s="13" t="s">
        <v>305</v>
      </c>
      <c r="D83" s="1" t="s">
        <v>268</v>
      </c>
      <c r="E83" s="13"/>
      <c r="F83" s="13"/>
      <c r="G83" s="1" t="s">
        <v>397</v>
      </c>
      <c r="H83" s="1" t="s">
        <v>398</v>
      </c>
      <c r="I83" s="13"/>
      <c r="J83" s="13" t="s">
        <v>537</v>
      </c>
    </row>
    <row r="84" spans="1:10" ht="15" customHeight="1" x14ac:dyDescent="0.2">
      <c r="A84" s="13" t="s">
        <v>425</v>
      </c>
      <c r="B84" s="13" t="s">
        <v>426</v>
      </c>
      <c r="C84" s="13" t="s">
        <v>307</v>
      </c>
      <c r="D84" s="1" t="s">
        <v>266</v>
      </c>
      <c r="E84" s="13"/>
      <c r="F84" s="13"/>
      <c r="G84" s="1" t="s">
        <v>395</v>
      </c>
      <c r="H84" s="1" t="s">
        <v>396</v>
      </c>
      <c r="I84" s="13"/>
      <c r="J84" s="13" t="s">
        <v>537</v>
      </c>
    </row>
    <row r="85" spans="1:10" ht="15" customHeight="1" x14ac:dyDescent="0.2">
      <c r="A85" s="13" t="s">
        <v>425</v>
      </c>
      <c r="B85" s="13" t="s">
        <v>426</v>
      </c>
      <c r="C85" s="13" t="s">
        <v>303</v>
      </c>
      <c r="D85" s="1" t="s">
        <v>265</v>
      </c>
      <c r="E85" s="13"/>
      <c r="F85" s="13"/>
      <c r="G85" s="1" t="s">
        <v>393</v>
      </c>
      <c r="H85" s="1" t="s">
        <v>394</v>
      </c>
      <c r="I85" s="13"/>
      <c r="J85" s="13" t="s">
        <v>537</v>
      </c>
    </row>
    <row r="86" spans="1:10" ht="15" customHeight="1" x14ac:dyDescent="0.2">
      <c r="A86" s="13" t="s">
        <v>425</v>
      </c>
      <c r="B86" s="13" t="s">
        <v>426</v>
      </c>
      <c r="C86" s="13" t="s">
        <v>538</v>
      </c>
      <c r="D86" s="1" t="s">
        <v>533</v>
      </c>
      <c r="E86" s="13"/>
      <c r="F86" s="13"/>
      <c r="G86" s="1" t="s">
        <v>371</v>
      </c>
      <c r="H86" s="1" t="s">
        <v>372</v>
      </c>
      <c r="I86" s="13"/>
      <c r="J86" s="13" t="s">
        <v>537</v>
      </c>
    </row>
    <row r="87" spans="1:10" ht="15" customHeight="1" x14ac:dyDescent="0.2">
      <c r="A87" s="13" t="s">
        <v>425</v>
      </c>
      <c r="B87" s="13" t="s">
        <v>426</v>
      </c>
      <c r="C87" s="13" t="s">
        <v>295</v>
      </c>
      <c r="D87" s="1" t="s">
        <v>263</v>
      </c>
      <c r="E87" s="13"/>
      <c r="F87" s="13"/>
      <c r="G87" s="1"/>
      <c r="H87" s="1" t="s">
        <v>539</v>
      </c>
      <c r="I87" s="13"/>
      <c r="J87" s="13" t="s">
        <v>537</v>
      </c>
    </row>
    <row r="88" spans="1:10" ht="15" customHeight="1" x14ac:dyDescent="0.2">
      <c r="A88" s="13"/>
      <c r="B88" s="13"/>
      <c r="C88" s="13"/>
      <c r="D88" s="1"/>
      <c r="E88" s="13"/>
      <c r="F88" s="13"/>
      <c r="G88" s="1"/>
      <c r="H88" s="1"/>
      <c r="I88" s="13"/>
      <c r="J88" s="13"/>
    </row>
    <row r="89" spans="1:10" ht="15" customHeight="1" x14ac:dyDescent="0.2">
      <c r="A89" s="13"/>
      <c r="B89" s="13"/>
      <c r="C89" s="13"/>
      <c r="D89" s="1"/>
      <c r="E89" s="13"/>
      <c r="F89" s="13"/>
      <c r="G89" s="1"/>
      <c r="H89" s="1"/>
      <c r="I89" s="13"/>
      <c r="J89" s="13"/>
    </row>
    <row r="90" spans="1:10" ht="15" customHeight="1" x14ac:dyDescent="0.2">
      <c r="A90" s="13"/>
      <c r="B90" s="13"/>
      <c r="C90" s="13"/>
      <c r="D90" s="1"/>
      <c r="E90" s="13"/>
      <c r="F90" s="13"/>
      <c r="G90" s="1"/>
      <c r="H90" s="1"/>
      <c r="I90" s="13"/>
      <c r="J90" s="13"/>
    </row>
    <row r="91" spans="1:10" ht="15" customHeight="1" x14ac:dyDescent="0.2">
      <c r="A91" s="13"/>
      <c r="B91" s="13"/>
      <c r="C91" s="13"/>
      <c r="D91" s="1"/>
      <c r="E91" s="13"/>
      <c r="F91" s="13"/>
      <c r="G91" s="1"/>
      <c r="H91" s="1"/>
      <c r="I91" s="13"/>
      <c r="J91" s="13"/>
    </row>
    <row r="92" spans="1:10" ht="15" customHeight="1" x14ac:dyDescent="0.2">
      <c r="A92" s="13"/>
      <c r="B92" s="13"/>
      <c r="C92" s="13"/>
      <c r="D92" s="1"/>
      <c r="E92" s="13"/>
      <c r="F92" s="13"/>
      <c r="G92" s="1"/>
      <c r="H92" s="1"/>
      <c r="I92" s="13"/>
      <c r="J92" s="13"/>
    </row>
    <row r="93" spans="1:10" ht="15" customHeight="1" x14ac:dyDescent="0.2">
      <c r="A93" s="13"/>
      <c r="B93" s="13"/>
      <c r="C93" s="13"/>
      <c r="D93" s="1"/>
      <c r="E93" s="13"/>
      <c r="F93" s="13"/>
      <c r="G93" s="1"/>
      <c r="H93" s="1"/>
      <c r="I93" s="13"/>
      <c r="J93" s="13"/>
    </row>
    <row r="94" spans="1:10" ht="15" customHeight="1" x14ac:dyDescent="0.2">
      <c r="A94" s="13"/>
      <c r="B94" s="13"/>
      <c r="C94" s="13"/>
      <c r="D94" s="1"/>
      <c r="E94" s="13"/>
      <c r="F94" s="13"/>
      <c r="G94" s="1"/>
      <c r="H94" s="1"/>
      <c r="I94" s="13"/>
      <c r="J94" s="13"/>
    </row>
    <row r="95" spans="1:10" ht="15" customHeight="1" x14ac:dyDescent="0.2">
      <c r="A95" s="13"/>
      <c r="B95" s="13"/>
      <c r="C95" s="13"/>
      <c r="D95" s="1"/>
      <c r="E95" s="13"/>
      <c r="F95" s="13"/>
      <c r="G95" s="1"/>
      <c r="H95" s="1"/>
      <c r="I95" s="13"/>
      <c r="J95" s="13"/>
    </row>
    <row r="96" spans="1:10" ht="15" customHeight="1" x14ac:dyDescent="0.2">
      <c r="A96" s="13"/>
      <c r="B96" s="13"/>
      <c r="C96" s="13"/>
      <c r="D96" s="1"/>
      <c r="E96" s="13"/>
      <c r="F96" s="13"/>
      <c r="G96" s="1"/>
      <c r="H96" s="1"/>
      <c r="I96" s="13"/>
      <c r="J96" s="13"/>
    </row>
    <row r="97" spans="1:10" ht="15" customHeight="1" x14ac:dyDescent="0.2">
      <c r="A97" s="13"/>
      <c r="B97" s="13"/>
      <c r="C97" s="13"/>
      <c r="D97" s="1"/>
      <c r="E97" s="13"/>
      <c r="F97" s="13"/>
      <c r="G97" s="1"/>
      <c r="H97" s="1"/>
      <c r="I97" s="13"/>
      <c r="J97" s="13"/>
    </row>
    <row r="98" spans="1:10" ht="15" customHeight="1" x14ac:dyDescent="0.2">
      <c r="A98" s="13"/>
      <c r="B98" s="13"/>
      <c r="C98" s="13"/>
      <c r="D98" s="1"/>
      <c r="E98" s="13"/>
      <c r="F98" s="13"/>
      <c r="G98" s="1"/>
      <c r="H98" s="1"/>
      <c r="I98" s="13"/>
      <c r="J98" s="13"/>
    </row>
    <row r="99" spans="1:10" ht="15" customHeight="1" x14ac:dyDescent="0.2">
      <c r="A99" s="13"/>
      <c r="B99" s="13"/>
      <c r="C99" s="13"/>
      <c r="D99" s="1"/>
      <c r="E99" s="13"/>
      <c r="F99" s="13"/>
      <c r="G99" s="1"/>
      <c r="H99" s="1"/>
      <c r="I99" s="13"/>
      <c r="J99" s="13"/>
    </row>
    <row r="100" spans="1:10" ht="15" customHeight="1" x14ac:dyDescent="0.2">
      <c r="A100" s="13"/>
      <c r="B100" s="13"/>
      <c r="C100" s="13"/>
      <c r="D100" s="1"/>
      <c r="E100" s="13"/>
      <c r="F100" s="13"/>
      <c r="G100" s="1"/>
      <c r="H100" s="1"/>
      <c r="I100" s="13"/>
      <c r="J100" s="13"/>
    </row>
    <row r="101" spans="1:10" ht="15" customHeight="1" x14ac:dyDescent="0.2">
      <c r="A101" s="13"/>
      <c r="B101" s="13"/>
      <c r="C101" s="13"/>
      <c r="D101" s="1"/>
      <c r="E101" s="13"/>
      <c r="F101" s="13"/>
      <c r="G101" s="1"/>
      <c r="H101" s="1"/>
      <c r="I101" s="13"/>
      <c r="J101" s="13"/>
    </row>
    <row r="102" spans="1:10" ht="15" customHeight="1" x14ac:dyDescent="0.2">
      <c r="A102" s="13"/>
      <c r="B102" s="13"/>
      <c r="C102" s="13"/>
      <c r="D102" s="1"/>
      <c r="E102" s="13"/>
      <c r="F102" s="13"/>
      <c r="G102" s="1"/>
      <c r="H102" s="1"/>
      <c r="I102" s="13"/>
      <c r="J102" s="13"/>
    </row>
    <row r="103" spans="1:10" ht="15" customHeight="1" x14ac:dyDescent="0.2">
      <c r="A103" s="13"/>
      <c r="B103" s="13"/>
      <c r="C103" s="13"/>
      <c r="D103" s="1"/>
      <c r="E103" s="13"/>
      <c r="F103" s="13"/>
      <c r="G103" s="1"/>
      <c r="H103" s="1"/>
      <c r="I103" s="13"/>
      <c r="J103" s="13"/>
    </row>
    <row r="104" spans="1:10" ht="15" customHeight="1" x14ac:dyDescent="0.2">
      <c r="A104" s="13"/>
      <c r="B104" s="13"/>
      <c r="C104" s="13"/>
      <c r="D104" s="1"/>
      <c r="E104" s="13"/>
      <c r="F104" s="13"/>
      <c r="G104" s="1"/>
      <c r="H104" s="1"/>
      <c r="I104" s="13"/>
      <c r="J104" s="13"/>
    </row>
    <row r="105" spans="1:10" ht="15" customHeight="1" x14ac:dyDescent="0.2">
      <c r="A105" s="13"/>
      <c r="B105" s="13"/>
      <c r="C105" s="13"/>
      <c r="D105" s="1"/>
      <c r="E105" s="13"/>
      <c r="F105" s="13"/>
      <c r="G105" s="1"/>
      <c r="H105" s="1"/>
      <c r="I105" s="13"/>
      <c r="J105" s="13"/>
    </row>
    <row r="106" spans="1:10" ht="15" customHeight="1" x14ac:dyDescent="0.2">
      <c r="A106" s="13"/>
      <c r="B106" s="13"/>
      <c r="C106" s="13"/>
      <c r="D106" s="1"/>
      <c r="E106" s="13"/>
      <c r="F106" s="13"/>
      <c r="G106" s="1"/>
      <c r="H106" s="1"/>
      <c r="I106" s="13"/>
      <c r="J106" s="13"/>
    </row>
    <row r="107" spans="1:10" ht="15" customHeight="1" x14ac:dyDescent="0.2">
      <c r="A107" s="13"/>
      <c r="B107" s="13"/>
      <c r="C107" s="13"/>
      <c r="D107" s="1"/>
      <c r="E107" s="13"/>
      <c r="F107" s="13"/>
      <c r="G107" s="1"/>
      <c r="H107" s="1"/>
      <c r="I107" s="13"/>
      <c r="J107" s="13"/>
    </row>
    <row r="108" spans="1:10" ht="15" customHeight="1" x14ac:dyDescent="0.2">
      <c r="A108" s="13"/>
      <c r="B108" s="13"/>
      <c r="C108" s="13"/>
      <c r="D108" s="1"/>
      <c r="E108" s="13"/>
      <c r="F108" s="13"/>
      <c r="G108" s="1"/>
      <c r="H108" s="1"/>
      <c r="I108" s="13"/>
      <c r="J108" s="13"/>
    </row>
    <row r="109" spans="1:10" ht="15" customHeight="1" x14ac:dyDescent="0.2">
      <c r="A109" s="13"/>
      <c r="B109" s="13"/>
      <c r="C109" s="13"/>
      <c r="D109" s="1"/>
      <c r="E109" s="13"/>
      <c r="F109" s="13"/>
      <c r="G109" s="1"/>
      <c r="H109" s="1"/>
      <c r="I109" s="13"/>
      <c r="J109" s="13"/>
    </row>
    <row r="110" spans="1:10" ht="15" customHeight="1" x14ac:dyDescent="0.2">
      <c r="A110" s="13"/>
      <c r="B110" s="13"/>
      <c r="C110" s="13"/>
      <c r="D110" s="1"/>
      <c r="E110" s="13"/>
      <c r="F110" s="13"/>
      <c r="G110" s="1"/>
      <c r="H110" s="1"/>
      <c r="I110" s="13"/>
      <c r="J110" s="13"/>
    </row>
    <row r="111" spans="1:10" ht="15" customHeight="1" x14ac:dyDescent="0.2">
      <c r="A111" s="13"/>
      <c r="B111" s="13"/>
      <c r="C111" s="13"/>
      <c r="D111" s="1"/>
      <c r="E111" s="13"/>
      <c r="F111" s="13"/>
      <c r="G111" s="1"/>
      <c r="H111" s="1"/>
      <c r="I111" s="13"/>
      <c r="J111" s="13"/>
    </row>
    <row r="112" spans="1:10" ht="15" customHeight="1" x14ac:dyDescent="0.2">
      <c r="A112" s="13"/>
      <c r="B112" s="13"/>
      <c r="C112" s="13"/>
      <c r="D112" s="1"/>
      <c r="E112" s="13"/>
      <c r="F112" s="13"/>
      <c r="G112" s="1"/>
      <c r="H112" s="1"/>
      <c r="I112" s="13"/>
      <c r="J112" s="13"/>
    </row>
    <row r="113" spans="1:10" ht="15" customHeight="1" x14ac:dyDescent="0.2">
      <c r="A113" s="13"/>
      <c r="B113" s="13"/>
      <c r="C113" s="13"/>
      <c r="D113" s="1"/>
      <c r="E113" s="13"/>
      <c r="F113" s="13"/>
      <c r="G113" s="1"/>
      <c r="H113" s="1"/>
      <c r="I113" s="13"/>
      <c r="J113" s="13"/>
    </row>
    <row r="114" spans="1:10" ht="15" customHeight="1" x14ac:dyDescent="0.2">
      <c r="A114" s="13"/>
      <c r="B114" s="13"/>
      <c r="C114" s="13"/>
      <c r="D114" s="1"/>
      <c r="E114" s="13"/>
      <c r="F114" s="13"/>
      <c r="G114" s="1"/>
      <c r="H114" s="1"/>
      <c r="I114" s="13"/>
      <c r="J114" s="13"/>
    </row>
    <row r="115" spans="1:10" ht="15" customHeight="1" x14ac:dyDescent="0.2">
      <c r="A115" s="13"/>
      <c r="B115" s="13"/>
      <c r="C115" s="13"/>
      <c r="D115" s="1"/>
      <c r="E115" s="13"/>
      <c r="F115" s="13"/>
      <c r="G115" s="1"/>
      <c r="H115" s="1"/>
      <c r="I115" s="13"/>
      <c r="J115" s="13"/>
    </row>
    <row r="116" spans="1:10" ht="15" customHeight="1" x14ac:dyDescent="0.2">
      <c r="A116" s="13"/>
      <c r="B116" s="13"/>
      <c r="C116" s="13"/>
      <c r="D116" s="1"/>
      <c r="E116" s="13"/>
      <c r="F116" s="13"/>
      <c r="G116" s="1"/>
      <c r="H116" s="1"/>
      <c r="I116" s="13"/>
      <c r="J116" s="13"/>
    </row>
    <row r="117" spans="1:10" ht="15" customHeight="1" x14ac:dyDescent="0.2">
      <c r="A117" s="13"/>
      <c r="B117" s="13"/>
      <c r="C117" s="13"/>
      <c r="D117" s="1"/>
      <c r="E117" s="13"/>
      <c r="F117" s="13"/>
      <c r="G117" s="1"/>
      <c r="H117" s="1"/>
      <c r="I117" s="13"/>
      <c r="J117" s="13"/>
    </row>
    <row r="118" spans="1:10" ht="15" customHeight="1" x14ac:dyDescent="0.2">
      <c r="A118" s="13"/>
      <c r="B118" s="13"/>
      <c r="C118" s="13"/>
      <c r="D118" s="1"/>
      <c r="E118" s="13"/>
      <c r="F118" s="13"/>
      <c r="G118" s="1"/>
      <c r="H118" s="1"/>
      <c r="I118" s="13"/>
      <c r="J118" s="13"/>
    </row>
    <row r="119" spans="1:10" ht="15" customHeight="1" x14ac:dyDescent="0.2">
      <c r="A119" s="13"/>
      <c r="B119" s="13"/>
      <c r="C119" s="13"/>
      <c r="D119" s="1"/>
      <c r="E119" s="13"/>
      <c r="F119" s="13"/>
      <c r="G119" s="1"/>
      <c r="H119" s="1"/>
      <c r="I119" s="13"/>
      <c r="J119" s="13"/>
    </row>
    <row r="120" spans="1:10" ht="15" customHeight="1" x14ac:dyDescent="0.2">
      <c r="A120" s="13"/>
      <c r="B120" s="13"/>
      <c r="C120" s="13"/>
      <c r="D120" s="1"/>
      <c r="E120" s="13"/>
      <c r="F120" s="13"/>
      <c r="G120" s="1"/>
      <c r="H120" s="1"/>
      <c r="I120" s="13"/>
      <c r="J120" s="13"/>
    </row>
    <row r="121" spans="1:10" ht="15" customHeight="1" x14ac:dyDescent="0.2">
      <c r="A121" s="13"/>
      <c r="B121" s="13"/>
      <c r="C121" s="13"/>
      <c r="D121" s="1" t="str">
        <f>IFERROR(INDEX('20 2026 DEPO KABUL'!$B$2:$B$501,MATCH(C121,'20 2026 DEPO KABUL'!$F$2:$F$501,0)),"")</f>
        <v/>
      </c>
      <c r="E121" s="13"/>
      <c r="F121" s="13"/>
      <c r="G121" s="1" t="str">
        <f>IFERROR(INDEX('20 2026 DEPO KABUL'!$G$2:$G$501,MATCH(C121,'20 2026 DEPO KABUL'!$F$2:$F$501,0)),"")</f>
        <v/>
      </c>
      <c r="H121" s="1" t="str">
        <f>IFERROR(INDEX('20 2026 DEPO KABUL'!$H$2:$H$501,MATCH(C121,'20 2026 DEPO KABUL'!$F$2:$F$501,0)),"")</f>
        <v/>
      </c>
      <c r="I121" s="13"/>
      <c r="J121" s="13"/>
    </row>
    <row r="122" spans="1:10" ht="15" customHeight="1" x14ac:dyDescent="0.2">
      <c r="A122" s="13"/>
      <c r="B122" s="13"/>
      <c r="C122" s="13"/>
      <c r="D122" s="1" t="str">
        <f>IFERROR(INDEX('20 2026 DEPO KABUL'!$B$2:$B$501,MATCH(C122,'20 2026 DEPO KABUL'!$F$2:$F$501,0)),"")</f>
        <v/>
      </c>
      <c r="E122" s="13"/>
      <c r="F122" s="13"/>
      <c r="G122" s="1" t="str">
        <f>IFERROR(INDEX('20 2026 DEPO KABUL'!$G$2:$G$501,MATCH(C122,'20 2026 DEPO KABUL'!$F$2:$F$501,0)),"")</f>
        <v/>
      </c>
      <c r="H122" s="1" t="str">
        <f>IFERROR(INDEX('20 2026 DEPO KABUL'!$H$2:$H$501,MATCH(C122,'20 2026 DEPO KABUL'!$F$2:$F$501,0)),"")</f>
        <v/>
      </c>
      <c r="I122" s="13"/>
      <c r="J122" s="13"/>
    </row>
    <row r="123" spans="1:10" ht="15" customHeight="1" x14ac:dyDescent="0.2">
      <c r="A123" s="13"/>
      <c r="B123" s="13"/>
      <c r="C123" s="13"/>
      <c r="D123" s="1" t="str">
        <f>IFERROR(INDEX('20 2026 DEPO KABUL'!$B$2:$B$501,MATCH(C123,'20 2026 DEPO KABUL'!$F$2:$F$501,0)),"")</f>
        <v/>
      </c>
      <c r="E123" s="13"/>
      <c r="F123" s="13"/>
      <c r="G123" s="1" t="str">
        <f>IFERROR(INDEX('20 2026 DEPO KABUL'!$G$2:$G$501,MATCH(C123,'20 2026 DEPO KABUL'!$F$2:$F$501,0)),"")</f>
        <v/>
      </c>
      <c r="H123" s="1" t="str">
        <f>IFERROR(INDEX('20 2026 DEPO KABUL'!$H$2:$H$501,MATCH(C123,'20 2026 DEPO KABUL'!$F$2:$F$501,0)),"")</f>
        <v/>
      </c>
      <c r="I123" s="13"/>
      <c r="J123" s="13"/>
    </row>
    <row r="124" spans="1:10" ht="15" customHeight="1" x14ac:dyDescent="0.2">
      <c r="A124" s="13"/>
      <c r="B124" s="13"/>
      <c r="C124" s="13"/>
      <c r="D124" s="1" t="str">
        <f>IFERROR(INDEX('20 2026 DEPO KABUL'!$B$2:$B$501,MATCH(C124,'20 2026 DEPO KABUL'!$F$2:$F$501,0)),"")</f>
        <v/>
      </c>
      <c r="E124" s="13"/>
      <c r="F124" s="13"/>
      <c r="G124" s="1" t="str">
        <f>IFERROR(INDEX('20 2026 DEPO KABUL'!$G$2:$G$501,MATCH(C124,'20 2026 DEPO KABUL'!$F$2:$F$501,0)),"")</f>
        <v/>
      </c>
      <c r="H124" s="1" t="str">
        <f>IFERROR(INDEX('20 2026 DEPO KABUL'!$H$2:$H$501,MATCH(C124,'20 2026 DEPO KABUL'!$F$2:$F$501,0)),"")</f>
        <v/>
      </c>
      <c r="I124" s="13"/>
      <c r="J124" s="13"/>
    </row>
    <row r="125" spans="1:10" ht="15" customHeight="1" x14ac:dyDescent="0.2">
      <c r="A125" s="13"/>
      <c r="B125" s="13"/>
      <c r="C125" s="13"/>
      <c r="D125" s="1" t="str">
        <f>IFERROR(INDEX('20 2026 DEPO KABUL'!$B$2:$B$501,MATCH(C125,'20 2026 DEPO KABUL'!$F$2:$F$501,0)),"")</f>
        <v/>
      </c>
      <c r="E125" s="13"/>
      <c r="F125" s="13"/>
      <c r="G125" s="1" t="str">
        <f>IFERROR(INDEX('20 2026 DEPO KABUL'!$G$2:$G$501,MATCH(C125,'20 2026 DEPO KABUL'!$F$2:$F$501,0)),"")</f>
        <v/>
      </c>
      <c r="H125" s="1" t="str">
        <f>IFERROR(INDEX('20 2026 DEPO KABUL'!$H$2:$H$501,MATCH(C125,'20 2026 DEPO KABUL'!$F$2:$F$501,0)),"")</f>
        <v/>
      </c>
      <c r="I125" s="13"/>
      <c r="J125" s="13"/>
    </row>
    <row r="126" spans="1:10" ht="15" customHeight="1" x14ac:dyDescent="0.2">
      <c r="A126" s="13"/>
      <c r="B126" s="13"/>
      <c r="C126" s="13"/>
      <c r="D126" s="1" t="str">
        <f>IFERROR(INDEX('20 2026 DEPO KABUL'!$B$2:$B$501,MATCH(C126,'20 2026 DEPO KABUL'!$F$2:$F$501,0)),"")</f>
        <v/>
      </c>
      <c r="E126" s="13"/>
      <c r="F126" s="13"/>
      <c r="G126" s="1" t="str">
        <f>IFERROR(INDEX('20 2026 DEPO KABUL'!$G$2:$G$501,MATCH(C126,'20 2026 DEPO KABUL'!$F$2:$F$501,0)),"")</f>
        <v/>
      </c>
      <c r="H126" s="1" t="str">
        <f>IFERROR(INDEX('20 2026 DEPO KABUL'!$H$2:$H$501,MATCH(C126,'20 2026 DEPO KABUL'!$F$2:$F$501,0)),"")</f>
        <v/>
      </c>
      <c r="I126" s="13"/>
      <c r="J126" s="13"/>
    </row>
    <row r="127" spans="1:10" ht="15" customHeight="1" x14ac:dyDescent="0.2">
      <c r="A127" s="13"/>
      <c r="B127" s="13"/>
      <c r="C127" s="13"/>
      <c r="D127" s="1" t="str">
        <f>IFERROR(INDEX('20 2026 DEPO KABUL'!$B$2:$B$501,MATCH(C127,'20 2026 DEPO KABUL'!$F$2:$F$501,0)),"")</f>
        <v/>
      </c>
      <c r="E127" s="13"/>
      <c r="F127" s="13"/>
      <c r="G127" s="1" t="str">
        <f>IFERROR(INDEX('20 2026 DEPO KABUL'!$G$2:$G$501,MATCH(C127,'20 2026 DEPO KABUL'!$F$2:$F$501,0)),"")</f>
        <v/>
      </c>
      <c r="H127" s="1" t="str">
        <f>IFERROR(INDEX('20 2026 DEPO KABUL'!$H$2:$H$501,MATCH(C127,'20 2026 DEPO KABUL'!$F$2:$F$501,0)),"")</f>
        <v/>
      </c>
      <c r="I127" s="13"/>
      <c r="J127" s="13"/>
    </row>
    <row r="128" spans="1:10" ht="15" customHeight="1" x14ac:dyDescent="0.2">
      <c r="A128" s="13"/>
      <c r="B128" s="13"/>
      <c r="C128" s="13"/>
      <c r="D128" s="1" t="str">
        <f>IFERROR(INDEX('20 2026 DEPO KABUL'!$B$2:$B$501,MATCH(C128,'20 2026 DEPO KABUL'!$F$2:$F$501,0)),"")</f>
        <v/>
      </c>
      <c r="E128" s="13"/>
      <c r="F128" s="13"/>
      <c r="G128" s="1" t="str">
        <f>IFERROR(INDEX('20 2026 DEPO KABUL'!$G$2:$G$501,MATCH(C128,'20 2026 DEPO KABUL'!$F$2:$F$501,0)),"")</f>
        <v/>
      </c>
      <c r="H128" s="1" t="str">
        <f>IFERROR(INDEX('20 2026 DEPO KABUL'!$H$2:$H$501,MATCH(C128,'20 2026 DEPO KABUL'!$F$2:$F$501,0)),"")</f>
        <v/>
      </c>
      <c r="I128" s="13"/>
      <c r="J128" s="13"/>
    </row>
    <row r="129" spans="1:10" ht="15" customHeight="1" x14ac:dyDescent="0.2">
      <c r="A129" s="13"/>
      <c r="B129" s="13"/>
      <c r="C129" s="13"/>
      <c r="D129" s="1" t="str">
        <f>IFERROR(INDEX('20 2026 DEPO KABUL'!$B$2:$B$501,MATCH(C129,'20 2026 DEPO KABUL'!$F$2:$F$501,0)),"")</f>
        <v/>
      </c>
      <c r="E129" s="13"/>
      <c r="F129" s="13"/>
      <c r="G129" s="1" t="str">
        <f>IFERROR(INDEX('20 2026 DEPO KABUL'!$G$2:$G$501,MATCH(C129,'20 2026 DEPO KABUL'!$F$2:$F$501,0)),"")</f>
        <v/>
      </c>
      <c r="H129" s="1" t="str">
        <f>IFERROR(INDEX('20 2026 DEPO KABUL'!$H$2:$H$501,MATCH(C129,'20 2026 DEPO KABUL'!$F$2:$F$501,0)),"")</f>
        <v/>
      </c>
      <c r="I129" s="13"/>
      <c r="J129" s="13"/>
    </row>
    <row r="130" spans="1:10" ht="15" customHeight="1" x14ac:dyDescent="0.2">
      <c r="A130" s="13"/>
      <c r="B130" s="13"/>
      <c r="C130" s="13"/>
      <c r="D130" s="1" t="str">
        <f>IFERROR(INDEX('20 2026 DEPO KABUL'!$B$2:$B$501,MATCH(C130,'20 2026 DEPO KABUL'!$F$2:$F$501,0)),"")</f>
        <v/>
      </c>
      <c r="E130" s="13"/>
      <c r="F130" s="13"/>
      <c r="G130" s="1" t="str">
        <f>IFERROR(INDEX('20 2026 DEPO KABUL'!$G$2:$G$501,MATCH(C130,'20 2026 DEPO KABUL'!$F$2:$F$501,0)),"")</f>
        <v/>
      </c>
      <c r="H130" s="1" t="str">
        <f>IFERROR(INDEX('20 2026 DEPO KABUL'!$H$2:$H$501,MATCH(C130,'20 2026 DEPO KABUL'!$F$2:$F$501,0)),"")</f>
        <v/>
      </c>
      <c r="I130" s="13"/>
      <c r="J130" s="13"/>
    </row>
    <row r="131" spans="1:10" ht="15" customHeight="1" x14ac:dyDescent="0.2">
      <c r="A131" s="13"/>
      <c r="B131" s="13"/>
      <c r="C131" s="13"/>
      <c r="D131" s="1" t="str">
        <f>IFERROR(INDEX('20 2026 DEPO KABUL'!$B$2:$B$501,MATCH(C131,'20 2026 DEPO KABUL'!$F$2:$F$501,0)),"")</f>
        <v/>
      </c>
      <c r="E131" s="13"/>
      <c r="F131" s="13"/>
      <c r="G131" s="1" t="str">
        <f>IFERROR(INDEX('20 2026 DEPO KABUL'!$G$2:$G$501,MATCH(C131,'20 2026 DEPO KABUL'!$F$2:$F$501,0)),"")</f>
        <v/>
      </c>
      <c r="H131" s="1" t="str">
        <f>IFERROR(INDEX('20 2026 DEPO KABUL'!$H$2:$H$501,MATCH(C131,'20 2026 DEPO KABUL'!$F$2:$F$501,0)),"")</f>
        <v/>
      </c>
      <c r="I131" s="13"/>
      <c r="J131" s="13"/>
    </row>
    <row r="132" spans="1:10" ht="15" customHeight="1" x14ac:dyDescent="0.2">
      <c r="A132" s="13"/>
      <c r="B132" s="13"/>
      <c r="C132" s="13"/>
      <c r="D132" s="1" t="str">
        <f>IFERROR(INDEX('20 2026 DEPO KABUL'!$B$2:$B$501,MATCH(C132,'20 2026 DEPO KABUL'!$F$2:$F$501,0)),"")</f>
        <v/>
      </c>
      <c r="E132" s="13"/>
      <c r="F132" s="13"/>
      <c r="G132" s="1" t="str">
        <f>IFERROR(INDEX('20 2026 DEPO KABUL'!$G$2:$G$501,MATCH(C132,'20 2026 DEPO KABUL'!$F$2:$F$501,0)),"")</f>
        <v/>
      </c>
      <c r="H132" s="1" t="str">
        <f>IFERROR(INDEX('20 2026 DEPO KABUL'!$H$2:$H$501,MATCH(C132,'20 2026 DEPO KABUL'!$F$2:$F$501,0)),"")</f>
        <v/>
      </c>
      <c r="I132" s="13"/>
      <c r="J132" s="13"/>
    </row>
    <row r="133" spans="1:10" ht="15" customHeight="1" x14ac:dyDescent="0.2">
      <c r="A133" s="13"/>
      <c r="B133" s="13"/>
      <c r="C133" s="13"/>
      <c r="D133" s="1" t="str">
        <f>IFERROR(INDEX('20 2026 DEPO KABUL'!$B$2:$B$501,MATCH(C133,'20 2026 DEPO KABUL'!$F$2:$F$501,0)),"")</f>
        <v/>
      </c>
      <c r="E133" s="13"/>
      <c r="F133" s="13"/>
      <c r="G133" s="1" t="str">
        <f>IFERROR(INDEX('20 2026 DEPO KABUL'!$G$2:$G$501,MATCH(C133,'20 2026 DEPO KABUL'!$F$2:$F$501,0)),"")</f>
        <v/>
      </c>
      <c r="H133" s="1" t="str">
        <f>IFERROR(INDEX('20 2026 DEPO KABUL'!$H$2:$H$501,MATCH(C133,'20 2026 DEPO KABUL'!$F$2:$F$501,0)),"")</f>
        <v/>
      </c>
      <c r="I133" s="13"/>
      <c r="J133" s="13"/>
    </row>
    <row r="134" spans="1:10" ht="15" customHeight="1" x14ac:dyDescent="0.2">
      <c r="A134" s="13"/>
      <c r="B134" s="13"/>
      <c r="C134" s="13"/>
      <c r="D134" s="1" t="str">
        <f>IFERROR(INDEX('20 2026 DEPO KABUL'!$B$2:$B$501,MATCH(C134,'20 2026 DEPO KABUL'!$F$2:$F$501,0)),"")</f>
        <v/>
      </c>
      <c r="E134" s="13"/>
      <c r="F134" s="13"/>
      <c r="G134" s="1" t="str">
        <f>IFERROR(INDEX('20 2026 DEPO KABUL'!$G$2:$G$501,MATCH(C134,'20 2026 DEPO KABUL'!$F$2:$F$501,0)),"")</f>
        <v/>
      </c>
      <c r="H134" s="1" t="str">
        <f>IFERROR(INDEX('20 2026 DEPO KABUL'!$H$2:$H$501,MATCH(C134,'20 2026 DEPO KABUL'!$F$2:$F$501,0)),"")</f>
        <v/>
      </c>
      <c r="I134" s="13"/>
      <c r="J134" s="13"/>
    </row>
    <row r="135" spans="1:10" ht="15" customHeight="1" x14ac:dyDescent="0.2">
      <c r="A135" s="13"/>
      <c r="B135" s="13"/>
      <c r="C135" s="13"/>
      <c r="D135" s="1" t="str">
        <f>IFERROR(INDEX('20 2026 DEPO KABUL'!$B$2:$B$501,MATCH(C135,'20 2026 DEPO KABUL'!$F$2:$F$501,0)),"")</f>
        <v/>
      </c>
      <c r="E135" s="13"/>
      <c r="F135" s="13"/>
      <c r="G135" s="1" t="str">
        <f>IFERROR(INDEX('20 2026 DEPO KABUL'!$G$2:$G$501,MATCH(C135,'20 2026 DEPO KABUL'!$F$2:$F$501,0)),"")</f>
        <v/>
      </c>
      <c r="H135" s="1" t="str">
        <f>IFERROR(INDEX('20 2026 DEPO KABUL'!$H$2:$H$501,MATCH(C135,'20 2026 DEPO KABUL'!$F$2:$F$501,0)),"")</f>
        <v/>
      </c>
      <c r="I135" s="13"/>
      <c r="J135" s="13"/>
    </row>
    <row r="136" spans="1:10" ht="15" customHeight="1" x14ac:dyDescent="0.2">
      <c r="A136" s="13"/>
      <c r="B136" s="13"/>
      <c r="C136" s="13"/>
      <c r="D136" s="1" t="str">
        <f>IFERROR(INDEX('20 2026 DEPO KABUL'!$B$2:$B$501,MATCH(C136,'20 2026 DEPO KABUL'!$F$2:$F$501,0)),"")</f>
        <v/>
      </c>
      <c r="E136" s="13"/>
      <c r="F136" s="13"/>
      <c r="G136" s="1" t="str">
        <f>IFERROR(INDEX('20 2026 DEPO KABUL'!$G$2:$G$501,MATCH(C136,'20 2026 DEPO KABUL'!$F$2:$F$501,0)),"")</f>
        <v/>
      </c>
      <c r="H136" s="1" t="str">
        <f>IFERROR(INDEX('20 2026 DEPO KABUL'!$H$2:$H$501,MATCH(C136,'20 2026 DEPO KABUL'!$F$2:$F$501,0)),"")</f>
        <v/>
      </c>
      <c r="I136" s="13"/>
      <c r="J136" s="13"/>
    </row>
    <row r="137" spans="1:10" ht="15" customHeight="1" x14ac:dyDescent="0.2">
      <c r="A137" s="13"/>
      <c r="B137" s="13"/>
      <c r="C137" s="13"/>
      <c r="D137" s="1" t="str">
        <f>IFERROR(INDEX('20 2026 DEPO KABUL'!$B$2:$B$501,MATCH(C137,'20 2026 DEPO KABUL'!$F$2:$F$501,0)),"")</f>
        <v/>
      </c>
      <c r="E137" s="13"/>
      <c r="F137" s="13"/>
      <c r="G137" s="1" t="str">
        <f>IFERROR(INDEX('20 2026 DEPO KABUL'!$G$2:$G$501,MATCH(C137,'20 2026 DEPO KABUL'!$F$2:$F$501,0)),"")</f>
        <v/>
      </c>
      <c r="H137" s="1" t="str">
        <f>IFERROR(INDEX('20 2026 DEPO KABUL'!$H$2:$H$501,MATCH(C137,'20 2026 DEPO KABUL'!$F$2:$F$501,0)),"")</f>
        <v/>
      </c>
      <c r="I137" s="13"/>
      <c r="J137" s="13"/>
    </row>
    <row r="138" spans="1:10" ht="15" customHeight="1" x14ac:dyDescent="0.2">
      <c r="A138" s="13"/>
      <c r="B138" s="13"/>
      <c r="C138" s="13"/>
      <c r="D138" s="1" t="str">
        <f>IFERROR(INDEX('20 2026 DEPO KABUL'!$B$2:$B$501,MATCH(C138,'20 2026 DEPO KABUL'!$F$2:$F$501,0)),"")</f>
        <v/>
      </c>
      <c r="E138" s="13"/>
      <c r="F138" s="13"/>
      <c r="G138" s="1" t="str">
        <f>IFERROR(INDEX('20 2026 DEPO KABUL'!$G$2:$G$501,MATCH(C138,'20 2026 DEPO KABUL'!$F$2:$F$501,0)),"")</f>
        <v/>
      </c>
      <c r="H138" s="1" t="str">
        <f>IFERROR(INDEX('20 2026 DEPO KABUL'!$H$2:$H$501,MATCH(C138,'20 2026 DEPO KABUL'!$F$2:$F$501,0)),"")</f>
        <v/>
      </c>
      <c r="I138" s="13"/>
      <c r="J138" s="13"/>
    </row>
    <row r="139" spans="1:10" ht="15" customHeight="1" x14ac:dyDescent="0.2">
      <c r="A139" s="13"/>
      <c r="B139" s="13"/>
      <c r="C139" s="13"/>
      <c r="D139" s="1" t="str">
        <f>IFERROR(INDEX('20 2026 DEPO KABUL'!$B$2:$B$501,MATCH(C139,'20 2026 DEPO KABUL'!$F$2:$F$501,0)),"")</f>
        <v/>
      </c>
      <c r="E139" s="13"/>
      <c r="F139" s="13"/>
      <c r="G139" s="1" t="str">
        <f>IFERROR(INDEX('20 2026 DEPO KABUL'!$G$2:$G$501,MATCH(C139,'20 2026 DEPO KABUL'!$F$2:$F$501,0)),"")</f>
        <v/>
      </c>
      <c r="H139" s="1" t="str">
        <f>IFERROR(INDEX('20 2026 DEPO KABUL'!$H$2:$H$501,MATCH(C139,'20 2026 DEPO KABUL'!$F$2:$F$501,0)),"")</f>
        <v/>
      </c>
      <c r="I139" s="13"/>
      <c r="J139" s="13"/>
    </row>
    <row r="140" spans="1:10" ht="15" customHeight="1" x14ac:dyDescent="0.2">
      <c r="A140" s="13"/>
      <c r="B140" s="13"/>
      <c r="C140" s="13"/>
      <c r="D140" s="1" t="str">
        <f>IFERROR(INDEX('20 2026 DEPO KABUL'!$B$2:$B$501,MATCH(C140,'20 2026 DEPO KABUL'!$F$2:$F$501,0)),"")</f>
        <v/>
      </c>
      <c r="E140" s="13"/>
      <c r="F140" s="13"/>
      <c r="G140" s="1" t="str">
        <f>IFERROR(INDEX('20 2026 DEPO KABUL'!$G$2:$G$501,MATCH(C140,'20 2026 DEPO KABUL'!$F$2:$F$501,0)),"")</f>
        <v/>
      </c>
      <c r="H140" s="1" t="str">
        <f>IFERROR(INDEX('20 2026 DEPO KABUL'!$H$2:$H$501,MATCH(C140,'20 2026 DEPO KABUL'!$F$2:$F$501,0)),"")</f>
        <v/>
      </c>
      <c r="I140" s="13"/>
      <c r="J140" s="13"/>
    </row>
    <row r="141" spans="1:10" ht="15" customHeight="1" x14ac:dyDescent="0.2">
      <c r="A141" s="13"/>
      <c r="B141" s="13"/>
      <c r="C141" s="13"/>
      <c r="D141" s="1" t="str">
        <f>IFERROR(INDEX('20 2026 DEPO KABUL'!$B$2:$B$501,MATCH(C141,'20 2026 DEPO KABUL'!$F$2:$F$501,0)),"")</f>
        <v/>
      </c>
      <c r="E141" s="13"/>
      <c r="F141" s="13"/>
      <c r="G141" s="1" t="str">
        <f>IFERROR(INDEX('20 2026 DEPO KABUL'!$G$2:$G$501,MATCH(C141,'20 2026 DEPO KABUL'!$F$2:$F$501,0)),"")</f>
        <v/>
      </c>
      <c r="H141" s="1" t="str">
        <f>IFERROR(INDEX('20 2026 DEPO KABUL'!$H$2:$H$501,MATCH(C141,'20 2026 DEPO KABUL'!$F$2:$F$501,0)),"")</f>
        <v/>
      </c>
      <c r="I141" s="13"/>
      <c r="J141" s="13"/>
    </row>
    <row r="142" spans="1:10" ht="15" customHeight="1" x14ac:dyDescent="0.2">
      <c r="A142" s="13"/>
      <c r="B142" s="13"/>
      <c r="C142" s="13"/>
      <c r="D142" s="1" t="str">
        <f>IFERROR(INDEX('20 2026 DEPO KABUL'!$B$2:$B$501,MATCH(C142,'20 2026 DEPO KABUL'!$F$2:$F$501,0)),"")</f>
        <v/>
      </c>
      <c r="E142" s="13"/>
      <c r="F142" s="13"/>
      <c r="G142" s="1" t="str">
        <f>IFERROR(INDEX('20 2026 DEPO KABUL'!$G$2:$G$501,MATCH(C142,'20 2026 DEPO KABUL'!$F$2:$F$501,0)),"")</f>
        <v/>
      </c>
      <c r="H142" s="1" t="str">
        <f>IFERROR(INDEX('20 2026 DEPO KABUL'!$H$2:$H$501,MATCH(C142,'20 2026 DEPO KABUL'!$F$2:$F$501,0)),"")</f>
        <v/>
      </c>
      <c r="I142" s="13"/>
      <c r="J142" s="13"/>
    </row>
    <row r="143" spans="1:10" ht="15" customHeight="1" x14ac:dyDescent="0.2">
      <c r="A143" s="13"/>
      <c r="B143" s="13"/>
      <c r="C143" s="13"/>
      <c r="D143" s="1" t="str">
        <f>IFERROR(INDEX('20 2026 DEPO KABUL'!$B$2:$B$501,MATCH(C143,'20 2026 DEPO KABUL'!$F$2:$F$501,0)),"")</f>
        <v/>
      </c>
      <c r="E143" s="13"/>
      <c r="F143" s="13"/>
      <c r="G143" s="1" t="str">
        <f>IFERROR(INDEX('20 2026 DEPO KABUL'!$G$2:$G$501,MATCH(C143,'20 2026 DEPO KABUL'!$F$2:$F$501,0)),"")</f>
        <v/>
      </c>
      <c r="H143" s="1" t="str">
        <f>IFERROR(INDEX('20 2026 DEPO KABUL'!$H$2:$H$501,MATCH(C143,'20 2026 DEPO KABUL'!$F$2:$F$501,0)),"")</f>
        <v/>
      </c>
      <c r="I143" s="13"/>
      <c r="J143" s="13"/>
    </row>
    <row r="144" spans="1:10" ht="15" customHeight="1" x14ac:dyDescent="0.2">
      <c r="A144" s="13"/>
      <c r="B144" s="13"/>
      <c r="C144" s="13"/>
      <c r="D144" s="1" t="str">
        <f>IFERROR(INDEX('20 2026 DEPO KABUL'!$B$2:$B$501,MATCH(C144,'20 2026 DEPO KABUL'!$F$2:$F$501,0)),"")</f>
        <v/>
      </c>
      <c r="E144" s="13"/>
      <c r="F144" s="13"/>
      <c r="G144" s="1" t="str">
        <f>IFERROR(INDEX('20 2026 DEPO KABUL'!$G$2:$G$501,MATCH(C144,'20 2026 DEPO KABUL'!$F$2:$F$501,0)),"")</f>
        <v/>
      </c>
      <c r="H144" s="1" t="str">
        <f>IFERROR(INDEX('20 2026 DEPO KABUL'!$H$2:$H$501,MATCH(C144,'20 2026 DEPO KABUL'!$F$2:$F$501,0)),"")</f>
        <v/>
      </c>
      <c r="I144" s="13"/>
      <c r="J144" s="13"/>
    </row>
    <row r="145" spans="1:10" ht="15" customHeight="1" x14ac:dyDescent="0.2">
      <c r="A145" s="13"/>
      <c r="B145" s="13"/>
      <c r="C145" s="13"/>
      <c r="D145" s="1" t="str">
        <f>IFERROR(INDEX('20 2026 DEPO KABUL'!$B$2:$B$501,MATCH(C145,'20 2026 DEPO KABUL'!$F$2:$F$501,0)),"")</f>
        <v/>
      </c>
      <c r="E145" s="13"/>
      <c r="F145" s="13"/>
      <c r="G145" s="1" t="str">
        <f>IFERROR(INDEX('20 2026 DEPO KABUL'!$G$2:$G$501,MATCH(C145,'20 2026 DEPO KABUL'!$F$2:$F$501,0)),"")</f>
        <v/>
      </c>
      <c r="H145" s="1" t="str">
        <f>IFERROR(INDEX('20 2026 DEPO KABUL'!$H$2:$H$501,MATCH(C145,'20 2026 DEPO KABUL'!$F$2:$F$501,0)),"")</f>
        <v/>
      </c>
      <c r="I145" s="13"/>
      <c r="J145" s="13"/>
    </row>
    <row r="146" spans="1:10" ht="15" customHeight="1" x14ac:dyDescent="0.2">
      <c r="A146" s="13"/>
      <c r="B146" s="13"/>
      <c r="C146" s="13"/>
      <c r="D146" s="1" t="str">
        <f>IFERROR(INDEX('20 2026 DEPO KABUL'!$B$2:$B$501,MATCH(C146,'20 2026 DEPO KABUL'!$F$2:$F$501,0)),"")</f>
        <v/>
      </c>
      <c r="E146" s="13"/>
      <c r="F146" s="13"/>
      <c r="G146" s="1" t="str">
        <f>IFERROR(INDEX('20 2026 DEPO KABUL'!$G$2:$G$501,MATCH(C146,'20 2026 DEPO KABUL'!$F$2:$F$501,0)),"")</f>
        <v/>
      </c>
      <c r="H146" s="1" t="str">
        <f>IFERROR(INDEX('20 2026 DEPO KABUL'!$H$2:$H$501,MATCH(C146,'20 2026 DEPO KABUL'!$F$2:$F$501,0)),"")</f>
        <v/>
      </c>
      <c r="I146" s="13"/>
      <c r="J146" s="13"/>
    </row>
    <row r="147" spans="1:10" ht="15" customHeight="1" x14ac:dyDescent="0.2">
      <c r="A147" s="13"/>
      <c r="B147" s="13"/>
      <c r="C147" s="13"/>
      <c r="D147" s="1" t="str">
        <f>IFERROR(INDEX('20 2026 DEPO KABUL'!$B$2:$B$501,MATCH(C147,'20 2026 DEPO KABUL'!$F$2:$F$501,0)),"")</f>
        <v/>
      </c>
      <c r="E147" s="13"/>
      <c r="F147" s="13"/>
      <c r="G147" s="1" t="str">
        <f>IFERROR(INDEX('20 2026 DEPO KABUL'!$G$2:$G$501,MATCH(C147,'20 2026 DEPO KABUL'!$F$2:$F$501,0)),"")</f>
        <v/>
      </c>
      <c r="H147" s="1" t="str">
        <f>IFERROR(INDEX('20 2026 DEPO KABUL'!$H$2:$H$501,MATCH(C147,'20 2026 DEPO KABUL'!$F$2:$F$501,0)),"")</f>
        <v/>
      </c>
      <c r="I147" s="13"/>
      <c r="J147" s="13"/>
    </row>
    <row r="148" spans="1:10" ht="15" customHeight="1" x14ac:dyDescent="0.2">
      <c r="A148" s="13"/>
      <c r="B148" s="13"/>
      <c r="C148" s="13"/>
      <c r="D148" s="1" t="str">
        <f>IFERROR(INDEX('20 2026 DEPO KABUL'!$B$2:$B$501,MATCH(C148,'20 2026 DEPO KABUL'!$F$2:$F$501,0)),"")</f>
        <v/>
      </c>
      <c r="E148" s="13"/>
      <c r="F148" s="13"/>
      <c r="G148" s="1" t="str">
        <f>IFERROR(INDEX('20 2026 DEPO KABUL'!$G$2:$G$501,MATCH(C148,'20 2026 DEPO KABUL'!$F$2:$F$501,0)),"")</f>
        <v/>
      </c>
      <c r="H148" s="1" t="str">
        <f>IFERROR(INDEX('20 2026 DEPO KABUL'!$H$2:$H$501,MATCH(C148,'20 2026 DEPO KABUL'!$F$2:$F$501,0)),"")</f>
        <v/>
      </c>
      <c r="I148" s="13"/>
      <c r="J148" s="13"/>
    </row>
    <row r="149" spans="1:10" ht="15" customHeight="1" x14ac:dyDescent="0.2">
      <c r="A149" s="13"/>
      <c r="B149" s="13"/>
      <c r="C149" s="13"/>
      <c r="D149" s="1" t="str">
        <f>IFERROR(INDEX('20 2026 DEPO KABUL'!$B$2:$B$501,MATCH(C149,'20 2026 DEPO KABUL'!$F$2:$F$501,0)),"")</f>
        <v/>
      </c>
      <c r="E149" s="13"/>
      <c r="F149" s="13"/>
      <c r="G149" s="1" t="str">
        <f>IFERROR(INDEX('20 2026 DEPO KABUL'!$G$2:$G$501,MATCH(C149,'20 2026 DEPO KABUL'!$F$2:$F$501,0)),"")</f>
        <v/>
      </c>
      <c r="H149" s="1" t="str">
        <f>IFERROR(INDEX('20 2026 DEPO KABUL'!$H$2:$H$501,MATCH(C149,'20 2026 DEPO KABUL'!$F$2:$F$501,0)),"")</f>
        <v/>
      </c>
      <c r="I149" s="13"/>
      <c r="J149" s="13"/>
    </row>
    <row r="150" spans="1:10" ht="15" customHeight="1" x14ac:dyDescent="0.2">
      <c r="A150" s="13"/>
      <c r="B150" s="13"/>
      <c r="C150" s="13"/>
      <c r="D150" s="1" t="str">
        <f>IFERROR(INDEX('20 2026 DEPO KABUL'!$B$2:$B$501,MATCH(C150,'20 2026 DEPO KABUL'!$F$2:$F$501,0)),"")</f>
        <v/>
      </c>
      <c r="E150" s="13"/>
      <c r="F150" s="13"/>
      <c r="G150" s="1" t="str">
        <f>IFERROR(INDEX('20 2026 DEPO KABUL'!$G$2:$G$501,MATCH(C150,'20 2026 DEPO KABUL'!$F$2:$F$501,0)),"")</f>
        <v/>
      </c>
      <c r="H150" s="1" t="str">
        <f>IFERROR(INDEX('20 2026 DEPO KABUL'!$H$2:$H$501,MATCH(C150,'20 2026 DEPO KABUL'!$F$2:$F$501,0)),"")</f>
        <v/>
      </c>
      <c r="I150" s="13"/>
      <c r="J150" s="13"/>
    </row>
    <row r="151" spans="1:10" ht="15" customHeight="1" x14ac:dyDescent="0.2">
      <c r="A151" s="13"/>
      <c r="B151" s="13"/>
      <c r="C151" s="13"/>
      <c r="D151" s="1" t="str">
        <f>IFERROR(INDEX('20 2026 DEPO KABUL'!$B$2:$B$501,MATCH(C151,'20 2026 DEPO KABUL'!$F$2:$F$501,0)),"")</f>
        <v/>
      </c>
      <c r="E151" s="13"/>
      <c r="F151" s="13"/>
      <c r="G151" s="1" t="str">
        <f>IFERROR(INDEX('20 2026 DEPO KABUL'!$G$2:$G$501,MATCH(C151,'20 2026 DEPO KABUL'!$F$2:$F$501,0)),"")</f>
        <v/>
      </c>
      <c r="H151" s="1" t="str">
        <f>IFERROR(INDEX('20 2026 DEPO KABUL'!$H$2:$H$501,MATCH(C151,'20 2026 DEPO KABUL'!$F$2:$F$501,0)),"")</f>
        <v/>
      </c>
      <c r="I151" s="13"/>
      <c r="J151" s="13"/>
    </row>
    <row r="152" spans="1:10" ht="15" customHeight="1" x14ac:dyDescent="0.2">
      <c r="A152" s="13"/>
      <c r="B152" s="13"/>
      <c r="C152" s="13"/>
      <c r="D152" s="1" t="str">
        <f>IFERROR(INDEX('20 2026 DEPO KABUL'!$B$2:$B$501,MATCH(C152,'20 2026 DEPO KABUL'!$F$2:$F$501,0)),"")</f>
        <v/>
      </c>
      <c r="E152" s="13"/>
      <c r="F152" s="13"/>
      <c r="G152" s="1" t="str">
        <f>IFERROR(INDEX('20 2026 DEPO KABUL'!$G$2:$G$501,MATCH(C152,'20 2026 DEPO KABUL'!$F$2:$F$501,0)),"")</f>
        <v/>
      </c>
      <c r="H152" s="1" t="str">
        <f>IFERROR(INDEX('20 2026 DEPO KABUL'!$H$2:$H$501,MATCH(C152,'20 2026 DEPO KABUL'!$F$2:$F$501,0)),"")</f>
        <v/>
      </c>
      <c r="I152" s="13"/>
      <c r="J152" s="13"/>
    </row>
    <row r="153" spans="1:10" ht="15" customHeight="1" x14ac:dyDescent="0.2">
      <c r="A153" s="13"/>
      <c r="B153" s="13"/>
      <c r="C153" s="13"/>
      <c r="D153" s="1" t="str">
        <f>IFERROR(INDEX('20 2026 DEPO KABUL'!$B$2:$B$501,MATCH(C153,'20 2026 DEPO KABUL'!$F$2:$F$501,0)),"")</f>
        <v/>
      </c>
      <c r="E153" s="13"/>
      <c r="F153" s="13"/>
      <c r="G153" s="1" t="str">
        <f>IFERROR(INDEX('20 2026 DEPO KABUL'!$G$2:$G$501,MATCH(C153,'20 2026 DEPO KABUL'!$F$2:$F$501,0)),"")</f>
        <v/>
      </c>
      <c r="H153" s="1" t="str">
        <f>IFERROR(INDEX('20 2026 DEPO KABUL'!$H$2:$H$501,MATCH(C153,'20 2026 DEPO KABUL'!$F$2:$F$501,0)),"")</f>
        <v/>
      </c>
      <c r="I153" s="13"/>
      <c r="J153" s="13"/>
    </row>
    <row r="154" spans="1:10" ht="15" customHeight="1" x14ac:dyDescent="0.2">
      <c r="A154" s="13"/>
      <c r="B154" s="13"/>
      <c r="C154" s="13"/>
      <c r="D154" s="1" t="str">
        <f>IFERROR(INDEX('20 2026 DEPO KABUL'!$B$2:$B$501,MATCH(C154,'20 2026 DEPO KABUL'!$F$2:$F$501,0)),"")</f>
        <v/>
      </c>
      <c r="E154" s="13"/>
      <c r="F154" s="13"/>
      <c r="G154" s="1" t="str">
        <f>IFERROR(INDEX('20 2026 DEPO KABUL'!$G$2:$G$501,MATCH(C154,'20 2026 DEPO KABUL'!$F$2:$F$501,0)),"")</f>
        <v/>
      </c>
      <c r="H154" s="1" t="str">
        <f>IFERROR(INDEX('20 2026 DEPO KABUL'!$H$2:$H$501,MATCH(C154,'20 2026 DEPO KABUL'!$F$2:$F$501,0)),"")</f>
        <v/>
      </c>
      <c r="I154" s="13"/>
      <c r="J154" s="13"/>
    </row>
    <row r="155" spans="1:10" ht="15" customHeight="1" x14ac:dyDescent="0.2">
      <c r="A155" s="13"/>
      <c r="B155" s="13"/>
      <c r="C155" s="13"/>
      <c r="D155" s="1" t="str">
        <f>IFERROR(INDEX('20 2026 DEPO KABUL'!$B$2:$B$501,MATCH(C155,'20 2026 DEPO KABUL'!$F$2:$F$501,0)),"")</f>
        <v/>
      </c>
      <c r="E155" s="13"/>
      <c r="F155" s="13"/>
      <c r="G155" s="1" t="str">
        <f>IFERROR(INDEX('20 2026 DEPO KABUL'!$G$2:$G$501,MATCH(C155,'20 2026 DEPO KABUL'!$F$2:$F$501,0)),"")</f>
        <v/>
      </c>
      <c r="H155" s="1" t="str">
        <f>IFERROR(INDEX('20 2026 DEPO KABUL'!$H$2:$H$501,MATCH(C155,'20 2026 DEPO KABUL'!$F$2:$F$501,0)),"")</f>
        <v/>
      </c>
      <c r="I155" s="13"/>
      <c r="J155" s="13"/>
    </row>
    <row r="156" spans="1:10" ht="15" customHeight="1" x14ac:dyDescent="0.2">
      <c r="A156" s="13"/>
      <c r="B156" s="13"/>
      <c r="C156" s="13"/>
      <c r="D156" s="1" t="str">
        <f>IFERROR(INDEX('20 2026 DEPO KABUL'!$B$2:$B$501,MATCH(C156,'20 2026 DEPO KABUL'!$F$2:$F$501,0)),"")</f>
        <v/>
      </c>
      <c r="E156" s="13"/>
      <c r="F156" s="13"/>
      <c r="G156" s="1" t="str">
        <f>IFERROR(INDEX('20 2026 DEPO KABUL'!$G$2:$G$501,MATCH(C156,'20 2026 DEPO KABUL'!$F$2:$F$501,0)),"")</f>
        <v/>
      </c>
      <c r="H156" s="1" t="str">
        <f>IFERROR(INDEX('20 2026 DEPO KABUL'!$H$2:$H$501,MATCH(C156,'20 2026 DEPO KABUL'!$F$2:$F$501,0)),"")</f>
        <v/>
      </c>
      <c r="I156" s="13"/>
      <c r="J156" s="13"/>
    </row>
    <row r="157" spans="1:10" ht="15" customHeight="1" x14ac:dyDescent="0.2">
      <c r="A157" s="13"/>
      <c r="B157" s="13"/>
      <c r="C157" s="13"/>
      <c r="D157" s="1" t="str">
        <f>IFERROR(INDEX('20 2026 DEPO KABUL'!$B$2:$B$501,MATCH(C157,'20 2026 DEPO KABUL'!$F$2:$F$501,0)),"")</f>
        <v/>
      </c>
      <c r="E157" s="13"/>
      <c r="F157" s="13"/>
      <c r="G157" s="1" t="str">
        <f>IFERROR(INDEX('20 2026 DEPO KABUL'!$G$2:$G$501,MATCH(C157,'20 2026 DEPO KABUL'!$F$2:$F$501,0)),"")</f>
        <v/>
      </c>
      <c r="H157" s="1" t="str">
        <f>IFERROR(INDEX('20 2026 DEPO KABUL'!$H$2:$H$501,MATCH(C157,'20 2026 DEPO KABUL'!$F$2:$F$501,0)),"")</f>
        <v/>
      </c>
      <c r="I157" s="13"/>
      <c r="J157" s="13"/>
    </row>
    <row r="158" spans="1:10" ht="15" customHeight="1" x14ac:dyDescent="0.2">
      <c r="A158" s="13"/>
      <c r="B158" s="13"/>
      <c r="C158" s="13"/>
      <c r="D158" s="1" t="str">
        <f>IFERROR(INDEX('20 2026 DEPO KABUL'!$B$2:$B$501,MATCH(C158,'20 2026 DEPO KABUL'!$F$2:$F$501,0)),"")</f>
        <v/>
      </c>
      <c r="E158" s="13"/>
      <c r="F158" s="13"/>
      <c r="G158" s="1" t="str">
        <f>IFERROR(INDEX('20 2026 DEPO KABUL'!$G$2:$G$501,MATCH(C158,'20 2026 DEPO KABUL'!$F$2:$F$501,0)),"")</f>
        <v/>
      </c>
      <c r="H158" s="1" t="str">
        <f>IFERROR(INDEX('20 2026 DEPO KABUL'!$H$2:$H$501,MATCH(C158,'20 2026 DEPO KABUL'!$F$2:$F$501,0)),"")</f>
        <v/>
      </c>
      <c r="I158" s="13"/>
      <c r="J158" s="13"/>
    </row>
    <row r="159" spans="1:10" ht="15" customHeight="1" x14ac:dyDescent="0.2">
      <c r="A159" s="13"/>
      <c r="B159" s="13"/>
      <c r="C159" s="13"/>
      <c r="D159" s="1" t="str">
        <f>IFERROR(INDEX('20 2026 DEPO KABUL'!$B$2:$B$501,MATCH(C159,'20 2026 DEPO KABUL'!$F$2:$F$501,0)),"")</f>
        <v/>
      </c>
      <c r="E159" s="13"/>
      <c r="F159" s="13"/>
      <c r="G159" s="1" t="str">
        <f>IFERROR(INDEX('20 2026 DEPO KABUL'!$G$2:$G$501,MATCH(C159,'20 2026 DEPO KABUL'!$F$2:$F$501,0)),"")</f>
        <v/>
      </c>
      <c r="H159" s="1" t="str">
        <f>IFERROR(INDEX('20 2026 DEPO KABUL'!$H$2:$H$501,MATCH(C159,'20 2026 DEPO KABUL'!$F$2:$F$501,0)),"")</f>
        <v/>
      </c>
      <c r="I159" s="13"/>
      <c r="J159" s="13"/>
    </row>
    <row r="160" spans="1:10" ht="15" customHeight="1" x14ac:dyDescent="0.2">
      <c r="A160" s="13"/>
      <c r="B160" s="13"/>
      <c r="C160" s="13"/>
      <c r="D160" s="1" t="str">
        <f>IFERROR(INDEX('20 2026 DEPO KABUL'!$B$2:$B$501,MATCH(C160,'20 2026 DEPO KABUL'!$F$2:$F$501,0)),"")</f>
        <v/>
      </c>
      <c r="E160" s="13"/>
      <c r="F160" s="13"/>
      <c r="G160" s="1" t="str">
        <f>IFERROR(INDEX('20 2026 DEPO KABUL'!$G$2:$G$501,MATCH(C160,'20 2026 DEPO KABUL'!$F$2:$F$501,0)),"")</f>
        <v/>
      </c>
      <c r="H160" s="1" t="str">
        <f>IFERROR(INDEX('20 2026 DEPO KABUL'!$H$2:$H$501,MATCH(C160,'20 2026 DEPO KABUL'!$F$2:$F$501,0)),"")</f>
        <v/>
      </c>
      <c r="I160" s="13"/>
      <c r="J160" s="13"/>
    </row>
    <row r="161" spans="1:10" ht="15" customHeight="1" x14ac:dyDescent="0.2">
      <c r="A161" s="13"/>
      <c r="B161" s="13"/>
      <c r="C161" s="13"/>
      <c r="D161" s="1" t="str">
        <f>IFERROR(INDEX('20 2026 DEPO KABUL'!$B$2:$B$501,MATCH(C161,'20 2026 DEPO KABUL'!$F$2:$F$501,0)),"")</f>
        <v/>
      </c>
      <c r="E161" s="13"/>
      <c r="F161" s="13"/>
      <c r="G161" s="1" t="str">
        <f>IFERROR(INDEX('20 2026 DEPO KABUL'!$G$2:$G$501,MATCH(C161,'20 2026 DEPO KABUL'!$F$2:$F$501,0)),"")</f>
        <v/>
      </c>
      <c r="H161" s="1" t="str">
        <f>IFERROR(INDEX('20 2026 DEPO KABUL'!$H$2:$H$501,MATCH(C161,'20 2026 DEPO KABUL'!$F$2:$F$501,0)),"")</f>
        <v/>
      </c>
      <c r="I161" s="13"/>
      <c r="J161" s="13"/>
    </row>
    <row r="162" spans="1:10" ht="15" customHeight="1" x14ac:dyDescent="0.2">
      <c r="A162" s="13"/>
      <c r="B162" s="13"/>
      <c r="C162" s="13"/>
      <c r="D162" s="1" t="str">
        <f>IFERROR(INDEX('20 2026 DEPO KABUL'!$B$2:$B$501,MATCH(C162,'20 2026 DEPO KABUL'!$F$2:$F$501,0)),"")</f>
        <v/>
      </c>
      <c r="E162" s="13"/>
      <c r="F162" s="13"/>
      <c r="G162" s="1" t="str">
        <f>IFERROR(INDEX('20 2026 DEPO KABUL'!$G$2:$G$501,MATCH(C162,'20 2026 DEPO KABUL'!$F$2:$F$501,0)),"")</f>
        <v/>
      </c>
      <c r="H162" s="1" t="str">
        <f>IFERROR(INDEX('20 2026 DEPO KABUL'!$H$2:$H$501,MATCH(C162,'20 2026 DEPO KABUL'!$F$2:$F$501,0)),"")</f>
        <v/>
      </c>
      <c r="I162" s="13"/>
      <c r="J162" s="13"/>
    </row>
    <row r="163" spans="1:10" ht="15" customHeight="1" x14ac:dyDescent="0.2">
      <c r="A163" s="13"/>
      <c r="B163" s="13"/>
      <c r="C163" s="13"/>
      <c r="D163" s="1" t="str">
        <f>IFERROR(INDEX('20 2026 DEPO KABUL'!$B$2:$B$501,MATCH(C163,'20 2026 DEPO KABUL'!$F$2:$F$501,0)),"")</f>
        <v/>
      </c>
      <c r="E163" s="13"/>
      <c r="F163" s="13"/>
      <c r="G163" s="1" t="str">
        <f>IFERROR(INDEX('20 2026 DEPO KABUL'!$G$2:$G$501,MATCH(C163,'20 2026 DEPO KABUL'!$F$2:$F$501,0)),"")</f>
        <v/>
      </c>
      <c r="H163" s="1" t="str">
        <f>IFERROR(INDEX('20 2026 DEPO KABUL'!$H$2:$H$501,MATCH(C163,'20 2026 DEPO KABUL'!$F$2:$F$501,0)),"")</f>
        <v/>
      </c>
      <c r="I163" s="13"/>
      <c r="J163" s="13"/>
    </row>
    <row r="164" spans="1:10" ht="15" customHeight="1" x14ac:dyDescent="0.2">
      <c r="A164" s="13"/>
      <c r="B164" s="13"/>
      <c r="C164" s="13"/>
      <c r="D164" s="1" t="str">
        <f>IFERROR(INDEX('20 2026 DEPO KABUL'!$B$2:$B$501,MATCH(C164,'20 2026 DEPO KABUL'!$F$2:$F$501,0)),"")</f>
        <v/>
      </c>
      <c r="E164" s="13"/>
      <c r="F164" s="13"/>
      <c r="G164" s="1" t="str">
        <f>IFERROR(INDEX('20 2026 DEPO KABUL'!$G$2:$G$501,MATCH(C164,'20 2026 DEPO KABUL'!$F$2:$F$501,0)),"")</f>
        <v/>
      </c>
      <c r="H164" s="1" t="str">
        <f>IFERROR(INDEX('20 2026 DEPO KABUL'!$H$2:$H$501,MATCH(C164,'20 2026 DEPO KABUL'!$F$2:$F$501,0)),"")</f>
        <v/>
      </c>
      <c r="I164" s="13"/>
      <c r="J164" s="13"/>
    </row>
    <row r="165" spans="1:10" ht="15" customHeight="1" x14ac:dyDescent="0.2">
      <c r="A165" s="13"/>
      <c r="B165" s="13"/>
      <c r="C165" s="13"/>
      <c r="D165" s="1" t="str">
        <f>IFERROR(INDEX('20 2026 DEPO KABUL'!$B$2:$B$501,MATCH(C165,'20 2026 DEPO KABUL'!$F$2:$F$501,0)),"")</f>
        <v/>
      </c>
      <c r="E165" s="13"/>
      <c r="F165" s="13"/>
      <c r="G165" s="1" t="str">
        <f>IFERROR(INDEX('20 2026 DEPO KABUL'!$G$2:$G$501,MATCH(C165,'20 2026 DEPO KABUL'!$F$2:$F$501,0)),"")</f>
        <v/>
      </c>
      <c r="H165" s="1" t="str">
        <f>IFERROR(INDEX('20 2026 DEPO KABUL'!$H$2:$H$501,MATCH(C165,'20 2026 DEPO KABUL'!$F$2:$F$501,0)),"")</f>
        <v/>
      </c>
      <c r="I165" s="13"/>
      <c r="J165" s="13"/>
    </row>
    <row r="166" spans="1:10" ht="15" customHeight="1" x14ac:dyDescent="0.2">
      <c r="A166" s="13"/>
      <c r="B166" s="13"/>
      <c r="C166" s="13"/>
      <c r="D166" s="1" t="str">
        <f>IFERROR(INDEX('20 2026 DEPO KABUL'!$B$2:$B$501,MATCH(C166,'20 2026 DEPO KABUL'!$F$2:$F$501,0)),"")</f>
        <v/>
      </c>
      <c r="E166" s="13"/>
      <c r="F166" s="13"/>
      <c r="G166" s="1" t="str">
        <f>IFERROR(INDEX('20 2026 DEPO KABUL'!$G$2:$G$501,MATCH(C166,'20 2026 DEPO KABUL'!$F$2:$F$501,0)),"")</f>
        <v/>
      </c>
      <c r="H166" s="1" t="str">
        <f>IFERROR(INDEX('20 2026 DEPO KABUL'!$H$2:$H$501,MATCH(C166,'20 2026 DEPO KABUL'!$F$2:$F$501,0)),"")</f>
        <v/>
      </c>
      <c r="I166" s="13"/>
      <c r="J166" s="13"/>
    </row>
    <row r="167" spans="1:10" ht="15" customHeight="1" x14ac:dyDescent="0.2">
      <c r="A167" s="13"/>
      <c r="B167" s="13"/>
      <c r="C167" s="13"/>
      <c r="D167" s="1" t="str">
        <f>IFERROR(INDEX('20 2026 DEPO KABUL'!$B$2:$B$501,MATCH(C167,'20 2026 DEPO KABUL'!$F$2:$F$501,0)),"")</f>
        <v/>
      </c>
      <c r="E167" s="13"/>
      <c r="F167" s="13"/>
      <c r="G167" s="1" t="str">
        <f>IFERROR(INDEX('20 2026 DEPO KABUL'!$G$2:$G$501,MATCH(C167,'20 2026 DEPO KABUL'!$F$2:$F$501,0)),"")</f>
        <v/>
      </c>
      <c r="H167" s="1" t="str">
        <f>IFERROR(INDEX('20 2026 DEPO KABUL'!$H$2:$H$501,MATCH(C167,'20 2026 DEPO KABUL'!$F$2:$F$501,0)),"")</f>
        <v/>
      </c>
      <c r="I167" s="13"/>
      <c r="J167" s="13"/>
    </row>
    <row r="168" spans="1:10" ht="15" customHeight="1" x14ac:dyDescent="0.2">
      <c r="A168" s="13"/>
      <c r="B168" s="13"/>
      <c r="C168" s="13"/>
      <c r="D168" s="1" t="str">
        <f>IFERROR(INDEX('20 2026 DEPO KABUL'!$B$2:$B$501,MATCH(C168,'20 2026 DEPO KABUL'!$F$2:$F$501,0)),"")</f>
        <v/>
      </c>
      <c r="E168" s="13"/>
      <c r="F168" s="13"/>
      <c r="G168" s="1" t="str">
        <f>IFERROR(INDEX('20 2026 DEPO KABUL'!$G$2:$G$501,MATCH(C168,'20 2026 DEPO KABUL'!$F$2:$F$501,0)),"")</f>
        <v/>
      </c>
      <c r="H168" s="1" t="str">
        <f>IFERROR(INDEX('20 2026 DEPO KABUL'!$H$2:$H$501,MATCH(C168,'20 2026 DEPO KABUL'!$F$2:$F$501,0)),"")</f>
        <v/>
      </c>
      <c r="I168" s="13"/>
      <c r="J168" s="13"/>
    </row>
    <row r="169" spans="1:10" ht="15" customHeight="1" x14ac:dyDescent="0.2">
      <c r="A169" s="13"/>
      <c r="B169" s="13"/>
      <c r="C169" s="13"/>
      <c r="D169" s="1" t="str">
        <f>IFERROR(INDEX('20 2026 DEPO KABUL'!$B$2:$B$501,MATCH(C169,'20 2026 DEPO KABUL'!$F$2:$F$501,0)),"")</f>
        <v/>
      </c>
      <c r="E169" s="13"/>
      <c r="F169" s="13"/>
      <c r="G169" s="1" t="str">
        <f>IFERROR(INDEX('20 2026 DEPO KABUL'!$G$2:$G$501,MATCH(C169,'20 2026 DEPO KABUL'!$F$2:$F$501,0)),"")</f>
        <v/>
      </c>
      <c r="H169" s="1" t="str">
        <f>IFERROR(INDEX('20 2026 DEPO KABUL'!$H$2:$H$501,MATCH(C169,'20 2026 DEPO KABUL'!$F$2:$F$501,0)),"")</f>
        <v/>
      </c>
      <c r="I169" s="13"/>
      <c r="J169" s="13"/>
    </row>
    <row r="170" spans="1:10" ht="15" customHeight="1" x14ac:dyDescent="0.2">
      <c r="A170" s="13"/>
      <c r="B170" s="13"/>
      <c r="C170" s="13"/>
      <c r="D170" s="1" t="str">
        <f>IFERROR(INDEX('20 2026 DEPO KABUL'!$B$2:$B$501,MATCH(C170,'20 2026 DEPO KABUL'!$F$2:$F$501,0)),"")</f>
        <v/>
      </c>
      <c r="E170" s="13"/>
      <c r="F170" s="13"/>
      <c r="G170" s="1" t="str">
        <f>IFERROR(INDEX('20 2026 DEPO KABUL'!$G$2:$G$501,MATCH(C170,'20 2026 DEPO KABUL'!$F$2:$F$501,0)),"")</f>
        <v/>
      </c>
      <c r="H170" s="1" t="str">
        <f>IFERROR(INDEX('20 2026 DEPO KABUL'!$H$2:$H$501,MATCH(C170,'20 2026 DEPO KABUL'!$F$2:$F$501,0)),"")</f>
        <v/>
      </c>
      <c r="I170" s="13"/>
      <c r="J170" s="13"/>
    </row>
    <row r="171" spans="1:10" ht="15" customHeight="1" x14ac:dyDescent="0.2">
      <c r="A171" s="13"/>
      <c r="B171" s="13"/>
      <c r="C171" s="13"/>
      <c r="D171" s="1" t="str">
        <f>IFERROR(INDEX('20 2026 DEPO KABUL'!$B$2:$B$501,MATCH(C171,'20 2026 DEPO KABUL'!$F$2:$F$501,0)),"")</f>
        <v/>
      </c>
      <c r="E171" s="13"/>
      <c r="F171" s="13"/>
      <c r="G171" s="1" t="str">
        <f>IFERROR(INDEX('20 2026 DEPO KABUL'!$G$2:$G$501,MATCH(C171,'20 2026 DEPO KABUL'!$F$2:$F$501,0)),"")</f>
        <v/>
      </c>
      <c r="H171" s="1" t="str">
        <f>IFERROR(INDEX('20 2026 DEPO KABUL'!$H$2:$H$501,MATCH(C171,'20 2026 DEPO KABUL'!$F$2:$F$501,0)),"")</f>
        <v/>
      </c>
      <c r="I171" s="13"/>
      <c r="J171" s="13"/>
    </row>
    <row r="172" spans="1:10" ht="15" customHeight="1" x14ac:dyDescent="0.2">
      <c r="A172" s="13"/>
      <c r="B172" s="13"/>
      <c r="C172" s="13"/>
      <c r="D172" s="1" t="str">
        <f>IFERROR(INDEX('20 2026 DEPO KABUL'!$B$2:$B$501,MATCH(C172,'20 2026 DEPO KABUL'!$F$2:$F$501,0)),"")</f>
        <v/>
      </c>
      <c r="E172" s="13"/>
      <c r="F172" s="13"/>
      <c r="G172" s="1" t="str">
        <f>IFERROR(INDEX('20 2026 DEPO KABUL'!$G$2:$G$501,MATCH(C172,'20 2026 DEPO KABUL'!$F$2:$F$501,0)),"")</f>
        <v/>
      </c>
      <c r="H172" s="1" t="str">
        <f>IFERROR(INDEX('20 2026 DEPO KABUL'!$H$2:$H$501,MATCH(C172,'20 2026 DEPO KABUL'!$F$2:$F$501,0)),"")</f>
        <v/>
      </c>
      <c r="I172" s="13"/>
      <c r="J172" s="13"/>
    </row>
    <row r="173" spans="1:10" ht="15" customHeight="1" x14ac:dyDescent="0.2">
      <c r="A173" s="13"/>
      <c r="B173" s="13"/>
      <c r="C173" s="13"/>
      <c r="D173" s="1" t="str">
        <f>IFERROR(INDEX('20 2026 DEPO KABUL'!$B$2:$B$501,MATCH(C173,'20 2026 DEPO KABUL'!$F$2:$F$501,0)),"")</f>
        <v/>
      </c>
      <c r="E173" s="13"/>
      <c r="F173" s="13"/>
      <c r="G173" s="1" t="str">
        <f>IFERROR(INDEX('20 2026 DEPO KABUL'!$G$2:$G$501,MATCH(C173,'20 2026 DEPO KABUL'!$F$2:$F$501,0)),"")</f>
        <v/>
      </c>
      <c r="H173" s="1" t="str">
        <f>IFERROR(INDEX('20 2026 DEPO KABUL'!$H$2:$H$501,MATCH(C173,'20 2026 DEPO KABUL'!$F$2:$F$501,0)),"")</f>
        <v/>
      </c>
      <c r="I173" s="13"/>
      <c r="J173" s="13"/>
    </row>
    <row r="174" spans="1:10" ht="15" customHeight="1" x14ac:dyDescent="0.2">
      <c r="A174" s="13"/>
      <c r="B174" s="13"/>
      <c r="C174" s="13"/>
      <c r="D174" s="1" t="str">
        <f>IFERROR(INDEX('20 2026 DEPO KABUL'!$B$2:$B$501,MATCH(C174,'20 2026 DEPO KABUL'!$F$2:$F$501,0)),"")</f>
        <v/>
      </c>
      <c r="E174" s="13"/>
      <c r="F174" s="13"/>
      <c r="G174" s="1" t="str">
        <f>IFERROR(INDEX('20 2026 DEPO KABUL'!$G$2:$G$501,MATCH(C174,'20 2026 DEPO KABUL'!$F$2:$F$501,0)),"")</f>
        <v/>
      </c>
      <c r="H174" s="1" t="str">
        <f>IFERROR(INDEX('20 2026 DEPO KABUL'!$H$2:$H$501,MATCH(C174,'20 2026 DEPO KABUL'!$F$2:$F$501,0)),"")</f>
        <v/>
      </c>
      <c r="I174" s="13"/>
      <c r="J174" s="13"/>
    </row>
    <row r="175" spans="1:10" ht="15" customHeight="1" x14ac:dyDescent="0.2">
      <c r="A175" s="13"/>
      <c r="B175" s="13"/>
      <c r="C175" s="13"/>
      <c r="D175" s="1" t="str">
        <f>IFERROR(INDEX('20 2026 DEPO KABUL'!$B$2:$B$501,MATCH(C175,'20 2026 DEPO KABUL'!$F$2:$F$501,0)),"")</f>
        <v/>
      </c>
      <c r="E175" s="13"/>
      <c r="F175" s="13"/>
      <c r="G175" s="1" t="str">
        <f>IFERROR(INDEX('20 2026 DEPO KABUL'!$G$2:$G$501,MATCH(C175,'20 2026 DEPO KABUL'!$F$2:$F$501,0)),"")</f>
        <v/>
      </c>
      <c r="H175" s="1" t="str">
        <f>IFERROR(INDEX('20 2026 DEPO KABUL'!$H$2:$H$501,MATCH(C175,'20 2026 DEPO KABUL'!$F$2:$F$501,0)),"")</f>
        <v/>
      </c>
      <c r="I175" s="13"/>
      <c r="J175" s="13"/>
    </row>
    <row r="176" spans="1:10" ht="15" customHeight="1" x14ac:dyDescent="0.2">
      <c r="A176" s="13"/>
      <c r="B176" s="13"/>
      <c r="C176" s="13"/>
      <c r="D176" s="1" t="str">
        <f>IFERROR(INDEX('20 2026 DEPO KABUL'!$B$2:$B$501,MATCH(C176,'20 2026 DEPO KABUL'!$F$2:$F$501,0)),"")</f>
        <v/>
      </c>
      <c r="E176" s="13"/>
      <c r="F176" s="13"/>
      <c r="G176" s="1" t="str">
        <f>IFERROR(INDEX('20 2026 DEPO KABUL'!$G$2:$G$501,MATCH(C176,'20 2026 DEPO KABUL'!$F$2:$F$501,0)),"")</f>
        <v/>
      </c>
      <c r="H176" s="1" t="str">
        <f>IFERROR(INDEX('20 2026 DEPO KABUL'!$H$2:$H$501,MATCH(C176,'20 2026 DEPO KABUL'!$F$2:$F$501,0)),"")</f>
        <v/>
      </c>
      <c r="I176" s="13"/>
      <c r="J176" s="13"/>
    </row>
    <row r="177" spans="1:10" ht="15" customHeight="1" x14ac:dyDescent="0.2">
      <c r="A177" s="13"/>
      <c r="B177" s="13"/>
      <c r="C177" s="13"/>
      <c r="D177" s="1" t="str">
        <f>IFERROR(INDEX('20 2026 DEPO KABUL'!$B$2:$B$501,MATCH(C177,'20 2026 DEPO KABUL'!$F$2:$F$501,0)),"")</f>
        <v/>
      </c>
      <c r="E177" s="13"/>
      <c r="F177" s="13"/>
      <c r="G177" s="1" t="str">
        <f>IFERROR(INDEX('20 2026 DEPO KABUL'!$G$2:$G$501,MATCH(C177,'20 2026 DEPO KABUL'!$F$2:$F$501,0)),"")</f>
        <v/>
      </c>
      <c r="H177" s="1" t="str">
        <f>IFERROR(INDEX('20 2026 DEPO KABUL'!$H$2:$H$501,MATCH(C177,'20 2026 DEPO KABUL'!$F$2:$F$501,0)),"")</f>
        <v/>
      </c>
      <c r="I177" s="13"/>
      <c r="J177" s="13"/>
    </row>
    <row r="178" spans="1:10" ht="15" customHeight="1" x14ac:dyDescent="0.2">
      <c r="A178" s="13"/>
      <c r="B178" s="13"/>
      <c r="C178" s="13"/>
      <c r="D178" s="1" t="str">
        <f>IFERROR(INDEX('20 2026 DEPO KABUL'!$B$2:$B$501,MATCH(C178,'20 2026 DEPO KABUL'!$F$2:$F$501,0)),"")</f>
        <v/>
      </c>
      <c r="E178" s="13"/>
      <c r="F178" s="13"/>
      <c r="G178" s="1" t="str">
        <f>IFERROR(INDEX('20 2026 DEPO KABUL'!$G$2:$G$501,MATCH(C178,'20 2026 DEPO KABUL'!$F$2:$F$501,0)),"")</f>
        <v/>
      </c>
      <c r="H178" s="1" t="str">
        <f>IFERROR(INDEX('20 2026 DEPO KABUL'!$H$2:$H$501,MATCH(C178,'20 2026 DEPO KABUL'!$F$2:$F$501,0)),"")</f>
        <v/>
      </c>
      <c r="I178" s="13"/>
      <c r="J178" s="13"/>
    </row>
    <row r="179" spans="1:10" ht="15" customHeight="1" x14ac:dyDescent="0.2">
      <c r="A179" s="13"/>
      <c r="B179" s="13"/>
      <c r="C179" s="13"/>
      <c r="D179" s="1" t="str">
        <f>IFERROR(INDEX('20 2026 DEPO KABUL'!$B$2:$B$501,MATCH(C179,'20 2026 DEPO KABUL'!$F$2:$F$501,0)),"")</f>
        <v/>
      </c>
      <c r="E179" s="13"/>
      <c r="F179" s="13"/>
      <c r="G179" s="1" t="str">
        <f>IFERROR(INDEX('20 2026 DEPO KABUL'!$G$2:$G$501,MATCH(C179,'20 2026 DEPO KABUL'!$F$2:$F$501,0)),"")</f>
        <v/>
      </c>
      <c r="H179" s="1" t="str">
        <f>IFERROR(INDEX('20 2026 DEPO KABUL'!$H$2:$H$501,MATCH(C179,'20 2026 DEPO KABUL'!$F$2:$F$501,0)),"")</f>
        <v/>
      </c>
      <c r="I179" s="13"/>
      <c r="J179" s="13"/>
    </row>
    <row r="180" spans="1:10" ht="15" customHeight="1" x14ac:dyDescent="0.2">
      <c r="A180" s="13"/>
      <c r="B180" s="13"/>
      <c r="C180" s="13"/>
      <c r="D180" s="1" t="str">
        <f>IFERROR(INDEX('20 2026 DEPO KABUL'!$B$2:$B$501,MATCH(C180,'20 2026 DEPO KABUL'!$F$2:$F$501,0)),"")</f>
        <v/>
      </c>
      <c r="E180" s="13"/>
      <c r="F180" s="13"/>
      <c r="G180" s="1" t="str">
        <f>IFERROR(INDEX('20 2026 DEPO KABUL'!$G$2:$G$501,MATCH(C180,'20 2026 DEPO KABUL'!$F$2:$F$501,0)),"")</f>
        <v/>
      </c>
      <c r="H180" s="1" t="str">
        <f>IFERROR(INDEX('20 2026 DEPO KABUL'!$H$2:$H$501,MATCH(C180,'20 2026 DEPO KABUL'!$F$2:$F$501,0)),"")</f>
        <v/>
      </c>
      <c r="I180" s="13"/>
      <c r="J180" s="13"/>
    </row>
    <row r="181" spans="1:10" ht="15" customHeight="1" x14ac:dyDescent="0.2">
      <c r="A181" s="13"/>
      <c r="B181" s="13"/>
      <c r="C181" s="13"/>
      <c r="D181" s="1" t="str">
        <f>IFERROR(INDEX('20 2026 DEPO KABUL'!$B$2:$B$501,MATCH(C181,'20 2026 DEPO KABUL'!$F$2:$F$501,0)),"")</f>
        <v/>
      </c>
      <c r="E181" s="13"/>
      <c r="F181" s="13"/>
      <c r="G181" s="1" t="str">
        <f>IFERROR(INDEX('20 2026 DEPO KABUL'!$G$2:$G$501,MATCH(C181,'20 2026 DEPO KABUL'!$F$2:$F$501,0)),"")</f>
        <v/>
      </c>
      <c r="H181" s="1" t="str">
        <f>IFERROR(INDEX('20 2026 DEPO KABUL'!$H$2:$H$501,MATCH(C181,'20 2026 DEPO KABUL'!$F$2:$F$501,0)),"")</f>
        <v/>
      </c>
      <c r="I181" s="13"/>
      <c r="J181" s="13"/>
    </row>
    <row r="182" spans="1:10" ht="15" customHeight="1" x14ac:dyDescent="0.2">
      <c r="A182" s="13"/>
      <c r="B182" s="13"/>
      <c r="C182" s="13"/>
      <c r="D182" s="1" t="str">
        <f>IFERROR(INDEX('20 2026 DEPO KABUL'!$B$2:$B$501,MATCH(C182,'20 2026 DEPO KABUL'!$F$2:$F$501,0)),"")</f>
        <v/>
      </c>
      <c r="E182" s="13"/>
      <c r="F182" s="13"/>
      <c r="G182" s="1" t="str">
        <f>IFERROR(INDEX('20 2026 DEPO KABUL'!$G$2:$G$501,MATCH(C182,'20 2026 DEPO KABUL'!$F$2:$F$501,0)),"")</f>
        <v/>
      </c>
      <c r="H182" s="1" t="str">
        <f>IFERROR(INDEX('20 2026 DEPO KABUL'!$H$2:$H$501,MATCH(C182,'20 2026 DEPO KABUL'!$F$2:$F$501,0)),"")</f>
        <v/>
      </c>
      <c r="I182" s="13"/>
      <c r="J182" s="13"/>
    </row>
    <row r="183" spans="1:10" ht="15" customHeight="1" x14ac:dyDescent="0.2">
      <c r="A183" s="13"/>
      <c r="B183" s="13"/>
      <c r="C183" s="13"/>
      <c r="D183" s="1" t="str">
        <f>IFERROR(INDEX('20 2026 DEPO KABUL'!$B$2:$B$501,MATCH(C183,'20 2026 DEPO KABUL'!$F$2:$F$501,0)),"")</f>
        <v/>
      </c>
      <c r="E183" s="13"/>
      <c r="F183" s="13"/>
      <c r="G183" s="1" t="str">
        <f>IFERROR(INDEX('20 2026 DEPO KABUL'!$G$2:$G$501,MATCH(C183,'20 2026 DEPO KABUL'!$F$2:$F$501,0)),"")</f>
        <v/>
      </c>
      <c r="H183" s="1" t="str">
        <f>IFERROR(INDEX('20 2026 DEPO KABUL'!$H$2:$H$501,MATCH(C183,'20 2026 DEPO KABUL'!$F$2:$F$501,0)),"")</f>
        <v/>
      </c>
      <c r="I183" s="13"/>
      <c r="J183" s="13"/>
    </row>
    <row r="184" spans="1:10" ht="15" customHeight="1" x14ac:dyDescent="0.2">
      <c r="A184" s="13"/>
      <c r="B184" s="13"/>
      <c r="C184" s="13"/>
      <c r="D184" s="1" t="str">
        <f>IFERROR(INDEX('20 2026 DEPO KABUL'!$B$2:$B$501,MATCH(C184,'20 2026 DEPO KABUL'!$F$2:$F$501,0)),"")</f>
        <v/>
      </c>
      <c r="E184" s="13"/>
      <c r="F184" s="13"/>
      <c r="G184" s="1" t="str">
        <f>IFERROR(INDEX('20 2026 DEPO KABUL'!$G$2:$G$501,MATCH(C184,'20 2026 DEPO KABUL'!$F$2:$F$501,0)),"")</f>
        <v/>
      </c>
      <c r="H184" s="1" t="str">
        <f>IFERROR(INDEX('20 2026 DEPO KABUL'!$H$2:$H$501,MATCH(C184,'20 2026 DEPO KABUL'!$F$2:$F$501,0)),"")</f>
        <v/>
      </c>
      <c r="I184" s="13"/>
      <c r="J184" s="13"/>
    </row>
    <row r="185" spans="1:10" ht="15" customHeight="1" x14ac:dyDescent="0.2">
      <c r="A185" s="13"/>
      <c r="B185" s="13"/>
      <c r="C185" s="13"/>
      <c r="D185" s="1" t="str">
        <f>IFERROR(INDEX('20 2026 DEPO KABUL'!$B$2:$B$501,MATCH(C185,'20 2026 DEPO KABUL'!$F$2:$F$501,0)),"")</f>
        <v/>
      </c>
      <c r="E185" s="13"/>
      <c r="F185" s="13"/>
      <c r="G185" s="1" t="str">
        <f>IFERROR(INDEX('20 2026 DEPO KABUL'!$G$2:$G$501,MATCH(C185,'20 2026 DEPO KABUL'!$F$2:$F$501,0)),"")</f>
        <v/>
      </c>
      <c r="H185" s="1" t="str">
        <f>IFERROR(INDEX('20 2026 DEPO KABUL'!$H$2:$H$501,MATCH(C185,'20 2026 DEPO KABUL'!$F$2:$F$501,0)),"")</f>
        <v/>
      </c>
      <c r="I185" s="13"/>
      <c r="J185" s="13"/>
    </row>
    <row r="186" spans="1:10" ht="15" customHeight="1" x14ac:dyDescent="0.2">
      <c r="A186" s="13"/>
      <c r="B186" s="13"/>
      <c r="C186" s="13"/>
      <c r="D186" s="1" t="str">
        <f>IFERROR(INDEX('20 2026 DEPO KABUL'!$B$2:$B$501,MATCH(C186,'20 2026 DEPO KABUL'!$F$2:$F$501,0)),"")</f>
        <v/>
      </c>
      <c r="E186" s="13"/>
      <c r="F186" s="13"/>
      <c r="G186" s="1" t="str">
        <f>IFERROR(INDEX('20 2026 DEPO KABUL'!$G$2:$G$501,MATCH(C186,'20 2026 DEPO KABUL'!$F$2:$F$501,0)),"")</f>
        <v/>
      </c>
      <c r="H186" s="1" t="str">
        <f>IFERROR(INDEX('20 2026 DEPO KABUL'!$H$2:$H$501,MATCH(C186,'20 2026 DEPO KABUL'!$F$2:$F$501,0)),"")</f>
        <v/>
      </c>
      <c r="I186" s="13"/>
      <c r="J186" s="13"/>
    </row>
    <row r="187" spans="1:10" ht="15" customHeight="1" x14ac:dyDescent="0.2">
      <c r="A187" s="13"/>
      <c r="B187" s="13"/>
      <c r="C187" s="13"/>
      <c r="D187" s="1" t="str">
        <f>IFERROR(INDEX('20 2026 DEPO KABUL'!$B$2:$B$501,MATCH(C187,'20 2026 DEPO KABUL'!$F$2:$F$501,0)),"")</f>
        <v/>
      </c>
      <c r="E187" s="13"/>
      <c r="F187" s="13"/>
      <c r="G187" s="1" t="str">
        <f>IFERROR(INDEX('20 2026 DEPO KABUL'!$G$2:$G$501,MATCH(C187,'20 2026 DEPO KABUL'!$F$2:$F$501,0)),"")</f>
        <v/>
      </c>
      <c r="H187" s="1" t="str">
        <f>IFERROR(INDEX('20 2026 DEPO KABUL'!$H$2:$H$501,MATCH(C187,'20 2026 DEPO KABUL'!$F$2:$F$501,0)),"")</f>
        <v/>
      </c>
      <c r="I187" s="13"/>
      <c r="J187" s="13"/>
    </row>
    <row r="188" spans="1:10" ht="15" customHeight="1" x14ac:dyDescent="0.2">
      <c r="A188" s="13"/>
      <c r="B188" s="13"/>
      <c r="C188" s="13"/>
      <c r="D188" s="1" t="str">
        <f>IFERROR(INDEX('20 2026 DEPO KABUL'!$B$2:$B$501,MATCH(C188,'20 2026 DEPO KABUL'!$F$2:$F$501,0)),"")</f>
        <v/>
      </c>
      <c r="E188" s="13"/>
      <c r="F188" s="13"/>
      <c r="G188" s="1" t="str">
        <f>IFERROR(INDEX('20 2026 DEPO KABUL'!$G$2:$G$501,MATCH(C188,'20 2026 DEPO KABUL'!$F$2:$F$501,0)),"")</f>
        <v/>
      </c>
      <c r="H188" s="1" t="str">
        <f>IFERROR(INDEX('20 2026 DEPO KABUL'!$H$2:$H$501,MATCH(C188,'20 2026 DEPO KABUL'!$F$2:$F$501,0)),"")</f>
        <v/>
      </c>
      <c r="I188" s="13"/>
      <c r="J188" s="13"/>
    </row>
    <row r="189" spans="1:10" ht="15" customHeight="1" x14ac:dyDescent="0.2">
      <c r="A189" s="13"/>
      <c r="B189" s="13"/>
      <c r="C189" s="13"/>
      <c r="D189" s="1" t="str">
        <f>IFERROR(INDEX('20 2026 DEPO KABUL'!$B$2:$B$501,MATCH(C189,'20 2026 DEPO KABUL'!$F$2:$F$501,0)),"")</f>
        <v/>
      </c>
      <c r="E189" s="13"/>
      <c r="F189" s="13"/>
      <c r="G189" s="1" t="str">
        <f>IFERROR(INDEX('20 2026 DEPO KABUL'!$G$2:$G$501,MATCH(C189,'20 2026 DEPO KABUL'!$F$2:$F$501,0)),"")</f>
        <v/>
      </c>
      <c r="H189" s="1" t="str">
        <f>IFERROR(INDEX('20 2026 DEPO KABUL'!$H$2:$H$501,MATCH(C189,'20 2026 DEPO KABUL'!$F$2:$F$501,0)),"")</f>
        <v/>
      </c>
      <c r="I189" s="13"/>
      <c r="J189" s="13"/>
    </row>
    <row r="190" spans="1:10" ht="15" customHeight="1" x14ac:dyDescent="0.2">
      <c r="A190" s="13"/>
      <c r="B190" s="13"/>
      <c r="C190" s="13"/>
      <c r="D190" s="1" t="str">
        <f>IFERROR(INDEX('20 2026 DEPO KABUL'!$B$2:$B$501,MATCH(C190,'20 2026 DEPO KABUL'!$F$2:$F$501,0)),"")</f>
        <v/>
      </c>
      <c r="E190" s="13"/>
      <c r="F190" s="13"/>
      <c r="G190" s="1" t="str">
        <f>IFERROR(INDEX('20 2026 DEPO KABUL'!$G$2:$G$501,MATCH(C190,'20 2026 DEPO KABUL'!$F$2:$F$501,0)),"")</f>
        <v/>
      </c>
      <c r="H190" s="1" t="str">
        <f>IFERROR(INDEX('20 2026 DEPO KABUL'!$H$2:$H$501,MATCH(C190,'20 2026 DEPO KABUL'!$F$2:$F$501,0)),"")</f>
        <v/>
      </c>
      <c r="I190" s="13"/>
      <c r="J190" s="13"/>
    </row>
    <row r="191" spans="1:10" ht="15" customHeight="1" x14ac:dyDescent="0.2">
      <c r="A191" s="13"/>
      <c r="B191" s="13"/>
      <c r="C191" s="13"/>
      <c r="D191" s="1" t="str">
        <f>IFERROR(INDEX('20 2026 DEPO KABUL'!$B$2:$B$501,MATCH(C191,'20 2026 DEPO KABUL'!$F$2:$F$501,0)),"")</f>
        <v/>
      </c>
      <c r="E191" s="13"/>
      <c r="F191" s="13"/>
      <c r="G191" s="1" t="str">
        <f>IFERROR(INDEX('20 2026 DEPO KABUL'!$G$2:$G$501,MATCH(C191,'20 2026 DEPO KABUL'!$F$2:$F$501,0)),"")</f>
        <v/>
      </c>
      <c r="H191" s="1" t="str">
        <f>IFERROR(INDEX('20 2026 DEPO KABUL'!$H$2:$H$501,MATCH(C191,'20 2026 DEPO KABUL'!$F$2:$F$501,0)),"")</f>
        <v/>
      </c>
      <c r="I191" s="13"/>
      <c r="J191" s="13"/>
    </row>
    <row r="192" spans="1:10" ht="15" customHeight="1" x14ac:dyDescent="0.2">
      <c r="A192" s="13"/>
      <c r="B192" s="13"/>
      <c r="C192" s="13"/>
      <c r="D192" s="1" t="str">
        <f>IFERROR(INDEX('20 2026 DEPO KABUL'!$B$2:$B$501,MATCH(C192,'20 2026 DEPO KABUL'!$F$2:$F$501,0)),"")</f>
        <v/>
      </c>
      <c r="E192" s="13"/>
      <c r="F192" s="13"/>
      <c r="G192" s="1" t="str">
        <f>IFERROR(INDEX('20 2026 DEPO KABUL'!$G$2:$G$501,MATCH(C192,'20 2026 DEPO KABUL'!$F$2:$F$501,0)),"")</f>
        <v/>
      </c>
      <c r="H192" s="1" t="str">
        <f>IFERROR(INDEX('20 2026 DEPO KABUL'!$H$2:$H$501,MATCH(C192,'20 2026 DEPO KABUL'!$F$2:$F$501,0)),"")</f>
        <v/>
      </c>
      <c r="I192" s="13"/>
      <c r="J192" s="13"/>
    </row>
    <row r="193" spans="1:10" ht="15" customHeight="1" x14ac:dyDescent="0.2">
      <c r="A193" s="13"/>
      <c r="B193" s="13"/>
      <c r="C193" s="13"/>
      <c r="D193" s="1" t="str">
        <f>IFERROR(INDEX('20 2026 DEPO KABUL'!$B$2:$B$501,MATCH(C193,'20 2026 DEPO KABUL'!$F$2:$F$501,0)),"")</f>
        <v/>
      </c>
      <c r="E193" s="13"/>
      <c r="F193" s="13"/>
      <c r="G193" s="1" t="str">
        <f>IFERROR(INDEX('20 2026 DEPO KABUL'!$G$2:$G$501,MATCH(C193,'20 2026 DEPO KABUL'!$F$2:$F$501,0)),"")</f>
        <v/>
      </c>
      <c r="H193" s="1" t="str">
        <f>IFERROR(INDEX('20 2026 DEPO KABUL'!$H$2:$H$501,MATCH(C193,'20 2026 DEPO KABUL'!$F$2:$F$501,0)),"")</f>
        <v/>
      </c>
      <c r="I193" s="13"/>
      <c r="J193" s="13"/>
    </row>
    <row r="194" spans="1:10" ht="15" customHeight="1" x14ac:dyDescent="0.2">
      <c r="A194" s="13"/>
      <c r="B194" s="13"/>
      <c r="C194" s="13"/>
      <c r="D194" s="1" t="str">
        <f>IFERROR(INDEX('20 2026 DEPO KABUL'!$B$2:$B$501,MATCH(C194,'20 2026 DEPO KABUL'!$F$2:$F$501,0)),"")</f>
        <v/>
      </c>
      <c r="E194" s="13"/>
      <c r="F194" s="13"/>
      <c r="G194" s="1" t="str">
        <f>IFERROR(INDEX('20 2026 DEPO KABUL'!$G$2:$G$501,MATCH(C194,'20 2026 DEPO KABUL'!$F$2:$F$501,0)),"")</f>
        <v/>
      </c>
      <c r="H194" s="1" t="str">
        <f>IFERROR(INDEX('20 2026 DEPO KABUL'!$H$2:$H$501,MATCH(C194,'20 2026 DEPO KABUL'!$F$2:$F$501,0)),"")</f>
        <v/>
      </c>
      <c r="I194" s="13"/>
      <c r="J194" s="13"/>
    </row>
    <row r="195" spans="1:10" ht="15" customHeight="1" x14ac:dyDescent="0.2">
      <c r="A195" s="13"/>
      <c r="B195" s="13"/>
      <c r="C195" s="13"/>
      <c r="D195" s="1" t="str">
        <f>IFERROR(INDEX('20 2026 DEPO KABUL'!$B$2:$B$501,MATCH(C195,'20 2026 DEPO KABUL'!$F$2:$F$501,0)),"")</f>
        <v/>
      </c>
      <c r="E195" s="13"/>
      <c r="F195" s="13"/>
      <c r="G195" s="1" t="str">
        <f>IFERROR(INDEX('20 2026 DEPO KABUL'!$G$2:$G$501,MATCH(C195,'20 2026 DEPO KABUL'!$F$2:$F$501,0)),"")</f>
        <v/>
      </c>
      <c r="H195" s="1" t="str">
        <f>IFERROR(INDEX('20 2026 DEPO KABUL'!$H$2:$H$501,MATCH(C195,'20 2026 DEPO KABUL'!$F$2:$F$501,0)),"")</f>
        <v/>
      </c>
      <c r="I195" s="13"/>
      <c r="J195" s="13"/>
    </row>
    <row r="196" spans="1:10" ht="15" customHeight="1" x14ac:dyDescent="0.2">
      <c r="A196" s="13"/>
      <c r="B196" s="13"/>
      <c r="C196" s="13"/>
      <c r="D196" s="1" t="str">
        <f>IFERROR(INDEX('20 2026 DEPO KABUL'!$B$2:$B$501,MATCH(C196,'20 2026 DEPO KABUL'!$F$2:$F$501,0)),"")</f>
        <v/>
      </c>
      <c r="E196" s="13"/>
      <c r="F196" s="13"/>
      <c r="G196" s="1" t="str">
        <f>IFERROR(INDEX('20 2026 DEPO KABUL'!$G$2:$G$501,MATCH(C196,'20 2026 DEPO KABUL'!$F$2:$F$501,0)),"")</f>
        <v/>
      </c>
      <c r="H196" s="1" t="str">
        <f>IFERROR(INDEX('20 2026 DEPO KABUL'!$H$2:$H$501,MATCH(C196,'20 2026 DEPO KABUL'!$F$2:$F$501,0)),"")</f>
        <v/>
      </c>
      <c r="I196" s="13"/>
      <c r="J196" s="13"/>
    </row>
    <row r="197" spans="1:10" ht="15" customHeight="1" x14ac:dyDescent="0.2">
      <c r="A197" s="13"/>
      <c r="B197" s="13"/>
      <c r="C197" s="13"/>
      <c r="D197" s="1" t="str">
        <f>IFERROR(INDEX('20 2026 DEPO KABUL'!$B$2:$B$501,MATCH(C197,'20 2026 DEPO KABUL'!$F$2:$F$501,0)),"")</f>
        <v/>
      </c>
      <c r="E197" s="13"/>
      <c r="F197" s="13"/>
      <c r="G197" s="1" t="str">
        <f>IFERROR(INDEX('20 2026 DEPO KABUL'!$G$2:$G$501,MATCH(C197,'20 2026 DEPO KABUL'!$F$2:$F$501,0)),"")</f>
        <v/>
      </c>
      <c r="H197" s="1" t="str">
        <f>IFERROR(INDEX('20 2026 DEPO KABUL'!$H$2:$H$501,MATCH(C197,'20 2026 DEPO KABUL'!$F$2:$F$501,0)),"")</f>
        <v/>
      </c>
      <c r="I197" s="13"/>
      <c r="J197" s="13"/>
    </row>
    <row r="198" spans="1:10" ht="15" customHeight="1" x14ac:dyDescent="0.2">
      <c r="A198" s="13"/>
      <c r="B198" s="13"/>
      <c r="C198" s="13"/>
      <c r="D198" s="1" t="str">
        <f>IFERROR(INDEX('20 2026 DEPO KABUL'!$B$2:$B$501,MATCH(C198,'20 2026 DEPO KABUL'!$F$2:$F$501,0)),"")</f>
        <v/>
      </c>
      <c r="E198" s="13"/>
      <c r="F198" s="13"/>
      <c r="G198" s="1" t="str">
        <f>IFERROR(INDEX('20 2026 DEPO KABUL'!$G$2:$G$501,MATCH(C198,'20 2026 DEPO KABUL'!$F$2:$F$501,0)),"")</f>
        <v/>
      </c>
      <c r="H198" s="1" t="str">
        <f>IFERROR(INDEX('20 2026 DEPO KABUL'!$H$2:$H$501,MATCH(C198,'20 2026 DEPO KABUL'!$F$2:$F$501,0)),"")</f>
        <v/>
      </c>
      <c r="I198" s="13"/>
      <c r="J198" s="13"/>
    </row>
    <row r="199" spans="1:10" ht="15" customHeight="1" x14ac:dyDescent="0.2">
      <c r="A199" s="13"/>
      <c r="B199" s="13"/>
      <c r="C199" s="13"/>
      <c r="D199" s="1" t="str">
        <f>IFERROR(INDEX('20 2026 DEPO KABUL'!$B$2:$B$501,MATCH(C199,'20 2026 DEPO KABUL'!$F$2:$F$501,0)),"")</f>
        <v/>
      </c>
      <c r="E199" s="13"/>
      <c r="F199" s="13"/>
      <c r="G199" s="1" t="str">
        <f>IFERROR(INDEX('20 2026 DEPO KABUL'!$G$2:$G$501,MATCH(C199,'20 2026 DEPO KABUL'!$F$2:$F$501,0)),"")</f>
        <v/>
      </c>
      <c r="H199" s="1" t="str">
        <f>IFERROR(INDEX('20 2026 DEPO KABUL'!$H$2:$H$501,MATCH(C199,'20 2026 DEPO KABUL'!$F$2:$F$501,0)),"")</f>
        <v/>
      </c>
      <c r="I199" s="13"/>
      <c r="J199" s="13"/>
    </row>
    <row r="200" spans="1:10" ht="15" customHeight="1" x14ac:dyDescent="0.2">
      <c r="A200" s="13"/>
      <c r="B200" s="13"/>
      <c r="C200" s="13"/>
      <c r="D200" s="1" t="str">
        <f>IFERROR(INDEX('20 2026 DEPO KABUL'!$B$2:$B$501,MATCH(C200,'20 2026 DEPO KABUL'!$F$2:$F$501,0)),"")</f>
        <v/>
      </c>
      <c r="E200" s="13"/>
      <c r="F200" s="13"/>
      <c r="G200" s="1" t="str">
        <f>IFERROR(INDEX('20 2026 DEPO KABUL'!$G$2:$G$501,MATCH(C200,'20 2026 DEPO KABUL'!$F$2:$F$501,0)),"")</f>
        <v/>
      </c>
      <c r="H200" s="1" t="str">
        <f>IFERROR(INDEX('20 2026 DEPO KABUL'!$H$2:$H$501,MATCH(C200,'20 2026 DEPO KABUL'!$F$2:$F$501,0)),"")</f>
        <v/>
      </c>
      <c r="I200" s="13"/>
      <c r="J200" s="13"/>
    </row>
    <row r="201" spans="1:10" ht="15" customHeight="1" x14ac:dyDescent="0.2">
      <c r="A201" s="13"/>
      <c r="B201" s="13"/>
      <c r="C201" s="13"/>
      <c r="D201" s="1" t="str">
        <f>IFERROR(INDEX('20 2026 DEPO KABUL'!$B$2:$B$501,MATCH(C201,'20 2026 DEPO KABUL'!$F$2:$F$501,0)),"")</f>
        <v/>
      </c>
      <c r="E201" s="13"/>
      <c r="F201" s="13"/>
      <c r="G201" s="1" t="str">
        <f>IFERROR(INDEX('20 2026 DEPO KABUL'!$G$2:$G$501,MATCH(C201,'20 2026 DEPO KABUL'!$F$2:$F$501,0)),"")</f>
        <v/>
      </c>
      <c r="H201" s="1" t="str">
        <f>IFERROR(INDEX('20 2026 DEPO KABUL'!$H$2:$H$501,MATCH(C201,'20 2026 DEPO KABUL'!$F$2:$F$501,0)),"")</f>
        <v/>
      </c>
      <c r="I201" s="13"/>
      <c r="J201" s="13"/>
    </row>
    <row r="202" spans="1:10" ht="15" customHeight="1" x14ac:dyDescent="0.2">
      <c r="A202" s="13"/>
      <c r="B202" s="13"/>
      <c r="C202" s="13"/>
      <c r="D202" s="1" t="str">
        <f>IFERROR(INDEX('20 2026 DEPO KABUL'!$B$2:$B$501,MATCH(C202,'20 2026 DEPO KABUL'!$F$2:$F$501,0)),"")</f>
        <v/>
      </c>
      <c r="E202" s="13"/>
      <c r="F202" s="13"/>
      <c r="G202" s="1" t="str">
        <f>IFERROR(INDEX('20 2026 DEPO KABUL'!$G$2:$G$501,MATCH(C202,'20 2026 DEPO KABUL'!$F$2:$F$501,0)),"")</f>
        <v/>
      </c>
      <c r="H202" s="1" t="str">
        <f>IFERROR(INDEX('20 2026 DEPO KABUL'!$H$2:$H$501,MATCH(C202,'20 2026 DEPO KABUL'!$F$2:$F$501,0)),"")</f>
        <v/>
      </c>
      <c r="I202" s="13"/>
      <c r="J202" s="13"/>
    </row>
    <row r="203" spans="1:10" ht="15" customHeight="1" x14ac:dyDescent="0.2">
      <c r="A203" s="13"/>
      <c r="B203" s="13"/>
      <c r="C203" s="13"/>
      <c r="D203" s="1" t="str">
        <f>IFERROR(INDEX('20 2026 DEPO KABUL'!$B$2:$B$501,MATCH(C203,'20 2026 DEPO KABUL'!$F$2:$F$501,0)),"")</f>
        <v/>
      </c>
      <c r="E203" s="13"/>
      <c r="F203" s="13"/>
      <c r="G203" s="1" t="str">
        <f>IFERROR(INDEX('20 2026 DEPO KABUL'!$G$2:$G$501,MATCH(C203,'20 2026 DEPO KABUL'!$F$2:$F$501,0)),"")</f>
        <v/>
      </c>
      <c r="H203" s="1" t="str">
        <f>IFERROR(INDEX('20 2026 DEPO KABUL'!$H$2:$H$501,MATCH(C203,'20 2026 DEPO KABUL'!$F$2:$F$501,0)),"")</f>
        <v/>
      </c>
      <c r="I203" s="13"/>
      <c r="J203" s="13"/>
    </row>
    <row r="204" spans="1:10" ht="15" customHeight="1" x14ac:dyDescent="0.2">
      <c r="A204" s="13"/>
      <c r="B204" s="13"/>
      <c r="C204" s="13"/>
      <c r="D204" s="1" t="str">
        <f>IFERROR(INDEX('20 2026 DEPO KABUL'!$B$2:$B$501,MATCH(C204,'20 2026 DEPO KABUL'!$F$2:$F$501,0)),"")</f>
        <v/>
      </c>
      <c r="E204" s="13"/>
      <c r="F204" s="13"/>
      <c r="G204" s="1" t="str">
        <f>IFERROR(INDEX('20 2026 DEPO KABUL'!$G$2:$G$501,MATCH(C204,'20 2026 DEPO KABUL'!$F$2:$F$501,0)),"")</f>
        <v/>
      </c>
      <c r="H204" s="1" t="str">
        <f>IFERROR(INDEX('20 2026 DEPO KABUL'!$H$2:$H$501,MATCH(C204,'20 2026 DEPO KABUL'!$F$2:$F$501,0)),"")</f>
        <v/>
      </c>
      <c r="I204" s="13"/>
      <c r="J204" s="13"/>
    </row>
    <row r="205" spans="1:10" ht="15" customHeight="1" x14ac:dyDescent="0.2">
      <c r="A205" s="13"/>
      <c r="B205" s="13"/>
      <c r="C205" s="13"/>
      <c r="D205" s="1" t="str">
        <f>IFERROR(INDEX('20 2026 DEPO KABUL'!$B$2:$B$501,MATCH(C205,'20 2026 DEPO KABUL'!$F$2:$F$501,0)),"")</f>
        <v/>
      </c>
      <c r="E205" s="13"/>
      <c r="F205" s="13"/>
      <c r="G205" s="1" t="str">
        <f>IFERROR(INDEX('20 2026 DEPO KABUL'!$G$2:$G$501,MATCH(C205,'20 2026 DEPO KABUL'!$F$2:$F$501,0)),"")</f>
        <v/>
      </c>
      <c r="H205" s="1" t="str">
        <f>IFERROR(INDEX('20 2026 DEPO KABUL'!$H$2:$H$501,MATCH(C205,'20 2026 DEPO KABUL'!$F$2:$F$501,0)),"")</f>
        <v/>
      </c>
      <c r="I205" s="13"/>
      <c r="J205" s="13"/>
    </row>
    <row r="206" spans="1:10" ht="15" customHeight="1" x14ac:dyDescent="0.2">
      <c r="A206" s="13"/>
      <c r="B206" s="13"/>
      <c r="C206" s="13"/>
      <c r="D206" s="1" t="str">
        <f>IFERROR(INDEX('20 2026 DEPO KABUL'!$B$2:$B$501,MATCH(C206,'20 2026 DEPO KABUL'!$F$2:$F$501,0)),"")</f>
        <v/>
      </c>
      <c r="E206" s="13"/>
      <c r="F206" s="13"/>
      <c r="G206" s="1" t="str">
        <f>IFERROR(INDEX('20 2026 DEPO KABUL'!$G$2:$G$501,MATCH(C206,'20 2026 DEPO KABUL'!$F$2:$F$501,0)),"")</f>
        <v/>
      </c>
      <c r="H206" s="1" t="str">
        <f>IFERROR(INDEX('20 2026 DEPO KABUL'!$H$2:$H$501,MATCH(C206,'20 2026 DEPO KABUL'!$F$2:$F$501,0)),"")</f>
        <v/>
      </c>
      <c r="I206" s="13"/>
      <c r="J206" s="13"/>
    </row>
    <row r="207" spans="1:10" ht="15" customHeight="1" x14ac:dyDescent="0.2">
      <c r="A207" s="13"/>
      <c r="B207" s="13"/>
      <c r="C207" s="13"/>
      <c r="D207" s="1" t="str">
        <f>IFERROR(INDEX('20 2026 DEPO KABUL'!$B$2:$B$501,MATCH(C207,'20 2026 DEPO KABUL'!$F$2:$F$501,0)),"")</f>
        <v/>
      </c>
      <c r="E207" s="13"/>
      <c r="F207" s="13"/>
      <c r="G207" s="1" t="str">
        <f>IFERROR(INDEX('20 2026 DEPO KABUL'!$G$2:$G$501,MATCH(C207,'20 2026 DEPO KABUL'!$F$2:$F$501,0)),"")</f>
        <v/>
      </c>
      <c r="H207" s="1" t="str">
        <f>IFERROR(INDEX('20 2026 DEPO KABUL'!$H$2:$H$501,MATCH(C207,'20 2026 DEPO KABUL'!$F$2:$F$501,0)),"")</f>
        <v/>
      </c>
      <c r="I207" s="13"/>
      <c r="J207" s="13"/>
    </row>
    <row r="208" spans="1:10" ht="15" customHeight="1" x14ac:dyDescent="0.2">
      <c r="A208" s="13"/>
      <c r="B208" s="13"/>
      <c r="C208" s="13"/>
      <c r="D208" s="1" t="str">
        <f>IFERROR(INDEX('20 2026 DEPO KABUL'!$B$2:$B$501,MATCH(C208,'20 2026 DEPO KABUL'!$F$2:$F$501,0)),"")</f>
        <v/>
      </c>
      <c r="E208" s="13"/>
      <c r="F208" s="13"/>
      <c r="G208" s="1" t="str">
        <f>IFERROR(INDEX('20 2026 DEPO KABUL'!$G$2:$G$501,MATCH(C208,'20 2026 DEPO KABUL'!$F$2:$F$501,0)),"")</f>
        <v/>
      </c>
      <c r="H208" s="1" t="str">
        <f>IFERROR(INDEX('20 2026 DEPO KABUL'!$H$2:$H$501,MATCH(C208,'20 2026 DEPO KABUL'!$F$2:$F$501,0)),"")</f>
        <v/>
      </c>
      <c r="I208" s="13"/>
      <c r="J208" s="13"/>
    </row>
    <row r="209" spans="1:10" ht="15" customHeight="1" x14ac:dyDescent="0.2">
      <c r="A209" s="13"/>
      <c r="B209" s="13"/>
      <c r="C209" s="13"/>
      <c r="D209" s="1" t="str">
        <f>IFERROR(INDEX('20 2026 DEPO KABUL'!$B$2:$B$501,MATCH(C209,'20 2026 DEPO KABUL'!$F$2:$F$501,0)),"")</f>
        <v/>
      </c>
      <c r="E209" s="13"/>
      <c r="F209" s="13"/>
      <c r="G209" s="1" t="str">
        <f>IFERROR(INDEX('20 2026 DEPO KABUL'!$G$2:$G$501,MATCH(C209,'20 2026 DEPO KABUL'!$F$2:$F$501,0)),"")</f>
        <v/>
      </c>
      <c r="H209" s="1" t="str">
        <f>IFERROR(INDEX('20 2026 DEPO KABUL'!$H$2:$H$501,MATCH(C209,'20 2026 DEPO KABUL'!$F$2:$F$501,0)),"")</f>
        <v/>
      </c>
      <c r="I209" s="13"/>
      <c r="J209" s="13"/>
    </row>
    <row r="210" spans="1:10" ht="15" customHeight="1" x14ac:dyDescent="0.2">
      <c r="A210" s="13"/>
      <c r="B210" s="13"/>
      <c r="C210" s="13"/>
      <c r="D210" s="1" t="str">
        <f>IFERROR(INDEX('20 2026 DEPO KABUL'!$B$2:$B$501,MATCH(C210,'20 2026 DEPO KABUL'!$F$2:$F$501,0)),"")</f>
        <v/>
      </c>
      <c r="E210" s="13"/>
      <c r="F210" s="13"/>
      <c r="G210" s="1" t="str">
        <f>IFERROR(INDEX('20 2026 DEPO KABUL'!$G$2:$G$501,MATCH(C210,'20 2026 DEPO KABUL'!$F$2:$F$501,0)),"")</f>
        <v/>
      </c>
      <c r="H210" s="1" t="str">
        <f>IFERROR(INDEX('20 2026 DEPO KABUL'!$H$2:$H$501,MATCH(C210,'20 2026 DEPO KABUL'!$F$2:$F$501,0)),"")</f>
        <v/>
      </c>
      <c r="I210" s="13"/>
      <c r="J210" s="13"/>
    </row>
    <row r="211" spans="1:10" ht="15" customHeight="1" x14ac:dyDescent="0.2">
      <c r="A211" s="13"/>
      <c r="B211" s="13"/>
      <c r="C211" s="13"/>
      <c r="D211" s="1" t="str">
        <f>IFERROR(INDEX('20 2026 DEPO KABUL'!$B$2:$B$501,MATCH(C211,'20 2026 DEPO KABUL'!$F$2:$F$501,0)),"")</f>
        <v/>
      </c>
      <c r="E211" s="13"/>
      <c r="F211" s="13"/>
      <c r="G211" s="1" t="str">
        <f>IFERROR(INDEX('20 2026 DEPO KABUL'!$G$2:$G$501,MATCH(C211,'20 2026 DEPO KABUL'!$F$2:$F$501,0)),"")</f>
        <v/>
      </c>
      <c r="H211" s="1" t="str">
        <f>IFERROR(INDEX('20 2026 DEPO KABUL'!$H$2:$H$501,MATCH(C211,'20 2026 DEPO KABUL'!$F$2:$F$501,0)),"")</f>
        <v/>
      </c>
      <c r="I211" s="13"/>
      <c r="J211" s="13"/>
    </row>
    <row r="212" spans="1:10" ht="15" customHeight="1" x14ac:dyDescent="0.2">
      <c r="A212" s="13"/>
      <c r="B212" s="13"/>
      <c r="C212" s="13"/>
      <c r="D212" s="1" t="str">
        <f>IFERROR(INDEX('20 2026 DEPO KABUL'!$B$2:$B$501,MATCH(C212,'20 2026 DEPO KABUL'!$F$2:$F$501,0)),"")</f>
        <v/>
      </c>
      <c r="E212" s="13"/>
      <c r="F212" s="13"/>
      <c r="G212" s="1" t="str">
        <f>IFERROR(INDEX('20 2026 DEPO KABUL'!$G$2:$G$501,MATCH(C212,'20 2026 DEPO KABUL'!$F$2:$F$501,0)),"")</f>
        <v/>
      </c>
      <c r="H212" s="1" t="str">
        <f>IFERROR(INDEX('20 2026 DEPO KABUL'!$H$2:$H$501,MATCH(C212,'20 2026 DEPO KABUL'!$F$2:$F$501,0)),"")</f>
        <v/>
      </c>
      <c r="I212" s="13"/>
      <c r="J212" s="13"/>
    </row>
    <row r="213" spans="1:10" ht="15" customHeight="1" x14ac:dyDescent="0.2">
      <c r="A213" s="13"/>
      <c r="B213" s="13"/>
      <c r="C213" s="13"/>
      <c r="D213" s="1" t="str">
        <f>IFERROR(INDEX('20 2026 DEPO KABUL'!$B$2:$B$501,MATCH(C213,'20 2026 DEPO KABUL'!$F$2:$F$501,0)),"")</f>
        <v/>
      </c>
      <c r="E213" s="13"/>
      <c r="F213" s="13"/>
      <c r="G213" s="1" t="str">
        <f>IFERROR(INDEX('20 2026 DEPO KABUL'!$G$2:$G$501,MATCH(C213,'20 2026 DEPO KABUL'!$F$2:$F$501,0)),"")</f>
        <v/>
      </c>
      <c r="H213" s="1" t="str">
        <f>IFERROR(INDEX('20 2026 DEPO KABUL'!$H$2:$H$501,MATCH(C213,'20 2026 DEPO KABUL'!$F$2:$F$501,0)),"")</f>
        <v/>
      </c>
      <c r="I213" s="13"/>
      <c r="J213" s="13"/>
    </row>
    <row r="214" spans="1:10" ht="15" customHeight="1" x14ac:dyDescent="0.2">
      <c r="A214" s="13"/>
      <c r="B214" s="13"/>
      <c r="C214" s="13"/>
      <c r="D214" s="1" t="str">
        <f>IFERROR(INDEX('20 2026 DEPO KABUL'!$B$2:$B$501,MATCH(C214,'20 2026 DEPO KABUL'!$F$2:$F$501,0)),"")</f>
        <v/>
      </c>
      <c r="E214" s="13"/>
      <c r="F214" s="13"/>
      <c r="G214" s="1" t="str">
        <f>IFERROR(INDEX('20 2026 DEPO KABUL'!$G$2:$G$501,MATCH(C214,'20 2026 DEPO KABUL'!$F$2:$F$501,0)),"")</f>
        <v/>
      </c>
      <c r="H214" s="1" t="str">
        <f>IFERROR(INDEX('20 2026 DEPO KABUL'!$H$2:$H$501,MATCH(C214,'20 2026 DEPO KABUL'!$F$2:$F$501,0)),"")</f>
        <v/>
      </c>
      <c r="I214" s="13"/>
      <c r="J214" s="13"/>
    </row>
    <row r="215" spans="1:10" ht="15" customHeight="1" x14ac:dyDescent="0.2">
      <c r="A215" s="13"/>
      <c r="B215" s="13"/>
      <c r="C215" s="13"/>
      <c r="D215" s="1" t="str">
        <f>IFERROR(INDEX('20 2026 DEPO KABUL'!$B$2:$B$501,MATCH(C215,'20 2026 DEPO KABUL'!$F$2:$F$501,0)),"")</f>
        <v/>
      </c>
      <c r="E215" s="13"/>
      <c r="F215" s="13"/>
      <c r="G215" s="1" t="str">
        <f>IFERROR(INDEX('20 2026 DEPO KABUL'!$G$2:$G$501,MATCH(C215,'20 2026 DEPO KABUL'!$F$2:$F$501,0)),"")</f>
        <v/>
      </c>
      <c r="H215" s="1" t="str">
        <f>IFERROR(INDEX('20 2026 DEPO KABUL'!$H$2:$H$501,MATCH(C215,'20 2026 DEPO KABUL'!$F$2:$F$501,0)),"")</f>
        <v/>
      </c>
      <c r="I215" s="13"/>
      <c r="J215" s="13"/>
    </row>
    <row r="216" spans="1:10" ht="15" customHeight="1" x14ac:dyDescent="0.2">
      <c r="A216" s="13"/>
      <c r="B216" s="13"/>
      <c r="C216" s="13"/>
      <c r="D216" s="1" t="str">
        <f>IFERROR(INDEX('20 2026 DEPO KABUL'!$B$2:$B$501,MATCH(C216,'20 2026 DEPO KABUL'!$F$2:$F$501,0)),"")</f>
        <v/>
      </c>
      <c r="E216" s="13"/>
      <c r="F216" s="13"/>
      <c r="G216" s="1" t="str">
        <f>IFERROR(INDEX('20 2026 DEPO KABUL'!$G$2:$G$501,MATCH(C216,'20 2026 DEPO KABUL'!$F$2:$F$501,0)),"")</f>
        <v/>
      </c>
      <c r="H216" s="1" t="str">
        <f>IFERROR(INDEX('20 2026 DEPO KABUL'!$H$2:$H$501,MATCH(C216,'20 2026 DEPO KABUL'!$F$2:$F$501,0)),"")</f>
        <v/>
      </c>
      <c r="I216" s="13"/>
      <c r="J216" s="13"/>
    </row>
    <row r="217" spans="1:10" ht="15" customHeight="1" x14ac:dyDescent="0.2">
      <c r="A217" s="13"/>
      <c r="B217" s="13"/>
      <c r="C217" s="13"/>
      <c r="D217" s="1" t="str">
        <f>IFERROR(INDEX('20 2026 DEPO KABUL'!$B$2:$B$501,MATCH(C217,'20 2026 DEPO KABUL'!$F$2:$F$501,0)),"")</f>
        <v/>
      </c>
      <c r="E217" s="13"/>
      <c r="F217" s="13"/>
      <c r="G217" s="1" t="str">
        <f>IFERROR(INDEX('20 2026 DEPO KABUL'!$G$2:$G$501,MATCH(C217,'20 2026 DEPO KABUL'!$F$2:$F$501,0)),"")</f>
        <v/>
      </c>
      <c r="H217" s="1" t="str">
        <f>IFERROR(INDEX('20 2026 DEPO KABUL'!$H$2:$H$501,MATCH(C217,'20 2026 DEPO KABUL'!$F$2:$F$501,0)),"")</f>
        <v/>
      </c>
      <c r="I217" s="13"/>
      <c r="J217" s="13"/>
    </row>
    <row r="218" spans="1:10" ht="15" customHeight="1" x14ac:dyDescent="0.2">
      <c r="A218" s="13"/>
      <c r="B218" s="13"/>
      <c r="C218" s="13"/>
      <c r="D218" s="1" t="str">
        <f>IFERROR(INDEX('20 2026 DEPO KABUL'!$B$2:$B$501,MATCH(C218,'20 2026 DEPO KABUL'!$F$2:$F$501,0)),"")</f>
        <v/>
      </c>
      <c r="E218" s="13"/>
      <c r="F218" s="13"/>
      <c r="G218" s="1" t="str">
        <f>IFERROR(INDEX('20 2026 DEPO KABUL'!$G$2:$G$501,MATCH(C218,'20 2026 DEPO KABUL'!$F$2:$F$501,0)),"")</f>
        <v/>
      </c>
      <c r="H218" s="1" t="str">
        <f>IFERROR(INDEX('20 2026 DEPO KABUL'!$H$2:$H$501,MATCH(C218,'20 2026 DEPO KABUL'!$F$2:$F$501,0)),"")</f>
        <v/>
      </c>
      <c r="I218" s="13"/>
      <c r="J218" s="13"/>
    </row>
    <row r="219" spans="1:10" ht="15" customHeight="1" x14ac:dyDescent="0.2">
      <c r="A219" s="13"/>
      <c r="B219" s="13"/>
      <c r="C219" s="13"/>
      <c r="D219" s="1" t="str">
        <f>IFERROR(INDEX('20 2026 DEPO KABUL'!$B$2:$B$501,MATCH(C219,'20 2026 DEPO KABUL'!$F$2:$F$501,0)),"")</f>
        <v/>
      </c>
      <c r="E219" s="13"/>
      <c r="F219" s="13"/>
      <c r="G219" s="1" t="str">
        <f>IFERROR(INDEX('20 2026 DEPO KABUL'!$G$2:$G$501,MATCH(C219,'20 2026 DEPO KABUL'!$F$2:$F$501,0)),"")</f>
        <v/>
      </c>
      <c r="H219" s="1" t="str">
        <f>IFERROR(INDEX('20 2026 DEPO KABUL'!$H$2:$H$501,MATCH(C219,'20 2026 DEPO KABUL'!$F$2:$F$501,0)),"")</f>
        <v/>
      </c>
      <c r="I219" s="13"/>
      <c r="J219" s="13"/>
    </row>
    <row r="220" spans="1:10" ht="15" customHeight="1" x14ac:dyDescent="0.2">
      <c r="A220" s="13"/>
      <c r="B220" s="13"/>
      <c r="C220" s="13"/>
      <c r="D220" s="1" t="str">
        <f>IFERROR(INDEX('20 2026 DEPO KABUL'!$B$2:$B$501,MATCH(C220,'20 2026 DEPO KABUL'!$F$2:$F$501,0)),"")</f>
        <v/>
      </c>
      <c r="E220" s="13"/>
      <c r="F220" s="13"/>
      <c r="G220" s="1" t="str">
        <f>IFERROR(INDEX('20 2026 DEPO KABUL'!$G$2:$G$501,MATCH(C220,'20 2026 DEPO KABUL'!$F$2:$F$501,0)),"")</f>
        <v/>
      </c>
      <c r="H220" s="1" t="str">
        <f>IFERROR(INDEX('20 2026 DEPO KABUL'!$H$2:$H$501,MATCH(C220,'20 2026 DEPO KABUL'!$F$2:$F$501,0)),"")</f>
        <v/>
      </c>
      <c r="I220" s="13"/>
      <c r="J220" s="13"/>
    </row>
    <row r="221" spans="1:10" ht="15" customHeight="1" x14ac:dyDescent="0.2">
      <c r="A221" s="13"/>
      <c r="B221" s="13"/>
      <c r="C221" s="13"/>
      <c r="D221" s="1" t="str">
        <f>IFERROR(INDEX('20 2026 DEPO KABUL'!$B$2:$B$501,MATCH(C221,'20 2026 DEPO KABUL'!$F$2:$F$501,0)),"")</f>
        <v/>
      </c>
      <c r="E221" s="13"/>
      <c r="F221" s="13"/>
      <c r="G221" s="1" t="str">
        <f>IFERROR(INDEX('20 2026 DEPO KABUL'!$G$2:$G$501,MATCH(C221,'20 2026 DEPO KABUL'!$F$2:$F$501,0)),"")</f>
        <v/>
      </c>
      <c r="H221" s="1" t="str">
        <f>IFERROR(INDEX('20 2026 DEPO KABUL'!$H$2:$H$501,MATCH(C221,'20 2026 DEPO KABUL'!$F$2:$F$501,0)),"")</f>
        <v/>
      </c>
      <c r="I221" s="13"/>
      <c r="J221" s="13"/>
    </row>
    <row r="222" spans="1:10" ht="15" customHeight="1" x14ac:dyDescent="0.2">
      <c r="A222" s="13"/>
      <c r="B222" s="13"/>
      <c r="C222" s="13"/>
      <c r="D222" s="1" t="str">
        <f>IFERROR(INDEX('20 2026 DEPO KABUL'!$B$2:$B$501,MATCH(C222,'20 2026 DEPO KABUL'!$F$2:$F$501,0)),"")</f>
        <v/>
      </c>
      <c r="E222" s="13"/>
      <c r="F222" s="13"/>
      <c r="G222" s="1" t="str">
        <f>IFERROR(INDEX('20 2026 DEPO KABUL'!$G$2:$G$501,MATCH(C222,'20 2026 DEPO KABUL'!$F$2:$F$501,0)),"")</f>
        <v/>
      </c>
      <c r="H222" s="1" t="str">
        <f>IFERROR(INDEX('20 2026 DEPO KABUL'!$H$2:$H$501,MATCH(C222,'20 2026 DEPO KABUL'!$F$2:$F$501,0)),"")</f>
        <v/>
      </c>
      <c r="I222" s="13"/>
      <c r="J222" s="13"/>
    </row>
    <row r="223" spans="1:10" ht="15" customHeight="1" x14ac:dyDescent="0.2">
      <c r="A223" s="13"/>
      <c r="B223" s="13"/>
      <c r="C223" s="13"/>
      <c r="D223" s="1" t="str">
        <f>IFERROR(INDEX('20 2026 DEPO KABUL'!$B$2:$B$501,MATCH(C223,'20 2026 DEPO KABUL'!$F$2:$F$501,0)),"")</f>
        <v/>
      </c>
      <c r="E223" s="13"/>
      <c r="F223" s="13"/>
      <c r="G223" s="1" t="str">
        <f>IFERROR(INDEX('20 2026 DEPO KABUL'!$G$2:$G$501,MATCH(C223,'20 2026 DEPO KABUL'!$F$2:$F$501,0)),"")</f>
        <v/>
      </c>
      <c r="H223" s="1" t="str">
        <f>IFERROR(INDEX('20 2026 DEPO KABUL'!$H$2:$H$501,MATCH(C223,'20 2026 DEPO KABUL'!$F$2:$F$501,0)),"")</f>
        <v/>
      </c>
      <c r="I223" s="13"/>
      <c r="J223" s="13"/>
    </row>
    <row r="224" spans="1:10" ht="15" customHeight="1" x14ac:dyDescent="0.2">
      <c r="A224" s="13"/>
      <c r="B224" s="13"/>
      <c r="C224" s="13"/>
      <c r="D224" s="1" t="str">
        <f>IFERROR(INDEX('20 2026 DEPO KABUL'!$B$2:$B$501,MATCH(C224,'20 2026 DEPO KABUL'!$F$2:$F$501,0)),"")</f>
        <v/>
      </c>
      <c r="E224" s="13"/>
      <c r="F224" s="13"/>
      <c r="G224" s="1" t="str">
        <f>IFERROR(INDEX('20 2026 DEPO KABUL'!$G$2:$G$501,MATCH(C224,'20 2026 DEPO KABUL'!$F$2:$F$501,0)),"")</f>
        <v/>
      </c>
      <c r="H224" s="1" t="str">
        <f>IFERROR(INDEX('20 2026 DEPO KABUL'!$H$2:$H$501,MATCH(C224,'20 2026 DEPO KABUL'!$F$2:$F$501,0)),"")</f>
        <v/>
      </c>
      <c r="I224" s="13"/>
      <c r="J224" s="13"/>
    </row>
    <row r="225" spans="1:10" ht="15" customHeight="1" x14ac:dyDescent="0.2">
      <c r="A225" s="13"/>
      <c r="B225" s="13"/>
      <c r="C225" s="13"/>
      <c r="D225" s="1" t="str">
        <f>IFERROR(INDEX('20 2026 DEPO KABUL'!$B$2:$B$501,MATCH(C225,'20 2026 DEPO KABUL'!$F$2:$F$501,0)),"")</f>
        <v/>
      </c>
      <c r="E225" s="13"/>
      <c r="F225" s="13"/>
      <c r="G225" s="1" t="str">
        <f>IFERROR(INDEX('20 2026 DEPO KABUL'!$G$2:$G$501,MATCH(C225,'20 2026 DEPO KABUL'!$F$2:$F$501,0)),"")</f>
        <v/>
      </c>
      <c r="H225" s="1" t="str">
        <f>IFERROR(INDEX('20 2026 DEPO KABUL'!$H$2:$H$501,MATCH(C225,'20 2026 DEPO KABUL'!$F$2:$F$501,0)),"")</f>
        <v/>
      </c>
      <c r="I225" s="13"/>
      <c r="J225" s="13"/>
    </row>
    <row r="226" spans="1:10" ht="15" customHeight="1" x14ac:dyDescent="0.2">
      <c r="A226" s="13"/>
      <c r="B226" s="13"/>
      <c r="C226" s="13"/>
      <c r="D226" s="1" t="str">
        <f>IFERROR(INDEX('20 2026 DEPO KABUL'!$B$2:$B$501,MATCH(C226,'20 2026 DEPO KABUL'!$F$2:$F$501,0)),"")</f>
        <v/>
      </c>
      <c r="E226" s="13"/>
      <c r="F226" s="13"/>
      <c r="G226" s="1" t="str">
        <f>IFERROR(INDEX('20 2026 DEPO KABUL'!$G$2:$G$501,MATCH(C226,'20 2026 DEPO KABUL'!$F$2:$F$501,0)),"")</f>
        <v/>
      </c>
      <c r="H226" s="1" t="str">
        <f>IFERROR(INDEX('20 2026 DEPO KABUL'!$H$2:$H$501,MATCH(C226,'20 2026 DEPO KABUL'!$F$2:$F$501,0)),"")</f>
        <v/>
      </c>
      <c r="I226" s="13"/>
      <c r="J226" s="13"/>
    </row>
    <row r="227" spans="1:10" ht="15" customHeight="1" x14ac:dyDescent="0.2">
      <c r="A227" s="13"/>
      <c r="B227" s="13"/>
      <c r="C227" s="13"/>
      <c r="D227" s="1" t="str">
        <f>IFERROR(INDEX('20 2026 DEPO KABUL'!$B$2:$B$501,MATCH(C227,'20 2026 DEPO KABUL'!$F$2:$F$501,0)),"")</f>
        <v/>
      </c>
      <c r="E227" s="13"/>
      <c r="F227" s="13"/>
      <c r="G227" s="1" t="str">
        <f>IFERROR(INDEX('20 2026 DEPO KABUL'!$G$2:$G$501,MATCH(C227,'20 2026 DEPO KABUL'!$F$2:$F$501,0)),"")</f>
        <v/>
      </c>
      <c r="H227" s="1" t="str">
        <f>IFERROR(INDEX('20 2026 DEPO KABUL'!$H$2:$H$501,MATCH(C227,'20 2026 DEPO KABUL'!$F$2:$F$501,0)),"")</f>
        <v/>
      </c>
      <c r="I227" s="13"/>
      <c r="J227" s="13"/>
    </row>
    <row r="228" spans="1:10" ht="15" customHeight="1" x14ac:dyDescent="0.2">
      <c r="A228" s="13"/>
      <c r="B228" s="13"/>
      <c r="C228" s="13"/>
      <c r="D228" s="1" t="str">
        <f>IFERROR(INDEX('20 2026 DEPO KABUL'!$B$2:$B$501,MATCH(C228,'20 2026 DEPO KABUL'!$F$2:$F$501,0)),"")</f>
        <v/>
      </c>
      <c r="E228" s="13"/>
      <c r="F228" s="13"/>
      <c r="G228" s="1" t="str">
        <f>IFERROR(INDEX('20 2026 DEPO KABUL'!$G$2:$G$501,MATCH(C228,'20 2026 DEPO KABUL'!$F$2:$F$501,0)),"")</f>
        <v/>
      </c>
      <c r="H228" s="1" t="str">
        <f>IFERROR(INDEX('20 2026 DEPO KABUL'!$H$2:$H$501,MATCH(C228,'20 2026 DEPO KABUL'!$F$2:$F$501,0)),"")</f>
        <v/>
      </c>
      <c r="I228" s="13"/>
      <c r="J228" s="13"/>
    </row>
    <row r="229" spans="1:10" ht="15" customHeight="1" x14ac:dyDescent="0.2">
      <c r="A229" s="13"/>
      <c r="B229" s="13"/>
      <c r="C229" s="13"/>
      <c r="D229" s="1" t="str">
        <f>IFERROR(INDEX('20 2026 DEPO KABUL'!$B$2:$B$501,MATCH(C229,'20 2026 DEPO KABUL'!$F$2:$F$501,0)),"")</f>
        <v/>
      </c>
      <c r="E229" s="13"/>
      <c r="F229" s="13"/>
      <c r="G229" s="1" t="str">
        <f>IFERROR(INDEX('20 2026 DEPO KABUL'!$G$2:$G$501,MATCH(C229,'20 2026 DEPO KABUL'!$F$2:$F$501,0)),"")</f>
        <v/>
      </c>
      <c r="H229" s="1" t="str">
        <f>IFERROR(INDEX('20 2026 DEPO KABUL'!$H$2:$H$501,MATCH(C229,'20 2026 DEPO KABUL'!$F$2:$F$501,0)),"")</f>
        <v/>
      </c>
      <c r="I229" s="13"/>
      <c r="J229" s="13"/>
    </row>
    <row r="230" spans="1:10" ht="15" customHeight="1" x14ac:dyDescent="0.2">
      <c r="A230" s="13"/>
      <c r="B230" s="13"/>
      <c r="C230" s="13"/>
      <c r="D230" s="1" t="str">
        <f>IFERROR(INDEX('20 2026 DEPO KABUL'!$B$2:$B$501,MATCH(C230,'20 2026 DEPO KABUL'!$F$2:$F$501,0)),"")</f>
        <v/>
      </c>
      <c r="E230" s="13"/>
      <c r="F230" s="13"/>
      <c r="G230" s="1" t="str">
        <f>IFERROR(INDEX('20 2026 DEPO KABUL'!$G$2:$G$501,MATCH(C230,'20 2026 DEPO KABUL'!$F$2:$F$501,0)),"")</f>
        <v/>
      </c>
      <c r="H230" s="1" t="str">
        <f>IFERROR(INDEX('20 2026 DEPO KABUL'!$H$2:$H$501,MATCH(C230,'20 2026 DEPO KABUL'!$F$2:$F$501,0)),"")</f>
        <v/>
      </c>
      <c r="I230" s="13"/>
      <c r="J230" s="13"/>
    </row>
    <row r="231" spans="1:10" ht="15" customHeight="1" x14ac:dyDescent="0.2">
      <c r="A231" s="13"/>
      <c r="B231" s="13"/>
      <c r="C231" s="13"/>
      <c r="D231" s="1" t="str">
        <f>IFERROR(INDEX('20 2026 DEPO KABUL'!$B$2:$B$501,MATCH(C231,'20 2026 DEPO KABUL'!$F$2:$F$501,0)),"")</f>
        <v/>
      </c>
      <c r="E231" s="13"/>
      <c r="F231" s="13"/>
      <c r="G231" s="1" t="str">
        <f>IFERROR(INDEX('20 2026 DEPO KABUL'!$G$2:$G$501,MATCH(C231,'20 2026 DEPO KABUL'!$F$2:$F$501,0)),"")</f>
        <v/>
      </c>
      <c r="H231" s="1" t="str">
        <f>IFERROR(INDEX('20 2026 DEPO KABUL'!$H$2:$H$501,MATCH(C231,'20 2026 DEPO KABUL'!$F$2:$F$501,0)),"")</f>
        <v/>
      </c>
      <c r="I231" s="13"/>
      <c r="J231" s="13"/>
    </row>
    <row r="232" spans="1:10" ht="15" customHeight="1" x14ac:dyDescent="0.2">
      <c r="A232" s="13"/>
      <c r="B232" s="13"/>
      <c r="C232" s="13"/>
      <c r="D232" s="1" t="str">
        <f>IFERROR(INDEX('20 2026 DEPO KABUL'!$B$2:$B$501,MATCH(C232,'20 2026 DEPO KABUL'!$F$2:$F$501,0)),"")</f>
        <v/>
      </c>
      <c r="E232" s="13"/>
      <c r="F232" s="13"/>
      <c r="G232" s="1" t="str">
        <f>IFERROR(INDEX('20 2026 DEPO KABUL'!$G$2:$G$501,MATCH(C232,'20 2026 DEPO KABUL'!$F$2:$F$501,0)),"")</f>
        <v/>
      </c>
      <c r="H232" s="1" t="str">
        <f>IFERROR(INDEX('20 2026 DEPO KABUL'!$H$2:$H$501,MATCH(C232,'20 2026 DEPO KABUL'!$F$2:$F$501,0)),"")</f>
        <v/>
      </c>
      <c r="I232" s="13"/>
      <c r="J232" s="13"/>
    </row>
    <row r="233" spans="1:10" ht="15" customHeight="1" x14ac:dyDescent="0.2">
      <c r="A233" s="13"/>
      <c r="B233" s="13"/>
      <c r="C233" s="13"/>
      <c r="D233" s="1" t="str">
        <f>IFERROR(INDEX('20 2026 DEPO KABUL'!$B$2:$B$501,MATCH(C233,'20 2026 DEPO KABUL'!$F$2:$F$501,0)),"")</f>
        <v/>
      </c>
      <c r="E233" s="13"/>
      <c r="F233" s="13"/>
      <c r="G233" s="1" t="str">
        <f>IFERROR(INDEX('20 2026 DEPO KABUL'!$G$2:$G$501,MATCH(C233,'20 2026 DEPO KABUL'!$F$2:$F$501,0)),"")</f>
        <v/>
      </c>
      <c r="H233" s="1" t="str">
        <f>IFERROR(INDEX('20 2026 DEPO KABUL'!$H$2:$H$501,MATCH(C233,'20 2026 DEPO KABUL'!$F$2:$F$501,0)),"")</f>
        <v/>
      </c>
      <c r="I233" s="13"/>
      <c r="J233" s="13"/>
    </row>
    <row r="234" spans="1:10" ht="15" customHeight="1" x14ac:dyDescent="0.2">
      <c r="A234" s="13"/>
      <c r="B234" s="13"/>
      <c r="C234" s="13"/>
      <c r="D234" s="1" t="str">
        <f>IFERROR(INDEX('20 2026 DEPO KABUL'!$B$2:$B$501,MATCH(C234,'20 2026 DEPO KABUL'!$F$2:$F$501,0)),"")</f>
        <v/>
      </c>
      <c r="E234" s="13"/>
      <c r="F234" s="13"/>
      <c r="G234" s="1" t="str">
        <f>IFERROR(INDEX('20 2026 DEPO KABUL'!$G$2:$G$501,MATCH(C234,'20 2026 DEPO KABUL'!$F$2:$F$501,0)),"")</f>
        <v/>
      </c>
      <c r="H234" s="1" t="str">
        <f>IFERROR(INDEX('20 2026 DEPO KABUL'!$H$2:$H$501,MATCH(C234,'20 2026 DEPO KABUL'!$F$2:$F$501,0)),"")</f>
        <v/>
      </c>
      <c r="I234" s="13"/>
      <c r="J234" s="13"/>
    </row>
    <row r="235" spans="1:10" ht="15" customHeight="1" x14ac:dyDescent="0.2">
      <c r="A235" s="13"/>
      <c r="B235" s="13"/>
      <c r="C235" s="13"/>
      <c r="D235" s="1" t="str">
        <f>IFERROR(INDEX('20 2026 DEPO KABUL'!$B$2:$B$501,MATCH(C235,'20 2026 DEPO KABUL'!$F$2:$F$501,0)),"")</f>
        <v/>
      </c>
      <c r="E235" s="13"/>
      <c r="F235" s="13"/>
      <c r="G235" s="1" t="str">
        <f>IFERROR(INDEX('20 2026 DEPO KABUL'!$G$2:$G$501,MATCH(C235,'20 2026 DEPO KABUL'!$F$2:$F$501,0)),"")</f>
        <v/>
      </c>
      <c r="H235" s="1" t="str">
        <f>IFERROR(INDEX('20 2026 DEPO KABUL'!$H$2:$H$501,MATCH(C235,'20 2026 DEPO KABUL'!$F$2:$F$501,0)),"")</f>
        <v/>
      </c>
      <c r="I235" s="13"/>
      <c r="J235" s="13"/>
    </row>
    <row r="236" spans="1:10" ht="15" customHeight="1" x14ac:dyDescent="0.2">
      <c r="A236" s="13"/>
      <c r="B236" s="13"/>
      <c r="C236" s="13"/>
      <c r="D236" s="1" t="str">
        <f>IFERROR(INDEX('20 2026 DEPO KABUL'!$B$2:$B$501,MATCH(C236,'20 2026 DEPO KABUL'!$F$2:$F$501,0)),"")</f>
        <v/>
      </c>
      <c r="E236" s="13"/>
      <c r="F236" s="13"/>
      <c r="G236" s="1" t="str">
        <f>IFERROR(INDEX('20 2026 DEPO KABUL'!$G$2:$G$501,MATCH(C236,'20 2026 DEPO KABUL'!$F$2:$F$501,0)),"")</f>
        <v/>
      </c>
      <c r="H236" s="1" t="str">
        <f>IFERROR(INDEX('20 2026 DEPO KABUL'!$H$2:$H$501,MATCH(C236,'20 2026 DEPO KABUL'!$F$2:$F$501,0)),"")</f>
        <v/>
      </c>
      <c r="I236" s="13"/>
      <c r="J236" s="13"/>
    </row>
    <row r="237" spans="1:10" ht="15" customHeight="1" x14ac:dyDescent="0.2">
      <c r="A237" s="13"/>
      <c r="B237" s="13"/>
      <c r="C237" s="13"/>
      <c r="D237" s="1" t="str">
        <f>IFERROR(INDEX('20 2026 DEPO KABUL'!$B$2:$B$501,MATCH(C237,'20 2026 DEPO KABUL'!$F$2:$F$501,0)),"")</f>
        <v/>
      </c>
      <c r="E237" s="13"/>
      <c r="F237" s="13"/>
      <c r="G237" s="1" t="str">
        <f>IFERROR(INDEX('20 2026 DEPO KABUL'!$G$2:$G$501,MATCH(C237,'20 2026 DEPO KABUL'!$F$2:$F$501,0)),"")</f>
        <v/>
      </c>
      <c r="H237" s="1" t="str">
        <f>IFERROR(INDEX('20 2026 DEPO KABUL'!$H$2:$H$501,MATCH(C237,'20 2026 DEPO KABUL'!$F$2:$F$501,0)),"")</f>
        <v/>
      </c>
      <c r="I237" s="13"/>
      <c r="J237" s="13"/>
    </row>
    <row r="238" spans="1:10" ht="15" customHeight="1" x14ac:dyDescent="0.2">
      <c r="A238" s="13"/>
      <c r="B238" s="13"/>
      <c r="C238" s="13"/>
      <c r="D238" s="1" t="str">
        <f>IFERROR(INDEX('20 2026 DEPO KABUL'!$B$2:$B$501,MATCH(C238,'20 2026 DEPO KABUL'!$F$2:$F$501,0)),"")</f>
        <v/>
      </c>
      <c r="E238" s="13"/>
      <c r="F238" s="13"/>
      <c r="G238" s="1" t="str">
        <f>IFERROR(INDEX('20 2026 DEPO KABUL'!$G$2:$G$501,MATCH(C238,'20 2026 DEPO KABUL'!$F$2:$F$501,0)),"")</f>
        <v/>
      </c>
      <c r="H238" s="1" t="str">
        <f>IFERROR(INDEX('20 2026 DEPO KABUL'!$H$2:$H$501,MATCH(C238,'20 2026 DEPO KABUL'!$F$2:$F$501,0)),"")</f>
        <v/>
      </c>
      <c r="I238" s="13"/>
      <c r="J238" s="13"/>
    </row>
    <row r="239" spans="1:10" ht="15" customHeight="1" x14ac:dyDescent="0.2">
      <c r="A239" s="13"/>
      <c r="B239" s="13"/>
      <c r="C239" s="13"/>
      <c r="D239" s="1" t="str">
        <f>IFERROR(INDEX('20 2026 DEPO KABUL'!$B$2:$B$501,MATCH(C239,'20 2026 DEPO KABUL'!$F$2:$F$501,0)),"")</f>
        <v/>
      </c>
      <c r="E239" s="13"/>
      <c r="F239" s="13"/>
      <c r="G239" s="1" t="str">
        <f>IFERROR(INDEX('20 2026 DEPO KABUL'!$G$2:$G$501,MATCH(C239,'20 2026 DEPO KABUL'!$F$2:$F$501,0)),"")</f>
        <v/>
      </c>
      <c r="H239" s="1" t="str">
        <f>IFERROR(INDEX('20 2026 DEPO KABUL'!$H$2:$H$501,MATCH(C239,'20 2026 DEPO KABUL'!$F$2:$F$501,0)),"")</f>
        <v/>
      </c>
      <c r="I239" s="13"/>
      <c r="J239" s="13"/>
    </row>
    <row r="240" spans="1:10" ht="15" customHeight="1" x14ac:dyDescent="0.2">
      <c r="A240" s="13"/>
      <c r="B240" s="13"/>
      <c r="C240" s="13"/>
      <c r="D240" s="1" t="str">
        <f>IFERROR(INDEX('20 2026 DEPO KABUL'!$B$2:$B$501,MATCH(C240,'20 2026 DEPO KABUL'!$F$2:$F$501,0)),"")</f>
        <v/>
      </c>
      <c r="E240" s="13"/>
      <c r="F240" s="13"/>
      <c r="G240" s="1" t="str">
        <f>IFERROR(INDEX('20 2026 DEPO KABUL'!$G$2:$G$501,MATCH(C240,'20 2026 DEPO KABUL'!$F$2:$F$501,0)),"")</f>
        <v/>
      </c>
      <c r="H240" s="1" t="str">
        <f>IFERROR(INDEX('20 2026 DEPO KABUL'!$H$2:$H$501,MATCH(C240,'20 2026 DEPO KABUL'!$F$2:$F$501,0)),"")</f>
        <v/>
      </c>
      <c r="I240" s="13"/>
      <c r="J240" s="13"/>
    </row>
    <row r="241" spans="1:10" ht="15" customHeight="1" x14ac:dyDescent="0.2">
      <c r="A241" s="13"/>
      <c r="B241" s="13"/>
      <c r="C241" s="13"/>
      <c r="D241" s="1" t="str">
        <f>IFERROR(INDEX('20 2026 DEPO KABUL'!$B$2:$B$501,MATCH(C241,'20 2026 DEPO KABUL'!$F$2:$F$501,0)),"")</f>
        <v/>
      </c>
      <c r="E241" s="13"/>
      <c r="F241" s="13"/>
      <c r="G241" s="1" t="str">
        <f>IFERROR(INDEX('20 2026 DEPO KABUL'!$G$2:$G$501,MATCH(C241,'20 2026 DEPO KABUL'!$F$2:$F$501,0)),"")</f>
        <v/>
      </c>
      <c r="H241" s="1" t="str">
        <f>IFERROR(INDEX('20 2026 DEPO KABUL'!$H$2:$H$501,MATCH(C241,'20 2026 DEPO KABUL'!$F$2:$F$501,0)),"")</f>
        <v/>
      </c>
      <c r="I241" s="13"/>
      <c r="J241" s="13"/>
    </row>
    <row r="242" spans="1:10" ht="15" customHeight="1" x14ac:dyDescent="0.2">
      <c r="A242" s="13"/>
      <c r="B242" s="13"/>
      <c r="C242" s="13"/>
      <c r="D242" s="1" t="str">
        <f>IFERROR(INDEX('20 2026 DEPO KABUL'!$B$2:$B$501,MATCH(C242,'20 2026 DEPO KABUL'!$F$2:$F$501,0)),"")</f>
        <v/>
      </c>
      <c r="E242" s="13"/>
      <c r="F242" s="13"/>
      <c r="G242" s="1" t="str">
        <f>IFERROR(INDEX('20 2026 DEPO KABUL'!$G$2:$G$501,MATCH(C242,'20 2026 DEPO KABUL'!$F$2:$F$501,0)),"")</f>
        <v/>
      </c>
      <c r="H242" s="1" t="str">
        <f>IFERROR(INDEX('20 2026 DEPO KABUL'!$H$2:$H$501,MATCH(C242,'20 2026 DEPO KABUL'!$F$2:$F$501,0)),"")</f>
        <v/>
      </c>
      <c r="I242" s="13"/>
      <c r="J242" s="13"/>
    </row>
    <row r="243" spans="1:10" ht="15" customHeight="1" x14ac:dyDescent="0.2">
      <c r="A243" s="13"/>
      <c r="B243" s="13"/>
      <c r="C243" s="13"/>
      <c r="D243" s="1" t="str">
        <f>IFERROR(INDEX('20 2026 DEPO KABUL'!$B$2:$B$501,MATCH(C243,'20 2026 DEPO KABUL'!$F$2:$F$501,0)),"")</f>
        <v/>
      </c>
      <c r="E243" s="13"/>
      <c r="F243" s="13"/>
      <c r="G243" s="1" t="str">
        <f>IFERROR(INDEX('20 2026 DEPO KABUL'!$G$2:$G$501,MATCH(C243,'20 2026 DEPO KABUL'!$F$2:$F$501,0)),"")</f>
        <v/>
      </c>
      <c r="H243" s="1" t="str">
        <f>IFERROR(INDEX('20 2026 DEPO KABUL'!$H$2:$H$501,MATCH(C243,'20 2026 DEPO KABUL'!$F$2:$F$501,0)),"")</f>
        <v/>
      </c>
      <c r="I243" s="13"/>
      <c r="J243" s="13"/>
    </row>
    <row r="244" spans="1:10" ht="15" customHeight="1" x14ac:dyDescent="0.2">
      <c r="A244" s="13"/>
      <c r="B244" s="13"/>
      <c r="C244" s="13"/>
      <c r="D244" s="1" t="str">
        <f>IFERROR(INDEX('20 2026 DEPO KABUL'!$B$2:$B$501,MATCH(C244,'20 2026 DEPO KABUL'!$F$2:$F$501,0)),"")</f>
        <v/>
      </c>
      <c r="E244" s="13"/>
      <c r="F244" s="13"/>
      <c r="G244" s="1" t="str">
        <f>IFERROR(INDEX('20 2026 DEPO KABUL'!$G$2:$G$501,MATCH(C244,'20 2026 DEPO KABUL'!$F$2:$F$501,0)),"")</f>
        <v/>
      </c>
      <c r="H244" s="1" t="str">
        <f>IFERROR(INDEX('20 2026 DEPO KABUL'!$H$2:$H$501,MATCH(C244,'20 2026 DEPO KABUL'!$F$2:$F$501,0)),"")</f>
        <v/>
      </c>
      <c r="I244" s="13"/>
      <c r="J244" s="13"/>
    </row>
    <row r="245" spans="1:10" ht="15" customHeight="1" x14ac:dyDescent="0.2">
      <c r="A245" s="13"/>
      <c r="B245" s="13"/>
      <c r="C245" s="13"/>
      <c r="D245" s="1" t="str">
        <f>IFERROR(INDEX('20 2026 DEPO KABUL'!$B$2:$B$501,MATCH(C245,'20 2026 DEPO KABUL'!$F$2:$F$501,0)),"")</f>
        <v/>
      </c>
      <c r="E245" s="13"/>
      <c r="F245" s="13"/>
      <c r="G245" s="1" t="str">
        <f>IFERROR(INDEX('20 2026 DEPO KABUL'!$G$2:$G$501,MATCH(C245,'20 2026 DEPO KABUL'!$F$2:$F$501,0)),"")</f>
        <v/>
      </c>
      <c r="H245" s="1" t="str">
        <f>IFERROR(INDEX('20 2026 DEPO KABUL'!$H$2:$H$501,MATCH(C245,'20 2026 DEPO KABUL'!$F$2:$F$501,0)),"")</f>
        <v/>
      </c>
      <c r="I245" s="13"/>
      <c r="J245" s="13"/>
    </row>
    <row r="246" spans="1:10" ht="15" customHeight="1" x14ac:dyDescent="0.2">
      <c r="A246" s="13"/>
      <c r="B246" s="13"/>
      <c r="C246" s="13"/>
      <c r="D246" s="1" t="str">
        <f>IFERROR(INDEX('20 2026 DEPO KABUL'!$B$2:$B$501,MATCH(C246,'20 2026 DEPO KABUL'!$F$2:$F$501,0)),"")</f>
        <v/>
      </c>
      <c r="E246" s="13"/>
      <c r="F246" s="13"/>
      <c r="G246" s="1" t="str">
        <f>IFERROR(INDEX('20 2026 DEPO KABUL'!$G$2:$G$501,MATCH(C246,'20 2026 DEPO KABUL'!$F$2:$F$501,0)),"")</f>
        <v/>
      </c>
      <c r="H246" s="1" t="str">
        <f>IFERROR(INDEX('20 2026 DEPO KABUL'!$H$2:$H$501,MATCH(C246,'20 2026 DEPO KABUL'!$F$2:$F$501,0)),"")</f>
        <v/>
      </c>
      <c r="I246" s="13"/>
      <c r="J246" s="13"/>
    </row>
    <row r="247" spans="1:10" ht="15" customHeight="1" x14ac:dyDescent="0.2">
      <c r="A247" s="13"/>
      <c r="B247" s="13"/>
      <c r="C247" s="13"/>
      <c r="D247" s="1" t="str">
        <f>IFERROR(INDEX('20 2026 DEPO KABUL'!$B$2:$B$501,MATCH(C247,'20 2026 DEPO KABUL'!$F$2:$F$501,0)),"")</f>
        <v/>
      </c>
      <c r="E247" s="13"/>
      <c r="F247" s="13"/>
      <c r="G247" s="1" t="str">
        <f>IFERROR(INDEX('20 2026 DEPO KABUL'!$G$2:$G$501,MATCH(C247,'20 2026 DEPO KABUL'!$F$2:$F$501,0)),"")</f>
        <v/>
      </c>
      <c r="H247" s="1" t="str">
        <f>IFERROR(INDEX('20 2026 DEPO KABUL'!$H$2:$H$501,MATCH(C247,'20 2026 DEPO KABUL'!$F$2:$F$501,0)),"")</f>
        <v/>
      </c>
      <c r="I247" s="13"/>
      <c r="J247" s="13"/>
    </row>
    <row r="248" spans="1:10" ht="15" customHeight="1" x14ac:dyDescent="0.2">
      <c r="A248" s="13"/>
      <c r="B248" s="13"/>
      <c r="C248" s="13"/>
      <c r="D248" s="1" t="str">
        <f>IFERROR(INDEX('20 2026 DEPO KABUL'!$B$2:$B$501,MATCH(C248,'20 2026 DEPO KABUL'!$F$2:$F$501,0)),"")</f>
        <v/>
      </c>
      <c r="E248" s="13"/>
      <c r="F248" s="13"/>
      <c r="G248" s="1" t="str">
        <f>IFERROR(INDEX('20 2026 DEPO KABUL'!$G$2:$G$501,MATCH(C248,'20 2026 DEPO KABUL'!$F$2:$F$501,0)),"")</f>
        <v/>
      </c>
      <c r="H248" s="1" t="str">
        <f>IFERROR(INDEX('20 2026 DEPO KABUL'!$H$2:$H$501,MATCH(C248,'20 2026 DEPO KABUL'!$F$2:$F$501,0)),"")</f>
        <v/>
      </c>
      <c r="I248" s="13"/>
      <c r="J248" s="13"/>
    </row>
    <row r="249" spans="1:10" ht="15" customHeight="1" x14ac:dyDescent="0.2">
      <c r="A249" s="13"/>
      <c r="B249" s="13"/>
      <c r="C249" s="13"/>
      <c r="D249" s="1" t="str">
        <f>IFERROR(INDEX('20 2026 DEPO KABUL'!$B$2:$B$501,MATCH(C249,'20 2026 DEPO KABUL'!$F$2:$F$501,0)),"")</f>
        <v/>
      </c>
      <c r="E249" s="13"/>
      <c r="F249" s="13"/>
      <c r="G249" s="1" t="str">
        <f>IFERROR(INDEX('20 2026 DEPO KABUL'!$G$2:$G$501,MATCH(C249,'20 2026 DEPO KABUL'!$F$2:$F$501,0)),"")</f>
        <v/>
      </c>
      <c r="H249" s="1" t="str">
        <f>IFERROR(INDEX('20 2026 DEPO KABUL'!$H$2:$H$501,MATCH(C249,'20 2026 DEPO KABUL'!$F$2:$F$501,0)),"")</f>
        <v/>
      </c>
      <c r="I249" s="13"/>
      <c r="J249" s="13"/>
    </row>
    <row r="250" spans="1:10" ht="15" customHeight="1" x14ac:dyDescent="0.2">
      <c r="A250" s="13"/>
      <c r="B250" s="13"/>
      <c r="C250" s="13"/>
      <c r="D250" s="1" t="str">
        <f>IFERROR(INDEX('20 2026 DEPO KABUL'!$B$2:$B$501,MATCH(C250,'20 2026 DEPO KABUL'!$F$2:$F$501,0)),"")</f>
        <v/>
      </c>
      <c r="E250" s="13"/>
      <c r="F250" s="13"/>
      <c r="G250" s="1" t="str">
        <f>IFERROR(INDEX('20 2026 DEPO KABUL'!$G$2:$G$501,MATCH(C250,'20 2026 DEPO KABUL'!$F$2:$F$501,0)),"")</f>
        <v/>
      </c>
      <c r="H250" s="1" t="str">
        <f>IFERROR(INDEX('20 2026 DEPO KABUL'!$H$2:$H$501,MATCH(C250,'20 2026 DEPO KABUL'!$F$2:$F$501,0)),"")</f>
        <v/>
      </c>
      <c r="I250" s="13"/>
      <c r="J250" s="13"/>
    </row>
    <row r="251" spans="1:10" ht="15" customHeight="1" x14ac:dyDescent="0.2">
      <c r="A251" s="13"/>
      <c r="B251" s="13"/>
      <c r="C251" s="13"/>
      <c r="D251" s="1" t="str">
        <f>IFERROR(INDEX('20 2026 DEPO KABUL'!$B$2:$B$501,MATCH(C251,'20 2026 DEPO KABUL'!$F$2:$F$501,0)),"")</f>
        <v/>
      </c>
      <c r="E251" s="13"/>
      <c r="F251" s="13"/>
      <c r="G251" s="1" t="str">
        <f>IFERROR(INDEX('20 2026 DEPO KABUL'!$G$2:$G$501,MATCH(C251,'20 2026 DEPO KABUL'!$F$2:$F$501,0)),"")</f>
        <v/>
      </c>
      <c r="H251" s="1" t="str">
        <f>IFERROR(INDEX('20 2026 DEPO KABUL'!$H$2:$H$501,MATCH(C251,'20 2026 DEPO KABUL'!$F$2:$F$501,0)),"")</f>
        <v/>
      </c>
      <c r="I251" s="13"/>
      <c r="J251" s="13"/>
    </row>
    <row r="252" spans="1:10" ht="15" customHeight="1" x14ac:dyDescent="0.2">
      <c r="A252" s="13"/>
      <c r="B252" s="13"/>
      <c r="C252" s="13"/>
      <c r="D252" s="1" t="str">
        <f>IFERROR(INDEX('20 2026 DEPO KABUL'!$B$2:$B$501,MATCH(C252,'20 2026 DEPO KABUL'!$F$2:$F$501,0)),"")</f>
        <v/>
      </c>
      <c r="E252" s="13"/>
      <c r="F252" s="13"/>
      <c r="G252" s="1" t="str">
        <f>IFERROR(INDEX('20 2026 DEPO KABUL'!$G$2:$G$501,MATCH(C252,'20 2026 DEPO KABUL'!$F$2:$F$501,0)),"")</f>
        <v/>
      </c>
      <c r="H252" s="1" t="str">
        <f>IFERROR(INDEX('20 2026 DEPO KABUL'!$H$2:$H$501,MATCH(C252,'20 2026 DEPO KABUL'!$F$2:$F$501,0)),"")</f>
        <v/>
      </c>
      <c r="I252" s="13"/>
      <c r="J252" s="13"/>
    </row>
    <row r="253" spans="1:10" ht="15" customHeight="1" x14ac:dyDescent="0.2">
      <c r="A253" s="13"/>
      <c r="B253" s="13"/>
      <c r="C253" s="13"/>
      <c r="D253" s="1" t="str">
        <f>IFERROR(INDEX('20 2026 DEPO KABUL'!$B$2:$B$501,MATCH(C253,'20 2026 DEPO KABUL'!$F$2:$F$501,0)),"")</f>
        <v/>
      </c>
      <c r="E253" s="13"/>
      <c r="F253" s="13"/>
      <c r="G253" s="1" t="str">
        <f>IFERROR(INDEX('20 2026 DEPO KABUL'!$G$2:$G$501,MATCH(C253,'20 2026 DEPO KABUL'!$F$2:$F$501,0)),"")</f>
        <v/>
      </c>
      <c r="H253" s="1" t="str">
        <f>IFERROR(INDEX('20 2026 DEPO KABUL'!$H$2:$H$501,MATCH(C253,'20 2026 DEPO KABUL'!$F$2:$F$501,0)),"")</f>
        <v/>
      </c>
      <c r="I253" s="13"/>
      <c r="J253" s="13"/>
    </row>
    <row r="254" spans="1:10" ht="15" customHeight="1" x14ac:dyDescent="0.2">
      <c r="A254" s="13"/>
      <c r="B254" s="13"/>
      <c r="C254" s="13"/>
      <c r="D254" s="1" t="str">
        <f>IFERROR(INDEX('20 2026 DEPO KABUL'!$B$2:$B$501,MATCH(C254,'20 2026 DEPO KABUL'!$F$2:$F$501,0)),"")</f>
        <v/>
      </c>
      <c r="E254" s="13"/>
      <c r="F254" s="13"/>
      <c r="G254" s="1" t="str">
        <f>IFERROR(INDEX('20 2026 DEPO KABUL'!$G$2:$G$501,MATCH(C254,'20 2026 DEPO KABUL'!$F$2:$F$501,0)),"")</f>
        <v/>
      </c>
      <c r="H254" s="1" t="str">
        <f>IFERROR(INDEX('20 2026 DEPO KABUL'!$H$2:$H$501,MATCH(C254,'20 2026 DEPO KABUL'!$F$2:$F$501,0)),"")</f>
        <v/>
      </c>
      <c r="I254" s="13"/>
      <c r="J254" s="13"/>
    </row>
    <row r="255" spans="1:10" ht="15" customHeight="1" x14ac:dyDescent="0.2">
      <c r="A255" s="13"/>
      <c r="B255" s="13"/>
      <c r="C255" s="13"/>
      <c r="D255" s="1" t="str">
        <f>IFERROR(INDEX('20 2026 DEPO KABUL'!$B$2:$B$501,MATCH(C255,'20 2026 DEPO KABUL'!$F$2:$F$501,0)),"")</f>
        <v/>
      </c>
      <c r="E255" s="13"/>
      <c r="F255" s="13"/>
      <c r="G255" s="1" t="str">
        <f>IFERROR(INDEX('20 2026 DEPO KABUL'!$G$2:$G$501,MATCH(C255,'20 2026 DEPO KABUL'!$F$2:$F$501,0)),"")</f>
        <v/>
      </c>
      <c r="H255" s="1" t="str">
        <f>IFERROR(INDEX('20 2026 DEPO KABUL'!$H$2:$H$501,MATCH(C255,'20 2026 DEPO KABUL'!$F$2:$F$501,0)),"")</f>
        <v/>
      </c>
      <c r="I255" s="13"/>
      <c r="J255" s="13"/>
    </row>
    <row r="256" spans="1:10" ht="15" customHeight="1" x14ac:dyDescent="0.2">
      <c r="A256" s="13"/>
      <c r="B256" s="13"/>
      <c r="C256" s="13"/>
      <c r="D256" s="1" t="str">
        <f>IFERROR(INDEX('20 2026 DEPO KABUL'!$B$2:$B$501,MATCH(C256,'20 2026 DEPO KABUL'!$F$2:$F$501,0)),"")</f>
        <v/>
      </c>
      <c r="E256" s="13"/>
      <c r="F256" s="13"/>
      <c r="G256" s="1" t="str">
        <f>IFERROR(INDEX('20 2026 DEPO KABUL'!$G$2:$G$501,MATCH(C256,'20 2026 DEPO KABUL'!$F$2:$F$501,0)),"")</f>
        <v/>
      </c>
      <c r="H256" s="1" t="str">
        <f>IFERROR(INDEX('20 2026 DEPO KABUL'!$H$2:$H$501,MATCH(C256,'20 2026 DEPO KABUL'!$F$2:$F$501,0)),"")</f>
        <v/>
      </c>
      <c r="I256" s="13"/>
      <c r="J256" s="13"/>
    </row>
    <row r="257" spans="1:10" ht="15" customHeight="1" x14ac:dyDescent="0.2">
      <c r="A257" s="13"/>
      <c r="B257" s="13"/>
      <c r="C257" s="13"/>
      <c r="D257" s="1" t="str">
        <f>IFERROR(INDEX('20 2026 DEPO KABUL'!$B$2:$B$501,MATCH(C257,'20 2026 DEPO KABUL'!$F$2:$F$501,0)),"")</f>
        <v/>
      </c>
      <c r="E257" s="13"/>
      <c r="F257" s="13"/>
      <c r="G257" s="1" t="str">
        <f>IFERROR(INDEX('20 2026 DEPO KABUL'!$G$2:$G$501,MATCH(C257,'20 2026 DEPO KABUL'!$F$2:$F$501,0)),"")</f>
        <v/>
      </c>
      <c r="H257" s="1" t="str">
        <f>IFERROR(INDEX('20 2026 DEPO KABUL'!$H$2:$H$501,MATCH(C257,'20 2026 DEPO KABUL'!$F$2:$F$501,0)),"")</f>
        <v/>
      </c>
      <c r="I257" s="13"/>
      <c r="J257" s="13"/>
    </row>
    <row r="258" spans="1:10" ht="15" customHeight="1" x14ac:dyDescent="0.2">
      <c r="A258" s="13"/>
      <c r="B258" s="13"/>
      <c r="C258" s="13"/>
      <c r="D258" s="1" t="str">
        <f>IFERROR(INDEX('20 2026 DEPO KABUL'!$B$2:$B$501,MATCH(C258,'20 2026 DEPO KABUL'!$F$2:$F$501,0)),"")</f>
        <v/>
      </c>
      <c r="E258" s="13"/>
      <c r="F258" s="13"/>
      <c r="G258" s="1" t="str">
        <f>IFERROR(INDEX('20 2026 DEPO KABUL'!$G$2:$G$501,MATCH(C258,'20 2026 DEPO KABUL'!$F$2:$F$501,0)),"")</f>
        <v/>
      </c>
      <c r="H258" s="1" t="str">
        <f>IFERROR(INDEX('20 2026 DEPO KABUL'!$H$2:$H$501,MATCH(C258,'20 2026 DEPO KABUL'!$F$2:$F$501,0)),"")</f>
        <v/>
      </c>
      <c r="I258" s="13"/>
      <c r="J258" s="13"/>
    </row>
    <row r="259" spans="1:10" ht="15" customHeight="1" x14ac:dyDescent="0.2">
      <c r="A259" s="13"/>
      <c r="B259" s="13"/>
      <c r="C259" s="13"/>
      <c r="D259" s="1" t="str">
        <f>IFERROR(INDEX('20 2026 DEPO KABUL'!$B$2:$B$501,MATCH(C259,'20 2026 DEPO KABUL'!$F$2:$F$501,0)),"")</f>
        <v/>
      </c>
      <c r="E259" s="13"/>
      <c r="F259" s="13"/>
      <c r="G259" s="1" t="str">
        <f>IFERROR(INDEX('20 2026 DEPO KABUL'!$G$2:$G$501,MATCH(C259,'20 2026 DEPO KABUL'!$F$2:$F$501,0)),"")</f>
        <v/>
      </c>
      <c r="H259" s="1" t="str">
        <f>IFERROR(INDEX('20 2026 DEPO KABUL'!$H$2:$H$501,MATCH(C259,'20 2026 DEPO KABUL'!$F$2:$F$501,0)),"")</f>
        <v/>
      </c>
      <c r="I259" s="13"/>
      <c r="J259" s="13"/>
    </row>
    <row r="260" spans="1:10" ht="15" customHeight="1" x14ac:dyDescent="0.2">
      <c r="A260" s="13"/>
      <c r="B260" s="13"/>
      <c r="C260" s="13"/>
      <c r="D260" s="1" t="str">
        <f>IFERROR(INDEX('20 2026 DEPO KABUL'!$B$2:$B$501,MATCH(C260,'20 2026 DEPO KABUL'!$F$2:$F$501,0)),"")</f>
        <v/>
      </c>
      <c r="E260" s="13"/>
      <c r="F260" s="13"/>
      <c r="G260" s="1" t="str">
        <f>IFERROR(INDEX('20 2026 DEPO KABUL'!$G$2:$G$501,MATCH(C260,'20 2026 DEPO KABUL'!$F$2:$F$501,0)),"")</f>
        <v/>
      </c>
      <c r="H260" s="1" t="str">
        <f>IFERROR(INDEX('20 2026 DEPO KABUL'!$H$2:$H$501,MATCH(C260,'20 2026 DEPO KABUL'!$F$2:$F$501,0)),"")</f>
        <v/>
      </c>
      <c r="I260" s="13"/>
      <c r="J260" s="13"/>
    </row>
    <row r="261" spans="1:10" ht="15" customHeight="1" x14ac:dyDescent="0.2">
      <c r="A261" s="13"/>
      <c r="B261" s="13"/>
      <c r="C261" s="13"/>
      <c r="D261" s="1" t="str">
        <f>IFERROR(INDEX('20 2026 DEPO KABUL'!$B$2:$B$501,MATCH(C261,'20 2026 DEPO KABUL'!$F$2:$F$501,0)),"")</f>
        <v/>
      </c>
      <c r="E261" s="13"/>
      <c r="F261" s="13"/>
      <c r="G261" s="1" t="str">
        <f>IFERROR(INDEX('20 2026 DEPO KABUL'!$G$2:$G$501,MATCH(C261,'20 2026 DEPO KABUL'!$F$2:$F$501,0)),"")</f>
        <v/>
      </c>
      <c r="H261" s="1" t="str">
        <f>IFERROR(INDEX('20 2026 DEPO KABUL'!$H$2:$H$501,MATCH(C261,'20 2026 DEPO KABUL'!$F$2:$F$501,0)),"")</f>
        <v/>
      </c>
      <c r="I261" s="13"/>
      <c r="J261" s="13"/>
    </row>
    <row r="262" spans="1:10" ht="15" customHeight="1" x14ac:dyDescent="0.2">
      <c r="A262" s="13"/>
      <c r="B262" s="13"/>
      <c r="C262" s="13"/>
      <c r="D262" s="1" t="str">
        <f>IFERROR(INDEX('20 2026 DEPO KABUL'!$B$2:$B$501,MATCH(C262,'20 2026 DEPO KABUL'!$F$2:$F$501,0)),"")</f>
        <v/>
      </c>
      <c r="E262" s="13"/>
      <c r="F262" s="13"/>
      <c r="G262" s="1" t="str">
        <f>IFERROR(INDEX('20 2026 DEPO KABUL'!$G$2:$G$501,MATCH(C262,'20 2026 DEPO KABUL'!$F$2:$F$501,0)),"")</f>
        <v/>
      </c>
      <c r="H262" s="1" t="str">
        <f>IFERROR(INDEX('20 2026 DEPO KABUL'!$H$2:$H$501,MATCH(C262,'20 2026 DEPO KABUL'!$F$2:$F$501,0)),"")</f>
        <v/>
      </c>
      <c r="I262" s="13"/>
      <c r="J262" s="13"/>
    </row>
    <row r="263" spans="1:10" ht="15" customHeight="1" x14ac:dyDescent="0.2">
      <c r="A263" s="13"/>
      <c r="B263" s="13"/>
      <c r="C263" s="13"/>
      <c r="D263" s="1" t="str">
        <f>IFERROR(INDEX('20 2026 DEPO KABUL'!$B$2:$B$501,MATCH(C263,'20 2026 DEPO KABUL'!$F$2:$F$501,0)),"")</f>
        <v/>
      </c>
      <c r="E263" s="13"/>
      <c r="F263" s="13"/>
      <c r="G263" s="1" t="str">
        <f>IFERROR(INDEX('20 2026 DEPO KABUL'!$G$2:$G$501,MATCH(C263,'20 2026 DEPO KABUL'!$F$2:$F$501,0)),"")</f>
        <v/>
      </c>
      <c r="H263" s="1" t="str">
        <f>IFERROR(INDEX('20 2026 DEPO KABUL'!$H$2:$H$501,MATCH(C263,'20 2026 DEPO KABUL'!$F$2:$F$501,0)),"")</f>
        <v/>
      </c>
      <c r="I263" s="13"/>
      <c r="J263" s="13"/>
    </row>
    <row r="264" spans="1:10" ht="15" customHeight="1" x14ac:dyDescent="0.2">
      <c r="A264" s="13"/>
      <c r="B264" s="13"/>
      <c r="C264" s="13"/>
      <c r="D264" s="1" t="str">
        <f>IFERROR(INDEX('20 2026 DEPO KABUL'!$B$2:$B$501,MATCH(C264,'20 2026 DEPO KABUL'!$F$2:$F$501,0)),"")</f>
        <v/>
      </c>
      <c r="E264" s="13"/>
      <c r="F264" s="13"/>
      <c r="G264" s="1" t="str">
        <f>IFERROR(INDEX('20 2026 DEPO KABUL'!$G$2:$G$501,MATCH(C264,'20 2026 DEPO KABUL'!$F$2:$F$501,0)),"")</f>
        <v/>
      </c>
      <c r="H264" s="1" t="str">
        <f>IFERROR(INDEX('20 2026 DEPO KABUL'!$H$2:$H$501,MATCH(C264,'20 2026 DEPO KABUL'!$F$2:$F$501,0)),"")</f>
        <v/>
      </c>
      <c r="I264" s="13"/>
      <c r="J264" s="13"/>
    </row>
    <row r="265" spans="1:10" ht="15" customHeight="1" x14ac:dyDescent="0.2">
      <c r="A265" s="13"/>
      <c r="B265" s="13"/>
      <c r="C265" s="13"/>
      <c r="D265" s="1" t="str">
        <f>IFERROR(INDEX('20 2026 DEPO KABUL'!$B$2:$B$501,MATCH(C265,'20 2026 DEPO KABUL'!$F$2:$F$501,0)),"")</f>
        <v/>
      </c>
      <c r="E265" s="13"/>
      <c r="F265" s="13"/>
      <c r="G265" s="1" t="str">
        <f>IFERROR(INDEX('20 2026 DEPO KABUL'!$G$2:$G$501,MATCH(C265,'20 2026 DEPO KABUL'!$F$2:$F$501,0)),"")</f>
        <v/>
      </c>
      <c r="H265" s="1" t="str">
        <f>IFERROR(INDEX('20 2026 DEPO KABUL'!$H$2:$H$501,MATCH(C265,'20 2026 DEPO KABUL'!$F$2:$F$501,0)),"")</f>
        <v/>
      </c>
      <c r="I265" s="13"/>
      <c r="J265" s="13"/>
    </row>
    <row r="266" spans="1:10" ht="15" customHeight="1" x14ac:dyDescent="0.2">
      <c r="A266" s="13"/>
      <c r="B266" s="13"/>
      <c r="C266" s="13"/>
      <c r="D266" s="1" t="str">
        <f>IFERROR(INDEX('20 2026 DEPO KABUL'!$B$2:$B$501,MATCH(C266,'20 2026 DEPO KABUL'!$F$2:$F$501,0)),"")</f>
        <v/>
      </c>
      <c r="E266" s="13"/>
      <c r="F266" s="13"/>
      <c r="G266" s="1" t="str">
        <f>IFERROR(INDEX('20 2026 DEPO KABUL'!$G$2:$G$501,MATCH(C266,'20 2026 DEPO KABUL'!$F$2:$F$501,0)),"")</f>
        <v/>
      </c>
      <c r="H266" s="1" t="str">
        <f>IFERROR(INDEX('20 2026 DEPO KABUL'!$H$2:$H$501,MATCH(C266,'20 2026 DEPO KABUL'!$F$2:$F$501,0)),"")</f>
        <v/>
      </c>
      <c r="I266" s="13"/>
      <c r="J266" s="13"/>
    </row>
    <row r="267" spans="1:10" ht="15" customHeight="1" x14ac:dyDescent="0.2">
      <c r="A267" s="13"/>
      <c r="B267" s="13"/>
      <c r="C267" s="13"/>
      <c r="D267" s="1" t="str">
        <f>IFERROR(INDEX('20 2026 DEPO KABUL'!$B$2:$B$501,MATCH(C267,'20 2026 DEPO KABUL'!$F$2:$F$501,0)),"")</f>
        <v/>
      </c>
      <c r="E267" s="13"/>
      <c r="F267" s="13"/>
      <c r="G267" s="1" t="str">
        <f>IFERROR(INDEX('20 2026 DEPO KABUL'!$G$2:$G$501,MATCH(C267,'20 2026 DEPO KABUL'!$F$2:$F$501,0)),"")</f>
        <v/>
      </c>
      <c r="H267" s="1" t="str">
        <f>IFERROR(INDEX('20 2026 DEPO KABUL'!$H$2:$H$501,MATCH(C267,'20 2026 DEPO KABUL'!$F$2:$F$501,0)),"")</f>
        <v/>
      </c>
      <c r="I267" s="13"/>
      <c r="J267" s="13"/>
    </row>
    <row r="268" spans="1:10" ht="15" customHeight="1" x14ac:dyDescent="0.2">
      <c r="A268" s="13"/>
      <c r="B268" s="13"/>
      <c r="C268" s="13"/>
      <c r="D268" s="1" t="str">
        <f>IFERROR(INDEX('20 2026 DEPO KABUL'!$B$2:$B$501,MATCH(C268,'20 2026 DEPO KABUL'!$F$2:$F$501,0)),"")</f>
        <v/>
      </c>
      <c r="E268" s="13"/>
      <c r="F268" s="13"/>
      <c r="G268" s="1" t="str">
        <f>IFERROR(INDEX('20 2026 DEPO KABUL'!$G$2:$G$501,MATCH(C268,'20 2026 DEPO KABUL'!$F$2:$F$501,0)),"")</f>
        <v/>
      </c>
      <c r="H268" s="1" t="str">
        <f>IFERROR(INDEX('20 2026 DEPO KABUL'!$H$2:$H$501,MATCH(C268,'20 2026 DEPO KABUL'!$F$2:$F$501,0)),"")</f>
        <v/>
      </c>
      <c r="I268" s="13"/>
      <c r="J268" s="13"/>
    </row>
    <row r="269" spans="1:10" ht="15" customHeight="1" x14ac:dyDescent="0.2">
      <c r="A269" s="13"/>
      <c r="B269" s="13"/>
      <c r="C269" s="13"/>
      <c r="D269" s="1" t="str">
        <f>IFERROR(INDEX('20 2026 DEPO KABUL'!$B$2:$B$501,MATCH(C269,'20 2026 DEPO KABUL'!$F$2:$F$501,0)),"")</f>
        <v/>
      </c>
      <c r="E269" s="13"/>
      <c r="F269" s="13"/>
      <c r="G269" s="1" t="str">
        <f>IFERROR(INDEX('20 2026 DEPO KABUL'!$G$2:$G$501,MATCH(C269,'20 2026 DEPO KABUL'!$F$2:$F$501,0)),"")</f>
        <v/>
      </c>
      <c r="H269" s="1" t="str">
        <f>IFERROR(INDEX('20 2026 DEPO KABUL'!$H$2:$H$501,MATCH(C269,'20 2026 DEPO KABUL'!$F$2:$F$501,0)),"")</f>
        <v/>
      </c>
      <c r="I269" s="13"/>
      <c r="J269" s="13"/>
    </row>
    <row r="270" spans="1:10" ht="15" customHeight="1" x14ac:dyDescent="0.2">
      <c r="A270" s="13"/>
      <c r="B270" s="13"/>
      <c r="C270" s="13"/>
      <c r="D270" s="1" t="str">
        <f>IFERROR(INDEX('20 2026 DEPO KABUL'!$B$2:$B$501,MATCH(C270,'20 2026 DEPO KABUL'!$F$2:$F$501,0)),"")</f>
        <v/>
      </c>
      <c r="E270" s="13"/>
      <c r="F270" s="13"/>
      <c r="G270" s="1" t="str">
        <f>IFERROR(INDEX('20 2026 DEPO KABUL'!$G$2:$G$501,MATCH(C270,'20 2026 DEPO KABUL'!$F$2:$F$501,0)),"")</f>
        <v/>
      </c>
      <c r="H270" s="1" t="str">
        <f>IFERROR(INDEX('20 2026 DEPO KABUL'!$H$2:$H$501,MATCH(C270,'20 2026 DEPO KABUL'!$F$2:$F$501,0)),"")</f>
        <v/>
      </c>
      <c r="I270" s="13"/>
      <c r="J270" s="13"/>
    </row>
    <row r="271" spans="1:10" ht="15" customHeight="1" x14ac:dyDescent="0.2">
      <c r="A271" s="13"/>
      <c r="B271" s="13"/>
      <c r="C271" s="13"/>
      <c r="D271" s="1" t="str">
        <f>IFERROR(INDEX('20 2026 DEPO KABUL'!$B$2:$B$501,MATCH(C271,'20 2026 DEPO KABUL'!$F$2:$F$501,0)),"")</f>
        <v/>
      </c>
      <c r="E271" s="13"/>
      <c r="F271" s="13"/>
      <c r="G271" s="1" t="str">
        <f>IFERROR(INDEX('20 2026 DEPO KABUL'!$G$2:$G$501,MATCH(C271,'20 2026 DEPO KABUL'!$F$2:$F$501,0)),"")</f>
        <v/>
      </c>
      <c r="H271" s="1" t="str">
        <f>IFERROR(INDEX('20 2026 DEPO KABUL'!$H$2:$H$501,MATCH(C271,'20 2026 DEPO KABUL'!$F$2:$F$501,0)),"")</f>
        <v/>
      </c>
      <c r="I271" s="13"/>
      <c r="J271" s="13"/>
    </row>
    <row r="272" spans="1:10" ht="15" customHeight="1" x14ac:dyDescent="0.2">
      <c r="A272" s="13"/>
      <c r="B272" s="13"/>
      <c r="C272" s="13"/>
      <c r="D272" s="1" t="str">
        <f>IFERROR(INDEX('20 2026 DEPO KABUL'!$B$2:$B$501,MATCH(C272,'20 2026 DEPO KABUL'!$F$2:$F$501,0)),"")</f>
        <v/>
      </c>
      <c r="E272" s="13"/>
      <c r="F272" s="13"/>
      <c r="G272" s="1" t="str">
        <f>IFERROR(INDEX('20 2026 DEPO KABUL'!$G$2:$G$501,MATCH(C272,'20 2026 DEPO KABUL'!$F$2:$F$501,0)),"")</f>
        <v/>
      </c>
      <c r="H272" s="1" t="str">
        <f>IFERROR(INDEX('20 2026 DEPO KABUL'!$H$2:$H$501,MATCH(C272,'20 2026 DEPO KABUL'!$F$2:$F$501,0)),"")</f>
        <v/>
      </c>
      <c r="I272" s="13"/>
      <c r="J272" s="13"/>
    </row>
    <row r="273" spans="1:10" ht="15" customHeight="1" x14ac:dyDescent="0.2">
      <c r="A273" s="13"/>
      <c r="B273" s="13"/>
      <c r="C273" s="13"/>
      <c r="D273" s="1" t="str">
        <f>IFERROR(INDEX('20 2026 DEPO KABUL'!$B$2:$B$501,MATCH(C273,'20 2026 DEPO KABUL'!$F$2:$F$501,0)),"")</f>
        <v/>
      </c>
      <c r="E273" s="13"/>
      <c r="F273" s="13"/>
      <c r="G273" s="1" t="str">
        <f>IFERROR(INDEX('20 2026 DEPO KABUL'!$G$2:$G$501,MATCH(C273,'20 2026 DEPO KABUL'!$F$2:$F$501,0)),"")</f>
        <v/>
      </c>
      <c r="H273" s="1" t="str">
        <f>IFERROR(INDEX('20 2026 DEPO KABUL'!$H$2:$H$501,MATCH(C273,'20 2026 DEPO KABUL'!$F$2:$F$501,0)),"")</f>
        <v/>
      </c>
      <c r="I273" s="13"/>
      <c r="J273" s="13"/>
    </row>
    <row r="274" spans="1:10" ht="15" customHeight="1" x14ac:dyDescent="0.2">
      <c r="A274" s="13"/>
      <c r="B274" s="13"/>
      <c r="C274" s="13"/>
      <c r="D274" s="1" t="str">
        <f>IFERROR(INDEX('20 2026 DEPO KABUL'!$B$2:$B$501,MATCH(C274,'20 2026 DEPO KABUL'!$F$2:$F$501,0)),"")</f>
        <v/>
      </c>
      <c r="E274" s="13"/>
      <c r="F274" s="13"/>
      <c r="G274" s="1" t="str">
        <f>IFERROR(INDEX('20 2026 DEPO KABUL'!$G$2:$G$501,MATCH(C274,'20 2026 DEPO KABUL'!$F$2:$F$501,0)),"")</f>
        <v/>
      </c>
      <c r="H274" s="1" t="str">
        <f>IFERROR(INDEX('20 2026 DEPO KABUL'!$H$2:$H$501,MATCH(C274,'20 2026 DEPO KABUL'!$F$2:$F$501,0)),"")</f>
        <v/>
      </c>
      <c r="I274" s="13"/>
      <c r="J274" s="13"/>
    </row>
    <row r="275" spans="1:10" ht="15" customHeight="1" x14ac:dyDescent="0.2">
      <c r="A275" s="13"/>
      <c r="B275" s="13"/>
      <c r="C275" s="13"/>
      <c r="D275" s="1" t="str">
        <f>IFERROR(INDEX('20 2026 DEPO KABUL'!$B$2:$B$501,MATCH(C275,'20 2026 DEPO KABUL'!$F$2:$F$501,0)),"")</f>
        <v/>
      </c>
      <c r="E275" s="13"/>
      <c r="F275" s="13"/>
      <c r="G275" s="1" t="str">
        <f>IFERROR(INDEX('20 2026 DEPO KABUL'!$G$2:$G$501,MATCH(C275,'20 2026 DEPO KABUL'!$F$2:$F$501,0)),"")</f>
        <v/>
      </c>
      <c r="H275" s="1" t="str">
        <f>IFERROR(INDEX('20 2026 DEPO KABUL'!$H$2:$H$501,MATCH(C275,'20 2026 DEPO KABUL'!$F$2:$F$501,0)),"")</f>
        <v/>
      </c>
      <c r="I275" s="13"/>
      <c r="J275" s="13"/>
    </row>
    <row r="276" spans="1:10" ht="15" customHeight="1" x14ac:dyDescent="0.2">
      <c r="A276" s="13"/>
      <c r="B276" s="13"/>
      <c r="C276" s="13"/>
      <c r="D276" s="1" t="str">
        <f>IFERROR(INDEX('20 2026 DEPO KABUL'!$B$2:$B$501,MATCH(C276,'20 2026 DEPO KABUL'!$F$2:$F$501,0)),"")</f>
        <v/>
      </c>
      <c r="E276" s="13"/>
      <c r="F276" s="13"/>
      <c r="G276" s="1" t="str">
        <f>IFERROR(INDEX('20 2026 DEPO KABUL'!$G$2:$G$501,MATCH(C276,'20 2026 DEPO KABUL'!$F$2:$F$501,0)),"")</f>
        <v/>
      </c>
      <c r="H276" s="1" t="str">
        <f>IFERROR(INDEX('20 2026 DEPO KABUL'!$H$2:$H$501,MATCH(C276,'20 2026 DEPO KABUL'!$F$2:$F$501,0)),"")</f>
        <v/>
      </c>
      <c r="I276" s="13"/>
      <c r="J276" s="13"/>
    </row>
    <row r="277" spans="1:10" ht="15" customHeight="1" x14ac:dyDescent="0.2">
      <c r="A277" s="13"/>
      <c r="B277" s="13"/>
      <c r="C277" s="13"/>
      <c r="D277" s="1" t="str">
        <f>IFERROR(INDEX('20 2026 DEPO KABUL'!$B$2:$B$501,MATCH(C277,'20 2026 DEPO KABUL'!$F$2:$F$501,0)),"")</f>
        <v/>
      </c>
      <c r="E277" s="13"/>
      <c r="F277" s="13"/>
      <c r="G277" s="1" t="str">
        <f>IFERROR(INDEX('20 2026 DEPO KABUL'!$G$2:$G$501,MATCH(C277,'20 2026 DEPO KABUL'!$F$2:$F$501,0)),"")</f>
        <v/>
      </c>
      <c r="H277" s="1" t="str">
        <f>IFERROR(INDEX('20 2026 DEPO KABUL'!$H$2:$H$501,MATCH(C277,'20 2026 DEPO KABUL'!$F$2:$F$501,0)),"")</f>
        <v/>
      </c>
      <c r="I277" s="13"/>
      <c r="J277" s="13"/>
    </row>
    <row r="278" spans="1:10" ht="15" customHeight="1" x14ac:dyDescent="0.2">
      <c r="A278" s="13"/>
      <c r="B278" s="13"/>
      <c r="C278" s="13"/>
      <c r="D278" s="1" t="str">
        <f>IFERROR(INDEX('20 2026 DEPO KABUL'!$B$2:$B$501,MATCH(C278,'20 2026 DEPO KABUL'!$F$2:$F$501,0)),"")</f>
        <v/>
      </c>
      <c r="E278" s="13"/>
      <c r="F278" s="13"/>
      <c r="G278" s="1" t="str">
        <f>IFERROR(INDEX('20 2026 DEPO KABUL'!$G$2:$G$501,MATCH(C278,'20 2026 DEPO KABUL'!$F$2:$F$501,0)),"")</f>
        <v/>
      </c>
      <c r="H278" s="1" t="str">
        <f>IFERROR(INDEX('20 2026 DEPO KABUL'!$H$2:$H$501,MATCH(C278,'20 2026 DEPO KABUL'!$F$2:$F$501,0)),"")</f>
        <v/>
      </c>
      <c r="I278" s="13"/>
      <c r="J278" s="13"/>
    </row>
    <row r="279" spans="1:10" ht="15" customHeight="1" x14ac:dyDescent="0.2">
      <c r="A279" s="13"/>
      <c r="B279" s="13"/>
      <c r="C279" s="13"/>
      <c r="D279" s="1" t="str">
        <f>IFERROR(INDEX('20 2026 DEPO KABUL'!$B$2:$B$501,MATCH(C279,'20 2026 DEPO KABUL'!$F$2:$F$501,0)),"")</f>
        <v/>
      </c>
      <c r="E279" s="13"/>
      <c r="F279" s="13"/>
      <c r="G279" s="1" t="str">
        <f>IFERROR(INDEX('20 2026 DEPO KABUL'!$G$2:$G$501,MATCH(C279,'20 2026 DEPO KABUL'!$F$2:$F$501,0)),"")</f>
        <v/>
      </c>
      <c r="H279" s="1" t="str">
        <f>IFERROR(INDEX('20 2026 DEPO KABUL'!$H$2:$H$501,MATCH(C279,'20 2026 DEPO KABUL'!$F$2:$F$501,0)),"")</f>
        <v/>
      </c>
      <c r="I279" s="13"/>
      <c r="J279" s="13"/>
    </row>
    <row r="280" spans="1:10" ht="15" customHeight="1" x14ac:dyDescent="0.2">
      <c r="A280" s="13"/>
      <c r="B280" s="13"/>
      <c r="C280" s="13"/>
      <c r="D280" s="1" t="str">
        <f>IFERROR(INDEX('20 2026 DEPO KABUL'!$B$2:$B$501,MATCH(C280,'20 2026 DEPO KABUL'!$F$2:$F$501,0)),"")</f>
        <v/>
      </c>
      <c r="E280" s="13"/>
      <c r="F280" s="13"/>
      <c r="G280" s="1" t="str">
        <f>IFERROR(INDEX('20 2026 DEPO KABUL'!$G$2:$G$501,MATCH(C280,'20 2026 DEPO KABUL'!$F$2:$F$501,0)),"")</f>
        <v/>
      </c>
      <c r="H280" s="1" t="str">
        <f>IFERROR(INDEX('20 2026 DEPO KABUL'!$H$2:$H$501,MATCH(C280,'20 2026 DEPO KABUL'!$F$2:$F$501,0)),"")</f>
        <v/>
      </c>
      <c r="I280" s="13"/>
      <c r="J280" s="13"/>
    </row>
    <row r="281" spans="1:10" ht="15" customHeight="1" x14ac:dyDescent="0.2">
      <c r="A281" s="13"/>
      <c r="B281" s="13"/>
      <c r="C281" s="13"/>
      <c r="D281" s="1" t="str">
        <f>IFERROR(INDEX('20 2026 DEPO KABUL'!$B$2:$B$501,MATCH(C281,'20 2026 DEPO KABUL'!$F$2:$F$501,0)),"")</f>
        <v/>
      </c>
      <c r="E281" s="13"/>
      <c r="F281" s="13"/>
      <c r="G281" s="1" t="str">
        <f>IFERROR(INDEX('20 2026 DEPO KABUL'!$G$2:$G$501,MATCH(C281,'20 2026 DEPO KABUL'!$F$2:$F$501,0)),"")</f>
        <v/>
      </c>
      <c r="H281" s="1" t="str">
        <f>IFERROR(INDEX('20 2026 DEPO KABUL'!$H$2:$H$501,MATCH(C281,'20 2026 DEPO KABUL'!$F$2:$F$501,0)),"")</f>
        <v/>
      </c>
      <c r="I281" s="13"/>
      <c r="J281" s="13"/>
    </row>
    <row r="282" spans="1:10" ht="15" customHeight="1" x14ac:dyDescent="0.2">
      <c r="A282" s="13"/>
      <c r="B282" s="13"/>
      <c r="C282" s="13"/>
      <c r="D282" s="1" t="str">
        <f>IFERROR(INDEX('20 2026 DEPO KABUL'!$B$2:$B$501,MATCH(C282,'20 2026 DEPO KABUL'!$F$2:$F$501,0)),"")</f>
        <v/>
      </c>
      <c r="E282" s="13"/>
      <c r="F282" s="13"/>
      <c r="G282" s="1" t="str">
        <f>IFERROR(INDEX('20 2026 DEPO KABUL'!$G$2:$G$501,MATCH(C282,'20 2026 DEPO KABUL'!$F$2:$F$501,0)),"")</f>
        <v/>
      </c>
      <c r="H282" s="1" t="str">
        <f>IFERROR(INDEX('20 2026 DEPO KABUL'!$H$2:$H$501,MATCH(C282,'20 2026 DEPO KABUL'!$F$2:$F$501,0)),"")</f>
        <v/>
      </c>
      <c r="I282" s="13"/>
      <c r="J282" s="13"/>
    </row>
    <row r="283" spans="1:10" ht="15" customHeight="1" x14ac:dyDescent="0.2">
      <c r="A283" s="13"/>
      <c r="B283" s="13"/>
      <c r="C283" s="13"/>
      <c r="D283" s="1" t="str">
        <f>IFERROR(INDEX('20 2026 DEPO KABUL'!$B$2:$B$501,MATCH(C283,'20 2026 DEPO KABUL'!$F$2:$F$501,0)),"")</f>
        <v/>
      </c>
      <c r="E283" s="13"/>
      <c r="F283" s="13"/>
      <c r="G283" s="1" t="str">
        <f>IFERROR(INDEX('20 2026 DEPO KABUL'!$G$2:$G$501,MATCH(C283,'20 2026 DEPO KABUL'!$F$2:$F$501,0)),"")</f>
        <v/>
      </c>
      <c r="H283" s="1" t="str">
        <f>IFERROR(INDEX('20 2026 DEPO KABUL'!$H$2:$H$501,MATCH(C283,'20 2026 DEPO KABUL'!$F$2:$F$501,0)),"")</f>
        <v/>
      </c>
      <c r="I283" s="13"/>
      <c r="J283" s="13"/>
    </row>
    <row r="284" spans="1:10" ht="15" customHeight="1" x14ac:dyDescent="0.2">
      <c r="A284" s="13"/>
      <c r="B284" s="13"/>
      <c r="C284" s="13"/>
      <c r="D284" s="1" t="str">
        <f>IFERROR(INDEX('20 2026 DEPO KABUL'!$B$2:$B$501,MATCH(C284,'20 2026 DEPO KABUL'!$F$2:$F$501,0)),"")</f>
        <v/>
      </c>
      <c r="E284" s="13"/>
      <c r="F284" s="13"/>
      <c r="G284" s="1" t="str">
        <f>IFERROR(INDEX('20 2026 DEPO KABUL'!$G$2:$G$501,MATCH(C284,'20 2026 DEPO KABUL'!$F$2:$F$501,0)),"")</f>
        <v/>
      </c>
      <c r="H284" s="1" t="str">
        <f>IFERROR(INDEX('20 2026 DEPO KABUL'!$H$2:$H$501,MATCH(C284,'20 2026 DEPO KABUL'!$F$2:$F$501,0)),"")</f>
        <v/>
      </c>
      <c r="I284" s="13"/>
      <c r="J284" s="13"/>
    </row>
    <row r="285" spans="1:10" ht="15" customHeight="1" x14ac:dyDescent="0.2">
      <c r="A285" s="13"/>
      <c r="B285" s="13"/>
      <c r="C285" s="13"/>
      <c r="D285" s="1" t="str">
        <f>IFERROR(INDEX('20 2026 DEPO KABUL'!$B$2:$B$501,MATCH(C285,'20 2026 DEPO KABUL'!$F$2:$F$501,0)),"")</f>
        <v/>
      </c>
      <c r="E285" s="13"/>
      <c r="F285" s="13"/>
      <c r="G285" s="1" t="str">
        <f>IFERROR(INDEX('20 2026 DEPO KABUL'!$G$2:$G$501,MATCH(C285,'20 2026 DEPO KABUL'!$F$2:$F$501,0)),"")</f>
        <v/>
      </c>
      <c r="H285" s="1" t="str">
        <f>IFERROR(INDEX('20 2026 DEPO KABUL'!$H$2:$H$501,MATCH(C285,'20 2026 DEPO KABUL'!$F$2:$F$501,0)),"")</f>
        <v/>
      </c>
      <c r="I285" s="13"/>
      <c r="J285" s="13"/>
    </row>
    <row r="286" spans="1:10" ht="15" customHeight="1" x14ac:dyDescent="0.2">
      <c r="A286" s="13"/>
      <c r="B286" s="13"/>
      <c r="C286" s="13"/>
      <c r="D286" s="1" t="str">
        <f>IFERROR(INDEX('20 2026 DEPO KABUL'!$B$2:$B$501,MATCH(C286,'20 2026 DEPO KABUL'!$F$2:$F$501,0)),"")</f>
        <v/>
      </c>
      <c r="E286" s="13"/>
      <c r="F286" s="13"/>
      <c r="G286" s="1" t="str">
        <f>IFERROR(INDEX('20 2026 DEPO KABUL'!$G$2:$G$501,MATCH(C286,'20 2026 DEPO KABUL'!$F$2:$F$501,0)),"")</f>
        <v/>
      </c>
      <c r="H286" s="1" t="str">
        <f>IFERROR(INDEX('20 2026 DEPO KABUL'!$H$2:$H$501,MATCH(C286,'20 2026 DEPO KABUL'!$F$2:$F$501,0)),"")</f>
        <v/>
      </c>
      <c r="I286" s="13"/>
      <c r="J286" s="13"/>
    </row>
    <row r="287" spans="1:10" ht="15" customHeight="1" x14ac:dyDescent="0.2">
      <c r="A287" s="13"/>
      <c r="B287" s="13"/>
      <c r="C287" s="13"/>
      <c r="D287" s="1" t="str">
        <f>IFERROR(INDEX('20 2026 DEPO KABUL'!$B$2:$B$501,MATCH(C287,'20 2026 DEPO KABUL'!$F$2:$F$501,0)),"")</f>
        <v/>
      </c>
      <c r="E287" s="13"/>
      <c r="F287" s="13"/>
      <c r="G287" s="1" t="str">
        <f>IFERROR(INDEX('20 2026 DEPO KABUL'!$G$2:$G$501,MATCH(C287,'20 2026 DEPO KABUL'!$F$2:$F$501,0)),"")</f>
        <v/>
      </c>
      <c r="H287" s="1" t="str">
        <f>IFERROR(INDEX('20 2026 DEPO KABUL'!$H$2:$H$501,MATCH(C287,'20 2026 DEPO KABUL'!$F$2:$F$501,0)),"")</f>
        <v/>
      </c>
      <c r="I287" s="13"/>
      <c r="J287" s="13"/>
    </row>
    <row r="288" spans="1:10" ht="15" customHeight="1" x14ac:dyDescent="0.2">
      <c r="A288" s="13"/>
      <c r="B288" s="13"/>
      <c r="C288" s="13"/>
      <c r="D288" s="1" t="str">
        <f>IFERROR(INDEX('20 2026 DEPO KABUL'!$B$2:$B$501,MATCH(C288,'20 2026 DEPO KABUL'!$F$2:$F$501,0)),"")</f>
        <v/>
      </c>
      <c r="E288" s="13"/>
      <c r="F288" s="13"/>
      <c r="G288" s="1" t="str">
        <f>IFERROR(INDEX('20 2026 DEPO KABUL'!$G$2:$G$501,MATCH(C288,'20 2026 DEPO KABUL'!$F$2:$F$501,0)),"")</f>
        <v/>
      </c>
      <c r="H288" s="1" t="str">
        <f>IFERROR(INDEX('20 2026 DEPO KABUL'!$H$2:$H$501,MATCH(C288,'20 2026 DEPO KABUL'!$F$2:$F$501,0)),"")</f>
        <v/>
      </c>
      <c r="I288" s="13"/>
      <c r="J288" s="13"/>
    </row>
    <row r="289" spans="1:10" ht="15" customHeight="1" x14ac:dyDescent="0.2">
      <c r="A289" s="13"/>
      <c r="B289" s="13"/>
      <c r="C289" s="13"/>
      <c r="D289" s="1" t="str">
        <f>IFERROR(INDEX('20 2026 DEPO KABUL'!$B$2:$B$501,MATCH(C289,'20 2026 DEPO KABUL'!$F$2:$F$501,0)),"")</f>
        <v/>
      </c>
      <c r="E289" s="13"/>
      <c r="F289" s="13"/>
      <c r="G289" s="1" t="str">
        <f>IFERROR(INDEX('20 2026 DEPO KABUL'!$G$2:$G$501,MATCH(C289,'20 2026 DEPO KABUL'!$F$2:$F$501,0)),"")</f>
        <v/>
      </c>
      <c r="H289" s="1" t="str">
        <f>IFERROR(INDEX('20 2026 DEPO KABUL'!$H$2:$H$501,MATCH(C289,'20 2026 DEPO KABUL'!$F$2:$F$501,0)),"")</f>
        <v/>
      </c>
      <c r="I289" s="13"/>
      <c r="J289" s="13"/>
    </row>
    <row r="290" spans="1:10" ht="15" customHeight="1" x14ac:dyDescent="0.2">
      <c r="A290" s="13"/>
      <c r="B290" s="13"/>
      <c r="C290" s="13"/>
      <c r="D290" s="1" t="str">
        <f>IFERROR(INDEX('20 2026 DEPO KABUL'!$B$2:$B$501,MATCH(C290,'20 2026 DEPO KABUL'!$F$2:$F$501,0)),"")</f>
        <v/>
      </c>
      <c r="E290" s="13"/>
      <c r="F290" s="13"/>
      <c r="G290" s="1" t="str">
        <f>IFERROR(INDEX('20 2026 DEPO KABUL'!$G$2:$G$501,MATCH(C290,'20 2026 DEPO KABUL'!$F$2:$F$501,0)),"")</f>
        <v/>
      </c>
      <c r="H290" s="1" t="str">
        <f>IFERROR(INDEX('20 2026 DEPO KABUL'!$H$2:$H$501,MATCH(C290,'20 2026 DEPO KABUL'!$F$2:$F$501,0)),"")</f>
        <v/>
      </c>
      <c r="I290" s="13"/>
      <c r="J290" s="13"/>
    </row>
    <row r="291" spans="1:10" ht="15" customHeight="1" x14ac:dyDescent="0.2">
      <c r="A291" s="13"/>
      <c r="B291" s="13"/>
      <c r="C291" s="13"/>
      <c r="D291" s="1" t="str">
        <f>IFERROR(INDEX('20 2026 DEPO KABUL'!$B$2:$B$501,MATCH(C291,'20 2026 DEPO KABUL'!$F$2:$F$501,0)),"")</f>
        <v/>
      </c>
      <c r="E291" s="13"/>
      <c r="F291" s="13"/>
      <c r="G291" s="1" t="str">
        <f>IFERROR(INDEX('20 2026 DEPO KABUL'!$G$2:$G$501,MATCH(C291,'20 2026 DEPO KABUL'!$F$2:$F$501,0)),"")</f>
        <v/>
      </c>
      <c r="H291" s="1" t="str">
        <f>IFERROR(INDEX('20 2026 DEPO KABUL'!$H$2:$H$501,MATCH(C291,'20 2026 DEPO KABUL'!$F$2:$F$501,0)),"")</f>
        <v/>
      </c>
      <c r="I291" s="13"/>
      <c r="J291" s="13"/>
    </row>
    <row r="292" spans="1:10" ht="15" customHeight="1" x14ac:dyDescent="0.2">
      <c r="A292" s="13"/>
      <c r="B292" s="13"/>
      <c r="C292" s="13"/>
      <c r="D292" s="1" t="str">
        <f>IFERROR(INDEX('20 2026 DEPO KABUL'!$B$2:$B$501,MATCH(C292,'20 2026 DEPO KABUL'!$F$2:$F$501,0)),"")</f>
        <v/>
      </c>
      <c r="E292" s="13"/>
      <c r="F292" s="13"/>
      <c r="G292" s="1" t="str">
        <f>IFERROR(INDEX('20 2026 DEPO KABUL'!$G$2:$G$501,MATCH(C292,'20 2026 DEPO KABUL'!$F$2:$F$501,0)),"")</f>
        <v/>
      </c>
      <c r="H292" s="1" t="str">
        <f>IFERROR(INDEX('20 2026 DEPO KABUL'!$H$2:$H$501,MATCH(C292,'20 2026 DEPO KABUL'!$F$2:$F$501,0)),"")</f>
        <v/>
      </c>
      <c r="I292" s="13"/>
      <c r="J292" s="13"/>
    </row>
    <row r="293" spans="1:10" ht="15" customHeight="1" x14ac:dyDescent="0.2">
      <c r="A293" s="13"/>
      <c r="B293" s="13"/>
      <c r="C293" s="13"/>
      <c r="D293" s="1" t="str">
        <f>IFERROR(INDEX('20 2026 DEPO KABUL'!$B$2:$B$501,MATCH(C293,'20 2026 DEPO KABUL'!$F$2:$F$501,0)),"")</f>
        <v/>
      </c>
      <c r="E293" s="13"/>
      <c r="F293" s="13"/>
      <c r="G293" s="1" t="str">
        <f>IFERROR(INDEX('20 2026 DEPO KABUL'!$G$2:$G$501,MATCH(C293,'20 2026 DEPO KABUL'!$F$2:$F$501,0)),"")</f>
        <v/>
      </c>
      <c r="H293" s="1" t="str">
        <f>IFERROR(INDEX('20 2026 DEPO KABUL'!$H$2:$H$501,MATCH(C293,'20 2026 DEPO KABUL'!$F$2:$F$501,0)),"")</f>
        <v/>
      </c>
      <c r="I293" s="13"/>
      <c r="J293" s="13"/>
    </row>
    <row r="294" spans="1:10" ht="15" customHeight="1" x14ac:dyDescent="0.2">
      <c r="A294" s="13"/>
      <c r="B294" s="13"/>
      <c r="C294" s="13"/>
      <c r="D294" s="1" t="str">
        <f>IFERROR(INDEX('20 2026 DEPO KABUL'!$B$2:$B$501,MATCH(C294,'20 2026 DEPO KABUL'!$F$2:$F$501,0)),"")</f>
        <v/>
      </c>
      <c r="E294" s="13"/>
      <c r="F294" s="13"/>
      <c r="G294" s="1" t="str">
        <f>IFERROR(INDEX('20 2026 DEPO KABUL'!$G$2:$G$501,MATCH(C294,'20 2026 DEPO KABUL'!$F$2:$F$501,0)),"")</f>
        <v/>
      </c>
      <c r="H294" s="1" t="str">
        <f>IFERROR(INDEX('20 2026 DEPO KABUL'!$H$2:$H$501,MATCH(C294,'20 2026 DEPO KABUL'!$F$2:$F$501,0)),"")</f>
        <v/>
      </c>
      <c r="I294" s="13"/>
      <c r="J294" s="13"/>
    </row>
    <row r="295" spans="1:10" ht="15" customHeight="1" x14ac:dyDescent="0.2">
      <c r="A295" s="13"/>
      <c r="B295" s="13"/>
      <c r="C295" s="13"/>
      <c r="D295" s="1" t="str">
        <f>IFERROR(INDEX('20 2026 DEPO KABUL'!$B$2:$B$501,MATCH(C295,'20 2026 DEPO KABUL'!$F$2:$F$501,0)),"")</f>
        <v/>
      </c>
      <c r="E295" s="13"/>
      <c r="F295" s="13"/>
      <c r="G295" s="1" t="str">
        <f>IFERROR(INDEX('20 2026 DEPO KABUL'!$G$2:$G$501,MATCH(C295,'20 2026 DEPO KABUL'!$F$2:$F$501,0)),"")</f>
        <v/>
      </c>
      <c r="H295" s="1" t="str">
        <f>IFERROR(INDEX('20 2026 DEPO KABUL'!$H$2:$H$501,MATCH(C295,'20 2026 DEPO KABUL'!$F$2:$F$501,0)),"")</f>
        <v/>
      </c>
      <c r="I295" s="13"/>
      <c r="J295" s="13"/>
    </row>
    <row r="296" spans="1:10" ht="15" customHeight="1" x14ac:dyDescent="0.2">
      <c r="A296" s="13"/>
      <c r="B296" s="13"/>
      <c r="C296" s="13"/>
      <c r="D296" s="1" t="str">
        <f>IFERROR(INDEX('20 2026 DEPO KABUL'!$B$2:$B$501,MATCH(C296,'20 2026 DEPO KABUL'!$F$2:$F$501,0)),"")</f>
        <v/>
      </c>
      <c r="E296" s="13"/>
      <c r="F296" s="13"/>
      <c r="G296" s="1" t="str">
        <f>IFERROR(INDEX('20 2026 DEPO KABUL'!$G$2:$G$501,MATCH(C296,'20 2026 DEPO KABUL'!$F$2:$F$501,0)),"")</f>
        <v/>
      </c>
      <c r="H296" s="1" t="str">
        <f>IFERROR(INDEX('20 2026 DEPO KABUL'!$H$2:$H$501,MATCH(C296,'20 2026 DEPO KABUL'!$F$2:$F$501,0)),"")</f>
        <v/>
      </c>
      <c r="I296" s="13"/>
      <c r="J296" s="13"/>
    </row>
    <row r="297" spans="1:10" ht="15" customHeight="1" x14ac:dyDescent="0.2">
      <c r="A297" s="13"/>
      <c r="B297" s="13"/>
      <c r="C297" s="13"/>
      <c r="D297" s="1" t="str">
        <f>IFERROR(INDEX('20 2026 DEPO KABUL'!$B$2:$B$501,MATCH(C297,'20 2026 DEPO KABUL'!$F$2:$F$501,0)),"")</f>
        <v/>
      </c>
      <c r="E297" s="13"/>
      <c r="F297" s="13"/>
      <c r="G297" s="1" t="str">
        <f>IFERROR(INDEX('20 2026 DEPO KABUL'!$G$2:$G$501,MATCH(C297,'20 2026 DEPO KABUL'!$F$2:$F$501,0)),"")</f>
        <v/>
      </c>
      <c r="H297" s="1" t="str">
        <f>IFERROR(INDEX('20 2026 DEPO KABUL'!$H$2:$H$501,MATCH(C297,'20 2026 DEPO KABUL'!$F$2:$F$501,0)),"")</f>
        <v/>
      </c>
      <c r="I297" s="13"/>
      <c r="J297" s="13"/>
    </row>
    <row r="298" spans="1:10" ht="15" customHeight="1" x14ac:dyDescent="0.2">
      <c r="A298" s="13"/>
      <c r="B298" s="13"/>
      <c r="C298" s="13"/>
      <c r="D298" s="1" t="str">
        <f>IFERROR(INDEX('20 2026 DEPO KABUL'!$B$2:$B$501,MATCH(C298,'20 2026 DEPO KABUL'!$F$2:$F$501,0)),"")</f>
        <v/>
      </c>
      <c r="E298" s="13"/>
      <c r="F298" s="13"/>
      <c r="G298" s="1" t="str">
        <f>IFERROR(INDEX('20 2026 DEPO KABUL'!$G$2:$G$501,MATCH(C298,'20 2026 DEPO KABUL'!$F$2:$F$501,0)),"")</f>
        <v/>
      </c>
      <c r="H298" s="1" t="str">
        <f>IFERROR(INDEX('20 2026 DEPO KABUL'!$H$2:$H$501,MATCH(C298,'20 2026 DEPO KABUL'!$F$2:$F$501,0)),"")</f>
        <v/>
      </c>
      <c r="I298" s="13"/>
      <c r="J298" s="13"/>
    </row>
    <row r="299" spans="1:10" ht="15" customHeight="1" x14ac:dyDescent="0.2">
      <c r="A299" s="13"/>
      <c r="B299" s="13"/>
      <c r="C299" s="13"/>
      <c r="D299" s="1" t="str">
        <f>IFERROR(INDEX('20 2026 DEPO KABUL'!$B$2:$B$501,MATCH(C299,'20 2026 DEPO KABUL'!$F$2:$F$501,0)),"")</f>
        <v/>
      </c>
      <c r="E299" s="13"/>
      <c r="F299" s="13"/>
      <c r="G299" s="1" t="str">
        <f>IFERROR(INDEX('20 2026 DEPO KABUL'!$G$2:$G$501,MATCH(C299,'20 2026 DEPO KABUL'!$F$2:$F$501,0)),"")</f>
        <v/>
      </c>
      <c r="H299" s="1" t="str">
        <f>IFERROR(INDEX('20 2026 DEPO KABUL'!$H$2:$H$501,MATCH(C299,'20 2026 DEPO KABUL'!$F$2:$F$501,0)),"")</f>
        <v/>
      </c>
      <c r="I299" s="13"/>
      <c r="J299" s="13"/>
    </row>
    <row r="300" spans="1:10" ht="15" customHeight="1" x14ac:dyDescent="0.2">
      <c r="A300" s="13"/>
      <c r="B300" s="13"/>
      <c r="C300" s="13"/>
      <c r="D300" s="1" t="str">
        <f>IFERROR(INDEX('20 2026 DEPO KABUL'!$B$2:$B$501,MATCH(C300,'20 2026 DEPO KABUL'!$F$2:$F$501,0)),"")</f>
        <v/>
      </c>
      <c r="E300" s="13"/>
      <c r="F300" s="13"/>
      <c r="G300" s="1" t="str">
        <f>IFERROR(INDEX('20 2026 DEPO KABUL'!$G$2:$G$501,MATCH(C300,'20 2026 DEPO KABUL'!$F$2:$F$501,0)),"")</f>
        <v/>
      </c>
      <c r="H300" s="1" t="str">
        <f>IFERROR(INDEX('20 2026 DEPO KABUL'!$H$2:$H$501,MATCH(C300,'20 2026 DEPO KABUL'!$F$2:$F$501,0)),"")</f>
        <v/>
      </c>
      <c r="I300" s="13"/>
      <c r="J300" s="13"/>
    </row>
    <row r="301" spans="1:10" ht="15" customHeight="1" x14ac:dyDescent="0.2">
      <c r="A301" s="13"/>
      <c r="B301" s="13"/>
      <c r="C301" s="13"/>
      <c r="D301" s="1" t="str">
        <f>IFERROR(INDEX('20 2026 DEPO KABUL'!$B$2:$B$501,MATCH(C301,'20 2026 DEPO KABUL'!$F$2:$F$501,0)),"")</f>
        <v/>
      </c>
      <c r="E301" s="13"/>
      <c r="F301" s="13"/>
      <c r="G301" s="1" t="str">
        <f>IFERROR(INDEX('20 2026 DEPO KABUL'!$G$2:$G$501,MATCH(C301,'20 2026 DEPO KABUL'!$F$2:$F$501,0)),"")</f>
        <v/>
      </c>
      <c r="H301" s="1" t="str">
        <f>IFERROR(INDEX('20 2026 DEPO KABUL'!$H$2:$H$501,MATCH(C301,'20 2026 DEPO KABUL'!$F$2:$F$501,0)),"")</f>
        <v/>
      </c>
      <c r="I301" s="13"/>
      <c r="J301" s="13"/>
    </row>
    <row r="302" spans="1:10" ht="15" customHeight="1" x14ac:dyDescent="0.2">
      <c r="A302" s="13"/>
      <c r="B302" s="13"/>
      <c r="C302" s="13"/>
      <c r="D302" s="1" t="str">
        <f>IFERROR(INDEX('20 2026 DEPO KABUL'!$B$2:$B$501,MATCH(C302,'20 2026 DEPO KABUL'!$F$2:$F$501,0)),"")</f>
        <v/>
      </c>
      <c r="E302" s="13"/>
      <c r="F302" s="13"/>
      <c r="G302" s="1" t="str">
        <f>IFERROR(INDEX('20 2026 DEPO KABUL'!$G$2:$G$501,MATCH(C302,'20 2026 DEPO KABUL'!$F$2:$F$501,0)),"")</f>
        <v/>
      </c>
      <c r="H302" s="1" t="str">
        <f>IFERROR(INDEX('20 2026 DEPO KABUL'!$H$2:$H$501,MATCH(C302,'20 2026 DEPO KABUL'!$F$2:$F$501,0)),"")</f>
        <v/>
      </c>
      <c r="I302" s="13"/>
      <c r="J302" s="13"/>
    </row>
    <row r="303" spans="1:10" ht="15" customHeight="1" x14ac:dyDescent="0.2">
      <c r="A303" s="13"/>
      <c r="B303" s="13"/>
      <c r="C303" s="13"/>
      <c r="D303" s="1" t="str">
        <f>IFERROR(INDEX('20 2026 DEPO KABUL'!$B$2:$B$501,MATCH(C303,'20 2026 DEPO KABUL'!$F$2:$F$501,0)),"")</f>
        <v/>
      </c>
      <c r="E303" s="13"/>
      <c r="F303" s="13"/>
      <c r="G303" s="1" t="str">
        <f>IFERROR(INDEX('20 2026 DEPO KABUL'!$G$2:$G$501,MATCH(C303,'20 2026 DEPO KABUL'!$F$2:$F$501,0)),"")</f>
        <v/>
      </c>
      <c r="H303" s="1" t="str">
        <f>IFERROR(INDEX('20 2026 DEPO KABUL'!$H$2:$H$501,MATCH(C303,'20 2026 DEPO KABUL'!$F$2:$F$501,0)),"")</f>
        <v/>
      </c>
      <c r="I303" s="13"/>
      <c r="J303" s="13"/>
    </row>
    <row r="304" spans="1:10" ht="15" customHeight="1" x14ac:dyDescent="0.2">
      <c r="A304" s="13"/>
      <c r="B304" s="13"/>
      <c r="C304" s="13"/>
      <c r="D304" s="1" t="str">
        <f>IFERROR(INDEX('20 2026 DEPO KABUL'!$B$2:$B$501,MATCH(C304,'20 2026 DEPO KABUL'!$F$2:$F$501,0)),"")</f>
        <v/>
      </c>
      <c r="E304" s="13"/>
      <c r="F304" s="13"/>
      <c r="G304" s="1" t="str">
        <f>IFERROR(INDEX('20 2026 DEPO KABUL'!$G$2:$G$501,MATCH(C304,'20 2026 DEPO KABUL'!$F$2:$F$501,0)),"")</f>
        <v/>
      </c>
      <c r="H304" s="1" t="str">
        <f>IFERROR(INDEX('20 2026 DEPO KABUL'!$H$2:$H$501,MATCH(C304,'20 2026 DEPO KABUL'!$F$2:$F$501,0)),"")</f>
        <v/>
      </c>
      <c r="I304" s="13"/>
      <c r="J304" s="13"/>
    </row>
    <row r="305" spans="1:10" ht="15" customHeight="1" x14ac:dyDescent="0.2">
      <c r="A305" s="13"/>
      <c r="B305" s="13"/>
      <c r="C305" s="13"/>
      <c r="D305" s="1" t="str">
        <f>IFERROR(INDEX('20 2026 DEPO KABUL'!$B$2:$B$501,MATCH(C305,'20 2026 DEPO KABUL'!$F$2:$F$501,0)),"")</f>
        <v/>
      </c>
      <c r="E305" s="13"/>
      <c r="F305" s="13"/>
      <c r="G305" s="1" t="str">
        <f>IFERROR(INDEX('20 2026 DEPO KABUL'!$G$2:$G$501,MATCH(C305,'20 2026 DEPO KABUL'!$F$2:$F$501,0)),"")</f>
        <v/>
      </c>
      <c r="H305" s="1" t="str">
        <f>IFERROR(INDEX('20 2026 DEPO KABUL'!$H$2:$H$501,MATCH(C305,'20 2026 DEPO KABUL'!$F$2:$F$501,0)),"")</f>
        <v/>
      </c>
      <c r="I305" s="13"/>
      <c r="J305" s="13"/>
    </row>
    <row r="306" spans="1:10" ht="15" customHeight="1" x14ac:dyDescent="0.2">
      <c r="A306" s="13"/>
      <c r="B306" s="13"/>
      <c r="C306" s="13"/>
      <c r="D306" s="1" t="str">
        <f>IFERROR(INDEX('20 2026 DEPO KABUL'!$B$2:$B$501,MATCH(C306,'20 2026 DEPO KABUL'!$F$2:$F$501,0)),"")</f>
        <v/>
      </c>
      <c r="E306" s="13"/>
      <c r="F306" s="13"/>
      <c r="G306" s="1" t="str">
        <f>IFERROR(INDEX('20 2026 DEPO KABUL'!$G$2:$G$501,MATCH(C306,'20 2026 DEPO KABUL'!$F$2:$F$501,0)),"")</f>
        <v/>
      </c>
      <c r="H306" s="1" t="str">
        <f>IFERROR(INDEX('20 2026 DEPO KABUL'!$H$2:$H$501,MATCH(C306,'20 2026 DEPO KABUL'!$F$2:$F$501,0)),"")</f>
        <v/>
      </c>
      <c r="I306" s="13"/>
      <c r="J306" s="13"/>
    </row>
    <row r="307" spans="1:10" ht="15" customHeight="1" x14ac:dyDescent="0.2">
      <c r="A307" s="13"/>
      <c r="B307" s="13"/>
      <c r="C307" s="13"/>
      <c r="D307" s="1" t="str">
        <f>IFERROR(INDEX('20 2026 DEPO KABUL'!$B$2:$B$501,MATCH(C307,'20 2026 DEPO KABUL'!$F$2:$F$501,0)),"")</f>
        <v/>
      </c>
      <c r="E307" s="13"/>
      <c r="F307" s="13"/>
      <c r="G307" s="1" t="str">
        <f>IFERROR(INDEX('20 2026 DEPO KABUL'!$G$2:$G$501,MATCH(C307,'20 2026 DEPO KABUL'!$F$2:$F$501,0)),"")</f>
        <v/>
      </c>
      <c r="H307" s="1" t="str">
        <f>IFERROR(INDEX('20 2026 DEPO KABUL'!$H$2:$H$501,MATCH(C307,'20 2026 DEPO KABUL'!$F$2:$F$501,0)),"")</f>
        <v/>
      </c>
      <c r="I307" s="13"/>
      <c r="J307" s="13"/>
    </row>
    <row r="308" spans="1:10" ht="15" customHeight="1" x14ac:dyDescent="0.2">
      <c r="A308" s="13"/>
      <c r="B308" s="13"/>
      <c r="C308" s="13"/>
      <c r="D308" s="1" t="str">
        <f>IFERROR(INDEX('20 2026 DEPO KABUL'!$B$2:$B$501,MATCH(C308,'20 2026 DEPO KABUL'!$F$2:$F$501,0)),"")</f>
        <v/>
      </c>
      <c r="E308" s="13"/>
      <c r="F308" s="13"/>
      <c r="G308" s="1" t="str">
        <f>IFERROR(INDEX('20 2026 DEPO KABUL'!$G$2:$G$501,MATCH(C308,'20 2026 DEPO KABUL'!$F$2:$F$501,0)),"")</f>
        <v/>
      </c>
      <c r="H308" s="1" t="str">
        <f>IFERROR(INDEX('20 2026 DEPO KABUL'!$H$2:$H$501,MATCH(C308,'20 2026 DEPO KABUL'!$F$2:$F$501,0)),"")</f>
        <v/>
      </c>
      <c r="I308" s="13"/>
      <c r="J308" s="13"/>
    </row>
    <row r="309" spans="1:10" ht="15" customHeight="1" x14ac:dyDescent="0.2">
      <c r="A309" s="13"/>
      <c r="B309" s="13"/>
      <c r="C309" s="13"/>
      <c r="D309" s="1" t="str">
        <f>IFERROR(INDEX('20 2026 DEPO KABUL'!$B$2:$B$501,MATCH(C309,'20 2026 DEPO KABUL'!$F$2:$F$501,0)),"")</f>
        <v/>
      </c>
      <c r="E309" s="13"/>
      <c r="F309" s="13"/>
      <c r="G309" s="1" t="str">
        <f>IFERROR(INDEX('20 2026 DEPO KABUL'!$G$2:$G$501,MATCH(C309,'20 2026 DEPO KABUL'!$F$2:$F$501,0)),"")</f>
        <v/>
      </c>
      <c r="H309" s="1" t="str">
        <f>IFERROR(INDEX('20 2026 DEPO KABUL'!$H$2:$H$501,MATCH(C309,'20 2026 DEPO KABUL'!$F$2:$F$501,0)),"")</f>
        <v/>
      </c>
      <c r="I309" s="13"/>
      <c r="J309" s="13"/>
    </row>
    <row r="310" spans="1:10" ht="15" customHeight="1" x14ac:dyDescent="0.2">
      <c r="A310" s="13"/>
      <c r="B310" s="13"/>
      <c r="C310" s="13"/>
      <c r="D310" s="1" t="str">
        <f>IFERROR(INDEX('20 2026 DEPO KABUL'!$B$2:$B$501,MATCH(C310,'20 2026 DEPO KABUL'!$F$2:$F$501,0)),"")</f>
        <v/>
      </c>
      <c r="E310" s="13"/>
      <c r="F310" s="13"/>
      <c r="G310" s="1" t="str">
        <f>IFERROR(INDEX('20 2026 DEPO KABUL'!$G$2:$G$501,MATCH(C310,'20 2026 DEPO KABUL'!$F$2:$F$501,0)),"")</f>
        <v/>
      </c>
      <c r="H310" s="1" t="str">
        <f>IFERROR(INDEX('20 2026 DEPO KABUL'!$H$2:$H$501,MATCH(C310,'20 2026 DEPO KABUL'!$F$2:$F$501,0)),"")</f>
        <v/>
      </c>
      <c r="I310" s="13"/>
      <c r="J310" s="13"/>
    </row>
    <row r="311" spans="1:10" ht="15" customHeight="1" x14ac:dyDescent="0.2">
      <c r="A311" s="13"/>
      <c r="B311" s="13"/>
      <c r="C311" s="13"/>
      <c r="D311" s="1" t="str">
        <f>IFERROR(INDEX('20 2026 DEPO KABUL'!$B$2:$B$501,MATCH(C311,'20 2026 DEPO KABUL'!$F$2:$F$501,0)),"")</f>
        <v/>
      </c>
      <c r="E311" s="13"/>
      <c r="F311" s="13"/>
      <c r="G311" s="1" t="str">
        <f>IFERROR(INDEX('20 2026 DEPO KABUL'!$G$2:$G$501,MATCH(C311,'20 2026 DEPO KABUL'!$F$2:$F$501,0)),"")</f>
        <v/>
      </c>
      <c r="H311" s="1" t="str">
        <f>IFERROR(INDEX('20 2026 DEPO KABUL'!$H$2:$H$501,MATCH(C311,'20 2026 DEPO KABUL'!$F$2:$F$501,0)),"")</f>
        <v/>
      </c>
      <c r="I311" s="13"/>
      <c r="J311" s="13"/>
    </row>
    <row r="312" spans="1:10" ht="15" customHeight="1" x14ac:dyDescent="0.2">
      <c r="A312" s="13"/>
      <c r="B312" s="13"/>
      <c r="C312" s="13"/>
      <c r="D312" s="1" t="str">
        <f>IFERROR(INDEX('20 2026 DEPO KABUL'!$B$2:$B$501,MATCH(C312,'20 2026 DEPO KABUL'!$F$2:$F$501,0)),"")</f>
        <v/>
      </c>
      <c r="E312" s="13"/>
      <c r="F312" s="13"/>
      <c r="G312" s="1" t="str">
        <f>IFERROR(INDEX('20 2026 DEPO KABUL'!$G$2:$G$501,MATCH(C312,'20 2026 DEPO KABUL'!$F$2:$F$501,0)),"")</f>
        <v/>
      </c>
      <c r="H312" s="1" t="str">
        <f>IFERROR(INDEX('20 2026 DEPO KABUL'!$H$2:$H$501,MATCH(C312,'20 2026 DEPO KABUL'!$F$2:$F$501,0)),"")</f>
        <v/>
      </c>
      <c r="I312" s="13"/>
      <c r="J312" s="13"/>
    </row>
    <row r="313" spans="1:10" ht="15" customHeight="1" x14ac:dyDescent="0.2">
      <c r="A313" s="13"/>
      <c r="B313" s="13"/>
      <c r="C313" s="13"/>
      <c r="D313" s="1" t="str">
        <f>IFERROR(INDEX('20 2026 DEPO KABUL'!$B$2:$B$501,MATCH(C313,'20 2026 DEPO KABUL'!$F$2:$F$501,0)),"")</f>
        <v/>
      </c>
      <c r="E313" s="13"/>
      <c r="F313" s="13"/>
      <c r="G313" s="1" t="str">
        <f>IFERROR(INDEX('20 2026 DEPO KABUL'!$G$2:$G$501,MATCH(C313,'20 2026 DEPO KABUL'!$F$2:$F$501,0)),"")</f>
        <v/>
      </c>
      <c r="H313" s="1" t="str">
        <f>IFERROR(INDEX('20 2026 DEPO KABUL'!$H$2:$H$501,MATCH(C313,'20 2026 DEPO KABUL'!$F$2:$F$501,0)),"")</f>
        <v/>
      </c>
      <c r="I313" s="13"/>
      <c r="J313" s="13"/>
    </row>
    <row r="314" spans="1:10" ht="15" customHeight="1" x14ac:dyDescent="0.2">
      <c r="A314" s="13"/>
      <c r="B314" s="13"/>
      <c r="C314" s="13"/>
      <c r="D314" s="1" t="str">
        <f>IFERROR(INDEX('20 2026 DEPO KABUL'!$B$2:$B$501,MATCH(C314,'20 2026 DEPO KABUL'!$F$2:$F$501,0)),"")</f>
        <v/>
      </c>
      <c r="E314" s="13"/>
      <c r="F314" s="13"/>
      <c r="G314" s="1" t="str">
        <f>IFERROR(INDEX('20 2026 DEPO KABUL'!$G$2:$G$501,MATCH(C314,'20 2026 DEPO KABUL'!$F$2:$F$501,0)),"")</f>
        <v/>
      </c>
      <c r="H314" s="1" t="str">
        <f>IFERROR(INDEX('20 2026 DEPO KABUL'!$H$2:$H$501,MATCH(C314,'20 2026 DEPO KABUL'!$F$2:$F$501,0)),"")</f>
        <v/>
      </c>
      <c r="I314" s="13"/>
      <c r="J314" s="13"/>
    </row>
    <row r="315" spans="1:10" ht="15" customHeight="1" x14ac:dyDescent="0.2">
      <c r="A315" s="13"/>
      <c r="B315" s="13"/>
      <c r="C315" s="13"/>
      <c r="D315" s="1" t="str">
        <f>IFERROR(INDEX('20 2026 DEPO KABUL'!$B$2:$B$501,MATCH(C315,'20 2026 DEPO KABUL'!$F$2:$F$501,0)),"")</f>
        <v/>
      </c>
      <c r="E315" s="13"/>
      <c r="F315" s="13"/>
      <c r="G315" s="1" t="str">
        <f>IFERROR(INDEX('20 2026 DEPO KABUL'!$G$2:$G$501,MATCH(C315,'20 2026 DEPO KABUL'!$F$2:$F$501,0)),"")</f>
        <v/>
      </c>
      <c r="H315" s="1" t="str">
        <f>IFERROR(INDEX('20 2026 DEPO KABUL'!$H$2:$H$501,MATCH(C315,'20 2026 DEPO KABUL'!$F$2:$F$501,0)),"")</f>
        <v/>
      </c>
      <c r="I315" s="13"/>
      <c r="J315" s="13"/>
    </row>
    <row r="316" spans="1:10" ht="15" customHeight="1" x14ac:dyDescent="0.2">
      <c r="A316" s="13"/>
      <c r="B316" s="13"/>
      <c r="C316" s="13"/>
      <c r="D316" s="1" t="str">
        <f>IFERROR(INDEX('20 2026 DEPO KABUL'!$B$2:$B$501,MATCH(C316,'20 2026 DEPO KABUL'!$F$2:$F$501,0)),"")</f>
        <v/>
      </c>
      <c r="E316" s="13"/>
      <c r="F316" s="13"/>
      <c r="G316" s="1" t="str">
        <f>IFERROR(INDEX('20 2026 DEPO KABUL'!$G$2:$G$501,MATCH(C316,'20 2026 DEPO KABUL'!$F$2:$F$501,0)),"")</f>
        <v/>
      </c>
      <c r="H316" s="1" t="str">
        <f>IFERROR(INDEX('20 2026 DEPO KABUL'!$H$2:$H$501,MATCH(C316,'20 2026 DEPO KABUL'!$F$2:$F$501,0)),"")</f>
        <v/>
      </c>
      <c r="I316" s="13"/>
      <c r="J316" s="13"/>
    </row>
    <row r="317" spans="1:10" ht="15" customHeight="1" x14ac:dyDescent="0.2">
      <c r="A317" s="13"/>
      <c r="B317" s="13"/>
      <c r="C317" s="13"/>
      <c r="D317" s="1" t="str">
        <f>IFERROR(INDEX('20 2026 DEPO KABUL'!$B$2:$B$501,MATCH(C317,'20 2026 DEPO KABUL'!$F$2:$F$501,0)),"")</f>
        <v/>
      </c>
      <c r="E317" s="13"/>
      <c r="F317" s="13"/>
      <c r="G317" s="1" t="str">
        <f>IFERROR(INDEX('20 2026 DEPO KABUL'!$G$2:$G$501,MATCH(C317,'20 2026 DEPO KABUL'!$F$2:$F$501,0)),"")</f>
        <v/>
      </c>
      <c r="H317" s="1" t="str">
        <f>IFERROR(INDEX('20 2026 DEPO KABUL'!$H$2:$H$501,MATCH(C317,'20 2026 DEPO KABUL'!$F$2:$F$501,0)),"")</f>
        <v/>
      </c>
      <c r="I317" s="13"/>
      <c r="J317" s="13"/>
    </row>
    <row r="318" spans="1:10" ht="15" customHeight="1" x14ac:dyDescent="0.2">
      <c r="A318" s="13"/>
      <c r="B318" s="13"/>
      <c r="C318" s="13"/>
      <c r="D318" s="1" t="str">
        <f>IFERROR(INDEX('20 2026 DEPO KABUL'!$B$2:$B$501,MATCH(C318,'20 2026 DEPO KABUL'!$F$2:$F$501,0)),"")</f>
        <v/>
      </c>
      <c r="E318" s="13"/>
      <c r="F318" s="13"/>
      <c r="G318" s="1" t="str">
        <f>IFERROR(INDEX('20 2026 DEPO KABUL'!$G$2:$G$501,MATCH(C318,'20 2026 DEPO KABUL'!$F$2:$F$501,0)),"")</f>
        <v/>
      </c>
      <c r="H318" s="1" t="str">
        <f>IFERROR(INDEX('20 2026 DEPO KABUL'!$H$2:$H$501,MATCH(C318,'20 2026 DEPO KABUL'!$F$2:$F$501,0)),"")</f>
        <v/>
      </c>
      <c r="I318" s="13"/>
      <c r="J318" s="13"/>
    </row>
    <row r="319" spans="1:10" ht="15" customHeight="1" x14ac:dyDescent="0.2">
      <c r="A319" s="13"/>
      <c r="B319" s="13"/>
      <c r="C319" s="13"/>
      <c r="D319" s="1" t="str">
        <f>IFERROR(INDEX('20 2026 DEPO KABUL'!$B$2:$B$501,MATCH(C319,'20 2026 DEPO KABUL'!$F$2:$F$501,0)),"")</f>
        <v/>
      </c>
      <c r="E319" s="13"/>
      <c r="F319" s="13"/>
      <c r="G319" s="1" t="str">
        <f>IFERROR(INDEX('20 2026 DEPO KABUL'!$G$2:$G$501,MATCH(C319,'20 2026 DEPO KABUL'!$F$2:$F$501,0)),"")</f>
        <v/>
      </c>
      <c r="H319" s="1" t="str">
        <f>IFERROR(INDEX('20 2026 DEPO KABUL'!$H$2:$H$501,MATCH(C319,'20 2026 DEPO KABUL'!$F$2:$F$501,0)),"")</f>
        <v/>
      </c>
      <c r="I319" s="13"/>
      <c r="J319" s="13"/>
    </row>
    <row r="320" spans="1:10" ht="15" customHeight="1" x14ac:dyDescent="0.2">
      <c r="A320" s="13"/>
      <c r="B320" s="13"/>
      <c r="C320" s="13"/>
      <c r="D320" s="1" t="str">
        <f>IFERROR(INDEX('20 2026 DEPO KABUL'!$B$2:$B$501,MATCH(C320,'20 2026 DEPO KABUL'!$F$2:$F$501,0)),"")</f>
        <v/>
      </c>
      <c r="E320" s="13"/>
      <c r="F320" s="13"/>
      <c r="G320" s="1" t="str">
        <f>IFERROR(INDEX('20 2026 DEPO KABUL'!$G$2:$G$501,MATCH(C320,'20 2026 DEPO KABUL'!$F$2:$F$501,0)),"")</f>
        <v/>
      </c>
      <c r="H320" s="1" t="str">
        <f>IFERROR(INDEX('20 2026 DEPO KABUL'!$H$2:$H$501,MATCH(C320,'20 2026 DEPO KABUL'!$F$2:$F$501,0)),"")</f>
        <v/>
      </c>
      <c r="I320" s="13"/>
      <c r="J320" s="13"/>
    </row>
    <row r="321" spans="1:10" ht="15" customHeight="1" x14ac:dyDescent="0.2">
      <c r="A321" s="13"/>
      <c r="B321" s="13"/>
      <c r="C321" s="13"/>
      <c r="D321" s="1" t="str">
        <f>IFERROR(INDEX('20 2026 DEPO KABUL'!$B$2:$B$501,MATCH(C321,'20 2026 DEPO KABUL'!$F$2:$F$501,0)),"")</f>
        <v/>
      </c>
      <c r="E321" s="13"/>
      <c r="F321" s="13"/>
      <c r="G321" s="1" t="str">
        <f>IFERROR(INDEX('20 2026 DEPO KABUL'!$G$2:$G$501,MATCH(C321,'20 2026 DEPO KABUL'!$F$2:$F$501,0)),"")</f>
        <v/>
      </c>
      <c r="H321" s="1" t="str">
        <f>IFERROR(INDEX('20 2026 DEPO KABUL'!$H$2:$H$501,MATCH(C321,'20 2026 DEPO KABUL'!$F$2:$F$501,0)),"")</f>
        <v/>
      </c>
      <c r="I321" s="13"/>
      <c r="J321" s="13"/>
    </row>
    <row r="322" spans="1:10" ht="15" customHeight="1" x14ac:dyDescent="0.2">
      <c r="A322" s="13"/>
      <c r="B322" s="13"/>
      <c r="C322" s="13"/>
      <c r="D322" s="1" t="str">
        <f>IFERROR(INDEX('20 2026 DEPO KABUL'!$B$2:$B$501,MATCH(C322,'20 2026 DEPO KABUL'!$F$2:$F$501,0)),"")</f>
        <v/>
      </c>
      <c r="E322" s="13"/>
      <c r="F322" s="13"/>
      <c r="G322" s="1" t="str">
        <f>IFERROR(INDEX('20 2026 DEPO KABUL'!$G$2:$G$501,MATCH(C322,'20 2026 DEPO KABUL'!$F$2:$F$501,0)),"")</f>
        <v/>
      </c>
      <c r="H322" s="1" t="str">
        <f>IFERROR(INDEX('20 2026 DEPO KABUL'!$H$2:$H$501,MATCH(C322,'20 2026 DEPO KABUL'!$F$2:$F$501,0)),"")</f>
        <v/>
      </c>
      <c r="I322" s="13"/>
      <c r="J322" s="13"/>
    </row>
    <row r="323" spans="1:10" ht="15" customHeight="1" x14ac:dyDescent="0.2">
      <c r="A323" s="13"/>
      <c r="B323" s="13"/>
      <c r="C323" s="13"/>
      <c r="D323" s="1" t="str">
        <f>IFERROR(INDEX('20 2026 DEPO KABUL'!$B$2:$B$501,MATCH(C323,'20 2026 DEPO KABUL'!$F$2:$F$501,0)),"")</f>
        <v/>
      </c>
      <c r="E323" s="13"/>
      <c r="F323" s="13"/>
      <c r="G323" s="1" t="str">
        <f>IFERROR(INDEX('20 2026 DEPO KABUL'!$G$2:$G$501,MATCH(C323,'20 2026 DEPO KABUL'!$F$2:$F$501,0)),"")</f>
        <v/>
      </c>
      <c r="H323" s="1" t="str">
        <f>IFERROR(INDEX('20 2026 DEPO KABUL'!$H$2:$H$501,MATCH(C323,'20 2026 DEPO KABUL'!$F$2:$F$501,0)),"")</f>
        <v/>
      </c>
      <c r="I323" s="13"/>
      <c r="J323" s="13"/>
    </row>
    <row r="324" spans="1:10" ht="15" customHeight="1" x14ac:dyDescent="0.2">
      <c r="A324" s="13"/>
      <c r="B324" s="13"/>
      <c r="C324" s="13"/>
      <c r="D324" s="1" t="str">
        <f>IFERROR(INDEX('20 2026 DEPO KABUL'!$B$2:$B$501,MATCH(C324,'20 2026 DEPO KABUL'!$F$2:$F$501,0)),"")</f>
        <v/>
      </c>
      <c r="E324" s="13"/>
      <c r="F324" s="13"/>
      <c r="G324" s="1" t="str">
        <f>IFERROR(INDEX('20 2026 DEPO KABUL'!$G$2:$G$501,MATCH(C324,'20 2026 DEPO KABUL'!$F$2:$F$501,0)),"")</f>
        <v/>
      </c>
      <c r="H324" s="1" t="str">
        <f>IFERROR(INDEX('20 2026 DEPO KABUL'!$H$2:$H$501,MATCH(C324,'20 2026 DEPO KABUL'!$F$2:$F$501,0)),"")</f>
        <v/>
      </c>
      <c r="I324" s="13"/>
      <c r="J324" s="13"/>
    </row>
    <row r="325" spans="1:10" ht="15" customHeight="1" x14ac:dyDescent="0.2">
      <c r="A325" s="13"/>
      <c r="B325" s="13"/>
      <c r="C325" s="13"/>
      <c r="D325" s="1" t="str">
        <f>IFERROR(INDEX('20 2026 DEPO KABUL'!$B$2:$B$501,MATCH(C325,'20 2026 DEPO KABUL'!$F$2:$F$501,0)),"")</f>
        <v/>
      </c>
      <c r="E325" s="13"/>
      <c r="F325" s="13"/>
      <c r="G325" s="1" t="str">
        <f>IFERROR(INDEX('20 2026 DEPO KABUL'!$G$2:$G$501,MATCH(C325,'20 2026 DEPO KABUL'!$F$2:$F$501,0)),"")</f>
        <v/>
      </c>
      <c r="H325" s="1" t="str">
        <f>IFERROR(INDEX('20 2026 DEPO KABUL'!$H$2:$H$501,MATCH(C325,'20 2026 DEPO KABUL'!$F$2:$F$501,0)),"")</f>
        <v/>
      </c>
      <c r="I325" s="13"/>
      <c r="J325" s="13"/>
    </row>
    <row r="326" spans="1:10" ht="15" customHeight="1" x14ac:dyDescent="0.2">
      <c r="A326" s="13"/>
      <c r="B326" s="13"/>
      <c r="C326" s="13"/>
      <c r="D326" s="1" t="str">
        <f>IFERROR(INDEX('20 2026 DEPO KABUL'!$B$2:$B$501,MATCH(C326,'20 2026 DEPO KABUL'!$F$2:$F$501,0)),"")</f>
        <v/>
      </c>
      <c r="E326" s="13"/>
      <c r="F326" s="13"/>
      <c r="G326" s="1" t="str">
        <f>IFERROR(INDEX('20 2026 DEPO KABUL'!$G$2:$G$501,MATCH(C326,'20 2026 DEPO KABUL'!$F$2:$F$501,0)),"")</f>
        <v/>
      </c>
      <c r="H326" s="1" t="str">
        <f>IFERROR(INDEX('20 2026 DEPO KABUL'!$H$2:$H$501,MATCH(C326,'20 2026 DEPO KABUL'!$F$2:$F$501,0)),"")</f>
        <v/>
      </c>
      <c r="I326" s="13"/>
      <c r="J326" s="13"/>
    </row>
    <row r="327" spans="1:10" ht="15" customHeight="1" x14ac:dyDescent="0.2">
      <c r="A327" s="13"/>
      <c r="B327" s="13"/>
      <c r="C327" s="13"/>
      <c r="D327" s="1" t="str">
        <f>IFERROR(INDEX('20 2026 DEPO KABUL'!$B$2:$B$501,MATCH(C327,'20 2026 DEPO KABUL'!$F$2:$F$501,0)),"")</f>
        <v/>
      </c>
      <c r="E327" s="13"/>
      <c r="F327" s="13"/>
      <c r="G327" s="1" t="str">
        <f>IFERROR(INDEX('20 2026 DEPO KABUL'!$G$2:$G$501,MATCH(C327,'20 2026 DEPO KABUL'!$F$2:$F$501,0)),"")</f>
        <v/>
      </c>
      <c r="H327" s="1" t="str">
        <f>IFERROR(INDEX('20 2026 DEPO KABUL'!$H$2:$H$501,MATCH(C327,'20 2026 DEPO KABUL'!$F$2:$F$501,0)),"")</f>
        <v/>
      </c>
      <c r="I327" s="13"/>
      <c r="J327" s="13"/>
    </row>
    <row r="328" spans="1:10" ht="15" customHeight="1" x14ac:dyDescent="0.2">
      <c r="A328" s="13"/>
      <c r="B328" s="13"/>
      <c r="C328" s="13"/>
      <c r="D328" s="1" t="str">
        <f>IFERROR(INDEX('20 2026 DEPO KABUL'!$B$2:$B$501,MATCH(C328,'20 2026 DEPO KABUL'!$F$2:$F$501,0)),"")</f>
        <v/>
      </c>
      <c r="E328" s="13"/>
      <c r="F328" s="13"/>
      <c r="G328" s="1" t="str">
        <f>IFERROR(INDEX('20 2026 DEPO KABUL'!$G$2:$G$501,MATCH(C328,'20 2026 DEPO KABUL'!$F$2:$F$501,0)),"")</f>
        <v/>
      </c>
      <c r="H328" s="1" t="str">
        <f>IFERROR(INDEX('20 2026 DEPO KABUL'!$H$2:$H$501,MATCH(C328,'20 2026 DEPO KABUL'!$F$2:$F$501,0)),"")</f>
        <v/>
      </c>
      <c r="I328" s="13"/>
      <c r="J328" s="13"/>
    </row>
    <row r="329" spans="1:10" ht="15" customHeight="1" x14ac:dyDescent="0.2">
      <c r="A329" s="13"/>
      <c r="B329" s="13"/>
      <c r="C329" s="13"/>
      <c r="D329" s="1" t="str">
        <f>IFERROR(INDEX('20 2026 DEPO KABUL'!$B$2:$B$501,MATCH(C329,'20 2026 DEPO KABUL'!$F$2:$F$501,0)),"")</f>
        <v/>
      </c>
      <c r="E329" s="13"/>
      <c r="F329" s="13"/>
      <c r="G329" s="1" t="str">
        <f>IFERROR(INDEX('20 2026 DEPO KABUL'!$G$2:$G$501,MATCH(C329,'20 2026 DEPO KABUL'!$F$2:$F$501,0)),"")</f>
        <v/>
      </c>
      <c r="H329" s="1" t="str">
        <f>IFERROR(INDEX('20 2026 DEPO KABUL'!$H$2:$H$501,MATCH(C329,'20 2026 DEPO KABUL'!$F$2:$F$501,0)),"")</f>
        <v/>
      </c>
      <c r="I329" s="13"/>
      <c r="J329" s="13"/>
    </row>
    <row r="330" spans="1:10" ht="15" customHeight="1" x14ac:dyDescent="0.2">
      <c r="A330" s="13"/>
      <c r="B330" s="13"/>
      <c r="C330" s="13"/>
      <c r="D330" s="1" t="str">
        <f>IFERROR(INDEX('20 2026 DEPO KABUL'!$B$2:$B$501,MATCH(C330,'20 2026 DEPO KABUL'!$F$2:$F$501,0)),"")</f>
        <v/>
      </c>
      <c r="E330" s="13"/>
      <c r="F330" s="13"/>
      <c r="G330" s="1" t="str">
        <f>IFERROR(INDEX('20 2026 DEPO KABUL'!$G$2:$G$501,MATCH(C330,'20 2026 DEPO KABUL'!$F$2:$F$501,0)),"")</f>
        <v/>
      </c>
      <c r="H330" s="1" t="str">
        <f>IFERROR(INDEX('20 2026 DEPO KABUL'!$H$2:$H$501,MATCH(C330,'20 2026 DEPO KABUL'!$F$2:$F$501,0)),"")</f>
        <v/>
      </c>
      <c r="I330" s="13"/>
      <c r="J330" s="13"/>
    </row>
    <row r="331" spans="1:10" ht="15" customHeight="1" x14ac:dyDescent="0.2">
      <c r="A331" s="13"/>
      <c r="B331" s="13"/>
      <c r="C331" s="13"/>
      <c r="D331" s="1" t="str">
        <f>IFERROR(INDEX('20 2026 DEPO KABUL'!$B$2:$B$501,MATCH(C331,'20 2026 DEPO KABUL'!$F$2:$F$501,0)),"")</f>
        <v/>
      </c>
      <c r="E331" s="13"/>
      <c r="F331" s="13"/>
      <c r="G331" s="1" t="str">
        <f>IFERROR(INDEX('20 2026 DEPO KABUL'!$G$2:$G$501,MATCH(C331,'20 2026 DEPO KABUL'!$F$2:$F$501,0)),"")</f>
        <v/>
      </c>
      <c r="H331" s="1" t="str">
        <f>IFERROR(INDEX('20 2026 DEPO KABUL'!$H$2:$H$501,MATCH(C331,'20 2026 DEPO KABUL'!$F$2:$F$501,0)),"")</f>
        <v/>
      </c>
      <c r="I331" s="13"/>
      <c r="J331" s="13"/>
    </row>
    <row r="332" spans="1:10" ht="15" customHeight="1" x14ac:dyDescent="0.2">
      <c r="A332" s="13"/>
      <c r="B332" s="13"/>
      <c r="C332" s="13"/>
      <c r="D332" s="1" t="str">
        <f>IFERROR(INDEX('20 2026 DEPO KABUL'!$B$2:$B$501,MATCH(C332,'20 2026 DEPO KABUL'!$F$2:$F$501,0)),"")</f>
        <v/>
      </c>
      <c r="E332" s="13"/>
      <c r="F332" s="13"/>
      <c r="G332" s="1" t="str">
        <f>IFERROR(INDEX('20 2026 DEPO KABUL'!$G$2:$G$501,MATCH(C332,'20 2026 DEPO KABUL'!$F$2:$F$501,0)),"")</f>
        <v/>
      </c>
      <c r="H332" s="1" t="str">
        <f>IFERROR(INDEX('20 2026 DEPO KABUL'!$H$2:$H$501,MATCH(C332,'20 2026 DEPO KABUL'!$F$2:$F$501,0)),"")</f>
        <v/>
      </c>
      <c r="I332" s="13"/>
      <c r="J332" s="13"/>
    </row>
    <row r="333" spans="1:10" ht="15" customHeight="1" x14ac:dyDescent="0.2">
      <c r="A333" s="13"/>
      <c r="B333" s="13"/>
      <c r="C333" s="13"/>
      <c r="D333" s="1" t="str">
        <f>IFERROR(INDEX('20 2026 DEPO KABUL'!$B$2:$B$501,MATCH(C333,'20 2026 DEPO KABUL'!$F$2:$F$501,0)),"")</f>
        <v/>
      </c>
      <c r="E333" s="13"/>
      <c r="F333" s="13"/>
      <c r="G333" s="1" t="str">
        <f>IFERROR(INDEX('20 2026 DEPO KABUL'!$G$2:$G$501,MATCH(C333,'20 2026 DEPO KABUL'!$F$2:$F$501,0)),"")</f>
        <v/>
      </c>
      <c r="H333" s="1" t="str">
        <f>IFERROR(INDEX('20 2026 DEPO KABUL'!$H$2:$H$501,MATCH(C333,'20 2026 DEPO KABUL'!$F$2:$F$501,0)),"")</f>
        <v/>
      </c>
      <c r="I333" s="13"/>
      <c r="J333" s="13"/>
    </row>
    <row r="334" spans="1:10" ht="15" customHeight="1" x14ac:dyDescent="0.2">
      <c r="A334" s="13"/>
      <c r="B334" s="13"/>
      <c r="C334" s="13"/>
      <c r="D334" s="1" t="str">
        <f>IFERROR(INDEX('20 2026 DEPO KABUL'!$B$2:$B$501,MATCH(C334,'20 2026 DEPO KABUL'!$F$2:$F$501,0)),"")</f>
        <v/>
      </c>
      <c r="E334" s="13"/>
      <c r="F334" s="13"/>
      <c r="G334" s="1" t="str">
        <f>IFERROR(INDEX('20 2026 DEPO KABUL'!$G$2:$G$501,MATCH(C334,'20 2026 DEPO KABUL'!$F$2:$F$501,0)),"")</f>
        <v/>
      </c>
      <c r="H334" s="1" t="str">
        <f>IFERROR(INDEX('20 2026 DEPO KABUL'!$H$2:$H$501,MATCH(C334,'20 2026 DEPO KABUL'!$F$2:$F$501,0)),"")</f>
        <v/>
      </c>
      <c r="I334" s="13"/>
      <c r="J334" s="13"/>
    </row>
    <row r="335" spans="1:10" ht="15" customHeight="1" x14ac:dyDescent="0.2">
      <c r="A335" s="13"/>
      <c r="B335" s="13"/>
      <c r="C335" s="13"/>
      <c r="D335" s="1" t="str">
        <f>IFERROR(INDEX('20 2026 DEPO KABUL'!$B$2:$B$501,MATCH(C335,'20 2026 DEPO KABUL'!$F$2:$F$501,0)),"")</f>
        <v/>
      </c>
      <c r="E335" s="13"/>
      <c r="F335" s="13"/>
      <c r="G335" s="1" t="str">
        <f>IFERROR(INDEX('20 2026 DEPO KABUL'!$G$2:$G$501,MATCH(C335,'20 2026 DEPO KABUL'!$F$2:$F$501,0)),"")</f>
        <v/>
      </c>
      <c r="H335" s="1" t="str">
        <f>IFERROR(INDEX('20 2026 DEPO KABUL'!$H$2:$H$501,MATCH(C335,'20 2026 DEPO KABUL'!$F$2:$F$501,0)),"")</f>
        <v/>
      </c>
      <c r="I335" s="13"/>
      <c r="J335" s="13"/>
    </row>
    <row r="336" spans="1:10" ht="15" customHeight="1" x14ac:dyDescent="0.2">
      <c r="A336" s="13"/>
      <c r="B336" s="13"/>
      <c r="C336" s="13"/>
      <c r="D336" s="1" t="str">
        <f>IFERROR(INDEX('20 2026 DEPO KABUL'!$B$2:$B$501,MATCH(C336,'20 2026 DEPO KABUL'!$F$2:$F$501,0)),"")</f>
        <v/>
      </c>
      <c r="E336" s="13"/>
      <c r="F336" s="13"/>
      <c r="G336" s="1" t="str">
        <f>IFERROR(INDEX('20 2026 DEPO KABUL'!$G$2:$G$501,MATCH(C336,'20 2026 DEPO KABUL'!$F$2:$F$501,0)),"")</f>
        <v/>
      </c>
      <c r="H336" s="1" t="str">
        <f>IFERROR(INDEX('20 2026 DEPO KABUL'!$H$2:$H$501,MATCH(C336,'20 2026 DEPO KABUL'!$F$2:$F$501,0)),"")</f>
        <v/>
      </c>
      <c r="I336" s="13"/>
      <c r="J336" s="13"/>
    </row>
    <row r="337" spans="1:10" ht="15" customHeight="1" x14ac:dyDescent="0.2">
      <c r="A337" s="13"/>
      <c r="B337" s="13"/>
      <c r="C337" s="13"/>
      <c r="D337" s="1" t="str">
        <f>IFERROR(INDEX('20 2026 DEPO KABUL'!$B$2:$B$501,MATCH(C337,'20 2026 DEPO KABUL'!$F$2:$F$501,0)),"")</f>
        <v/>
      </c>
      <c r="E337" s="13"/>
      <c r="F337" s="13"/>
      <c r="G337" s="1" t="str">
        <f>IFERROR(INDEX('20 2026 DEPO KABUL'!$G$2:$G$501,MATCH(C337,'20 2026 DEPO KABUL'!$F$2:$F$501,0)),"")</f>
        <v/>
      </c>
      <c r="H337" s="1" t="str">
        <f>IFERROR(INDEX('20 2026 DEPO KABUL'!$H$2:$H$501,MATCH(C337,'20 2026 DEPO KABUL'!$F$2:$F$501,0)),"")</f>
        <v/>
      </c>
      <c r="I337" s="13"/>
      <c r="J337" s="13"/>
    </row>
    <row r="338" spans="1:10" ht="15" customHeight="1" x14ac:dyDescent="0.2">
      <c r="A338" s="13"/>
      <c r="B338" s="13"/>
      <c r="C338" s="13"/>
      <c r="D338" s="1" t="str">
        <f>IFERROR(INDEX('20 2026 DEPO KABUL'!$B$2:$B$501,MATCH(C338,'20 2026 DEPO KABUL'!$F$2:$F$501,0)),"")</f>
        <v/>
      </c>
      <c r="E338" s="13"/>
      <c r="F338" s="13"/>
      <c r="G338" s="1" t="str">
        <f>IFERROR(INDEX('20 2026 DEPO KABUL'!$G$2:$G$501,MATCH(C338,'20 2026 DEPO KABUL'!$F$2:$F$501,0)),"")</f>
        <v/>
      </c>
      <c r="H338" s="1" t="str">
        <f>IFERROR(INDEX('20 2026 DEPO KABUL'!$H$2:$H$501,MATCH(C338,'20 2026 DEPO KABUL'!$F$2:$F$501,0)),"")</f>
        <v/>
      </c>
      <c r="I338" s="13"/>
      <c r="J338" s="13"/>
    </row>
    <row r="339" spans="1:10" ht="15" customHeight="1" x14ac:dyDescent="0.2">
      <c r="A339" s="13"/>
      <c r="B339" s="13"/>
      <c r="C339" s="13"/>
      <c r="D339" s="1" t="str">
        <f>IFERROR(INDEX('20 2026 DEPO KABUL'!$B$2:$B$501,MATCH(C339,'20 2026 DEPO KABUL'!$F$2:$F$501,0)),"")</f>
        <v/>
      </c>
      <c r="E339" s="13"/>
      <c r="F339" s="13"/>
      <c r="G339" s="1" t="str">
        <f>IFERROR(INDEX('20 2026 DEPO KABUL'!$G$2:$G$501,MATCH(C339,'20 2026 DEPO KABUL'!$F$2:$F$501,0)),"")</f>
        <v/>
      </c>
      <c r="H339" s="1" t="str">
        <f>IFERROR(INDEX('20 2026 DEPO KABUL'!$H$2:$H$501,MATCH(C339,'20 2026 DEPO KABUL'!$F$2:$F$501,0)),"")</f>
        <v/>
      </c>
      <c r="I339" s="13"/>
      <c r="J339" s="13"/>
    </row>
    <row r="340" spans="1:10" ht="15" customHeight="1" x14ac:dyDescent="0.2">
      <c r="A340" s="13"/>
      <c r="B340" s="13"/>
      <c r="C340" s="13"/>
      <c r="D340" s="1" t="str">
        <f>IFERROR(INDEX('20 2026 DEPO KABUL'!$B$2:$B$501,MATCH(C340,'20 2026 DEPO KABUL'!$F$2:$F$501,0)),"")</f>
        <v/>
      </c>
      <c r="E340" s="13"/>
      <c r="F340" s="13"/>
      <c r="G340" s="1" t="str">
        <f>IFERROR(INDEX('20 2026 DEPO KABUL'!$G$2:$G$501,MATCH(C340,'20 2026 DEPO KABUL'!$F$2:$F$501,0)),"")</f>
        <v/>
      </c>
      <c r="H340" s="1" t="str">
        <f>IFERROR(INDEX('20 2026 DEPO KABUL'!$H$2:$H$501,MATCH(C340,'20 2026 DEPO KABUL'!$F$2:$F$501,0)),"")</f>
        <v/>
      </c>
      <c r="I340" s="13"/>
      <c r="J340" s="13"/>
    </row>
    <row r="341" spans="1:10" ht="15" customHeight="1" x14ac:dyDescent="0.2">
      <c r="A341" s="13"/>
      <c r="B341" s="13"/>
      <c r="C341" s="13"/>
      <c r="D341" s="1" t="str">
        <f>IFERROR(INDEX('20 2026 DEPO KABUL'!$B$2:$B$501,MATCH(C341,'20 2026 DEPO KABUL'!$F$2:$F$501,0)),"")</f>
        <v/>
      </c>
      <c r="E341" s="13"/>
      <c r="F341" s="13"/>
      <c r="G341" s="1" t="str">
        <f>IFERROR(INDEX('20 2026 DEPO KABUL'!$G$2:$G$501,MATCH(C341,'20 2026 DEPO KABUL'!$F$2:$F$501,0)),"")</f>
        <v/>
      </c>
      <c r="H341" s="1" t="str">
        <f>IFERROR(INDEX('20 2026 DEPO KABUL'!$H$2:$H$501,MATCH(C341,'20 2026 DEPO KABUL'!$F$2:$F$501,0)),"")</f>
        <v/>
      </c>
      <c r="I341" s="13"/>
      <c r="J341" s="13"/>
    </row>
    <row r="342" spans="1:10" ht="15" customHeight="1" x14ac:dyDescent="0.2">
      <c r="A342" s="13"/>
      <c r="B342" s="13"/>
      <c r="C342" s="13"/>
      <c r="D342" s="1" t="str">
        <f>IFERROR(INDEX('20 2026 DEPO KABUL'!$B$2:$B$501,MATCH(C342,'20 2026 DEPO KABUL'!$F$2:$F$501,0)),"")</f>
        <v/>
      </c>
      <c r="E342" s="13"/>
      <c r="F342" s="13"/>
      <c r="G342" s="1" t="str">
        <f>IFERROR(INDEX('20 2026 DEPO KABUL'!$G$2:$G$501,MATCH(C342,'20 2026 DEPO KABUL'!$F$2:$F$501,0)),"")</f>
        <v/>
      </c>
      <c r="H342" s="1" t="str">
        <f>IFERROR(INDEX('20 2026 DEPO KABUL'!$H$2:$H$501,MATCH(C342,'20 2026 DEPO KABUL'!$F$2:$F$501,0)),"")</f>
        <v/>
      </c>
      <c r="I342" s="13"/>
      <c r="J342" s="13"/>
    </row>
    <row r="343" spans="1:10" ht="15" customHeight="1" x14ac:dyDescent="0.2">
      <c r="A343" s="13"/>
      <c r="B343" s="13"/>
      <c r="C343" s="13"/>
      <c r="D343" s="1" t="str">
        <f>IFERROR(INDEX('20 2026 DEPO KABUL'!$B$2:$B$501,MATCH(C343,'20 2026 DEPO KABUL'!$F$2:$F$501,0)),"")</f>
        <v/>
      </c>
      <c r="E343" s="13"/>
      <c r="F343" s="13"/>
      <c r="G343" s="1" t="str">
        <f>IFERROR(INDEX('20 2026 DEPO KABUL'!$G$2:$G$501,MATCH(C343,'20 2026 DEPO KABUL'!$F$2:$F$501,0)),"")</f>
        <v/>
      </c>
      <c r="H343" s="1" t="str">
        <f>IFERROR(INDEX('20 2026 DEPO KABUL'!$H$2:$H$501,MATCH(C343,'20 2026 DEPO KABUL'!$F$2:$F$501,0)),"")</f>
        <v/>
      </c>
      <c r="I343" s="13"/>
      <c r="J343" s="13"/>
    </row>
    <row r="344" spans="1:10" ht="15" customHeight="1" x14ac:dyDescent="0.2">
      <c r="A344" s="13"/>
      <c r="B344" s="13"/>
      <c r="C344" s="13"/>
      <c r="D344" s="1" t="str">
        <f>IFERROR(INDEX('20 2026 DEPO KABUL'!$B$2:$B$501,MATCH(C344,'20 2026 DEPO KABUL'!$F$2:$F$501,0)),"")</f>
        <v/>
      </c>
      <c r="E344" s="13"/>
      <c r="F344" s="13"/>
      <c r="G344" s="1" t="str">
        <f>IFERROR(INDEX('20 2026 DEPO KABUL'!$G$2:$G$501,MATCH(C344,'20 2026 DEPO KABUL'!$F$2:$F$501,0)),"")</f>
        <v/>
      </c>
      <c r="H344" s="1" t="str">
        <f>IFERROR(INDEX('20 2026 DEPO KABUL'!$H$2:$H$501,MATCH(C344,'20 2026 DEPO KABUL'!$F$2:$F$501,0)),"")</f>
        <v/>
      </c>
      <c r="I344" s="13"/>
      <c r="J344" s="13"/>
    </row>
    <row r="345" spans="1:10" ht="15" customHeight="1" x14ac:dyDescent="0.2">
      <c r="A345" s="13"/>
      <c r="B345" s="13"/>
      <c r="C345" s="13"/>
      <c r="D345" s="1" t="str">
        <f>IFERROR(INDEX('20 2026 DEPO KABUL'!$B$2:$B$501,MATCH(C345,'20 2026 DEPO KABUL'!$F$2:$F$501,0)),"")</f>
        <v/>
      </c>
      <c r="E345" s="13"/>
      <c r="F345" s="13"/>
      <c r="G345" s="1" t="str">
        <f>IFERROR(INDEX('20 2026 DEPO KABUL'!$G$2:$G$501,MATCH(C345,'20 2026 DEPO KABUL'!$F$2:$F$501,0)),"")</f>
        <v/>
      </c>
      <c r="H345" s="1" t="str">
        <f>IFERROR(INDEX('20 2026 DEPO KABUL'!$H$2:$H$501,MATCH(C345,'20 2026 DEPO KABUL'!$F$2:$F$501,0)),"")</f>
        <v/>
      </c>
      <c r="I345" s="13"/>
      <c r="J345" s="13"/>
    </row>
    <row r="346" spans="1:10" ht="15" customHeight="1" x14ac:dyDescent="0.2">
      <c r="A346" s="13"/>
      <c r="B346" s="13"/>
      <c r="C346" s="13"/>
      <c r="D346" s="1" t="str">
        <f>IFERROR(INDEX('20 2026 DEPO KABUL'!$B$2:$B$501,MATCH(C346,'20 2026 DEPO KABUL'!$F$2:$F$501,0)),"")</f>
        <v/>
      </c>
      <c r="E346" s="13"/>
      <c r="F346" s="13"/>
      <c r="G346" s="1" t="str">
        <f>IFERROR(INDEX('20 2026 DEPO KABUL'!$G$2:$G$501,MATCH(C346,'20 2026 DEPO KABUL'!$F$2:$F$501,0)),"")</f>
        <v/>
      </c>
      <c r="H346" s="1" t="str">
        <f>IFERROR(INDEX('20 2026 DEPO KABUL'!$H$2:$H$501,MATCH(C346,'20 2026 DEPO KABUL'!$F$2:$F$501,0)),"")</f>
        <v/>
      </c>
      <c r="I346" s="13"/>
      <c r="J346" s="13"/>
    </row>
    <row r="347" spans="1:10" ht="15" customHeight="1" x14ac:dyDescent="0.2">
      <c r="A347" s="13"/>
      <c r="B347" s="13"/>
      <c r="C347" s="13"/>
      <c r="D347" s="1" t="str">
        <f>IFERROR(INDEX('20 2026 DEPO KABUL'!$B$2:$B$501,MATCH(C347,'20 2026 DEPO KABUL'!$F$2:$F$501,0)),"")</f>
        <v/>
      </c>
      <c r="E347" s="13"/>
      <c r="F347" s="13"/>
      <c r="G347" s="1" t="str">
        <f>IFERROR(INDEX('20 2026 DEPO KABUL'!$G$2:$G$501,MATCH(C347,'20 2026 DEPO KABUL'!$F$2:$F$501,0)),"")</f>
        <v/>
      </c>
      <c r="H347" s="1" t="str">
        <f>IFERROR(INDEX('20 2026 DEPO KABUL'!$H$2:$H$501,MATCH(C347,'20 2026 DEPO KABUL'!$F$2:$F$501,0)),"")</f>
        <v/>
      </c>
      <c r="I347" s="13"/>
      <c r="J347" s="13"/>
    </row>
    <row r="348" spans="1:10" ht="15" customHeight="1" x14ac:dyDescent="0.2">
      <c r="A348" s="13"/>
      <c r="B348" s="13"/>
      <c r="C348" s="13"/>
      <c r="D348" s="1" t="str">
        <f>IFERROR(INDEX('20 2026 DEPO KABUL'!$B$2:$B$501,MATCH(C348,'20 2026 DEPO KABUL'!$F$2:$F$501,0)),"")</f>
        <v/>
      </c>
      <c r="E348" s="13"/>
      <c r="F348" s="13"/>
      <c r="G348" s="1" t="str">
        <f>IFERROR(INDEX('20 2026 DEPO KABUL'!$G$2:$G$501,MATCH(C348,'20 2026 DEPO KABUL'!$F$2:$F$501,0)),"")</f>
        <v/>
      </c>
      <c r="H348" s="1" t="str">
        <f>IFERROR(INDEX('20 2026 DEPO KABUL'!$H$2:$H$501,MATCH(C348,'20 2026 DEPO KABUL'!$F$2:$F$501,0)),"")</f>
        <v/>
      </c>
      <c r="I348" s="13"/>
      <c r="J348" s="13"/>
    </row>
    <row r="349" spans="1:10" ht="15" customHeight="1" x14ac:dyDescent="0.2">
      <c r="A349" s="13"/>
      <c r="B349" s="13"/>
      <c r="C349" s="13"/>
      <c r="D349" s="1" t="str">
        <f>IFERROR(INDEX('20 2026 DEPO KABUL'!$B$2:$B$501,MATCH(C349,'20 2026 DEPO KABUL'!$F$2:$F$501,0)),"")</f>
        <v/>
      </c>
      <c r="E349" s="13"/>
      <c r="F349" s="13"/>
      <c r="G349" s="1" t="str">
        <f>IFERROR(INDEX('20 2026 DEPO KABUL'!$G$2:$G$501,MATCH(C349,'20 2026 DEPO KABUL'!$F$2:$F$501,0)),"")</f>
        <v/>
      </c>
      <c r="H349" s="1" t="str">
        <f>IFERROR(INDEX('20 2026 DEPO KABUL'!$H$2:$H$501,MATCH(C349,'20 2026 DEPO KABUL'!$F$2:$F$501,0)),"")</f>
        <v/>
      </c>
      <c r="I349" s="13"/>
      <c r="J349" s="13"/>
    </row>
    <row r="350" spans="1:10" ht="15" customHeight="1" x14ac:dyDescent="0.2">
      <c r="A350" s="13"/>
      <c r="B350" s="13"/>
      <c r="C350" s="13"/>
      <c r="D350" s="1" t="str">
        <f>IFERROR(INDEX('20 2026 DEPO KABUL'!$B$2:$B$501,MATCH(C350,'20 2026 DEPO KABUL'!$F$2:$F$501,0)),"")</f>
        <v/>
      </c>
      <c r="E350" s="13"/>
      <c r="F350" s="13"/>
      <c r="G350" s="1" t="str">
        <f>IFERROR(INDEX('20 2026 DEPO KABUL'!$G$2:$G$501,MATCH(C350,'20 2026 DEPO KABUL'!$F$2:$F$501,0)),"")</f>
        <v/>
      </c>
      <c r="H350" s="1" t="str">
        <f>IFERROR(INDEX('20 2026 DEPO KABUL'!$H$2:$H$501,MATCH(C350,'20 2026 DEPO KABUL'!$F$2:$F$501,0)),"")</f>
        <v/>
      </c>
      <c r="I350" s="13"/>
      <c r="J350" s="13"/>
    </row>
    <row r="351" spans="1:10" ht="15" customHeight="1" x14ac:dyDescent="0.2">
      <c r="A351" s="13"/>
      <c r="B351" s="13"/>
      <c r="C351" s="13"/>
      <c r="D351" s="1" t="str">
        <f>IFERROR(INDEX('20 2026 DEPO KABUL'!$B$2:$B$501,MATCH(C351,'20 2026 DEPO KABUL'!$F$2:$F$501,0)),"")</f>
        <v/>
      </c>
      <c r="E351" s="13"/>
      <c r="F351" s="13"/>
      <c r="G351" s="1" t="str">
        <f>IFERROR(INDEX('20 2026 DEPO KABUL'!$G$2:$G$501,MATCH(C351,'20 2026 DEPO KABUL'!$F$2:$F$501,0)),"")</f>
        <v/>
      </c>
      <c r="H351" s="1" t="str">
        <f>IFERROR(INDEX('20 2026 DEPO KABUL'!$H$2:$H$501,MATCH(C351,'20 2026 DEPO KABUL'!$F$2:$F$501,0)),"")</f>
        <v/>
      </c>
      <c r="I351" s="13"/>
      <c r="J351" s="13"/>
    </row>
    <row r="352" spans="1:10" ht="15" customHeight="1" x14ac:dyDescent="0.2">
      <c r="A352" s="13"/>
      <c r="B352" s="13"/>
      <c r="C352" s="13"/>
      <c r="D352" s="1" t="str">
        <f>IFERROR(INDEX('20 2026 DEPO KABUL'!$B$2:$B$501,MATCH(C352,'20 2026 DEPO KABUL'!$F$2:$F$501,0)),"")</f>
        <v/>
      </c>
      <c r="E352" s="13"/>
      <c r="F352" s="13"/>
      <c r="G352" s="1" t="str">
        <f>IFERROR(INDEX('20 2026 DEPO KABUL'!$G$2:$G$501,MATCH(C352,'20 2026 DEPO KABUL'!$F$2:$F$501,0)),"")</f>
        <v/>
      </c>
      <c r="H352" s="1" t="str">
        <f>IFERROR(INDEX('20 2026 DEPO KABUL'!$H$2:$H$501,MATCH(C352,'20 2026 DEPO KABUL'!$F$2:$F$501,0)),"")</f>
        <v/>
      </c>
      <c r="I352" s="13"/>
      <c r="J352" s="13"/>
    </row>
    <row r="353" spans="1:10" ht="15" customHeight="1" x14ac:dyDescent="0.2">
      <c r="A353" s="13"/>
      <c r="B353" s="13"/>
      <c r="C353" s="13"/>
      <c r="D353" s="1" t="str">
        <f>IFERROR(INDEX('20 2026 DEPO KABUL'!$B$2:$B$501,MATCH(C353,'20 2026 DEPO KABUL'!$F$2:$F$501,0)),"")</f>
        <v/>
      </c>
      <c r="E353" s="13"/>
      <c r="F353" s="13"/>
      <c r="G353" s="1" t="str">
        <f>IFERROR(INDEX('20 2026 DEPO KABUL'!$G$2:$G$501,MATCH(C353,'20 2026 DEPO KABUL'!$F$2:$F$501,0)),"")</f>
        <v/>
      </c>
      <c r="H353" s="1" t="str">
        <f>IFERROR(INDEX('20 2026 DEPO KABUL'!$H$2:$H$501,MATCH(C353,'20 2026 DEPO KABUL'!$F$2:$F$501,0)),"")</f>
        <v/>
      </c>
      <c r="I353" s="13"/>
      <c r="J353" s="13"/>
    </row>
    <row r="354" spans="1:10" ht="15" customHeight="1" x14ac:dyDescent="0.2">
      <c r="A354" s="13"/>
      <c r="B354" s="13"/>
      <c r="C354" s="13"/>
      <c r="D354" s="1" t="str">
        <f>IFERROR(INDEX('20 2026 DEPO KABUL'!$B$2:$B$501,MATCH(C354,'20 2026 DEPO KABUL'!$F$2:$F$501,0)),"")</f>
        <v/>
      </c>
      <c r="E354" s="13"/>
      <c r="F354" s="13"/>
      <c r="G354" s="1" t="str">
        <f>IFERROR(INDEX('20 2026 DEPO KABUL'!$G$2:$G$501,MATCH(C354,'20 2026 DEPO KABUL'!$F$2:$F$501,0)),"")</f>
        <v/>
      </c>
      <c r="H354" s="1" t="str">
        <f>IFERROR(INDEX('20 2026 DEPO KABUL'!$H$2:$H$501,MATCH(C354,'20 2026 DEPO KABUL'!$F$2:$F$501,0)),"")</f>
        <v/>
      </c>
      <c r="I354" s="13"/>
      <c r="J354" s="13"/>
    </row>
    <row r="355" spans="1:10" ht="15" customHeight="1" x14ac:dyDescent="0.2">
      <c r="A355" s="13"/>
      <c r="B355" s="13"/>
      <c r="C355" s="13"/>
      <c r="D355" s="1" t="str">
        <f>IFERROR(INDEX('20 2026 DEPO KABUL'!$B$2:$B$501,MATCH(C355,'20 2026 DEPO KABUL'!$F$2:$F$501,0)),"")</f>
        <v/>
      </c>
      <c r="E355" s="13"/>
      <c r="F355" s="13"/>
      <c r="G355" s="1" t="str">
        <f>IFERROR(INDEX('20 2026 DEPO KABUL'!$G$2:$G$501,MATCH(C355,'20 2026 DEPO KABUL'!$F$2:$F$501,0)),"")</f>
        <v/>
      </c>
      <c r="H355" s="1" t="str">
        <f>IFERROR(INDEX('20 2026 DEPO KABUL'!$H$2:$H$501,MATCH(C355,'20 2026 DEPO KABUL'!$F$2:$F$501,0)),"")</f>
        <v/>
      </c>
      <c r="I355" s="13"/>
      <c r="J355" s="13"/>
    </row>
    <row r="356" spans="1:10" ht="15" customHeight="1" x14ac:dyDescent="0.2">
      <c r="A356" s="13"/>
      <c r="B356" s="13"/>
      <c r="C356" s="13"/>
      <c r="D356" s="1" t="str">
        <f>IFERROR(INDEX('20 2026 DEPO KABUL'!$B$2:$B$501,MATCH(C356,'20 2026 DEPO KABUL'!$F$2:$F$501,0)),"")</f>
        <v/>
      </c>
      <c r="E356" s="13"/>
      <c r="F356" s="13"/>
      <c r="G356" s="1" t="str">
        <f>IFERROR(INDEX('20 2026 DEPO KABUL'!$G$2:$G$501,MATCH(C356,'20 2026 DEPO KABUL'!$F$2:$F$501,0)),"")</f>
        <v/>
      </c>
      <c r="H356" s="1" t="str">
        <f>IFERROR(INDEX('20 2026 DEPO KABUL'!$H$2:$H$501,MATCH(C356,'20 2026 DEPO KABUL'!$F$2:$F$501,0)),"")</f>
        <v/>
      </c>
      <c r="I356" s="13"/>
      <c r="J356" s="13"/>
    </row>
    <row r="357" spans="1:10" ht="15" customHeight="1" x14ac:dyDescent="0.2">
      <c r="A357" s="13"/>
      <c r="B357" s="13"/>
      <c r="C357" s="13"/>
      <c r="D357" s="1" t="str">
        <f>IFERROR(INDEX('20 2026 DEPO KABUL'!$B$2:$B$501,MATCH(C357,'20 2026 DEPO KABUL'!$F$2:$F$501,0)),"")</f>
        <v/>
      </c>
      <c r="E357" s="13"/>
      <c r="F357" s="13"/>
      <c r="G357" s="1" t="str">
        <f>IFERROR(INDEX('20 2026 DEPO KABUL'!$G$2:$G$501,MATCH(C357,'20 2026 DEPO KABUL'!$F$2:$F$501,0)),"")</f>
        <v/>
      </c>
      <c r="H357" s="1" t="str">
        <f>IFERROR(INDEX('20 2026 DEPO KABUL'!$H$2:$H$501,MATCH(C357,'20 2026 DEPO KABUL'!$F$2:$F$501,0)),"")</f>
        <v/>
      </c>
      <c r="I357" s="13"/>
      <c r="J357" s="13"/>
    </row>
    <row r="358" spans="1:10" ht="15" customHeight="1" x14ac:dyDescent="0.2">
      <c r="A358" s="13"/>
      <c r="B358" s="13"/>
      <c r="C358" s="13"/>
      <c r="D358" s="1" t="str">
        <f>IFERROR(INDEX('20 2026 DEPO KABUL'!$B$2:$B$501,MATCH(C358,'20 2026 DEPO KABUL'!$F$2:$F$501,0)),"")</f>
        <v/>
      </c>
      <c r="E358" s="13"/>
      <c r="F358" s="13"/>
      <c r="G358" s="1" t="str">
        <f>IFERROR(INDEX('20 2026 DEPO KABUL'!$G$2:$G$501,MATCH(C358,'20 2026 DEPO KABUL'!$F$2:$F$501,0)),"")</f>
        <v/>
      </c>
      <c r="H358" s="1" t="str">
        <f>IFERROR(INDEX('20 2026 DEPO KABUL'!$H$2:$H$501,MATCH(C358,'20 2026 DEPO KABUL'!$F$2:$F$501,0)),"")</f>
        <v/>
      </c>
      <c r="I358" s="13"/>
      <c r="J358" s="13"/>
    </row>
    <row r="359" spans="1:10" ht="15" customHeight="1" x14ac:dyDescent="0.2">
      <c r="A359" s="13"/>
      <c r="B359" s="13"/>
      <c r="C359" s="13"/>
      <c r="D359" s="1" t="str">
        <f>IFERROR(INDEX('20 2026 DEPO KABUL'!$B$2:$B$501,MATCH(C359,'20 2026 DEPO KABUL'!$F$2:$F$501,0)),"")</f>
        <v/>
      </c>
      <c r="E359" s="13"/>
      <c r="F359" s="13"/>
      <c r="G359" s="1" t="str">
        <f>IFERROR(INDEX('20 2026 DEPO KABUL'!$G$2:$G$501,MATCH(C359,'20 2026 DEPO KABUL'!$F$2:$F$501,0)),"")</f>
        <v/>
      </c>
      <c r="H359" s="1" t="str">
        <f>IFERROR(INDEX('20 2026 DEPO KABUL'!$H$2:$H$501,MATCH(C359,'20 2026 DEPO KABUL'!$F$2:$F$501,0)),"")</f>
        <v/>
      </c>
      <c r="I359" s="13"/>
      <c r="J359" s="13"/>
    </row>
    <row r="360" spans="1:10" ht="15" customHeight="1" x14ac:dyDescent="0.2">
      <c r="A360" s="13"/>
      <c r="B360" s="13"/>
      <c r="C360" s="13"/>
      <c r="D360" s="1" t="str">
        <f>IFERROR(INDEX('20 2026 DEPO KABUL'!$B$2:$B$501,MATCH(C360,'20 2026 DEPO KABUL'!$F$2:$F$501,0)),"")</f>
        <v/>
      </c>
      <c r="E360" s="13"/>
      <c r="F360" s="13"/>
      <c r="G360" s="1" t="str">
        <f>IFERROR(INDEX('20 2026 DEPO KABUL'!$G$2:$G$501,MATCH(C360,'20 2026 DEPO KABUL'!$F$2:$F$501,0)),"")</f>
        <v/>
      </c>
      <c r="H360" s="1" t="str">
        <f>IFERROR(INDEX('20 2026 DEPO KABUL'!$H$2:$H$501,MATCH(C360,'20 2026 DEPO KABUL'!$F$2:$F$501,0)),"")</f>
        <v/>
      </c>
      <c r="I360" s="13"/>
      <c r="J360" s="13"/>
    </row>
    <row r="361" spans="1:10" ht="15" customHeight="1" x14ac:dyDescent="0.2">
      <c r="A361" s="13"/>
      <c r="B361" s="13"/>
      <c r="C361" s="13"/>
      <c r="D361" s="1" t="str">
        <f>IFERROR(INDEX('20 2026 DEPO KABUL'!$B$2:$B$501,MATCH(C361,'20 2026 DEPO KABUL'!$F$2:$F$501,0)),"")</f>
        <v/>
      </c>
      <c r="E361" s="13"/>
      <c r="F361" s="13"/>
      <c r="G361" s="1" t="str">
        <f>IFERROR(INDEX('20 2026 DEPO KABUL'!$G$2:$G$501,MATCH(C361,'20 2026 DEPO KABUL'!$F$2:$F$501,0)),"")</f>
        <v/>
      </c>
      <c r="H361" s="1" t="str">
        <f>IFERROR(INDEX('20 2026 DEPO KABUL'!$H$2:$H$501,MATCH(C361,'20 2026 DEPO KABUL'!$F$2:$F$501,0)),"")</f>
        <v/>
      </c>
      <c r="I361" s="13"/>
      <c r="J361" s="13"/>
    </row>
    <row r="362" spans="1:10" ht="15" customHeight="1" x14ac:dyDescent="0.2">
      <c r="A362" s="13"/>
      <c r="B362" s="13"/>
      <c r="C362" s="13"/>
      <c r="D362" s="1" t="str">
        <f>IFERROR(INDEX('20 2026 DEPO KABUL'!$B$2:$B$501,MATCH(C362,'20 2026 DEPO KABUL'!$F$2:$F$501,0)),"")</f>
        <v/>
      </c>
      <c r="E362" s="13"/>
      <c r="F362" s="13"/>
      <c r="G362" s="1" t="str">
        <f>IFERROR(INDEX('20 2026 DEPO KABUL'!$G$2:$G$501,MATCH(C362,'20 2026 DEPO KABUL'!$F$2:$F$501,0)),"")</f>
        <v/>
      </c>
      <c r="H362" s="1" t="str">
        <f>IFERROR(INDEX('20 2026 DEPO KABUL'!$H$2:$H$501,MATCH(C362,'20 2026 DEPO KABUL'!$F$2:$F$501,0)),"")</f>
        <v/>
      </c>
      <c r="I362" s="13"/>
      <c r="J362" s="13"/>
    </row>
    <row r="363" spans="1:10" ht="15" customHeight="1" x14ac:dyDescent="0.2">
      <c r="A363" s="13"/>
      <c r="B363" s="13"/>
      <c r="C363" s="13"/>
      <c r="D363" s="1" t="str">
        <f>IFERROR(INDEX('20 2026 DEPO KABUL'!$B$2:$B$501,MATCH(C363,'20 2026 DEPO KABUL'!$F$2:$F$501,0)),"")</f>
        <v/>
      </c>
      <c r="E363" s="13"/>
      <c r="F363" s="13"/>
      <c r="G363" s="1" t="str">
        <f>IFERROR(INDEX('20 2026 DEPO KABUL'!$G$2:$G$501,MATCH(C363,'20 2026 DEPO KABUL'!$F$2:$F$501,0)),"")</f>
        <v/>
      </c>
      <c r="H363" s="1" t="str">
        <f>IFERROR(INDEX('20 2026 DEPO KABUL'!$H$2:$H$501,MATCH(C363,'20 2026 DEPO KABUL'!$F$2:$F$501,0)),"")</f>
        <v/>
      </c>
      <c r="I363" s="13"/>
      <c r="J363" s="13"/>
    </row>
    <row r="364" spans="1:10" ht="15" customHeight="1" x14ac:dyDescent="0.2">
      <c r="A364" s="13"/>
      <c r="B364" s="13"/>
      <c r="C364" s="13"/>
      <c r="D364" s="1" t="str">
        <f>IFERROR(INDEX('20 2026 DEPO KABUL'!$B$2:$B$501,MATCH(C364,'20 2026 DEPO KABUL'!$F$2:$F$501,0)),"")</f>
        <v/>
      </c>
      <c r="E364" s="13"/>
      <c r="F364" s="13"/>
      <c r="G364" s="1" t="str">
        <f>IFERROR(INDEX('20 2026 DEPO KABUL'!$G$2:$G$501,MATCH(C364,'20 2026 DEPO KABUL'!$F$2:$F$501,0)),"")</f>
        <v/>
      </c>
      <c r="H364" s="1" t="str">
        <f>IFERROR(INDEX('20 2026 DEPO KABUL'!$H$2:$H$501,MATCH(C364,'20 2026 DEPO KABUL'!$F$2:$F$501,0)),"")</f>
        <v/>
      </c>
      <c r="I364" s="13"/>
      <c r="J364" s="13"/>
    </row>
    <row r="365" spans="1:10" ht="15" customHeight="1" x14ac:dyDescent="0.2">
      <c r="A365" s="13"/>
      <c r="B365" s="13"/>
      <c r="C365" s="13"/>
      <c r="D365" s="1" t="str">
        <f>IFERROR(INDEX('20 2026 DEPO KABUL'!$B$2:$B$501,MATCH(C365,'20 2026 DEPO KABUL'!$F$2:$F$501,0)),"")</f>
        <v/>
      </c>
      <c r="E365" s="13"/>
      <c r="F365" s="13"/>
      <c r="G365" s="1" t="str">
        <f>IFERROR(INDEX('20 2026 DEPO KABUL'!$G$2:$G$501,MATCH(C365,'20 2026 DEPO KABUL'!$F$2:$F$501,0)),"")</f>
        <v/>
      </c>
      <c r="H365" s="1" t="str">
        <f>IFERROR(INDEX('20 2026 DEPO KABUL'!$H$2:$H$501,MATCH(C365,'20 2026 DEPO KABUL'!$F$2:$F$501,0)),"")</f>
        <v/>
      </c>
      <c r="I365" s="13"/>
      <c r="J365" s="13"/>
    </row>
    <row r="366" spans="1:10" ht="15" customHeight="1" x14ac:dyDescent="0.2">
      <c r="A366" s="13"/>
      <c r="B366" s="13"/>
      <c r="C366" s="13"/>
      <c r="D366" s="1" t="str">
        <f>IFERROR(INDEX('20 2026 DEPO KABUL'!$B$2:$B$501,MATCH(C366,'20 2026 DEPO KABUL'!$F$2:$F$501,0)),"")</f>
        <v/>
      </c>
      <c r="E366" s="13"/>
      <c r="F366" s="13"/>
      <c r="G366" s="1" t="str">
        <f>IFERROR(INDEX('20 2026 DEPO KABUL'!$G$2:$G$501,MATCH(C366,'20 2026 DEPO KABUL'!$F$2:$F$501,0)),"")</f>
        <v/>
      </c>
      <c r="H366" s="1" t="str">
        <f>IFERROR(INDEX('20 2026 DEPO KABUL'!$H$2:$H$501,MATCH(C366,'20 2026 DEPO KABUL'!$F$2:$F$501,0)),"")</f>
        <v/>
      </c>
      <c r="I366" s="13"/>
      <c r="J366" s="13"/>
    </row>
    <row r="367" spans="1:10" ht="15" customHeight="1" x14ac:dyDescent="0.2">
      <c r="A367" s="13"/>
      <c r="B367" s="13"/>
      <c r="C367" s="13"/>
      <c r="D367" s="1" t="str">
        <f>IFERROR(INDEX('20 2026 DEPO KABUL'!$B$2:$B$501,MATCH(C367,'20 2026 DEPO KABUL'!$F$2:$F$501,0)),"")</f>
        <v/>
      </c>
      <c r="E367" s="13"/>
      <c r="F367" s="13"/>
      <c r="G367" s="1" t="str">
        <f>IFERROR(INDEX('20 2026 DEPO KABUL'!$G$2:$G$501,MATCH(C367,'20 2026 DEPO KABUL'!$F$2:$F$501,0)),"")</f>
        <v/>
      </c>
      <c r="H367" s="1" t="str">
        <f>IFERROR(INDEX('20 2026 DEPO KABUL'!$H$2:$H$501,MATCH(C367,'20 2026 DEPO KABUL'!$F$2:$F$501,0)),"")</f>
        <v/>
      </c>
      <c r="I367" s="13"/>
      <c r="J367" s="13"/>
    </row>
    <row r="368" spans="1:10" ht="15" customHeight="1" x14ac:dyDescent="0.2">
      <c r="A368" s="13"/>
      <c r="B368" s="13"/>
      <c r="C368" s="13"/>
      <c r="D368" s="1" t="str">
        <f>IFERROR(INDEX('20 2026 DEPO KABUL'!$B$2:$B$501,MATCH(C368,'20 2026 DEPO KABUL'!$F$2:$F$501,0)),"")</f>
        <v/>
      </c>
      <c r="E368" s="13"/>
      <c r="F368" s="13"/>
      <c r="G368" s="1" t="str">
        <f>IFERROR(INDEX('20 2026 DEPO KABUL'!$G$2:$G$501,MATCH(C368,'20 2026 DEPO KABUL'!$F$2:$F$501,0)),"")</f>
        <v/>
      </c>
      <c r="H368" s="1" t="str">
        <f>IFERROR(INDEX('20 2026 DEPO KABUL'!$H$2:$H$501,MATCH(C368,'20 2026 DEPO KABUL'!$F$2:$F$501,0)),"")</f>
        <v/>
      </c>
      <c r="I368" s="13"/>
      <c r="J368" s="13"/>
    </row>
    <row r="369" spans="1:10" ht="15" customHeight="1" x14ac:dyDescent="0.2">
      <c r="A369" s="13"/>
      <c r="B369" s="13"/>
      <c r="C369" s="13"/>
      <c r="D369" s="1" t="str">
        <f>IFERROR(INDEX('20 2026 DEPO KABUL'!$B$2:$B$501,MATCH(C369,'20 2026 DEPO KABUL'!$F$2:$F$501,0)),"")</f>
        <v/>
      </c>
      <c r="E369" s="13"/>
      <c r="F369" s="13"/>
      <c r="G369" s="1" t="str">
        <f>IFERROR(INDEX('20 2026 DEPO KABUL'!$G$2:$G$501,MATCH(C369,'20 2026 DEPO KABUL'!$F$2:$F$501,0)),"")</f>
        <v/>
      </c>
      <c r="H369" s="1" t="str">
        <f>IFERROR(INDEX('20 2026 DEPO KABUL'!$H$2:$H$501,MATCH(C369,'20 2026 DEPO KABUL'!$F$2:$F$501,0)),"")</f>
        <v/>
      </c>
      <c r="I369" s="13"/>
      <c r="J369" s="13"/>
    </row>
    <row r="370" spans="1:10" ht="15" customHeight="1" x14ac:dyDescent="0.2">
      <c r="A370" s="13"/>
      <c r="B370" s="13"/>
      <c r="C370" s="13"/>
      <c r="D370" s="1" t="str">
        <f>IFERROR(INDEX('20 2026 DEPO KABUL'!$B$2:$B$501,MATCH(C370,'20 2026 DEPO KABUL'!$F$2:$F$501,0)),"")</f>
        <v/>
      </c>
      <c r="E370" s="13"/>
      <c r="F370" s="13"/>
      <c r="G370" s="1" t="str">
        <f>IFERROR(INDEX('20 2026 DEPO KABUL'!$G$2:$G$501,MATCH(C370,'20 2026 DEPO KABUL'!$F$2:$F$501,0)),"")</f>
        <v/>
      </c>
      <c r="H370" s="1" t="str">
        <f>IFERROR(INDEX('20 2026 DEPO KABUL'!$H$2:$H$501,MATCH(C370,'20 2026 DEPO KABUL'!$F$2:$F$501,0)),"")</f>
        <v/>
      </c>
      <c r="I370" s="13"/>
      <c r="J370" s="13"/>
    </row>
    <row r="371" spans="1:10" ht="15" customHeight="1" x14ac:dyDescent="0.2">
      <c r="A371" s="13"/>
      <c r="B371" s="13"/>
      <c r="C371" s="13"/>
      <c r="D371" s="1" t="str">
        <f>IFERROR(INDEX('20 2026 DEPO KABUL'!$B$2:$B$501,MATCH(C371,'20 2026 DEPO KABUL'!$F$2:$F$501,0)),"")</f>
        <v/>
      </c>
      <c r="E371" s="13"/>
      <c r="F371" s="13"/>
      <c r="G371" s="1" t="str">
        <f>IFERROR(INDEX('20 2026 DEPO KABUL'!$G$2:$G$501,MATCH(C371,'20 2026 DEPO KABUL'!$F$2:$F$501,0)),"")</f>
        <v/>
      </c>
      <c r="H371" s="1" t="str">
        <f>IFERROR(INDEX('20 2026 DEPO KABUL'!$H$2:$H$501,MATCH(C371,'20 2026 DEPO KABUL'!$F$2:$F$501,0)),"")</f>
        <v/>
      </c>
      <c r="I371" s="13"/>
      <c r="J371" s="13"/>
    </row>
    <row r="372" spans="1:10" ht="15" customHeight="1" x14ac:dyDescent="0.2">
      <c r="A372" s="13"/>
      <c r="B372" s="13"/>
      <c r="C372" s="13"/>
      <c r="D372" s="1" t="str">
        <f>IFERROR(INDEX('20 2026 DEPO KABUL'!$B$2:$B$501,MATCH(C372,'20 2026 DEPO KABUL'!$F$2:$F$501,0)),"")</f>
        <v/>
      </c>
      <c r="E372" s="13"/>
      <c r="F372" s="13"/>
      <c r="G372" s="1" t="str">
        <f>IFERROR(INDEX('20 2026 DEPO KABUL'!$G$2:$G$501,MATCH(C372,'20 2026 DEPO KABUL'!$F$2:$F$501,0)),"")</f>
        <v/>
      </c>
      <c r="H372" s="1" t="str">
        <f>IFERROR(INDEX('20 2026 DEPO KABUL'!$H$2:$H$501,MATCH(C372,'20 2026 DEPO KABUL'!$F$2:$F$501,0)),"")</f>
        <v/>
      </c>
      <c r="I372" s="13"/>
      <c r="J372" s="13"/>
    </row>
    <row r="373" spans="1:10" ht="15" customHeight="1" x14ac:dyDescent="0.2">
      <c r="A373" s="13"/>
      <c r="B373" s="13"/>
      <c r="C373" s="13"/>
      <c r="D373" s="1" t="str">
        <f>IFERROR(INDEX('20 2026 DEPO KABUL'!$B$2:$B$501,MATCH(C373,'20 2026 DEPO KABUL'!$F$2:$F$501,0)),"")</f>
        <v/>
      </c>
      <c r="E373" s="13"/>
      <c r="F373" s="13"/>
      <c r="G373" s="1" t="str">
        <f>IFERROR(INDEX('20 2026 DEPO KABUL'!$G$2:$G$501,MATCH(C373,'20 2026 DEPO KABUL'!$F$2:$F$501,0)),"")</f>
        <v/>
      </c>
      <c r="H373" s="1" t="str">
        <f>IFERROR(INDEX('20 2026 DEPO KABUL'!$H$2:$H$501,MATCH(C373,'20 2026 DEPO KABUL'!$F$2:$F$501,0)),"")</f>
        <v/>
      </c>
      <c r="I373" s="13"/>
      <c r="J373" s="13"/>
    </row>
    <row r="374" spans="1:10" ht="15" customHeight="1" x14ac:dyDescent="0.2">
      <c r="A374" s="13"/>
      <c r="B374" s="13"/>
      <c r="C374" s="13"/>
      <c r="D374" s="1" t="str">
        <f>IFERROR(INDEX('20 2026 DEPO KABUL'!$B$2:$B$501,MATCH(C374,'20 2026 DEPO KABUL'!$F$2:$F$501,0)),"")</f>
        <v/>
      </c>
      <c r="E374" s="13"/>
      <c r="F374" s="13"/>
      <c r="G374" s="1" t="str">
        <f>IFERROR(INDEX('20 2026 DEPO KABUL'!$G$2:$G$501,MATCH(C374,'20 2026 DEPO KABUL'!$F$2:$F$501,0)),"")</f>
        <v/>
      </c>
      <c r="H374" s="1" t="str">
        <f>IFERROR(INDEX('20 2026 DEPO KABUL'!$H$2:$H$501,MATCH(C374,'20 2026 DEPO KABUL'!$F$2:$F$501,0)),"")</f>
        <v/>
      </c>
      <c r="I374" s="13"/>
      <c r="J374" s="13"/>
    </row>
    <row r="375" spans="1:10" ht="15" customHeight="1" x14ac:dyDescent="0.2">
      <c r="A375" s="13"/>
      <c r="B375" s="13"/>
      <c r="C375" s="13"/>
      <c r="D375" s="1" t="str">
        <f>IFERROR(INDEX('20 2026 DEPO KABUL'!$B$2:$B$501,MATCH(C375,'20 2026 DEPO KABUL'!$F$2:$F$501,0)),"")</f>
        <v/>
      </c>
      <c r="E375" s="13"/>
      <c r="F375" s="13"/>
      <c r="G375" s="1" t="str">
        <f>IFERROR(INDEX('20 2026 DEPO KABUL'!$G$2:$G$501,MATCH(C375,'20 2026 DEPO KABUL'!$F$2:$F$501,0)),"")</f>
        <v/>
      </c>
      <c r="H375" s="1" t="str">
        <f>IFERROR(INDEX('20 2026 DEPO KABUL'!$H$2:$H$501,MATCH(C375,'20 2026 DEPO KABUL'!$F$2:$F$501,0)),"")</f>
        <v/>
      </c>
      <c r="I375" s="13"/>
      <c r="J375" s="13"/>
    </row>
    <row r="376" spans="1:10" ht="15" customHeight="1" x14ac:dyDescent="0.2">
      <c r="A376" s="13"/>
      <c r="B376" s="13"/>
      <c r="C376" s="13"/>
      <c r="D376" s="1" t="str">
        <f>IFERROR(INDEX('20 2026 DEPO KABUL'!$B$2:$B$501,MATCH(C376,'20 2026 DEPO KABUL'!$F$2:$F$501,0)),"")</f>
        <v/>
      </c>
      <c r="E376" s="13"/>
      <c r="F376" s="13"/>
      <c r="G376" s="1" t="str">
        <f>IFERROR(INDEX('20 2026 DEPO KABUL'!$G$2:$G$501,MATCH(C376,'20 2026 DEPO KABUL'!$F$2:$F$501,0)),"")</f>
        <v/>
      </c>
      <c r="H376" s="1" t="str">
        <f>IFERROR(INDEX('20 2026 DEPO KABUL'!$H$2:$H$501,MATCH(C376,'20 2026 DEPO KABUL'!$F$2:$F$501,0)),"")</f>
        <v/>
      </c>
      <c r="I376" s="13"/>
      <c r="J376" s="13"/>
    </row>
    <row r="377" spans="1:10" ht="15" customHeight="1" x14ac:dyDescent="0.2">
      <c r="A377" s="13"/>
      <c r="B377" s="13"/>
      <c r="C377" s="13"/>
      <c r="D377" s="1" t="str">
        <f>IFERROR(INDEX('20 2026 DEPO KABUL'!$B$2:$B$501,MATCH(C377,'20 2026 DEPO KABUL'!$F$2:$F$501,0)),"")</f>
        <v/>
      </c>
      <c r="E377" s="13"/>
      <c r="F377" s="13"/>
      <c r="G377" s="1" t="str">
        <f>IFERROR(INDEX('20 2026 DEPO KABUL'!$G$2:$G$501,MATCH(C377,'20 2026 DEPO KABUL'!$F$2:$F$501,0)),"")</f>
        <v/>
      </c>
      <c r="H377" s="1" t="str">
        <f>IFERROR(INDEX('20 2026 DEPO KABUL'!$H$2:$H$501,MATCH(C377,'20 2026 DEPO KABUL'!$F$2:$F$501,0)),"")</f>
        <v/>
      </c>
      <c r="I377" s="13"/>
      <c r="J377" s="13"/>
    </row>
    <row r="378" spans="1:10" ht="15" customHeight="1" x14ac:dyDescent="0.2">
      <c r="A378" s="13"/>
      <c r="B378" s="13"/>
      <c r="C378" s="13"/>
      <c r="D378" s="1" t="str">
        <f>IFERROR(INDEX('20 2026 DEPO KABUL'!$B$2:$B$501,MATCH(C378,'20 2026 DEPO KABUL'!$F$2:$F$501,0)),"")</f>
        <v/>
      </c>
      <c r="E378" s="13"/>
      <c r="F378" s="13"/>
      <c r="G378" s="1" t="str">
        <f>IFERROR(INDEX('20 2026 DEPO KABUL'!$G$2:$G$501,MATCH(C378,'20 2026 DEPO KABUL'!$F$2:$F$501,0)),"")</f>
        <v/>
      </c>
      <c r="H378" s="1" t="str">
        <f>IFERROR(INDEX('20 2026 DEPO KABUL'!$H$2:$H$501,MATCH(C378,'20 2026 DEPO KABUL'!$F$2:$F$501,0)),"")</f>
        <v/>
      </c>
      <c r="I378" s="13"/>
      <c r="J378" s="13"/>
    </row>
    <row r="379" spans="1:10" ht="15" customHeight="1" x14ac:dyDescent="0.2">
      <c r="A379" s="13"/>
      <c r="B379" s="13"/>
      <c r="C379" s="13"/>
      <c r="D379" s="1" t="str">
        <f>IFERROR(INDEX('20 2026 DEPO KABUL'!$B$2:$B$501,MATCH(C379,'20 2026 DEPO KABUL'!$F$2:$F$501,0)),"")</f>
        <v/>
      </c>
      <c r="E379" s="13"/>
      <c r="F379" s="13"/>
      <c r="G379" s="1" t="str">
        <f>IFERROR(INDEX('20 2026 DEPO KABUL'!$G$2:$G$501,MATCH(C379,'20 2026 DEPO KABUL'!$F$2:$F$501,0)),"")</f>
        <v/>
      </c>
      <c r="H379" s="1" t="str">
        <f>IFERROR(INDEX('20 2026 DEPO KABUL'!$H$2:$H$501,MATCH(C379,'20 2026 DEPO KABUL'!$F$2:$F$501,0)),"")</f>
        <v/>
      </c>
      <c r="I379" s="13"/>
      <c r="J379" s="13"/>
    </row>
    <row r="380" spans="1:10" ht="15" customHeight="1" x14ac:dyDescent="0.2">
      <c r="A380" s="13"/>
      <c r="B380" s="13"/>
      <c r="C380" s="13"/>
      <c r="D380" s="1" t="str">
        <f>IFERROR(INDEX('20 2026 DEPO KABUL'!$B$2:$B$501,MATCH(C380,'20 2026 DEPO KABUL'!$F$2:$F$501,0)),"")</f>
        <v/>
      </c>
      <c r="E380" s="13"/>
      <c r="F380" s="13"/>
      <c r="G380" s="1" t="str">
        <f>IFERROR(INDEX('20 2026 DEPO KABUL'!$G$2:$G$501,MATCH(C380,'20 2026 DEPO KABUL'!$F$2:$F$501,0)),"")</f>
        <v/>
      </c>
      <c r="H380" s="1" t="str">
        <f>IFERROR(INDEX('20 2026 DEPO KABUL'!$H$2:$H$501,MATCH(C380,'20 2026 DEPO KABUL'!$F$2:$F$501,0)),"")</f>
        <v/>
      </c>
      <c r="I380" s="13"/>
      <c r="J380" s="13"/>
    </row>
    <row r="381" spans="1:10" ht="15" customHeight="1" x14ac:dyDescent="0.2">
      <c r="A381" s="13"/>
      <c r="B381" s="13"/>
      <c r="C381" s="13"/>
      <c r="D381" s="1" t="str">
        <f>IFERROR(INDEX('20 2026 DEPO KABUL'!$B$2:$B$501,MATCH(C381,'20 2026 DEPO KABUL'!$F$2:$F$501,0)),"")</f>
        <v/>
      </c>
      <c r="E381" s="13"/>
      <c r="F381" s="13"/>
      <c r="G381" s="1" t="str">
        <f>IFERROR(INDEX('20 2026 DEPO KABUL'!$G$2:$G$501,MATCH(C381,'20 2026 DEPO KABUL'!$F$2:$F$501,0)),"")</f>
        <v/>
      </c>
      <c r="H381" s="1" t="str">
        <f>IFERROR(INDEX('20 2026 DEPO KABUL'!$H$2:$H$501,MATCH(C381,'20 2026 DEPO KABUL'!$F$2:$F$501,0)),"")</f>
        <v/>
      </c>
      <c r="I381" s="13"/>
      <c r="J381" s="13"/>
    </row>
    <row r="382" spans="1:10" ht="15" customHeight="1" x14ac:dyDescent="0.2">
      <c r="A382" s="13"/>
      <c r="B382" s="13"/>
      <c r="C382" s="13"/>
      <c r="D382" s="1" t="str">
        <f>IFERROR(INDEX('20 2026 DEPO KABUL'!$B$2:$B$501,MATCH(C382,'20 2026 DEPO KABUL'!$F$2:$F$501,0)),"")</f>
        <v/>
      </c>
      <c r="E382" s="13"/>
      <c r="F382" s="13"/>
      <c r="G382" s="1" t="str">
        <f>IFERROR(INDEX('20 2026 DEPO KABUL'!$G$2:$G$501,MATCH(C382,'20 2026 DEPO KABUL'!$F$2:$F$501,0)),"")</f>
        <v/>
      </c>
      <c r="H382" s="1" t="str">
        <f>IFERROR(INDEX('20 2026 DEPO KABUL'!$H$2:$H$501,MATCH(C382,'20 2026 DEPO KABUL'!$F$2:$F$501,0)),"")</f>
        <v/>
      </c>
      <c r="I382" s="13"/>
      <c r="J382" s="13"/>
    </row>
    <row r="383" spans="1:10" ht="15" customHeight="1" x14ac:dyDescent="0.2">
      <c r="A383" s="13"/>
      <c r="B383" s="13"/>
      <c r="C383" s="13"/>
      <c r="D383" s="1" t="str">
        <f>IFERROR(INDEX('20 2026 DEPO KABUL'!$B$2:$B$501,MATCH(C383,'20 2026 DEPO KABUL'!$F$2:$F$501,0)),"")</f>
        <v/>
      </c>
      <c r="E383" s="13"/>
      <c r="F383" s="13"/>
      <c r="G383" s="1" t="str">
        <f>IFERROR(INDEX('20 2026 DEPO KABUL'!$G$2:$G$501,MATCH(C383,'20 2026 DEPO KABUL'!$F$2:$F$501,0)),"")</f>
        <v/>
      </c>
      <c r="H383" s="1" t="str">
        <f>IFERROR(INDEX('20 2026 DEPO KABUL'!$H$2:$H$501,MATCH(C383,'20 2026 DEPO KABUL'!$F$2:$F$501,0)),"")</f>
        <v/>
      </c>
      <c r="I383" s="13"/>
      <c r="J383" s="13"/>
    </row>
    <row r="384" spans="1:10" ht="15" customHeight="1" x14ac:dyDescent="0.2">
      <c r="A384" s="13"/>
      <c r="B384" s="13"/>
      <c r="C384" s="13"/>
      <c r="D384" s="1" t="str">
        <f>IFERROR(INDEX('20 2026 DEPO KABUL'!$B$2:$B$501,MATCH(C384,'20 2026 DEPO KABUL'!$F$2:$F$501,0)),"")</f>
        <v/>
      </c>
      <c r="E384" s="13"/>
      <c r="F384" s="13"/>
      <c r="G384" s="1" t="str">
        <f>IFERROR(INDEX('20 2026 DEPO KABUL'!$G$2:$G$501,MATCH(C384,'20 2026 DEPO KABUL'!$F$2:$F$501,0)),"")</f>
        <v/>
      </c>
      <c r="H384" s="1" t="str">
        <f>IFERROR(INDEX('20 2026 DEPO KABUL'!$H$2:$H$501,MATCH(C384,'20 2026 DEPO KABUL'!$F$2:$F$501,0)),"")</f>
        <v/>
      </c>
      <c r="I384" s="13"/>
      <c r="J384" s="13"/>
    </row>
    <row r="385" spans="1:10" ht="15" customHeight="1" x14ac:dyDescent="0.2">
      <c r="A385" s="13"/>
      <c r="B385" s="13"/>
      <c r="C385" s="13"/>
      <c r="D385" s="1" t="str">
        <f>IFERROR(INDEX('20 2026 DEPO KABUL'!$B$2:$B$501,MATCH(C385,'20 2026 DEPO KABUL'!$F$2:$F$501,0)),"")</f>
        <v/>
      </c>
      <c r="E385" s="13"/>
      <c r="F385" s="13"/>
      <c r="G385" s="1" t="str">
        <f>IFERROR(INDEX('20 2026 DEPO KABUL'!$G$2:$G$501,MATCH(C385,'20 2026 DEPO KABUL'!$F$2:$F$501,0)),"")</f>
        <v/>
      </c>
      <c r="H385" s="1" t="str">
        <f>IFERROR(INDEX('20 2026 DEPO KABUL'!$H$2:$H$501,MATCH(C385,'20 2026 DEPO KABUL'!$F$2:$F$501,0)),"")</f>
        <v/>
      </c>
      <c r="I385" s="13"/>
      <c r="J385" s="13"/>
    </row>
    <row r="386" spans="1:10" ht="15" customHeight="1" x14ac:dyDescent="0.2">
      <c r="A386" s="13"/>
      <c r="B386" s="13"/>
      <c r="C386" s="13"/>
      <c r="D386" s="1" t="str">
        <f>IFERROR(INDEX('20 2026 DEPO KABUL'!$B$2:$B$501,MATCH(C386,'20 2026 DEPO KABUL'!$F$2:$F$501,0)),"")</f>
        <v/>
      </c>
      <c r="E386" s="13"/>
      <c r="F386" s="13"/>
      <c r="G386" s="1" t="str">
        <f>IFERROR(INDEX('20 2026 DEPO KABUL'!$G$2:$G$501,MATCH(C386,'20 2026 DEPO KABUL'!$F$2:$F$501,0)),"")</f>
        <v/>
      </c>
      <c r="H386" s="1" t="str">
        <f>IFERROR(INDEX('20 2026 DEPO KABUL'!$H$2:$H$501,MATCH(C386,'20 2026 DEPO KABUL'!$F$2:$F$501,0)),"")</f>
        <v/>
      </c>
      <c r="I386" s="13"/>
      <c r="J386" s="13"/>
    </row>
    <row r="387" spans="1:10" ht="15" customHeight="1" x14ac:dyDescent="0.2">
      <c r="A387" s="13"/>
      <c r="B387" s="13"/>
      <c r="C387" s="13"/>
      <c r="D387" s="1" t="str">
        <f>IFERROR(INDEX('20 2026 DEPO KABUL'!$B$2:$B$501,MATCH(C387,'20 2026 DEPO KABUL'!$F$2:$F$501,0)),"")</f>
        <v/>
      </c>
      <c r="E387" s="13"/>
      <c r="F387" s="13"/>
      <c r="G387" s="1" t="str">
        <f>IFERROR(INDEX('20 2026 DEPO KABUL'!$G$2:$G$501,MATCH(C387,'20 2026 DEPO KABUL'!$F$2:$F$501,0)),"")</f>
        <v/>
      </c>
      <c r="H387" s="1" t="str">
        <f>IFERROR(INDEX('20 2026 DEPO KABUL'!$H$2:$H$501,MATCH(C387,'20 2026 DEPO KABUL'!$F$2:$F$501,0)),"")</f>
        <v/>
      </c>
      <c r="I387" s="13"/>
      <c r="J387" s="13"/>
    </row>
    <row r="388" spans="1:10" ht="15" customHeight="1" x14ac:dyDescent="0.2">
      <c r="A388" s="13"/>
      <c r="B388" s="13"/>
      <c r="C388" s="13"/>
      <c r="D388" s="1" t="str">
        <f>IFERROR(INDEX('20 2026 DEPO KABUL'!$B$2:$B$501,MATCH(C388,'20 2026 DEPO KABUL'!$F$2:$F$501,0)),"")</f>
        <v/>
      </c>
      <c r="E388" s="13"/>
      <c r="F388" s="13"/>
      <c r="G388" s="1" t="str">
        <f>IFERROR(INDEX('20 2026 DEPO KABUL'!$G$2:$G$501,MATCH(C388,'20 2026 DEPO KABUL'!$F$2:$F$501,0)),"")</f>
        <v/>
      </c>
      <c r="H388" s="1" t="str">
        <f>IFERROR(INDEX('20 2026 DEPO KABUL'!$H$2:$H$501,MATCH(C388,'20 2026 DEPO KABUL'!$F$2:$F$501,0)),"")</f>
        <v/>
      </c>
      <c r="I388" s="13"/>
      <c r="J388" s="13"/>
    </row>
    <row r="389" spans="1:10" ht="15" customHeight="1" x14ac:dyDescent="0.2">
      <c r="A389" s="13"/>
      <c r="B389" s="13"/>
      <c r="C389" s="13"/>
      <c r="D389" s="1" t="str">
        <f>IFERROR(INDEX('20 2026 DEPO KABUL'!$B$2:$B$501,MATCH(C389,'20 2026 DEPO KABUL'!$F$2:$F$501,0)),"")</f>
        <v/>
      </c>
      <c r="E389" s="13"/>
      <c r="F389" s="13"/>
      <c r="G389" s="1" t="str">
        <f>IFERROR(INDEX('20 2026 DEPO KABUL'!$G$2:$G$501,MATCH(C389,'20 2026 DEPO KABUL'!$F$2:$F$501,0)),"")</f>
        <v/>
      </c>
      <c r="H389" s="1" t="str">
        <f>IFERROR(INDEX('20 2026 DEPO KABUL'!$H$2:$H$501,MATCH(C389,'20 2026 DEPO KABUL'!$F$2:$F$501,0)),"")</f>
        <v/>
      </c>
      <c r="I389" s="13"/>
      <c r="J389" s="13"/>
    </row>
    <row r="390" spans="1:10" ht="15" customHeight="1" x14ac:dyDescent="0.2">
      <c r="A390" s="13"/>
      <c r="B390" s="13"/>
      <c r="C390" s="13"/>
      <c r="D390" s="1" t="str">
        <f>IFERROR(INDEX('20 2026 DEPO KABUL'!$B$2:$B$501,MATCH(C390,'20 2026 DEPO KABUL'!$F$2:$F$501,0)),"")</f>
        <v/>
      </c>
      <c r="E390" s="13"/>
      <c r="F390" s="13"/>
      <c r="G390" s="1" t="str">
        <f>IFERROR(INDEX('20 2026 DEPO KABUL'!$G$2:$G$501,MATCH(C390,'20 2026 DEPO KABUL'!$F$2:$F$501,0)),"")</f>
        <v/>
      </c>
      <c r="H390" s="1" t="str">
        <f>IFERROR(INDEX('20 2026 DEPO KABUL'!$H$2:$H$501,MATCH(C390,'20 2026 DEPO KABUL'!$F$2:$F$501,0)),"")</f>
        <v/>
      </c>
      <c r="I390" s="13"/>
      <c r="J390" s="13"/>
    </row>
    <row r="391" spans="1:10" ht="15" customHeight="1" x14ac:dyDescent="0.2">
      <c r="A391" s="13"/>
      <c r="B391" s="13"/>
      <c r="C391" s="13"/>
      <c r="D391" s="1" t="str">
        <f>IFERROR(INDEX('20 2026 DEPO KABUL'!$B$2:$B$501,MATCH(C391,'20 2026 DEPO KABUL'!$F$2:$F$501,0)),"")</f>
        <v/>
      </c>
      <c r="E391" s="13"/>
      <c r="F391" s="13"/>
      <c r="G391" s="1" t="str">
        <f>IFERROR(INDEX('20 2026 DEPO KABUL'!$G$2:$G$501,MATCH(C391,'20 2026 DEPO KABUL'!$F$2:$F$501,0)),"")</f>
        <v/>
      </c>
      <c r="H391" s="1" t="str">
        <f>IFERROR(INDEX('20 2026 DEPO KABUL'!$H$2:$H$501,MATCH(C391,'20 2026 DEPO KABUL'!$F$2:$F$501,0)),"")</f>
        <v/>
      </c>
      <c r="I391" s="13"/>
      <c r="J391" s="13"/>
    </row>
    <row r="392" spans="1:10" ht="15" customHeight="1" x14ac:dyDescent="0.2">
      <c r="A392" s="13"/>
      <c r="B392" s="13"/>
      <c r="C392" s="13"/>
      <c r="D392" s="1" t="str">
        <f>IFERROR(INDEX('20 2026 DEPO KABUL'!$B$2:$B$501,MATCH(C392,'20 2026 DEPO KABUL'!$F$2:$F$501,0)),"")</f>
        <v/>
      </c>
      <c r="E392" s="13"/>
      <c r="F392" s="13"/>
      <c r="G392" s="1" t="str">
        <f>IFERROR(INDEX('20 2026 DEPO KABUL'!$G$2:$G$501,MATCH(C392,'20 2026 DEPO KABUL'!$F$2:$F$501,0)),"")</f>
        <v/>
      </c>
      <c r="H392" s="1" t="str">
        <f>IFERROR(INDEX('20 2026 DEPO KABUL'!$H$2:$H$501,MATCH(C392,'20 2026 DEPO KABUL'!$F$2:$F$501,0)),"")</f>
        <v/>
      </c>
      <c r="I392" s="13"/>
      <c r="J392" s="13"/>
    </row>
    <row r="393" spans="1:10" ht="15" customHeight="1" x14ac:dyDescent="0.2">
      <c r="A393" s="13"/>
      <c r="B393" s="13"/>
      <c r="C393" s="13"/>
      <c r="D393" s="1" t="str">
        <f>IFERROR(INDEX('20 2026 DEPO KABUL'!$B$2:$B$501,MATCH(C393,'20 2026 DEPO KABUL'!$F$2:$F$501,0)),"")</f>
        <v/>
      </c>
      <c r="E393" s="13"/>
      <c r="F393" s="13"/>
      <c r="G393" s="1" t="str">
        <f>IFERROR(INDEX('20 2026 DEPO KABUL'!$G$2:$G$501,MATCH(C393,'20 2026 DEPO KABUL'!$F$2:$F$501,0)),"")</f>
        <v/>
      </c>
      <c r="H393" s="1" t="str">
        <f>IFERROR(INDEX('20 2026 DEPO KABUL'!$H$2:$H$501,MATCH(C393,'20 2026 DEPO KABUL'!$F$2:$F$501,0)),"")</f>
        <v/>
      </c>
      <c r="I393" s="13"/>
      <c r="J393" s="13"/>
    </row>
    <row r="394" spans="1:10" ht="15" customHeight="1" x14ac:dyDescent="0.2">
      <c r="A394" s="13"/>
      <c r="B394" s="13"/>
      <c r="C394" s="13"/>
      <c r="D394" s="1" t="str">
        <f>IFERROR(INDEX('20 2026 DEPO KABUL'!$B$2:$B$501,MATCH(C394,'20 2026 DEPO KABUL'!$F$2:$F$501,0)),"")</f>
        <v/>
      </c>
      <c r="E394" s="13"/>
      <c r="F394" s="13"/>
      <c r="G394" s="1" t="str">
        <f>IFERROR(INDEX('20 2026 DEPO KABUL'!$G$2:$G$501,MATCH(C394,'20 2026 DEPO KABUL'!$F$2:$F$501,0)),"")</f>
        <v/>
      </c>
      <c r="H394" s="1" t="str">
        <f>IFERROR(INDEX('20 2026 DEPO KABUL'!$H$2:$H$501,MATCH(C394,'20 2026 DEPO KABUL'!$F$2:$F$501,0)),"")</f>
        <v/>
      </c>
      <c r="I394" s="13"/>
      <c r="J394" s="13"/>
    </row>
    <row r="395" spans="1:10" ht="15" customHeight="1" x14ac:dyDescent="0.2">
      <c r="A395" s="13"/>
      <c r="B395" s="13"/>
      <c r="C395" s="13"/>
      <c r="D395" s="1" t="str">
        <f>IFERROR(INDEX('20 2026 DEPO KABUL'!$B$2:$B$501,MATCH(C395,'20 2026 DEPO KABUL'!$F$2:$F$501,0)),"")</f>
        <v/>
      </c>
      <c r="E395" s="13"/>
      <c r="F395" s="13"/>
      <c r="G395" s="1" t="str">
        <f>IFERROR(INDEX('20 2026 DEPO KABUL'!$G$2:$G$501,MATCH(C395,'20 2026 DEPO KABUL'!$F$2:$F$501,0)),"")</f>
        <v/>
      </c>
      <c r="H395" s="1" t="str">
        <f>IFERROR(INDEX('20 2026 DEPO KABUL'!$H$2:$H$501,MATCH(C395,'20 2026 DEPO KABUL'!$F$2:$F$501,0)),"")</f>
        <v/>
      </c>
      <c r="I395" s="13"/>
      <c r="J395" s="13"/>
    </row>
    <row r="396" spans="1:10" ht="15" customHeight="1" x14ac:dyDescent="0.2">
      <c r="A396" s="13"/>
      <c r="B396" s="13"/>
      <c r="C396" s="13"/>
      <c r="D396" s="1" t="str">
        <f>IFERROR(INDEX('20 2026 DEPO KABUL'!$B$2:$B$501,MATCH(C396,'20 2026 DEPO KABUL'!$F$2:$F$501,0)),"")</f>
        <v/>
      </c>
      <c r="E396" s="13"/>
      <c r="F396" s="13"/>
      <c r="G396" s="1" t="str">
        <f>IFERROR(INDEX('20 2026 DEPO KABUL'!$G$2:$G$501,MATCH(C396,'20 2026 DEPO KABUL'!$F$2:$F$501,0)),"")</f>
        <v/>
      </c>
      <c r="H396" s="1" t="str">
        <f>IFERROR(INDEX('20 2026 DEPO KABUL'!$H$2:$H$501,MATCH(C396,'20 2026 DEPO KABUL'!$F$2:$F$501,0)),"")</f>
        <v/>
      </c>
      <c r="I396" s="13"/>
      <c r="J396" s="13"/>
    </row>
    <row r="397" spans="1:10" ht="15" customHeight="1" x14ac:dyDescent="0.2">
      <c r="A397" s="13"/>
      <c r="B397" s="13"/>
      <c r="C397" s="13"/>
      <c r="D397" s="1" t="str">
        <f>IFERROR(INDEX('20 2026 DEPO KABUL'!$B$2:$B$501,MATCH(C397,'20 2026 DEPO KABUL'!$F$2:$F$501,0)),"")</f>
        <v/>
      </c>
      <c r="E397" s="13"/>
      <c r="F397" s="13"/>
      <c r="G397" s="1" t="str">
        <f>IFERROR(INDEX('20 2026 DEPO KABUL'!$G$2:$G$501,MATCH(C397,'20 2026 DEPO KABUL'!$F$2:$F$501,0)),"")</f>
        <v/>
      </c>
      <c r="H397" s="1" t="str">
        <f>IFERROR(INDEX('20 2026 DEPO KABUL'!$H$2:$H$501,MATCH(C397,'20 2026 DEPO KABUL'!$F$2:$F$501,0)),"")</f>
        <v/>
      </c>
      <c r="I397" s="13"/>
      <c r="J397" s="13"/>
    </row>
    <row r="398" spans="1:10" ht="15" customHeight="1" x14ac:dyDescent="0.2">
      <c r="A398" s="13"/>
      <c r="B398" s="13"/>
      <c r="C398" s="13"/>
      <c r="D398" s="1" t="str">
        <f>IFERROR(INDEX('20 2026 DEPO KABUL'!$B$2:$B$501,MATCH(C398,'20 2026 DEPO KABUL'!$F$2:$F$501,0)),"")</f>
        <v/>
      </c>
      <c r="E398" s="13"/>
      <c r="F398" s="13"/>
      <c r="G398" s="1" t="str">
        <f>IFERROR(INDEX('20 2026 DEPO KABUL'!$G$2:$G$501,MATCH(C398,'20 2026 DEPO KABUL'!$F$2:$F$501,0)),"")</f>
        <v/>
      </c>
      <c r="H398" s="1" t="str">
        <f>IFERROR(INDEX('20 2026 DEPO KABUL'!$H$2:$H$501,MATCH(C398,'20 2026 DEPO KABUL'!$F$2:$F$501,0)),"")</f>
        <v/>
      </c>
      <c r="I398" s="13"/>
      <c r="J398" s="13"/>
    </row>
    <row r="399" spans="1:10" ht="15" customHeight="1" x14ac:dyDescent="0.2">
      <c r="A399" s="13"/>
      <c r="B399" s="13"/>
      <c r="C399" s="13"/>
      <c r="D399" s="1" t="str">
        <f>IFERROR(INDEX('20 2026 DEPO KABUL'!$B$2:$B$501,MATCH(C399,'20 2026 DEPO KABUL'!$F$2:$F$501,0)),"")</f>
        <v/>
      </c>
      <c r="E399" s="13"/>
      <c r="F399" s="13"/>
      <c r="G399" s="1" t="str">
        <f>IFERROR(INDEX('20 2026 DEPO KABUL'!$G$2:$G$501,MATCH(C399,'20 2026 DEPO KABUL'!$F$2:$F$501,0)),"")</f>
        <v/>
      </c>
      <c r="H399" s="1" t="str">
        <f>IFERROR(INDEX('20 2026 DEPO KABUL'!$H$2:$H$501,MATCH(C399,'20 2026 DEPO KABUL'!$F$2:$F$501,0)),"")</f>
        <v/>
      </c>
      <c r="I399" s="13"/>
      <c r="J399" s="13"/>
    </row>
    <row r="400" spans="1:10" ht="15" customHeight="1" x14ac:dyDescent="0.2">
      <c r="A400" s="13"/>
      <c r="B400" s="13"/>
      <c r="C400" s="13"/>
      <c r="D400" s="1" t="str">
        <f>IFERROR(INDEX('20 2026 DEPO KABUL'!$B$2:$B$501,MATCH(C400,'20 2026 DEPO KABUL'!$F$2:$F$501,0)),"")</f>
        <v/>
      </c>
      <c r="E400" s="13"/>
      <c r="F400" s="13"/>
      <c r="G400" s="1" t="str">
        <f>IFERROR(INDEX('20 2026 DEPO KABUL'!$G$2:$G$501,MATCH(C400,'20 2026 DEPO KABUL'!$F$2:$F$501,0)),"")</f>
        <v/>
      </c>
      <c r="H400" s="1" t="str">
        <f>IFERROR(INDEX('20 2026 DEPO KABUL'!$H$2:$H$501,MATCH(C400,'20 2026 DEPO KABUL'!$F$2:$F$501,0)),"")</f>
        <v/>
      </c>
      <c r="I400" s="13"/>
      <c r="J400" s="13"/>
    </row>
    <row r="401" spans="1:10" ht="15" customHeight="1" x14ac:dyDescent="0.2">
      <c r="A401" s="13"/>
      <c r="B401" s="13"/>
      <c r="C401" s="13"/>
      <c r="D401" s="1" t="str">
        <f>IFERROR(INDEX('20 2026 DEPO KABUL'!$B$2:$B$501,MATCH(C401,'20 2026 DEPO KABUL'!$F$2:$F$501,0)),"")</f>
        <v/>
      </c>
      <c r="E401" s="13"/>
      <c r="F401" s="13"/>
      <c r="G401" s="1" t="str">
        <f>IFERROR(INDEX('20 2026 DEPO KABUL'!$G$2:$G$501,MATCH(C401,'20 2026 DEPO KABUL'!$F$2:$F$501,0)),"")</f>
        <v/>
      </c>
      <c r="H401" s="1" t="str">
        <f>IFERROR(INDEX('20 2026 DEPO KABUL'!$H$2:$H$501,MATCH(C401,'20 2026 DEPO KABUL'!$F$2:$F$501,0)),"")</f>
        <v/>
      </c>
      <c r="I401" s="13"/>
      <c r="J401" s="13"/>
    </row>
    <row r="402" spans="1:10" ht="15" customHeight="1" x14ac:dyDescent="0.2">
      <c r="A402" s="13"/>
      <c r="B402" s="13"/>
      <c r="C402" s="13"/>
      <c r="D402" s="1" t="str">
        <f>IFERROR(INDEX('20 2026 DEPO KABUL'!$B$2:$B$501,MATCH(C402,'20 2026 DEPO KABUL'!$F$2:$F$501,0)),"")</f>
        <v/>
      </c>
      <c r="E402" s="13"/>
      <c r="F402" s="13"/>
      <c r="G402" s="1" t="str">
        <f>IFERROR(INDEX('20 2026 DEPO KABUL'!$G$2:$G$501,MATCH(C402,'20 2026 DEPO KABUL'!$F$2:$F$501,0)),"")</f>
        <v/>
      </c>
      <c r="H402" s="1" t="str">
        <f>IFERROR(INDEX('20 2026 DEPO KABUL'!$H$2:$H$501,MATCH(C402,'20 2026 DEPO KABUL'!$F$2:$F$501,0)),"")</f>
        <v/>
      </c>
      <c r="I402" s="13"/>
      <c r="J402" s="13"/>
    </row>
    <row r="403" spans="1:10" ht="15" customHeight="1" x14ac:dyDescent="0.2">
      <c r="A403" s="13"/>
      <c r="B403" s="13"/>
      <c r="C403" s="13"/>
      <c r="D403" s="1" t="str">
        <f>IFERROR(INDEX('20 2026 DEPO KABUL'!$B$2:$B$501,MATCH(C403,'20 2026 DEPO KABUL'!$F$2:$F$501,0)),"")</f>
        <v/>
      </c>
      <c r="E403" s="13"/>
      <c r="F403" s="13"/>
      <c r="G403" s="1" t="str">
        <f>IFERROR(INDEX('20 2026 DEPO KABUL'!$G$2:$G$501,MATCH(C403,'20 2026 DEPO KABUL'!$F$2:$F$501,0)),"")</f>
        <v/>
      </c>
      <c r="H403" s="1" t="str">
        <f>IFERROR(INDEX('20 2026 DEPO KABUL'!$H$2:$H$501,MATCH(C403,'20 2026 DEPO KABUL'!$F$2:$F$501,0)),"")</f>
        <v/>
      </c>
      <c r="I403" s="13"/>
      <c r="J403" s="13"/>
    </row>
    <row r="404" spans="1:10" ht="15" customHeight="1" x14ac:dyDescent="0.2">
      <c r="A404" s="13"/>
      <c r="B404" s="13"/>
      <c r="C404" s="13"/>
      <c r="D404" s="1" t="str">
        <f>IFERROR(INDEX('20 2026 DEPO KABUL'!$B$2:$B$501,MATCH(C404,'20 2026 DEPO KABUL'!$F$2:$F$501,0)),"")</f>
        <v/>
      </c>
      <c r="E404" s="13"/>
      <c r="F404" s="13"/>
      <c r="G404" s="1" t="str">
        <f>IFERROR(INDEX('20 2026 DEPO KABUL'!$G$2:$G$501,MATCH(C404,'20 2026 DEPO KABUL'!$F$2:$F$501,0)),"")</f>
        <v/>
      </c>
      <c r="H404" s="1" t="str">
        <f>IFERROR(INDEX('20 2026 DEPO KABUL'!$H$2:$H$501,MATCH(C404,'20 2026 DEPO KABUL'!$F$2:$F$501,0)),"")</f>
        <v/>
      </c>
      <c r="I404" s="13"/>
      <c r="J404" s="13"/>
    </row>
    <row r="405" spans="1:10" ht="15" customHeight="1" x14ac:dyDescent="0.2">
      <c r="A405" s="13"/>
      <c r="B405" s="13"/>
      <c r="C405" s="13"/>
      <c r="D405" s="1" t="str">
        <f>IFERROR(INDEX('20 2026 DEPO KABUL'!$B$2:$B$501,MATCH(C405,'20 2026 DEPO KABUL'!$F$2:$F$501,0)),"")</f>
        <v/>
      </c>
      <c r="E405" s="13"/>
      <c r="F405" s="13"/>
      <c r="G405" s="1" t="str">
        <f>IFERROR(INDEX('20 2026 DEPO KABUL'!$G$2:$G$501,MATCH(C405,'20 2026 DEPO KABUL'!$F$2:$F$501,0)),"")</f>
        <v/>
      </c>
      <c r="H405" s="1" t="str">
        <f>IFERROR(INDEX('20 2026 DEPO KABUL'!$H$2:$H$501,MATCH(C405,'20 2026 DEPO KABUL'!$F$2:$F$501,0)),"")</f>
        <v/>
      </c>
      <c r="I405" s="13"/>
      <c r="J405" s="13"/>
    </row>
    <row r="406" spans="1:10" ht="15" customHeight="1" x14ac:dyDescent="0.2">
      <c r="A406" s="13"/>
      <c r="B406" s="13"/>
      <c r="C406" s="13"/>
      <c r="D406" s="1" t="str">
        <f>IFERROR(INDEX('20 2026 DEPO KABUL'!$B$2:$B$501,MATCH(C406,'20 2026 DEPO KABUL'!$F$2:$F$501,0)),"")</f>
        <v/>
      </c>
      <c r="E406" s="13"/>
      <c r="F406" s="13"/>
      <c r="G406" s="1" t="str">
        <f>IFERROR(INDEX('20 2026 DEPO KABUL'!$G$2:$G$501,MATCH(C406,'20 2026 DEPO KABUL'!$F$2:$F$501,0)),"")</f>
        <v/>
      </c>
      <c r="H406" s="1" t="str">
        <f>IFERROR(INDEX('20 2026 DEPO KABUL'!$H$2:$H$501,MATCH(C406,'20 2026 DEPO KABUL'!$F$2:$F$501,0)),"")</f>
        <v/>
      </c>
      <c r="I406" s="13"/>
      <c r="J406" s="13"/>
    </row>
    <row r="407" spans="1:10" ht="15" customHeight="1" x14ac:dyDescent="0.2">
      <c r="A407" s="13"/>
      <c r="B407" s="13"/>
      <c r="C407" s="13"/>
      <c r="D407" s="1" t="str">
        <f>IFERROR(INDEX('20 2026 DEPO KABUL'!$B$2:$B$501,MATCH(C407,'20 2026 DEPO KABUL'!$F$2:$F$501,0)),"")</f>
        <v/>
      </c>
      <c r="E407" s="13"/>
      <c r="F407" s="13"/>
      <c r="G407" s="1" t="str">
        <f>IFERROR(INDEX('20 2026 DEPO KABUL'!$G$2:$G$501,MATCH(C407,'20 2026 DEPO KABUL'!$F$2:$F$501,0)),"")</f>
        <v/>
      </c>
      <c r="H407" s="1" t="str">
        <f>IFERROR(INDEX('20 2026 DEPO KABUL'!$H$2:$H$501,MATCH(C407,'20 2026 DEPO KABUL'!$F$2:$F$501,0)),"")</f>
        <v/>
      </c>
      <c r="I407" s="13"/>
      <c r="J407" s="13"/>
    </row>
    <row r="408" spans="1:10" ht="15" customHeight="1" x14ac:dyDescent="0.2">
      <c r="A408" s="13"/>
      <c r="B408" s="13"/>
      <c r="C408" s="13"/>
      <c r="D408" s="1" t="str">
        <f>IFERROR(INDEX('20 2026 DEPO KABUL'!$B$2:$B$501,MATCH(C408,'20 2026 DEPO KABUL'!$F$2:$F$501,0)),"")</f>
        <v/>
      </c>
      <c r="E408" s="13"/>
      <c r="F408" s="13"/>
      <c r="G408" s="1" t="str">
        <f>IFERROR(INDEX('20 2026 DEPO KABUL'!$G$2:$G$501,MATCH(C408,'20 2026 DEPO KABUL'!$F$2:$F$501,0)),"")</f>
        <v/>
      </c>
      <c r="H408" s="1" t="str">
        <f>IFERROR(INDEX('20 2026 DEPO KABUL'!$H$2:$H$501,MATCH(C408,'20 2026 DEPO KABUL'!$F$2:$F$501,0)),"")</f>
        <v/>
      </c>
      <c r="I408" s="13"/>
      <c r="J408" s="13"/>
    </row>
    <row r="409" spans="1:10" ht="15" customHeight="1" x14ac:dyDescent="0.2">
      <c r="A409" s="13"/>
      <c r="B409" s="13"/>
      <c r="C409" s="13"/>
      <c r="D409" s="1" t="str">
        <f>IFERROR(INDEX('20 2026 DEPO KABUL'!$B$2:$B$501,MATCH(C409,'20 2026 DEPO KABUL'!$F$2:$F$501,0)),"")</f>
        <v/>
      </c>
      <c r="E409" s="13"/>
      <c r="F409" s="13"/>
      <c r="G409" s="1" t="str">
        <f>IFERROR(INDEX('20 2026 DEPO KABUL'!$G$2:$G$501,MATCH(C409,'20 2026 DEPO KABUL'!$F$2:$F$501,0)),"")</f>
        <v/>
      </c>
      <c r="H409" s="1" t="str">
        <f>IFERROR(INDEX('20 2026 DEPO KABUL'!$H$2:$H$501,MATCH(C409,'20 2026 DEPO KABUL'!$F$2:$F$501,0)),"")</f>
        <v/>
      </c>
      <c r="I409" s="13"/>
      <c r="J409" s="13"/>
    </row>
    <row r="410" spans="1:10" ht="15" customHeight="1" x14ac:dyDescent="0.2">
      <c r="A410" s="13"/>
      <c r="B410" s="13"/>
      <c r="C410" s="13"/>
      <c r="D410" s="1" t="str">
        <f>IFERROR(INDEX('20 2026 DEPO KABUL'!$B$2:$B$501,MATCH(C410,'20 2026 DEPO KABUL'!$F$2:$F$501,0)),"")</f>
        <v/>
      </c>
      <c r="E410" s="13"/>
      <c r="F410" s="13"/>
      <c r="G410" s="1" t="str">
        <f>IFERROR(INDEX('20 2026 DEPO KABUL'!$G$2:$G$501,MATCH(C410,'20 2026 DEPO KABUL'!$F$2:$F$501,0)),"")</f>
        <v/>
      </c>
      <c r="H410" s="1" t="str">
        <f>IFERROR(INDEX('20 2026 DEPO KABUL'!$H$2:$H$501,MATCH(C410,'20 2026 DEPO KABUL'!$F$2:$F$501,0)),"")</f>
        <v/>
      </c>
      <c r="I410" s="13"/>
      <c r="J410" s="13"/>
    </row>
    <row r="411" spans="1:10" ht="15" customHeight="1" x14ac:dyDescent="0.2">
      <c r="A411" s="13"/>
      <c r="B411" s="13"/>
      <c r="C411" s="13"/>
      <c r="D411" s="1" t="str">
        <f>IFERROR(INDEX('20 2026 DEPO KABUL'!$B$2:$B$501,MATCH(C411,'20 2026 DEPO KABUL'!$F$2:$F$501,0)),"")</f>
        <v/>
      </c>
      <c r="E411" s="13"/>
      <c r="F411" s="13"/>
      <c r="G411" s="1" t="str">
        <f>IFERROR(INDEX('20 2026 DEPO KABUL'!$G$2:$G$501,MATCH(C411,'20 2026 DEPO KABUL'!$F$2:$F$501,0)),"")</f>
        <v/>
      </c>
      <c r="H411" s="1" t="str">
        <f>IFERROR(INDEX('20 2026 DEPO KABUL'!$H$2:$H$501,MATCH(C411,'20 2026 DEPO KABUL'!$F$2:$F$501,0)),"")</f>
        <v/>
      </c>
      <c r="I411" s="13"/>
      <c r="J411" s="13"/>
    </row>
    <row r="412" spans="1:10" ht="15" customHeight="1" x14ac:dyDescent="0.2">
      <c r="A412" s="13"/>
      <c r="B412" s="13"/>
      <c r="C412" s="13"/>
      <c r="D412" s="1" t="str">
        <f>IFERROR(INDEX('20 2026 DEPO KABUL'!$B$2:$B$501,MATCH(C412,'20 2026 DEPO KABUL'!$F$2:$F$501,0)),"")</f>
        <v/>
      </c>
      <c r="E412" s="13"/>
      <c r="F412" s="13"/>
      <c r="G412" s="1" t="str">
        <f>IFERROR(INDEX('20 2026 DEPO KABUL'!$G$2:$G$501,MATCH(C412,'20 2026 DEPO KABUL'!$F$2:$F$501,0)),"")</f>
        <v/>
      </c>
      <c r="H412" s="1" t="str">
        <f>IFERROR(INDEX('20 2026 DEPO KABUL'!$H$2:$H$501,MATCH(C412,'20 2026 DEPO KABUL'!$F$2:$F$501,0)),"")</f>
        <v/>
      </c>
      <c r="I412" s="13"/>
      <c r="J412" s="13"/>
    </row>
    <row r="413" spans="1:10" ht="15" customHeight="1" x14ac:dyDescent="0.2">
      <c r="A413" s="13"/>
      <c r="B413" s="13"/>
      <c r="C413" s="13"/>
      <c r="D413" s="1" t="str">
        <f>IFERROR(INDEX('20 2026 DEPO KABUL'!$B$2:$B$501,MATCH(C413,'20 2026 DEPO KABUL'!$F$2:$F$501,0)),"")</f>
        <v/>
      </c>
      <c r="E413" s="13"/>
      <c r="F413" s="13"/>
      <c r="G413" s="1" t="str">
        <f>IFERROR(INDEX('20 2026 DEPO KABUL'!$G$2:$G$501,MATCH(C413,'20 2026 DEPO KABUL'!$F$2:$F$501,0)),"")</f>
        <v/>
      </c>
      <c r="H413" s="1" t="str">
        <f>IFERROR(INDEX('20 2026 DEPO KABUL'!$H$2:$H$501,MATCH(C413,'20 2026 DEPO KABUL'!$F$2:$F$501,0)),"")</f>
        <v/>
      </c>
      <c r="I413" s="13"/>
      <c r="J413" s="13"/>
    </row>
    <row r="414" spans="1:10" ht="15" customHeight="1" x14ac:dyDescent="0.2">
      <c r="A414" s="13"/>
      <c r="B414" s="13"/>
      <c r="C414" s="13"/>
      <c r="D414" s="1" t="str">
        <f>IFERROR(INDEX('20 2026 DEPO KABUL'!$B$2:$B$501,MATCH(C414,'20 2026 DEPO KABUL'!$F$2:$F$501,0)),"")</f>
        <v/>
      </c>
      <c r="E414" s="13"/>
      <c r="F414" s="13"/>
      <c r="G414" s="1" t="str">
        <f>IFERROR(INDEX('20 2026 DEPO KABUL'!$G$2:$G$501,MATCH(C414,'20 2026 DEPO KABUL'!$F$2:$F$501,0)),"")</f>
        <v/>
      </c>
      <c r="H414" s="1" t="str">
        <f>IFERROR(INDEX('20 2026 DEPO KABUL'!$H$2:$H$501,MATCH(C414,'20 2026 DEPO KABUL'!$F$2:$F$501,0)),"")</f>
        <v/>
      </c>
      <c r="I414" s="13"/>
      <c r="J414" s="13"/>
    </row>
    <row r="415" spans="1:10" ht="15" customHeight="1" x14ac:dyDescent="0.2">
      <c r="A415" s="13"/>
      <c r="B415" s="13"/>
      <c r="C415" s="13"/>
      <c r="D415" s="1" t="str">
        <f>IFERROR(INDEX('20 2026 DEPO KABUL'!$B$2:$B$501,MATCH(C415,'20 2026 DEPO KABUL'!$F$2:$F$501,0)),"")</f>
        <v/>
      </c>
      <c r="E415" s="13"/>
      <c r="F415" s="13"/>
      <c r="G415" s="1" t="str">
        <f>IFERROR(INDEX('20 2026 DEPO KABUL'!$G$2:$G$501,MATCH(C415,'20 2026 DEPO KABUL'!$F$2:$F$501,0)),"")</f>
        <v/>
      </c>
      <c r="H415" s="1" t="str">
        <f>IFERROR(INDEX('20 2026 DEPO KABUL'!$H$2:$H$501,MATCH(C415,'20 2026 DEPO KABUL'!$F$2:$F$501,0)),"")</f>
        <v/>
      </c>
      <c r="I415" s="13"/>
      <c r="J415" s="13"/>
    </row>
    <row r="416" spans="1:10" ht="15" customHeight="1" x14ac:dyDescent="0.2">
      <c r="A416" s="13"/>
      <c r="B416" s="13"/>
      <c r="C416" s="13"/>
      <c r="D416" s="1" t="str">
        <f>IFERROR(INDEX('20 2026 DEPO KABUL'!$B$2:$B$501,MATCH(C416,'20 2026 DEPO KABUL'!$F$2:$F$501,0)),"")</f>
        <v/>
      </c>
      <c r="E416" s="13"/>
      <c r="F416" s="13"/>
      <c r="G416" s="1" t="str">
        <f>IFERROR(INDEX('20 2026 DEPO KABUL'!$G$2:$G$501,MATCH(C416,'20 2026 DEPO KABUL'!$F$2:$F$501,0)),"")</f>
        <v/>
      </c>
      <c r="H416" s="1" t="str">
        <f>IFERROR(INDEX('20 2026 DEPO KABUL'!$H$2:$H$501,MATCH(C416,'20 2026 DEPO KABUL'!$F$2:$F$501,0)),"")</f>
        <v/>
      </c>
      <c r="I416" s="13"/>
      <c r="J416" s="13"/>
    </row>
    <row r="417" spans="1:10" ht="15" customHeight="1" x14ac:dyDescent="0.2">
      <c r="A417" s="13"/>
      <c r="B417" s="13"/>
      <c r="C417" s="13"/>
      <c r="D417" s="1" t="str">
        <f>IFERROR(INDEX('20 2026 DEPO KABUL'!$B$2:$B$501,MATCH(C417,'20 2026 DEPO KABUL'!$F$2:$F$501,0)),"")</f>
        <v/>
      </c>
      <c r="E417" s="13"/>
      <c r="F417" s="13"/>
      <c r="G417" s="1" t="str">
        <f>IFERROR(INDEX('20 2026 DEPO KABUL'!$G$2:$G$501,MATCH(C417,'20 2026 DEPO KABUL'!$F$2:$F$501,0)),"")</f>
        <v/>
      </c>
      <c r="H417" s="1" t="str">
        <f>IFERROR(INDEX('20 2026 DEPO KABUL'!$H$2:$H$501,MATCH(C417,'20 2026 DEPO KABUL'!$F$2:$F$501,0)),"")</f>
        <v/>
      </c>
      <c r="I417" s="13"/>
      <c r="J417" s="13"/>
    </row>
    <row r="418" spans="1:10" ht="15" customHeight="1" x14ac:dyDescent="0.2">
      <c r="A418" s="13"/>
      <c r="B418" s="13"/>
      <c r="C418" s="13"/>
      <c r="D418" s="1" t="str">
        <f>IFERROR(INDEX('20 2026 DEPO KABUL'!$B$2:$B$501,MATCH(C418,'20 2026 DEPO KABUL'!$F$2:$F$501,0)),"")</f>
        <v/>
      </c>
      <c r="E418" s="13"/>
      <c r="F418" s="13"/>
      <c r="G418" s="1" t="str">
        <f>IFERROR(INDEX('20 2026 DEPO KABUL'!$G$2:$G$501,MATCH(C418,'20 2026 DEPO KABUL'!$F$2:$F$501,0)),"")</f>
        <v/>
      </c>
      <c r="H418" s="1" t="str">
        <f>IFERROR(INDEX('20 2026 DEPO KABUL'!$H$2:$H$501,MATCH(C418,'20 2026 DEPO KABUL'!$F$2:$F$501,0)),"")</f>
        <v/>
      </c>
      <c r="I418" s="13"/>
      <c r="J418" s="13"/>
    </row>
    <row r="419" spans="1:10" ht="15" customHeight="1" x14ac:dyDescent="0.2">
      <c r="A419" s="13"/>
      <c r="B419" s="13"/>
      <c r="C419" s="13"/>
      <c r="D419" s="1" t="str">
        <f>IFERROR(INDEX('20 2026 DEPO KABUL'!$B$2:$B$501,MATCH(C419,'20 2026 DEPO KABUL'!$F$2:$F$501,0)),"")</f>
        <v/>
      </c>
      <c r="E419" s="13"/>
      <c r="F419" s="13"/>
      <c r="G419" s="1" t="str">
        <f>IFERROR(INDEX('20 2026 DEPO KABUL'!$G$2:$G$501,MATCH(C419,'20 2026 DEPO KABUL'!$F$2:$F$501,0)),"")</f>
        <v/>
      </c>
      <c r="H419" s="1" t="str">
        <f>IFERROR(INDEX('20 2026 DEPO KABUL'!$H$2:$H$501,MATCH(C419,'20 2026 DEPO KABUL'!$F$2:$F$501,0)),"")</f>
        <v/>
      </c>
      <c r="I419" s="13"/>
      <c r="J419" s="13"/>
    </row>
    <row r="420" spans="1:10" ht="15" customHeight="1" x14ac:dyDescent="0.2">
      <c r="A420" s="13"/>
      <c r="B420" s="13"/>
      <c r="C420" s="13"/>
      <c r="D420" s="1" t="str">
        <f>IFERROR(INDEX('20 2026 DEPO KABUL'!$B$2:$B$501,MATCH(C420,'20 2026 DEPO KABUL'!$F$2:$F$501,0)),"")</f>
        <v/>
      </c>
      <c r="E420" s="13"/>
      <c r="F420" s="13"/>
      <c r="G420" s="1" t="str">
        <f>IFERROR(INDEX('20 2026 DEPO KABUL'!$G$2:$G$501,MATCH(C420,'20 2026 DEPO KABUL'!$F$2:$F$501,0)),"")</f>
        <v/>
      </c>
      <c r="H420" s="1" t="str">
        <f>IFERROR(INDEX('20 2026 DEPO KABUL'!$H$2:$H$501,MATCH(C420,'20 2026 DEPO KABUL'!$F$2:$F$501,0)),"")</f>
        <v/>
      </c>
      <c r="I420" s="13"/>
      <c r="J420" s="13"/>
    </row>
    <row r="421" spans="1:10" ht="15" customHeight="1" x14ac:dyDescent="0.2">
      <c r="A421" s="13"/>
      <c r="B421" s="13"/>
      <c r="C421" s="13"/>
      <c r="D421" s="1" t="str">
        <f>IFERROR(INDEX('20 2026 DEPO KABUL'!$B$2:$B$501,MATCH(C421,'20 2026 DEPO KABUL'!$F$2:$F$501,0)),"")</f>
        <v/>
      </c>
      <c r="E421" s="13"/>
      <c r="F421" s="13"/>
      <c r="G421" s="1" t="str">
        <f>IFERROR(INDEX('20 2026 DEPO KABUL'!$G$2:$G$501,MATCH(C421,'20 2026 DEPO KABUL'!$F$2:$F$501,0)),"")</f>
        <v/>
      </c>
      <c r="H421" s="1" t="str">
        <f>IFERROR(INDEX('20 2026 DEPO KABUL'!$H$2:$H$501,MATCH(C421,'20 2026 DEPO KABUL'!$F$2:$F$501,0)),"")</f>
        <v/>
      </c>
      <c r="I421" s="13"/>
      <c r="J421" s="13"/>
    </row>
    <row r="422" spans="1:10" ht="15" customHeight="1" x14ac:dyDescent="0.2">
      <c r="A422" s="13"/>
      <c r="B422" s="13"/>
      <c r="C422" s="13"/>
      <c r="D422" s="1" t="str">
        <f>IFERROR(INDEX('20 2026 DEPO KABUL'!$B$2:$B$501,MATCH(C422,'20 2026 DEPO KABUL'!$F$2:$F$501,0)),"")</f>
        <v/>
      </c>
      <c r="E422" s="13"/>
      <c r="F422" s="13"/>
      <c r="G422" s="1" t="str">
        <f>IFERROR(INDEX('20 2026 DEPO KABUL'!$G$2:$G$501,MATCH(C422,'20 2026 DEPO KABUL'!$F$2:$F$501,0)),"")</f>
        <v/>
      </c>
      <c r="H422" s="1" t="str">
        <f>IFERROR(INDEX('20 2026 DEPO KABUL'!$H$2:$H$501,MATCH(C422,'20 2026 DEPO KABUL'!$F$2:$F$501,0)),"")</f>
        <v/>
      </c>
      <c r="I422" s="13"/>
      <c r="J422" s="13"/>
    </row>
    <row r="423" spans="1:10" ht="15" customHeight="1" x14ac:dyDescent="0.2">
      <c r="A423" s="13"/>
      <c r="B423" s="13"/>
      <c r="C423" s="13"/>
      <c r="D423" s="1" t="str">
        <f>IFERROR(INDEX('20 2026 DEPO KABUL'!$B$2:$B$501,MATCH(C423,'20 2026 DEPO KABUL'!$F$2:$F$501,0)),"")</f>
        <v/>
      </c>
      <c r="E423" s="13"/>
      <c r="F423" s="13"/>
      <c r="G423" s="1" t="str">
        <f>IFERROR(INDEX('20 2026 DEPO KABUL'!$G$2:$G$501,MATCH(C423,'20 2026 DEPO KABUL'!$F$2:$F$501,0)),"")</f>
        <v/>
      </c>
      <c r="H423" s="1" t="str">
        <f>IFERROR(INDEX('20 2026 DEPO KABUL'!$H$2:$H$501,MATCH(C423,'20 2026 DEPO KABUL'!$F$2:$F$501,0)),"")</f>
        <v/>
      </c>
      <c r="I423" s="13"/>
      <c r="J423" s="13"/>
    </row>
    <row r="424" spans="1:10" ht="15" customHeight="1" x14ac:dyDescent="0.2">
      <c r="A424" s="13"/>
      <c r="B424" s="13"/>
      <c r="C424" s="13"/>
      <c r="D424" s="1" t="str">
        <f>IFERROR(INDEX('20 2026 DEPO KABUL'!$B$2:$B$501,MATCH(C424,'20 2026 DEPO KABUL'!$F$2:$F$501,0)),"")</f>
        <v/>
      </c>
      <c r="E424" s="13"/>
      <c r="F424" s="13"/>
      <c r="G424" s="1" t="str">
        <f>IFERROR(INDEX('20 2026 DEPO KABUL'!$G$2:$G$501,MATCH(C424,'20 2026 DEPO KABUL'!$F$2:$F$501,0)),"")</f>
        <v/>
      </c>
      <c r="H424" s="1" t="str">
        <f>IFERROR(INDEX('20 2026 DEPO KABUL'!$H$2:$H$501,MATCH(C424,'20 2026 DEPO KABUL'!$F$2:$F$501,0)),"")</f>
        <v/>
      </c>
      <c r="I424" s="13"/>
      <c r="J424" s="13"/>
    </row>
    <row r="425" spans="1:10" ht="15" customHeight="1" x14ac:dyDescent="0.2">
      <c r="A425" s="13"/>
      <c r="B425" s="13"/>
      <c r="C425" s="13"/>
      <c r="D425" s="1" t="str">
        <f>IFERROR(INDEX('20 2026 DEPO KABUL'!$B$2:$B$501,MATCH(C425,'20 2026 DEPO KABUL'!$F$2:$F$501,0)),"")</f>
        <v/>
      </c>
      <c r="E425" s="13"/>
      <c r="F425" s="13"/>
      <c r="G425" s="1" t="str">
        <f>IFERROR(INDEX('20 2026 DEPO KABUL'!$G$2:$G$501,MATCH(C425,'20 2026 DEPO KABUL'!$F$2:$F$501,0)),"")</f>
        <v/>
      </c>
      <c r="H425" s="1" t="str">
        <f>IFERROR(INDEX('20 2026 DEPO KABUL'!$H$2:$H$501,MATCH(C425,'20 2026 DEPO KABUL'!$F$2:$F$501,0)),"")</f>
        <v/>
      </c>
      <c r="I425" s="13"/>
      <c r="J425" s="13"/>
    </row>
    <row r="426" spans="1:10" ht="15" customHeight="1" x14ac:dyDescent="0.2">
      <c r="A426" s="13"/>
      <c r="B426" s="13"/>
      <c r="C426" s="13"/>
      <c r="D426" s="1" t="str">
        <f>IFERROR(INDEX('20 2026 DEPO KABUL'!$B$2:$B$501,MATCH(C426,'20 2026 DEPO KABUL'!$F$2:$F$501,0)),"")</f>
        <v/>
      </c>
      <c r="E426" s="13"/>
      <c r="F426" s="13"/>
      <c r="G426" s="1" t="str">
        <f>IFERROR(INDEX('20 2026 DEPO KABUL'!$G$2:$G$501,MATCH(C426,'20 2026 DEPO KABUL'!$F$2:$F$501,0)),"")</f>
        <v/>
      </c>
      <c r="H426" s="1" t="str">
        <f>IFERROR(INDEX('20 2026 DEPO KABUL'!$H$2:$H$501,MATCH(C426,'20 2026 DEPO KABUL'!$F$2:$F$501,0)),"")</f>
        <v/>
      </c>
      <c r="I426" s="13"/>
      <c r="J426" s="13"/>
    </row>
    <row r="427" spans="1:10" ht="15" customHeight="1" x14ac:dyDescent="0.2">
      <c r="A427" s="13"/>
      <c r="B427" s="13"/>
      <c r="C427" s="13"/>
      <c r="D427" s="1" t="str">
        <f>IFERROR(INDEX('20 2026 DEPO KABUL'!$B$2:$B$501,MATCH(C427,'20 2026 DEPO KABUL'!$F$2:$F$501,0)),"")</f>
        <v/>
      </c>
      <c r="E427" s="13"/>
      <c r="F427" s="13"/>
      <c r="G427" s="1" t="str">
        <f>IFERROR(INDEX('20 2026 DEPO KABUL'!$G$2:$G$501,MATCH(C427,'20 2026 DEPO KABUL'!$F$2:$F$501,0)),"")</f>
        <v/>
      </c>
      <c r="H427" s="1" t="str">
        <f>IFERROR(INDEX('20 2026 DEPO KABUL'!$H$2:$H$501,MATCH(C427,'20 2026 DEPO KABUL'!$F$2:$F$501,0)),"")</f>
        <v/>
      </c>
      <c r="I427" s="13"/>
      <c r="J427" s="13"/>
    </row>
    <row r="428" spans="1:10" ht="15" customHeight="1" x14ac:dyDescent="0.2">
      <c r="A428" s="13"/>
      <c r="B428" s="13"/>
      <c r="C428" s="13"/>
      <c r="D428" s="1" t="str">
        <f>IFERROR(INDEX('20 2026 DEPO KABUL'!$B$2:$B$501,MATCH(C428,'20 2026 DEPO KABUL'!$F$2:$F$501,0)),"")</f>
        <v/>
      </c>
      <c r="E428" s="13"/>
      <c r="F428" s="13"/>
      <c r="G428" s="1" t="str">
        <f>IFERROR(INDEX('20 2026 DEPO KABUL'!$G$2:$G$501,MATCH(C428,'20 2026 DEPO KABUL'!$F$2:$F$501,0)),"")</f>
        <v/>
      </c>
      <c r="H428" s="1" t="str">
        <f>IFERROR(INDEX('20 2026 DEPO KABUL'!$H$2:$H$501,MATCH(C428,'20 2026 DEPO KABUL'!$F$2:$F$501,0)),"")</f>
        <v/>
      </c>
      <c r="I428" s="13"/>
      <c r="J428" s="13"/>
    </row>
    <row r="429" spans="1:10" ht="15" customHeight="1" x14ac:dyDescent="0.2">
      <c r="A429" s="13"/>
      <c r="B429" s="13"/>
      <c r="C429" s="13"/>
      <c r="D429" s="1" t="str">
        <f>IFERROR(INDEX('20 2026 DEPO KABUL'!$B$2:$B$501,MATCH(C429,'20 2026 DEPO KABUL'!$F$2:$F$501,0)),"")</f>
        <v/>
      </c>
      <c r="E429" s="13"/>
      <c r="F429" s="13"/>
      <c r="G429" s="1" t="str">
        <f>IFERROR(INDEX('20 2026 DEPO KABUL'!$G$2:$G$501,MATCH(C429,'20 2026 DEPO KABUL'!$F$2:$F$501,0)),"")</f>
        <v/>
      </c>
      <c r="H429" s="1" t="str">
        <f>IFERROR(INDEX('20 2026 DEPO KABUL'!$H$2:$H$501,MATCH(C429,'20 2026 DEPO KABUL'!$F$2:$F$501,0)),"")</f>
        <v/>
      </c>
      <c r="I429" s="13"/>
      <c r="J429" s="13"/>
    </row>
    <row r="430" spans="1:10" ht="15" customHeight="1" x14ac:dyDescent="0.2">
      <c r="A430" s="13"/>
      <c r="B430" s="13"/>
      <c r="C430" s="13"/>
      <c r="D430" s="1" t="str">
        <f>IFERROR(INDEX('20 2026 DEPO KABUL'!$B$2:$B$501,MATCH(C430,'20 2026 DEPO KABUL'!$F$2:$F$501,0)),"")</f>
        <v/>
      </c>
      <c r="E430" s="13"/>
      <c r="F430" s="13"/>
      <c r="G430" s="1" t="str">
        <f>IFERROR(INDEX('20 2026 DEPO KABUL'!$G$2:$G$501,MATCH(C430,'20 2026 DEPO KABUL'!$F$2:$F$501,0)),"")</f>
        <v/>
      </c>
      <c r="H430" s="1" t="str">
        <f>IFERROR(INDEX('20 2026 DEPO KABUL'!$H$2:$H$501,MATCH(C430,'20 2026 DEPO KABUL'!$F$2:$F$501,0)),"")</f>
        <v/>
      </c>
      <c r="I430" s="13"/>
      <c r="J430" s="13"/>
    </row>
    <row r="431" spans="1:10" ht="15" customHeight="1" x14ac:dyDescent="0.2">
      <c r="A431" s="13"/>
      <c r="B431" s="13"/>
      <c r="C431" s="13"/>
      <c r="D431" s="1" t="str">
        <f>IFERROR(INDEX('20 2026 DEPO KABUL'!$B$2:$B$501,MATCH(C431,'20 2026 DEPO KABUL'!$F$2:$F$501,0)),"")</f>
        <v/>
      </c>
      <c r="E431" s="13"/>
      <c r="F431" s="13"/>
      <c r="G431" s="1" t="str">
        <f>IFERROR(INDEX('20 2026 DEPO KABUL'!$G$2:$G$501,MATCH(C431,'20 2026 DEPO KABUL'!$F$2:$F$501,0)),"")</f>
        <v/>
      </c>
      <c r="H431" s="1" t="str">
        <f>IFERROR(INDEX('20 2026 DEPO KABUL'!$H$2:$H$501,MATCH(C431,'20 2026 DEPO KABUL'!$F$2:$F$501,0)),"")</f>
        <v/>
      </c>
      <c r="I431" s="13"/>
      <c r="J431" s="13"/>
    </row>
    <row r="432" spans="1:10" ht="15" customHeight="1" x14ac:dyDescent="0.2">
      <c r="A432" s="13"/>
      <c r="B432" s="13"/>
      <c r="C432" s="13"/>
      <c r="D432" s="1" t="str">
        <f>IFERROR(INDEX('20 2026 DEPO KABUL'!$B$2:$B$501,MATCH(C432,'20 2026 DEPO KABUL'!$F$2:$F$501,0)),"")</f>
        <v/>
      </c>
      <c r="E432" s="13"/>
      <c r="F432" s="13"/>
      <c r="G432" s="1" t="str">
        <f>IFERROR(INDEX('20 2026 DEPO KABUL'!$G$2:$G$501,MATCH(C432,'20 2026 DEPO KABUL'!$F$2:$F$501,0)),"")</f>
        <v/>
      </c>
      <c r="H432" s="1" t="str">
        <f>IFERROR(INDEX('20 2026 DEPO KABUL'!$H$2:$H$501,MATCH(C432,'20 2026 DEPO KABUL'!$F$2:$F$501,0)),"")</f>
        <v/>
      </c>
      <c r="I432" s="13"/>
      <c r="J432" s="13"/>
    </row>
    <row r="433" spans="1:10" ht="15" customHeight="1" x14ac:dyDescent="0.2">
      <c r="A433" s="13"/>
      <c r="B433" s="13"/>
      <c r="C433" s="13"/>
      <c r="D433" s="1" t="str">
        <f>IFERROR(INDEX('20 2026 DEPO KABUL'!$B$2:$B$501,MATCH(C433,'20 2026 DEPO KABUL'!$F$2:$F$501,0)),"")</f>
        <v/>
      </c>
      <c r="E433" s="13"/>
      <c r="F433" s="13"/>
      <c r="G433" s="1" t="str">
        <f>IFERROR(INDEX('20 2026 DEPO KABUL'!$G$2:$G$501,MATCH(C433,'20 2026 DEPO KABUL'!$F$2:$F$501,0)),"")</f>
        <v/>
      </c>
      <c r="H433" s="1" t="str">
        <f>IFERROR(INDEX('20 2026 DEPO KABUL'!$H$2:$H$501,MATCH(C433,'20 2026 DEPO KABUL'!$F$2:$F$501,0)),"")</f>
        <v/>
      </c>
      <c r="I433" s="13"/>
      <c r="J433" s="13"/>
    </row>
    <row r="434" spans="1:10" ht="15" customHeight="1" x14ac:dyDescent="0.2">
      <c r="A434" s="13"/>
      <c r="B434" s="13"/>
      <c r="C434" s="13"/>
      <c r="D434" s="1" t="str">
        <f>IFERROR(INDEX('20 2026 DEPO KABUL'!$B$2:$B$501,MATCH(C434,'20 2026 DEPO KABUL'!$F$2:$F$501,0)),"")</f>
        <v/>
      </c>
      <c r="E434" s="13"/>
      <c r="F434" s="13"/>
      <c r="G434" s="1" t="str">
        <f>IFERROR(INDEX('20 2026 DEPO KABUL'!$G$2:$G$501,MATCH(C434,'20 2026 DEPO KABUL'!$F$2:$F$501,0)),"")</f>
        <v/>
      </c>
      <c r="H434" s="1" t="str">
        <f>IFERROR(INDEX('20 2026 DEPO KABUL'!$H$2:$H$501,MATCH(C434,'20 2026 DEPO KABUL'!$F$2:$F$501,0)),"")</f>
        <v/>
      </c>
      <c r="I434" s="13"/>
      <c r="J434" s="13"/>
    </row>
    <row r="435" spans="1:10" ht="15" customHeight="1" x14ac:dyDescent="0.2">
      <c r="A435" s="13"/>
      <c r="B435" s="13"/>
      <c r="C435" s="13"/>
      <c r="D435" s="1" t="str">
        <f>IFERROR(INDEX('20 2026 DEPO KABUL'!$B$2:$B$501,MATCH(C435,'20 2026 DEPO KABUL'!$F$2:$F$501,0)),"")</f>
        <v/>
      </c>
      <c r="E435" s="13"/>
      <c r="F435" s="13"/>
      <c r="G435" s="1" t="str">
        <f>IFERROR(INDEX('20 2026 DEPO KABUL'!$G$2:$G$501,MATCH(C435,'20 2026 DEPO KABUL'!$F$2:$F$501,0)),"")</f>
        <v/>
      </c>
      <c r="H435" s="1" t="str">
        <f>IFERROR(INDEX('20 2026 DEPO KABUL'!$H$2:$H$501,MATCH(C435,'20 2026 DEPO KABUL'!$F$2:$F$501,0)),"")</f>
        <v/>
      </c>
      <c r="I435" s="13"/>
      <c r="J435" s="13"/>
    </row>
    <row r="436" spans="1:10" ht="15" customHeight="1" x14ac:dyDescent="0.2">
      <c r="A436" s="13"/>
      <c r="B436" s="13"/>
      <c r="C436" s="13"/>
      <c r="D436" s="1" t="str">
        <f>IFERROR(INDEX('20 2026 DEPO KABUL'!$B$2:$B$501,MATCH(C436,'20 2026 DEPO KABUL'!$F$2:$F$501,0)),"")</f>
        <v/>
      </c>
      <c r="E436" s="13"/>
      <c r="F436" s="13"/>
      <c r="G436" s="1" t="str">
        <f>IFERROR(INDEX('20 2026 DEPO KABUL'!$G$2:$G$501,MATCH(C436,'20 2026 DEPO KABUL'!$F$2:$F$501,0)),"")</f>
        <v/>
      </c>
      <c r="H436" s="1" t="str">
        <f>IFERROR(INDEX('20 2026 DEPO KABUL'!$H$2:$H$501,MATCH(C436,'20 2026 DEPO KABUL'!$F$2:$F$501,0)),"")</f>
        <v/>
      </c>
      <c r="I436" s="13"/>
      <c r="J436" s="13"/>
    </row>
    <row r="437" spans="1:10" ht="15" customHeight="1" x14ac:dyDescent="0.2">
      <c r="A437" s="13"/>
      <c r="B437" s="13"/>
      <c r="C437" s="13"/>
      <c r="D437" s="1" t="str">
        <f>IFERROR(INDEX('20 2026 DEPO KABUL'!$B$2:$B$501,MATCH(C437,'20 2026 DEPO KABUL'!$F$2:$F$501,0)),"")</f>
        <v/>
      </c>
      <c r="E437" s="13"/>
      <c r="F437" s="13"/>
      <c r="G437" s="1" t="str">
        <f>IFERROR(INDEX('20 2026 DEPO KABUL'!$G$2:$G$501,MATCH(C437,'20 2026 DEPO KABUL'!$F$2:$F$501,0)),"")</f>
        <v/>
      </c>
      <c r="H437" s="1" t="str">
        <f>IFERROR(INDEX('20 2026 DEPO KABUL'!$H$2:$H$501,MATCH(C437,'20 2026 DEPO KABUL'!$F$2:$F$501,0)),"")</f>
        <v/>
      </c>
      <c r="I437" s="13"/>
      <c r="J437" s="13"/>
    </row>
    <row r="438" spans="1:10" ht="15" customHeight="1" x14ac:dyDescent="0.2">
      <c r="A438" s="13"/>
      <c r="B438" s="13"/>
      <c r="C438" s="13"/>
      <c r="D438" s="1" t="str">
        <f>IFERROR(INDEX('20 2026 DEPO KABUL'!$B$2:$B$501,MATCH(C438,'20 2026 DEPO KABUL'!$F$2:$F$501,0)),"")</f>
        <v/>
      </c>
      <c r="E438" s="13"/>
      <c r="F438" s="13"/>
      <c r="G438" s="1" t="str">
        <f>IFERROR(INDEX('20 2026 DEPO KABUL'!$G$2:$G$501,MATCH(C438,'20 2026 DEPO KABUL'!$F$2:$F$501,0)),"")</f>
        <v/>
      </c>
      <c r="H438" s="1" t="str">
        <f>IFERROR(INDEX('20 2026 DEPO KABUL'!$H$2:$H$501,MATCH(C438,'20 2026 DEPO KABUL'!$F$2:$F$501,0)),"")</f>
        <v/>
      </c>
      <c r="I438" s="13"/>
      <c r="J438" s="13"/>
    </row>
    <row r="439" spans="1:10" ht="15" customHeight="1" x14ac:dyDescent="0.2">
      <c r="A439" s="13"/>
      <c r="B439" s="13"/>
      <c r="C439" s="13"/>
      <c r="D439" s="1" t="str">
        <f>IFERROR(INDEX('20 2026 DEPO KABUL'!$B$2:$B$501,MATCH(C439,'20 2026 DEPO KABUL'!$F$2:$F$501,0)),"")</f>
        <v/>
      </c>
      <c r="E439" s="13"/>
      <c r="F439" s="13"/>
      <c r="G439" s="1" t="str">
        <f>IFERROR(INDEX('20 2026 DEPO KABUL'!$G$2:$G$501,MATCH(C439,'20 2026 DEPO KABUL'!$F$2:$F$501,0)),"")</f>
        <v/>
      </c>
      <c r="H439" s="1" t="str">
        <f>IFERROR(INDEX('20 2026 DEPO KABUL'!$H$2:$H$501,MATCH(C439,'20 2026 DEPO KABUL'!$F$2:$F$501,0)),"")</f>
        <v/>
      </c>
      <c r="I439" s="13"/>
      <c r="J439" s="13"/>
    </row>
    <row r="440" spans="1:10" ht="15" customHeight="1" x14ac:dyDescent="0.2">
      <c r="A440" s="13"/>
      <c r="B440" s="13"/>
      <c r="C440" s="13"/>
      <c r="D440" s="1" t="str">
        <f>IFERROR(INDEX('20 2026 DEPO KABUL'!$B$2:$B$501,MATCH(C440,'20 2026 DEPO KABUL'!$F$2:$F$501,0)),"")</f>
        <v/>
      </c>
      <c r="E440" s="13"/>
      <c r="F440" s="13"/>
      <c r="G440" s="1" t="str">
        <f>IFERROR(INDEX('20 2026 DEPO KABUL'!$G$2:$G$501,MATCH(C440,'20 2026 DEPO KABUL'!$F$2:$F$501,0)),"")</f>
        <v/>
      </c>
      <c r="H440" s="1" t="str">
        <f>IFERROR(INDEX('20 2026 DEPO KABUL'!$H$2:$H$501,MATCH(C440,'20 2026 DEPO KABUL'!$F$2:$F$501,0)),"")</f>
        <v/>
      </c>
      <c r="I440" s="13"/>
      <c r="J440" s="13"/>
    </row>
    <row r="441" spans="1:10" ht="15" customHeight="1" x14ac:dyDescent="0.2">
      <c r="A441" s="13"/>
      <c r="B441" s="13"/>
      <c r="C441" s="13"/>
      <c r="D441" s="1" t="str">
        <f>IFERROR(INDEX('20 2026 DEPO KABUL'!$B$2:$B$501,MATCH(C441,'20 2026 DEPO KABUL'!$F$2:$F$501,0)),"")</f>
        <v/>
      </c>
      <c r="E441" s="13"/>
      <c r="F441" s="13"/>
      <c r="G441" s="1" t="str">
        <f>IFERROR(INDEX('20 2026 DEPO KABUL'!$G$2:$G$501,MATCH(C441,'20 2026 DEPO KABUL'!$F$2:$F$501,0)),"")</f>
        <v/>
      </c>
      <c r="H441" s="1" t="str">
        <f>IFERROR(INDEX('20 2026 DEPO KABUL'!$H$2:$H$501,MATCH(C441,'20 2026 DEPO KABUL'!$F$2:$F$501,0)),"")</f>
        <v/>
      </c>
      <c r="I441" s="13"/>
      <c r="J441" s="13"/>
    </row>
    <row r="442" spans="1:10" ht="15" customHeight="1" x14ac:dyDescent="0.2">
      <c r="A442" s="13"/>
      <c r="B442" s="13"/>
      <c r="C442" s="13"/>
      <c r="D442" s="1" t="str">
        <f>IFERROR(INDEX('20 2026 DEPO KABUL'!$B$2:$B$501,MATCH(C442,'20 2026 DEPO KABUL'!$F$2:$F$501,0)),"")</f>
        <v/>
      </c>
      <c r="E442" s="13"/>
      <c r="F442" s="13"/>
      <c r="G442" s="1" t="str">
        <f>IFERROR(INDEX('20 2026 DEPO KABUL'!$G$2:$G$501,MATCH(C442,'20 2026 DEPO KABUL'!$F$2:$F$501,0)),"")</f>
        <v/>
      </c>
      <c r="H442" s="1" t="str">
        <f>IFERROR(INDEX('20 2026 DEPO KABUL'!$H$2:$H$501,MATCH(C442,'20 2026 DEPO KABUL'!$F$2:$F$501,0)),"")</f>
        <v/>
      </c>
      <c r="I442" s="13"/>
      <c r="J442" s="13"/>
    </row>
    <row r="443" spans="1:10" ht="15" customHeight="1" x14ac:dyDescent="0.2">
      <c r="A443" s="13"/>
      <c r="B443" s="13"/>
      <c r="C443" s="13"/>
      <c r="D443" s="1" t="str">
        <f>IFERROR(INDEX('20 2026 DEPO KABUL'!$B$2:$B$501,MATCH(C443,'20 2026 DEPO KABUL'!$F$2:$F$501,0)),"")</f>
        <v/>
      </c>
      <c r="E443" s="13"/>
      <c r="F443" s="13"/>
      <c r="G443" s="1" t="str">
        <f>IFERROR(INDEX('20 2026 DEPO KABUL'!$G$2:$G$501,MATCH(C443,'20 2026 DEPO KABUL'!$F$2:$F$501,0)),"")</f>
        <v/>
      </c>
      <c r="H443" s="1" t="str">
        <f>IFERROR(INDEX('20 2026 DEPO KABUL'!$H$2:$H$501,MATCH(C443,'20 2026 DEPO KABUL'!$F$2:$F$501,0)),"")</f>
        <v/>
      </c>
      <c r="I443" s="13"/>
      <c r="J443" s="13"/>
    </row>
    <row r="444" spans="1:10" ht="15" customHeight="1" x14ac:dyDescent="0.2">
      <c r="A444" s="13"/>
      <c r="B444" s="13"/>
      <c r="C444" s="13"/>
      <c r="D444" s="1" t="str">
        <f>IFERROR(INDEX('20 2026 DEPO KABUL'!$B$2:$B$501,MATCH(C444,'20 2026 DEPO KABUL'!$F$2:$F$501,0)),"")</f>
        <v/>
      </c>
      <c r="E444" s="13"/>
      <c r="F444" s="13"/>
      <c r="G444" s="1" t="str">
        <f>IFERROR(INDEX('20 2026 DEPO KABUL'!$G$2:$G$501,MATCH(C444,'20 2026 DEPO KABUL'!$F$2:$F$501,0)),"")</f>
        <v/>
      </c>
      <c r="H444" s="1" t="str">
        <f>IFERROR(INDEX('20 2026 DEPO KABUL'!$H$2:$H$501,MATCH(C444,'20 2026 DEPO KABUL'!$F$2:$F$501,0)),"")</f>
        <v/>
      </c>
      <c r="I444" s="13"/>
      <c r="J444" s="13"/>
    </row>
    <row r="445" spans="1:10" ht="15" customHeight="1" x14ac:dyDescent="0.2">
      <c r="A445" s="13"/>
      <c r="B445" s="13"/>
      <c r="C445" s="13"/>
      <c r="D445" s="1" t="str">
        <f>IFERROR(INDEX('20 2026 DEPO KABUL'!$B$2:$B$501,MATCH(C445,'20 2026 DEPO KABUL'!$F$2:$F$501,0)),"")</f>
        <v/>
      </c>
      <c r="E445" s="13"/>
      <c r="F445" s="13"/>
      <c r="G445" s="1" t="str">
        <f>IFERROR(INDEX('20 2026 DEPO KABUL'!$G$2:$G$501,MATCH(C445,'20 2026 DEPO KABUL'!$F$2:$F$501,0)),"")</f>
        <v/>
      </c>
      <c r="H445" s="1" t="str">
        <f>IFERROR(INDEX('20 2026 DEPO KABUL'!$H$2:$H$501,MATCH(C445,'20 2026 DEPO KABUL'!$F$2:$F$501,0)),"")</f>
        <v/>
      </c>
      <c r="I445" s="13"/>
      <c r="J445" s="13"/>
    </row>
    <row r="446" spans="1:10" ht="15" customHeight="1" x14ac:dyDescent="0.2">
      <c r="A446" s="13"/>
      <c r="B446" s="13"/>
      <c r="C446" s="13"/>
      <c r="D446" s="1" t="str">
        <f>IFERROR(INDEX('20 2026 DEPO KABUL'!$B$2:$B$501,MATCH(C446,'20 2026 DEPO KABUL'!$F$2:$F$501,0)),"")</f>
        <v/>
      </c>
      <c r="E446" s="13"/>
      <c r="F446" s="13"/>
      <c r="G446" s="1" t="str">
        <f>IFERROR(INDEX('20 2026 DEPO KABUL'!$G$2:$G$501,MATCH(C446,'20 2026 DEPO KABUL'!$F$2:$F$501,0)),"")</f>
        <v/>
      </c>
      <c r="H446" s="1" t="str">
        <f>IFERROR(INDEX('20 2026 DEPO KABUL'!$H$2:$H$501,MATCH(C446,'20 2026 DEPO KABUL'!$F$2:$F$501,0)),"")</f>
        <v/>
      </c>
      <c r="I446" s="13"/>
      <c r="J446" s="13"/>
    </row>
    <row r="447" spans="1:10" ht="15" customHeight="1" x14ac:dyDescent="0.2">
      <c r="A447" s="13"/>
      <c r="B447" s="13"/>
      <c r="C447" s="13"/>
      <c r="D447" s="1" t="str">
        <f>IFERROR(INDEX('20 2026 DEPO KABUL'!$B$2:$B$501,MATCH(C447,'20 2026 DEPO KABUL'!$F$2:$F$501,0)),"")</f>
        <v/>
      </c>
      <c r="E447" s="13"/>
      <c r="F447" s="13"/>
      <c r="G447" s="1" t="str">
        <f>IFERROR(INDEX('20 2026 DEPO KABUL'!$G$2:$G$501,MATCH(C447,'20 2026 DEPO KABUL'!$F$2:$F$501,0)),"")</f>
        <v/>
      </c>
      <c r="H447" s="1" t="str">
        <f>IFERROR(INDEX('20 2026 DEPO KABUL'!$H$2:$H$501,MATCH(C447,'20 2026 DEPO KABUL'!$F$2:$F$501,0)),"")</f>
        <v/>
      </c>
      <c r="I447" s="13"/>
      <c r="J447" s="13"/>
    </row>
    <row r="448" spans="1:10" ht="15" customHeight="1" x14ac:dyDescent="0.2">
      <c r="A448" s="13"/>
      <c r="B448" s="13"/>
      <c r="C448" s="13"/>
      <c r="D448" s="1" t="str">
        <f>IFERROR(INDEX('20 2026 DEPO KABUL'!$B$2:$B$501,MATCH(C448,'20 2026 DEPO KABUL'!$F$2:$F$501,0)),"")</f>
        <v/>
      </c>
      <c r="E448" s="13"/>
      <c r="F448" s="13"/>
      <c r="G448" s="1" t="str">
        <f>IFERROR(INDEX('20 2026 DEPO KABUL'!$G$2:$G$501,MATCH(C448,'20 2026 DEPO KABUL'!$F$2:$F$501,0)),"")</f>
        <v/>
      </c>
      <c r="H448" s="1" t="str">
        <f>IFERROR(INDEX('20 2026 DEPO KABUL'!$H$2:$H$501,MATCH(C448,'20 2026 DEPO KABUL'!$F$2:$F$501,0)),"")</f>
        <v/>
      </c>
      <c r="I448" s="13"/>
      <c r="J448" s="13"/>
    </row>
    <row r="449" spans="1:10" ht="15" customHeight="1" x14ac:dyDescent="0.2">
      <c r="A449" s="13"/>
      <c r="B449" s="13"/>
      <c r="C449" s="13"/>
      <c r="D449" s="1" t="str">
        <f>IFERROR(INDEX('20 2026 DEPO KABUL'!$B$2:$B$501,MATCH(C449,'20 2026 DEPO KABUL'!$F$2:$F$501,0)),"")</f>
        <v/>
      </c>
      <c r="E449" s="13"/>
      <c r="F449" s="13"/>
      <c r="G449" s="1" t="str">
        <f>IFERROR(INDEX('20 2026 DEPO KABUL'!$G$2:$G$501,MATCH(C449,'20 2026 DEPO KABUL'!$F$2:$F$501,0)),"")</f>
        <v/>
      </c>
      <c r="H449" s="1" t="str">
        <f>IFERROR(INDEX('20 2026 DEPO KABUL'!$H$2:$H$501,MATCH(C449,'20 2026 DEPO KABUL'!$F$2:$F$501,0)),"")</f>
        <v/>
      </c>
      <c r="I449" s="13"/>
      <c r="J449" s="13"/>
    </row>
    <row r="450" spans="1:10" ht="15" customHeight="1" x14ac:dyDescent="0.2">
      <c r="A450" s="13"/>
      <c r="B450" s="13"/>
      <c r="C450" s="13"/>
      <c r="D450" s="1" t="str">
        <f>IFERROR(INDEX('20 2026 DEPO KABUL'!$B$2:$B$501,MATCH(C450,'20 2026 DEPO KABUL'!$F$2:$F$501,0)),"")</f>
        <v/>
      </c>
      <c r="E450" s="13"/>
      <c r="F450" s="13"/>
      <c r="G450" s="1" t="str">
        <f>IFERROR(INDEX('20 2026 DEPO KABUL'!$G$2:$G$501,MATCH(C450,'20 2026 DEPO KABUL'!$F$2:$F$501,0)),"")</f>
        <v/>
      </c>
      <c r="H450" s="1" t="str">
        <f>IFERROR(INDEX('20 2026 DEPO KABUL'!$H$2:$H$501,MATCH(C450,'20 2026 DEPO KABUL'!$F$2:$F$501,0)),"")</f>
        <v/>
      </c>
      <c r="I450" s="13"/>
      <c r="J450" s="13"/>
    </row>
    <row r="451" spans="1:10" ht="15" customHeight="1" x14ac:dyDescent="0.2">
      <c r="A451" s="13"/>
      <c r="B451" s="13"/>
      <c r="C451" s="13"/>
      <c r="D451" s="1" t="str">
        <f>IFERROR(INDEX('20 2026 DEPO KABUL'!$B$2:$B$501,MATCH(C451,'20 2026 DEPO KABUL'!$F$2:$F$501,0)),"")</f>
        <v/>
      </c>
      <c r="E451" s="13"/>
      <c r="F451" s="13"/>
      <c r="G451" s="1" t="str">
        <f>IFERROR(INDEX('20 2026 DEPO KABUL'!$G$2:$G$501,MATCH(C451,'20 2026 DEPO KABUL'!$F$2:$F$501,0)),"")</f>
        <v/>
      </c>
      <c r="H451" s="1" t="str">
        <f>IFERROR(INDEX('20 2026 DEPO KABUL'!$H$2:$H$501,MATCH(C451,'20 2026 DEPO KABUL'!$F$2:$F$501,0)),"")</f>
        <v/>
      </c>
      <c r="I451" s="13"/>
      <c r="J451" s="13"/>
    </row>
    <row r="452" spans="1:10" ht="15" customHeight="1" x14ac:dyDescent="0.2">
      <c r="A452" s="13"/>
      <c r="B452" s="13"/>
      <c r="C452" s="13"/>
      <c r="D452" s="1" t="str">
        <f>IFERROR(INDEX('20 2026 DEPO KABUL'!$B$2:$B$501,MATCH(C452,'20 2026 DEPO KABUL'!$F$2:$F$501,0)),"")</f>
        <v/>
      </c>
      <c r="E452" s="13"/>
      <c r="F452" s="13"/>
      <c r="G452" s="1" t="str">
        <f>IFERROR(INDEX('20 2026 DEPO KABUL'!$G$2:$G$501,MATCH(C452,'20 2026 DEPO KABUL'!$F$2:$F$501,0)),"")</f>
        <v/>
      </c>
      <c r="H452" s="1" t="str">
        <f>IFERROR(INDEX('20 2026 DEPO KABUL'!$H$2:$H$501,MATCH(C452,'20 2026 DEPO KABUL'!$F$2:$F$501,0)),"")</f>
        <v/>
      </c>
      <c r="I452" s="13"/>
      <c r="J452" s="13"/>
    </row>
    <row r="453" spans="1:10" ht="15" customHeight="1" x14ac:dyDescent="0.2">
      <c r="A453" s="13"/>
      <c r="B453" s="13"/>
      <c r="C453" s="13"/>
      <c r="D453" s="1" t="str">
        <f>IFERROR(INDEX('20 2026 DEPO KABUL'!$B$2:$B$501,MATCH(C453,'20 2026 DEPO KABUL'!$F$2:$F$501,0)),"")</f>
        <v/>
      </c>
      <c r="E453" s="13"/>
      <c r="F453" s="13"/>
      <c r="G453" s="1" t="str">
        <f>IFERROR(INDEX('20 2026 DEPO KABUL'!$G$2:$G$501,MATCH(C453,'20 2026 DEPO KABUL'!$F$2:$F$501,0)),"")</f>
        <v/>
      </c>
      <c r="H453" s="1" t="str">
        <f>IFERROR(INDEX('20 2026 DEPO KABUL'!$H$2:$H$501,MATCH(C453,'20 2026 DEPO KABUL'!$F$2:$F$501,0)),"")</f>
        <v/>
      </c>
      <c r="I453" s="13"/>
      <c r="J453" s="13"/>
    </row>
    <row r="454" spans="1:10" ht="15" customHeight="1" x14ac:dyDescent="0.2">
      <c r="A454" s="13"/>
      <c r="B454" s="13"/>
      <c r="C454" s="13"/>
      <c r="D454" s="1" t="str">
        <f>IFERROR(INDEX('20 2026 DEPO KABUL'!$B$2:$B$501,MATCH(C454,'20 2026 DEPO KABUL'!$F$2:$F$501,0)),"")</f>
        <v/>
      </c>
      <c r="E454" s="13"/>
      <c r="F454" s="13"/>
      <c r="G454" s="1" t="str">
        <f>IFERROR(INDEX('20 2026 DEPO KABUL'!$G$2:$G$501,MATCH(C454,'20 2026 DEPO KABUL'!$F$2:$F$501,0)),"")</f>
        <v/>
      </c>
      <c r="H454" s="1" t="str">
        <f>IFERROR(INDEX('20 2026 DEPO KABUL'!$H$2:$H$501,MATCH(C454,'20 2026 DEPO KABUL'!$F$2:$F$501,0)),"")</f>
        <v/>
      </c>
      <c r="I454" s="13"/>
      <c r="J454" s="13"/>
    </row>
    <row r="455" spans="1:10" ht="15" customHeight="1" x14ac:dyDescent="0.2">
      <c r="A455" s="13"/>
      <c r="B455" s="13"/>
      <c r="C455" s="13"/>
      <c r="D455" s="1" t="str">
        <f>IFERROR(INDEX('20 2026 DEPO KABUL'!$B$2:$B$501,MATCH(C455,'20 2026 DEPO KABUL'!$F$2:$F$501,0)),"")</f>
        <v/>
      </c>
      <c r="E455" s="13"/>
      <c r="F455" s="13"/>
      <c r="G455" s="1" t="str">
        <f>IFERROR(INDEX('20 2026 DEPO KABUL'!$G$2:$G$501,MATCH(C455,'20 2026 DEPO KABUL'!$F$2:$F$501,0)),"")</f>
        <v/>
      </c>
      <c r="H455" s="1" t="str">
        <f>IFERROR(INDEX('20 2026 DEPO KABUL'!$H$2:$H$501,MATCH(C455,'20 2026 DEPO KABUL'!$F$2:$F$501,0)),"")</f>
        <v/>
      </c>
      <c r="I455" s="13"/>
      <c r="J455" s="13"/>
    </row>
    <row r="456" spans="1:10" ht="15" customHeight="1" x14ac:dyDescent="0.2">
      <c r="A456" s="13"/>
      <c r="B456" s="13"/>
      <c r="C456" s="13"/>
      <c r="D456" s="1" t="str">
        <f>IFERROR(INDEX('20 2026 DEPO KABUL'!$B$2:$B$501,MATCH(C456,'20 2026 DEPO KABUL'!$F$2:$F$501,0)),"")</f>
        <v/>
      </c>
      <c r="E456" s="13"/>
      <c r="F456" s="13"/>
      <c r="G456" s="1" t="str">
        <f>IFERROR(INDEX('20 2026 DEPO KABUL'!$G$2:$G$501,MATCH(C456,'20 2026 DEPO KABUL'!$F$2:$F$501,0)),"")</f>
        <v/>
      </c>
      <c r="H456" s="1" t="str">
        <f>IFERROR(INDEX('20 2026 DEPO KABUL'!$H$2:$H$501,MATCH(C456,'20 2026 DEPO KABUL'!$F$2:$F$501,0)),"")</f>
        <v/>
      </c>
      <c r="I456" s="13"/>
      <c r="J456" s="13"/>
    </row>
    <row r="457" spans="1:10" ht="15" customHeight="1" x14ac:dyDescent="0.2">
      <c r="A457" s="13"/>
      <c r="B457" s="13"/>
      <c r="C457" s="13"/>
      <c r="D457" s="1" t="str">
        <f>IFERROR(INDEX('20 2026 DEPO KABUL'!$B$2:$B$501,MATCH(C457,'20 2026 DEPO KABUL'!$F$2:$F$501,0)),"")</f>
        <v/>
      </c>
      <c r="E457" s="13"/>
      <c r="F457" s="13"/>
      <c r="G457" s="1" t="str">
        <f>IFERROR(INDEX('20 2026 DEPO KABUL'!$G$2:$G$501,MATCH(C457,'20 2026 DEPO KABUL'!$F$2:$F$501,0)),"")</f>
        <v/>
      </c>
      <c r="H457" s="1" t="str">
        <f>IFERROR(INDEX('20 2026 DEPO KABUL'!$H$2:$H$501,MATCH(C457,'20 2026 DEPO KABUL'!$F$2:$F$501,0)),"")</f>
        <v/>
      </c>
      <c r="I457" s="13"/>
      <c r="J457" s="13"/>
    </row>
    <row r="458" spans="1:10" ht="15" customHeight="1" x14ac:dyDescent="0.2">
      <c r="A458" s="13"/>
      <c r="B458" s="13"/>
      <c r="C458" s="13"/>
      <c r="D458" s="1" t="str">
        <f>IFERROR(INDEX('20 2026 DEPO KABUL'!$B$2:$B$501,MATCH(C458,'20 2026 DEPO KABUL'!$F$2:$F$501,0)),"")</f>
        <v/>
      </c>
      <c r="E458" s="13"/>
      <c r="F458" s="13"/>
      <c r="G458" s="1" t="str">
        <f>IFERROR(INDEX('20 2026 DEPO KABUL'!$G$2:$G$501,MATCH(C458,'20 2026 DEPO KABUL'!$F$2:$F$501,0)),"")</f>
        <v/>
      </c>
      <c r="H458" s="1" t="str">
        <f>IFERROR(INDEX('20 2026 DEPO KABUL'!$H$2:$H$501,MATCH(C458,'20 2026 DEPO KABUL'!$F$2:$F$501,0)),"")</f>
        <v/>
      </c>
      <c r="I458" s="13"/>
      <c r="J458" s="13"/>
    </row>
    <row r="459" spans="1:10" ht="15" customHeight="1" x14ac:dyDescent="0.2">
      <c r="A459" s="13"/>
      <c r="B459" s="13"/>
      <c r="C459" s="13"/>
      <c r="D459" s="1" t="str">
        <f>IFERROR(INDEX('20 2026 DEPO KABUL'!$B$2:$B$501,MATCH(C459,'20 2026 DEPO KABUL'!$F$2:$F$501,0)),"")</f>
        <v/>
      </c>
      <c r="E459" s="13"/>
      <c r="F459" s="13"/>
      <c r="G459" s="1" t="str">
        <f>IFERROR(INDEX('20 2026 DEPO KABUL'!$G$2:$G$501,MATCH(C459,'20 2026 DEPO KABUL'!$F$2:$F$501,0)),"")</f>
        <v/>
      </c>
      <c r="H459" s="1" t="str">
        <f>IFERROR(INDEX('20 2026 DEPO KABUL'!$H$2:$H$501,MATCH(C459,'20 2026 DEPO KABUL'!$F$2:$F$501,0)),"")</f>
        <v/>
      </c>
      <c r="I459" s="13"/>
      <c r="J459" s="13"/>
    </row>
    <row r="460" spans="1:10" ht="15" customHeight="1" x14ac:dyDescent="0.2">
      <c r="A460" s="13"/>
      <c r="B460" s="13"/>
      <c r="C460" s="13"/>
      <c r="D460" s="1" t="str">
        <f>IFERROR(INDEX('20 2026 DEPO KABUL'!$B$2:$B$501,MATCH(C460,'20 2026 DEPO KABUL'!$F$2:$F$501,0)),"")</f>
        <v/>
      </c>
      <c r="E460" s="13"/>
      <c r="F460" s="13"/>
      <c r="G460" s="1" t="str">
        <f>IFERROR(INDEX('20 2026 DEPO KABUL'!$G$2:$G$501,MATCH(C460,'20 2026 DEPO KABUL'!$F$2:$F$501,0)),"")</f>
        <v/>
      </c>
      <c r="H460" s="1" t="str">
        <f>IFERROR(INDEX('20 2026 DEPO KABUL'!$H$2:$H$501,MATCH(C460,'20 2026 DEPO KABUL'!$F$2:$F$501,0)),"")</f>
        <v/>
      </c>
      <c r="I460" s="13"/>
      <c r="J460" s="13"/>
    </row>
    <row r="461" spans="1:10" ht="15" customHeight="1" x14ac:dyDescent="0.2">
      <c r="A461" s="13"/>
      <c r="B461" s="13"/>
      <c r="C461" s="13"/>
      <c r="D461" s="1" t="str">
        <f>IFERROR(INDEX('20 2026 DEPO KABUL'!$B$2:$B$501,MATCH(C461,'20 2026 DEPO KABUL'!$F$2:$F$501,0)),"")</f>
        <v/>
      </c>
      <c r="E461" s="13"/>
      <c r="F461" s="13"/>
      <c r="G461" s="1" t="str">
        <f>IFERROR(INDEX('20 2026 DEPO KABUL'!$G$2:$G$501,MATCH(C461,'20 2026 DEPO KABUL'!$F$2:$F$501,0)),"")</f>
        <v/>
      </c>
      <c r="H461" s="1" t="str">
        <f>IFERROR(INDEX('20 2026 DEPO KABUL'!$H$2:$H$501,MATCH(C461,'20 2026 DEPO KABUL'!$F$2:$F$501,0)),"")</f>
        <v/>
      </c>
      <c r="I461" s="13"/>
      <c r="J461" s="13"/>
    </row>
    <row r="462" spans="1:10" ht="15" customHeight="1" x14ac:dyDescent="0.2">
      <c r="A462" s="13"/>
      <c r="B462" s="13"/>
      <c r="C462" s="13"/>
      <c r="D462" s="1" t="str">
        <f>IFERROR(INDEX('20 2026 DEPO KABUL'!$B$2:$B$501,MATCH(C462,'20 2026 DEPO KABUL'!$F$2:$F$501,0)),"")</f>
        <v/>
      </c>
      <c r="E462" s="13"/>
      <c r="F462" s="13"/>
      <c r="G462" s="1" t="str">
        <f>IFERROR(INDEX('20 2026 DEPO KABUL'!$G$2:$G$501,MATCH(C462,'20 2026 DEPO KABUL'!$F$2:$F$501,0)),"")</f>
        <v/>
      </c>
      <c r="H462" s="1" t="str">
        <f>IFERROR(INDEX('20 2026 DEPO KABUL'!$H$2:$H$501,MATCH(C462,'20 2026 DEPO KABUL'!$F$2:$F$501,0)),"")</f>
        <v/>
      </c>
      <c r="I462" s="13"/>
      <c r="J462" s="13"/>
    </row>
    <row r="463" spans="1:10" ht="15" customHeight="1" x14ac:dyDescent="0.2">
      <c r="A463" s="13"/>
      <c r="B463" s="13"/>
      <c r="C463" s="13"/>
      <c r="D463" s="1" t="str">
        <f>IFERROR(INDEX('20 2026 DEPO KABUL'!$B$2:$B$501,MATCH(C463,'20 2026 DEPO KABUL'!$F$2:$F$501,0)),"")</f>
        <v/>
      </c>
      <c r="E463" s="13"/>
      <c r="F463" s="13"/>
      <c r="G463" s="1" t="str">
        <f>IFERROR(INDEX('20 2026 DEPO KABUL'!$G$2:$G$501,MATCH(C463,'20 2026 DEPO KABUL'!$F$2:$F$501,0)),"")</f>
        <v/>
      </c>
      <c r="H463" s="1" t="str">
        <f>IFERROR(INDEX('20 2026 DEPO KABUL'!$H$2:$H$501,MATCH(C463,'20 2026 DEPO KABUL'!$F$2:$F$501,0)),"")</f>
        <v/>
      </c>
      <c r="I463" s="13"/>
      <c r="J463" s="13"/>
    </row>
    <row r="464" spans="1:10" ht="15" customHeight="1" x14ac:dyDescent="0.2">
      <c r="A464" s="13"/>
      <c r="B464" s="13"/>
      <c r="C464" s="13"/>
      <c r="D464" s="1" t="str">
        <f>IFERROR(INDEX('20 2026 DEPO KABUL'!$B$2:$B$501,MATCH(C464,'20 2026 DEPO KABUL'!$F$2:$F$501,0)),"")</f>
        <v/>
      </c>
      <c r="E464" s="13"/>
      <c r="F464" s="13"/>
      <c r="G464" s="1" t="str">
        <f>IFERROR(INDEX('20 2026 DEPO KABUL'!$G$2:$G$501,MATCH(C464,'20 2026 DEPO KABUL'!$F$2:$F$501,0)),"")</f>
        <v/>
      </c>
      <c r="H464" s="1" t="str">
        <f>IFERROR(INDEX('20 2026 DEPO KABUL'!$H$2:$H$501,MATCH(C464,'20 2026 DEPO KABUL'!$F$2:$F$501,0)),"")</f>
        <v/>
      </c>
      <c r="I464" s="13"/>
      <c r="J464" s="13"/>
    </row>
    <row r="465" spans="1:10" ht="15" customHeight="1" x14ac:dyDescent="0.2">
      <c r="A465" s="13"/>
      <c r="B465" s="13"/>
      <c r="C465" s="13"/>
      <c r="D465" s="1" t="str">
        <f>IFERROR(INDEX('20 2026 DEPO KABUL'!$B$2:$B$501,MATCH(C465,'20 2026 DEPO KABUL'!$F$2:$F$501,0)),"")</f>
        <v/>
      </c>
      <c r="E465" s="13"/>
      <c r="F465" s="13"/>
      <c r="G465" s="1" t="str">
        <f>IFERROR(INDEX('20 2026 DEPO KABUL'!$G$2:$G$501,MATCH(C465,'20 2026 DEPO KABUL'!$F$2:$F$501,0)),"")</f>
        <v/>
      </c>
      <c r="H465" s="1" t="str">
        <f>IFERROR(INDEX('20 2026 DEPO KABUL'!$H$2:$H$501,MATCH(C465,'20 2026 DEPO KABUL'!$F$2:$F$501,0)),"")</f>
        <v/>
      </c>
      <c r="I465" s="13"/>
      <c r="J465" s="13"/>
    </row>
    <row r="466" spans="1:10" ht="15" customHeight="1" x14ac:dyDescent="0.2">
      <c r="A466" s="13"/>
      <c r="B466" s="13"/>
      <c r="C466" s="13"/>
      <c r="D466" s="1" t="str">
        <f>IFERROR(INDEX('20 2026 DEPO KABUL'!$B$2:$B$501,MATCH(C466,'20 2026 DEPO KABUL'!$F$2:$F$501,0)),"")</f>
        <v/>
      </c>
      <c r="E466" s="13"/>
      <c r="F466" s="13"/>
      <c r="G466" s="1" t="str">
        <f>IFERROR(INDEX('20 2026 DEPO KABUL'!$G$2:$G$501,MATCH(C466,'20 2026 DEPO KABUL'!$F$2:$F$501,0)),"")</f>
        <v/>
      </c>
      <c r="H466" s="1" t="str">
        <f>IFERROR(INDEX('20 2026 DEPO KABUL'!$H$2:$H$501,MATCH(C466,'20 2026 DEPO KABUL'!$F$2:$F$501,0)),"")</f>
        <v/>
      </c>
      <c r="I466" s="13"/>
      <c r="J466" s="13"/>
    </row>
    <row r="467" spans="1:10" ht="15" customHeight="1" x14ac:dyDescent="0.2">
      <c r="A467" s="13"/>
      <c r="B467" s="13"/>
      <c r="C467" s="13"/>
      <c r="D467" s="1" t="str">
        <f>IFERROR(INDEX('20 2026 DEPO KABUL'!$B$2:$B$501,MATCH(C467,'20 2026 DEPO KABUL'!$F$2:$F$501,0)),"")</f>
        <v/>
      </c>
      <c r="E467" s="13"/>
      <c r="F467" s="13"/>
      <c r="G467" s="1" t="str">
        <f>IFERROR(INDEX('20 2026 DEPO KABUL'!$G$2:$G$501,MATCH(C467,'20 2026 DEPO KABUL'!$F$2:$F$501,0)),"")</f>
        <v/>
      </c>
      <c r="H467" s="1" t="str">
        <f>IFERROR(INDEX('20 2026 DEPO KABUL'!$H$2:$H$501,MATCH(C467,'20 2026 DEPO KABUL'!$F$2:$F$501,0)),"")</f>
        <v/>
      </c>
      <c r="I467" s="13"/>
      <c r="J467" s="13"/>
    </row>
    <row r="468" spans="1:10" ht="15" customHeight="1" x14ac:dyDescent="0.2">
      <c r="A468" s="13"/>
      <c r="B468" s="13"/>
      <c r="C468" s="13"/>
      <c r="D468" s="1" t="str">
        <f>IFERROR(INDEX('20 2026 DEPO KABUL'!$B$2:$B$501,MATCH(C468,'20 2026 DEPO KABUL'!$F$2:$F$501,0)),"")</f>
        <v/>
      </c>
      <c r="E468" s="13"/>
      <c r="F468" s="13"/>
      <c r="G468" s="1" t="str">
        <f>IFERROR(INDEX('20 2026 DEPO KABUL'!$G$2:$G$501,MATCH(C468,'20 2026 DEPO KABUL'!$F$2:$F$501,0)),"")</f>
        <v/>
      </c>
      <c r="H468" s="1" t="str">
        <f>IFERROR(INDEX('20 2026 DEPO KABUL'!$H$2:$H$501,MATCH(C468,'20 2026 DEPO KABUL'!$F$2:$F$501,0)),"")</f>
        <v/>
      </c>
      <c r="I468" s="13"/>
      <c r="J468" s="13"/>
    </row>
    <row r="469" spans="1:10" ht="15" customHeight="1" x14ac:dyDescent="0.2">
      <c r="A469" s="13"/>
      <c r="B469" s="13"/>
      <c r="C469" s="13"/>
      <c r="D469" s="1" t="str">
        <f>IFERROR(INDEX('20 2026 DEPO KABUL'!$B$2:$B$501,MATCH(C469,'20 2026 DEPO KABUL'!$F$2:$F$501,0)),"")</f>
        <v/>
      </c>
      <c r="E469" s="13"/>
      <c r="F469" s="13"/>
      <c r="G469" s="1" t="str">
        <f>IFERROR(INDEX('20 2026 DEPO KABUL'!$G$2:$G$501,MATCH(C469,'20 2026 DEPO KABUL'!$F$2:$F$501,0)),"")</f>
        <v/>
      </c>
      <c r="H469" s="1" t="str">
        <f>IFERROR(INDEX('20 2026 DEPO KABUL'!$H$2:$H$501,MATCH(C469,'20 2026 DEPO KABUL'!$F$2:$F$501,0)),"")</f>
        <v/>
      </c>
      <c r="I469" s="13"/>
      <c r="J469" s="13"/>
    </row>
    <row r="470" spans="1:10" ht="15" customHeight="1" x14ac:dyDescent="0.2">
      <c r="A470" s="13"/>
      <c r="B470" s="13"/>
      <c r="C470" s="13"/>
      <c r="D470" s="1" t="str">
        <f>IFERROR(INDEX('20 2026 DEPO KABUL'!$B$2:$B$501,MATCH(C470,'20 2026 DEPO KABUL'!$F$2:$F$501,0)),"")</f>
        <v/>
      </c>
      <c r="E470" s="13"/>
      <c r="F470" s="13"/>
      <c r="G470" s="1" t="str">
        <f>IFERROR(INDEX('20 2026 DEPO KABUL'!$G$2:$G$501,MATCH(C470,'20 2026 DEPO KABUL'!$F$2:$F$501,0)),"")</f>
        <v/>
      </c>
      <c r="H470" s="1" t="str">
        <f>IFERROR(INDEX('20 2026 DEPO KABUL'!$H$2:$H$501,MATCH(C470,'20 2026 DEPO KABUL'!$F$2:$F$501,0)),"")</f>
        <v/>
      </c>
      <c r="I470" s="13"/>
      <c r="J470" s="13"/>
    </row>
    <row r="471" spans="1:10" ht="15" customHeight="1" x14ac:dyDescent="0.2">
      <c r="A471" s="13"/>
      <c r="B471" s="13"/>
      <c r="C471" s="13"/>
      <c r="D471" s="1" t="str">
        <f>IFERROR(INDEX('20 2026 DEPO KABUL'!$B$2:$B$501,MATCH(C471,'20 2026 DEPO KABUL'!$F$2:$F$501,0)),"")</f>
        <v/>
      </c>
      <c r="E471" s="13"/>
      <c r="F471" s="13"/>
      <c r="G471" s="1" t="str">
        <f>IFERROR(INDEX('20 2026 DEPO KABUL'!$G$2:$G$501,MATCH(C471,'20 2026 DEPO KABUL'!$F$2:$F$501,0)),"")</f>
        <v/>
      </c>
      <c r="H471" s="1" t="str">
        <f>IFERROR(INDEX('20 2026 DEPO KABUL'!$H$2:$H$501,MATCH(C471,'20 2026 DEPO KABUL'!$F$2:$F$501,0)),"")</f>
        <v/>
      </c>
      <c r="I471" s="13"/>
      <c r="J471" s="13"/>
    </row>
    <row r="472" spans="1:10" ht="15" customHeight="1" x14ac:dyDescent="0.2">
      <c r="A472" s="13"/>
      <c r="B472" s="13"/>
      <c r="C472" s="13"/>
      <c r="D472" s="1" t="str">
        <f>IFERROR(INDEX('20 2026 DEPO KABUL'!$B$2:$B$501,MATCH(C472,'20 2026 DEPO KABUL'!$F$2:$F$501,0)),"")</f>
        <v/>
      </c>
      <c r="E472" s="13"/>
      <c r="F472" s="13"/>
      <c r="G472" s="1" t="str">
        <f>IFERROR(INDEX('20 2026 DEPO KABUL'!$G$2:$G$501,MATCH(C472,'20 2026 DEPO KABUL'!$F$2:$F$501,0)),"")</f>
        <v/>
      </c>
      <c r="H472" s="1" t="str">
        <f>IFERROR(INDEX('20 2026 DEPO KABUL'!$H$2:$H$501,MATCH(C472,'20 2026 DEPO KABUL'!$F$2:$F$501,0)),"")</f>
        <v/>
      </c>
      <c r="I472" s="13"/>
      <c r="J472" s="13"/>
    </row>
    <row r="473" spans="1:10" ht="15" customHeight="1" x14ac:dyDescent="0.2">
      <c r="A473" s="13"/>
      <c r="B473" s="13"/>
      <c r="C473" s="13"/>
      <c r="D473" s="1" t="str">
        <f>IFERROR(INDEX('20 2026 DEPO KABUL'!$B$2:$B$501,MATCH(C473,'20 2026 DEPO KABUL'!$F$2:$F$501,0)),"")</f>
        <v/>
      </c>
      <c r="E473" s="13"/>
      <c r="F473" s="13"/>
      <c r="G473" s="1" t="str">
        <f>IFERROR(INDEX('20 2026 DEPO KABUL'!$G$2:$G$501,MATCH(C473,'20 2026 DEPO KABUL'!$F$2:$F$501,0)),"")</f>
        <v/>
      </c>
      <c r="H473" s="1" t="str">
        <f>IFERROR(INDEX('20 2026 DEPO KABUL'!$H$2:$H$501,MATCH(C473,'20 2026 DEPO KABUL'!$F$2:$F$501,0)),"")</f>
        <v/>
      </c>
      <c r="I473" s="13"/>
      <c r="J473" s="13"/>
    </row>
    <row r="474" spans="1:10" ht="15" customHeight="1" x14ac:dyDescent="0.2">
      <c r="A474" s="13"/>
      <c r="B474" s="13"/>
      <c r="C474" s="13"/>
      <c r="D474" s="1" t="str">
        <f>IFERROR(INDEX('20 2026 DEPO KABUL'!$B$2:$B$501,MATCH(C474,'20 2026 DEPO KABUL'!$F$2:$F$501,0)),"")</f>
        <v/>
      </c>
      <c r="E474" s="13"/>
      <c r="F474" s="13"/>
      <c r="G474" s="1" t="str">
        <f>IFERROR(INDEX('20 2026 DEPO KABUL'!$G$2:$G$501,MATCH(C474,'20 2026 DEPO KABUL'!$F$2:$F$501,0)),"")</f>
        <v/>
      </c>
      <c r="H474" s="1" t="str">
        <f>IFERROR(INDEX('20 2026 DEPO KABUL'!$H$2:$H$501,MATCH(C474,'20 2026 DEPO KABUL'!$F$2:$F$501,0)),"")</f>
        <v/>
      </c>
      <c r="I474" s="13"/>
      <c r="J474" s="13"/>
    </row>
    <row r="475" spans="1:10" ht="15" customHeight="1" x14ac:dyDescent="0.2">
      <c r="A475" s="13"/>
      <c r="B475" s="13"/>
      <c r="C475" s="13"/>
      <c r="D475" s="1" t="str">
        <f>IFERROR(INDEX('20 2026 DEPO KABUL'!$B$2:$B$501,MATCH(C475,'20 2026 DEPO KABUL'!$F$2:$F$501,0)),"")</f>
        <v/>
      </c>
      <c r="E475" s="13"/>
      <c r="F475" s="13"/>
      <c r="G475" s="1" t="str">
        <f>IFERROR(INDEX('20 2026 DEPO KABUL'!$G$2:$G$501,MATCH(C475,'20 2026 DEPO KABUL'!$F$2:$F$501,0)),"")</f>
        <v/>
      </c>
      <c r="H475" s="1" t="str">
        <f>IFERROR(INDEX('20 2026 DEPO KABUL'!$H$2:$H$501,MATCH(C475,'20 2026 DEPO KABUL'!$F$2:$F$501,0)),"")</f>
        <v/>
      </c>
      <c r="I475" s="13"/>
      <c r="J475" s="13"/>
    </row>
    <row r="476" spans="1:10" ht="15" customHeight="1" x14ac:dyDescent="0.2">
      <c r="A476" s="13"/>
      <c r="B476" s="13"/>
      <c r="C476" s="13"/>
      <c r="D476" s="1" t="str">
        <f>IFERROR(INDEX('20 2026 DEPO KABUL'!$B$2:$B$501,MATCH(C476,'20 2026 DEPO KABUL'!$F$2:$F$501,0)),"")</f>
        <v/>
      </c>
      <c r="E476" s="13"/>
      <c r="F476" s="13"/>
      <c r="G476" s="1" t="str">
        <f>IFERROR(INDEX('20 2026 DEPO KABUL'!$G$2:$G$501,MATCH(C476,'20 2026 DEPO KABUL'!$F$2:$F$501,0)),"")</f>
        <v/>
      </c>
      <c r="H476" s="1" t="str">
        <f>IFERROR(INDEX('20 2026 DEPO KABUL'!$H$2:$H$501,MATCH(C476,'20 2026 DEPO KABUL'!$F$2:$F$501,0)),"")</f>
        <v/>
      </c>
      <c r="I476" s="13"/>
      <c r="J476" s="13"/>
    </row>
    <row r="477" spans="1:10" ht="15" customHeight="1" x14ac:dyDescent="0.2">
      <c r="A477" s="13"/>
      <c r="B477" s="13"/>
      <c r="C477" s="13"/>
      <c r="D477" s="1" t="str">
        <f>IFERROR(INDEX('20 2026 DEPO KABUL'!$B$2:$B$501,MATCH(C477,'20 2026 DEPO KABUL'!$F$2:$F$501,0)),"")</f>
        <v/>
      </c>
      <c r="E477" s="13"/>
      <c r="F477" s="13"/>
      <c r="G477" s="1" t="str">
        <f>IFERROR(INDEX('20 2026 DEPO KABUL'!$G$2:$G$501,MATCH(C477,'20 2026 DEPO KABUL'!$F$2:$F$501,0)),"")</f>
        <v/>
      </c>
      <c r="H477" s="1" t="str">
        <f>IFERROR(INDEX('20 2026 DEPO KABUL'!$H$2:$H$501,MATCH(C477,'20 2026 DEPO KABUL'!$F$2:$F$501,0)),"")</f>
        <v/>
      </c>
      <c r="I477" s="13"/>
      <c r="J477" s="13"/>
    </row>
    <row r="478" spans="1:10" ht="15" customHeight="1" x14ac:dyDescent="0.2">
      <c r="A478" s="13"/>
      <c r="B478" s="13"/>
      <c r="C478" s="13"/>
      <c r="D478" s="1" t="str">
        <f>IFERROR(INDEX('20 2026 DEPO KABUL'!$B$2:$B$501,MATCH(C478,'20 2026 DEPO KABUL'!$F$2:$F$501,0)),"")</f>
        <v/>
      </c>
      <c r="E478" s="13"/>
      <c r="F478" s="13"/>
      <c r="G478" s="1" t="str">
        <f>IFERROR(INDEX('20 2026 DEPO KABUL'!$G$2:$G$501,MATCH(C478,'20 2026 DEPO KABUL'!$F$2:$F$501,0)),"")</f>
        <v/>
      </c>
      <c r="H478" s="1" t="str">
        <f>IFERROR(INDEX('20 2026 DEPO KABUL'!$H$2:$H$501,MATCH(C478,'20 2026 DEPO KABUL'!$F$2:$F$501,0)),"")</f>
        <v/>
      </c>
      <c r="I478" s="13"/>
      <c r="J478" s="13"/>
    </row>
    <row r="479" spans="1:10" ht="15" customHeight="1" x14ac:dyDescent="0.2">
      <c r="A479" s="13"/>
      <c r="B479" s="13"/>
      <c r="C479" s="13"/>
      <c r="D479" s="1" t="str">
        <f>IFERROR(INDEX('20 2026 DEPO KABUL'!$B$2:$B$501,MATCH(C479,'20 2026 DEPO KABUL'!$F$2:$F$501,0)),"")</f>
        <v/>
      </c>
      <c r="E479" s="13"/>
      <c r="F479" s="13"/>
      <c r="G479" s="1" t="str">
        <f>IFERROR(INDEX('20 2026 DEPO KABUL'!$G$2:$G$501,MATCH(C479,'20 2026 DEPO KABUL'!$F$2:$F$501,0)),"")</f>
        <v/>
      </c>
      <c r="H479" s="1" t="str">
        <f>IFERROR(INDEX('20 2026 DEPO KABUL'!$H$2:$H$501,MATCH(C479,'20 2026 DEPO KABUL'!$F$2:$F$501,0)),"")</f>
        <v/>
      </c>
      <c r="I479" s="13"/>
      <c r="J479" s="13"/>
    </row>
    <row r="480" spans="1:10" ht="15" customHeight="1" x14ac:dyDescent="0.2">
      <c r="A480" s="13"/>
      <c r="B480" s="13"/>
      <c r="C480" s="13"/>
      <c r="D480" s="1" t="str">
        <f>IFERROR(INDEX('20 2026 DEPO KABUL'!$B$2:$B$501,MATCH(C480,'20 2026 DEPO KABUL'!$F$2:$F$501,0)),"")</f>
        <v/>
      </c>
      <c r="E480" s="13"/>
      <c r="F480" s="13"/>
      <c r="G480" s="1" t="str">
        <f>IFERROR(INDEX('20 2026 DEPO KABUL'!$G$2:$G$501,MATCH(C480,'20 2026 DEPO KABUL'!$F$2:$F$501,0)),"")</f>
        <v/>
      </c>
      <c r="H480" s="1" t="str">
        <f>IFERROR(INDEX('20 2026 DEPO KABUL'!$H$2:$H$501,MATCH(C480,'20 2026 DEPO KABUL'!$F$2:$F$501,0)),"")</f>
        <v/>
      </c>
      <c r="I480" s="13"/>
      <c r="J480" s="13"/>
    </row>
    <row r="481" spans="1:10" ht="15" customHeight="1" x14ac:dyDescent="0.2">
      <c r="A481" s="13"/>
      <c r="B481" s="13"/>
      <c r="C481" s="13"/>
      <c r="D481" s="1" t="str">
        <f>IFERROR(INDEX('20 2026 DEPO KABUL'!$B$2:$B$501,MATCH(C481,'20 2026 DEPO KABUL'!$F$2:$F$501,0)),"")</f>
        <v/>
      </c>
      <c r="E481" s="13"/>
      <c r="F481" s="13"/>
      <c r="G481" s="1" t="str">
        <f>IFERROR(INDEX('20 2026 DEPO KABUL'!$G$2:$G$501,MATCH(C481,'20 2026 DEPO KABUL'!$F$2:$F$501,0)),"")</f>
        <v/>
      </c>
      <c r="H481" s="1" t="str">
        <f>IFERROR(INDEX('20 2026 DEPO KABUL'!$H$2:$H$501,MATCH(C481,'20 2026 DEPO KABUL'!$F$2:$F$501,0)),"")</f>
        <v/>
      </c>
      <c r="I481" s="13"/>
      <c r="J481" s="13"/>
    </row>
    <row r="482" spans="1:10" ht="15" customHeight="1" x14ac:dyDescent="0.2">
      <c r="A482" s="13"/>
      <c r="B482" s="13"/>
      <c r="C482" s="13"/>
      <c r="D482" s="1" t="str">
        <f>IFERROR(INDEX('20 2026 DEPO KABUL'!$B$2:$B$501,MATCH(C482,'20 2026 DEPO KABUL'!$F$2:$F$501,0)),"")</f>
        <v/>
      </c>
      <c r="E482" s="13"/>
      <c r="F482" s="13"/>
      <c r="G482" s="1" t="str">
        <f>IFERROR(INDEX('20 2026 DEPO KABUL'!$G$2:$G$501,MATCH(C482,'20 2026 DEPO KABUL'!$F$2:$F$501,0)),"")</f>
        <v/>
      </c>
      <c r="H482" s="1" t="str">
        <f>IFERROR(INDEX('20 2026 DEPO KABUL'!$H$2:$H$501,MATCH(C482,'20 2026 DEPO KABUL'!$F$2:$F$501,0)),"")</f>
        <v/>
      </c>
      <c r="I482" s="13"/>
      <c r="J482" s="13"/>
    </row>
    <row r="483" spans="1:10" ht="15" customHeight="1" x14ac:dyDescent="0.2">
      <c r="A483" s="13"/>
      <c r="B483" s="13"/>
      <c r="C483" s="13"/>
      <c r="D483" s="1" t="str">
        <f>IFERROR(INDEX('20 2026 DEPO KABUL'!$B$2:$B$501,MATCH(C483,'20 2026 DEPO KABUL'!$F$2:$F$501,0)),"")</f>
        <v/>
      </c>
      <c r="E483" s="13"/>
      <c r="F483" s="13"/>
      <c r="G483" s="1" t="str">
        <f>IFERROR(INDEX('20 2026 DEPO KABUL'!$G$2:$G$501,MATCH(C483,'20 2026 DEPO KABUL'!$F$2:$F$501,0)),"")</f>
        <v/>
      </c>
      <c r="H483" s="1" t="str">
        <f>IFERROR(INDEX('20 2026 DEPO KABUL'!$H$2:$H$501,MATCH(C483,'20 2026 DEPO KABUL'!$F$2:$F$501,0)),"")</f>
        <v/>
      </c>
      <c r="I483" s="13"/>
      <c r="J483" s="13"/>
    </row>
    <row r="484" spans="1:10" ht="15" customHeight="1" x14ac:dyDescent="0.2">
      <c r="A484" s="13"/>
      <c r="B484" s="13"/>
      <c r="C484" s="13"/>
      <c r="D484" s="1" t="str">
        <f>IFERROR(INDEX('20 2026 DEPO KABUL'!$B$2:$B$501,MATCH(C484,'20 2026 DEPO KABUL'!$F$2:$F$501,0)),"")</f>
        <v/>
      </c>
      <c r="E484" s="13"/>
      <c r="F484" s="13"/>
      <c r="G484" s="1" t="str">
        <f>IFERROR(INDEX('20 2026 DEPO KABUL'!$G$2:$G$501,MATCH(C484,'20 2026 DEPO KABUL'!$F$2:$F$501,0)),"")</f>
        <v/>
      </c>
      <c r="H484" s="1" t="str">
        <f>IFERROR(INDEX('20 2026 DEPO KABUL'!$H$2:$H$501,MATCH(C484,'20 2026 DEPO KABUL'!$F$2:$F$501,0)),"")</f>
        <v/>
      </c>
      <c r="I484" s="13"/>
      <c r="J484" s="13"/>
    </row>
    <row r="485" spans="1:10" ht="15" customHeight="1" x14ac:dyDescent="0.2">
      <c r="A485" s="13"/>
      <c r="B485" s="13"/>
      <c r="C485" s="13"/>
      <c r="D485" s="1" t="str">
        <f>IFERROR(INDEX('20 2026 DEPO KABUL'!$B$2:$B$501,MATCH(C485,'20 2026 DEPO KABUL'!$F$2:$F$501,0)),"")</f>
        <v/>
      </c>
      <c r="E485" s="13"/>
      <c r="F485" s="13"/>
      <c r="G485" s="1" t="str">
        <f>IFERROR(INDEX('20 2026 DEPO KABUL'!$G$2:$G$501,MATCH(C485,'20 2026 DEPO KABUL'!$F$2:$F$501,0)),"")</f>
        <v/>
      </c>
      <c r="H485" s="1" t="str">
        <f>IFERROR(INDEX('20 2026 DEPO KABUL'!$H$2:$H$501,MATCH(C485,'20 2026 DEPO KABUL'!$F$2:$F$501,0)),"")</f>
        <v/>
      </c>
      <c r="I485" s="13"/>
      <c r="J485" s="13"/>
    </row>
    <row r="486" spans="1:10" ht="15" customHeight="1" x14ac:dyDescent="0.2">
      <c r="A486" s="13"/>
      <c r="B486" s="13"/>
      <c r="C486" s="13"/>
      <c r="D486" s="1" t="str">
        <f>IFERROR(INDEX('20 2026 DEPO KABUL'!$B$2:$B$501,MATCH(C486,'20 2026 DEPO KABUL'!$F$2:$F$501,0)),"")</f>
        <v/>
      </c>
      <c r="E486" s="13"/>
      <c r="F486" s="13"/>
      <c r="G486" s="1" t="str">
        <f>IFERROR(INDEX('20 2026 DEPO KABUL'!$G$2:$G$501,MATCH(C486,'20 2026 DEPO KABUL'!$F$2:$F$501,0)),"")</f>
        <v/>
      </c>
      <c r="H486" s="1" t="str">
        <f>IFERROR(INDEX('20 2026 DEPO KABUL'!$H$2:$H$501,MATCH(C486,'20 2026 DEPO KABUL'!$F$2:$F$501,0)),"")</f>
        <v/>
      </c>
      <c r="I486" s="13"/>
      <c r="J486" s="13"/>
    </row>
    <row r="487" spans="1:10" ht="15" customHeight="1" x14ac:dyDescent="0.2">
      <c r="A487" s="13"/>
      <c r="B487" s="13"/>
      <c r="C487" s="13"/>
      <c r="D487" s="1" t="str">
        <f>IFERROR(INDEX('20 2026 DEPO KABUL'!$B$2:$B$501,MATCH(C487,'20 2026 DEPO KABUL'!$F$2:$F$501,0)),"")</f>
        <v/>
      </c>
      <c r="E487" s="13"/>
      <c r="F487" s="13"/>
      <c r="G487" s="1" t="str">
        <f>IFERROR(INDEX('20 2026 DEPO KABUL'!$G$2:$G$501,MATCH(C487,'20 2026 DEPO KABUL'!$F$2:$F$501,0)),"")</f>
        <v/>
      </c>
      <c r="H487" s="1" t="str">
        <f>IFERROR(INDEX('20 2026 DEPO KABUL'!$H$2:$H$501,MATCH(C487,'20 2026 DEPO KABUL'!$F$2:$F$501,0)),"")</f>
        <v/>
      </c>
      <c r="I487" s="13"/>
      <c r="J487" s="13"/>
    </row>
    <row r="488" spans="1:10" ht="15" customHeight="1" x14ac:dyDescent="0.2">
      <c r="A488" s="13"/>
      <c r="B488" s="13"/>
      <c r="C488" s="13"/>
      <c r="D488" s="1" t="str">
        <f>IFERROR(INDEX('20 2026 DEPO KABUL'!$B$2:$B$501,MATCH(C488,'20 2026 DEPO KABUL'!$F$2:$F$501,0)),"")</f>
        <v/>
      </c>
      <c r="E488" s="13"/>
      <c r="F488" s="13"/>
      <c r="G488" s="1" t="str">
        <f>IFERROR(INDEX('20 2026 DEPO KABUL'!$G$2:$G$501,MATCH(C488,'20 2026 DEPO KABUL'!$F$2:$F$501,0)),"")</f>
        <v/>
      </c>
      <c r="H488" s="1" t="str">
        <f>IFERROR(INDEX('20 2026 DEPO KABUL'!$H$2:$H$501,MATCH(C488,'20 2026 DEPO KABUL'!$F$2:$F$501,0)),"")</f>
        <v/>
      </c>
      <c r="I488" s="13"/>
      <c r="J488" s="13"/>
    </row>
    <row r="489" spans="1:10" ht="15" customHeight="1" x14ac:dyDescent="0.2">
      <c r="A489" s="13"/>
      <c r="B489" s="13"/>
      <c r="C489" s="13"/>
      <c r="D489" s="1" t="str">
        <f>IFERROR(INDEX('20 2026 DEPO KABUL'!$B$2:$B$501,MATCH(C489,'20 2026 DEPO KABUL'!$F$2:$F$501,0)),"")</f>
        <v/>
      </c>
      <c r="E489" s="13"/>
      <c r="F489" s="13"/>
      <c r="G489" s="1" t="str">
        <f>IFERROR(INDEX('20 2026 DEPO KABUL'!$G$2:$G$501,MATCH(C489,'20 2026 DEPO KABUL'!$F$2:$F$501,0)),"")</f>
        <v/>
      </c>
      <c r="H489" s="1" t="str">
        <f>IFERROR(INDEX('20 2026 DEPO KABUL'!$H$2:$H$501,MATCH(C489,'20 2026 DEPO KABUL'!$F$2:$F$501,0)),"")</f>
        <v/>
      </c>
      <c r="I489" s="13"/>
      <c r="J489" s="13"/>
    </row>
    <row r="490" spans="1:10" ht="15" customHeight="1" x14ac:dyDescent="0.2">
      <c r="A490" s="13"/>
      <c r="B490" s="13"/>
      <c r="C490" s="13"/>
      <c r="D490" s="1" t="str">
        <f>IFERROR(INDEX('20 2026 DEPO KABUL'!$B$2:$B$501,MATCH(C490,'20 2026 DEPO KABUL'!$F$2:$F$501,0)),"")</f>
        <v/>
      </c>
      <c r="E490" s="13"/>
      <c r="F490" s="13"/>
      <c r="G490" s="1" t="str">
        <f>IFERROR(INDEX('20 2026 DEPO KABUL'!$G$2:$G$501,MATCH(C490,'20 2026 DEPO KABUL'!$F$2:$F$501,0)),"")</f>
        <v/>
      </c>
      <c r="H490" s="1" t="str">
        <f>IFERROR(INDEX('20 2026 DEPO KABUL'!$H$2:$H$501,MATCH(C490,'20 2026 DEPO KABUL'!$F$2:$F$501,0)),"")</f>
        <v/>
      </c>
      <c r="I490" s="13"/>
      <c r="J490" s="13"/>
    </row>
    <row r="491" spans="1:10" ht="15" customHeight="1" x14ac:dyDescent="0.2">
      <c r="A491" s="13"/>
      <c r="B491" s="13"/>
      <c r="C491" s="13"/>
      <c r="D491" s="1" t="str">
        <f>IFERROR(INDEX('20 2026 DEPO KABUL'!$B$2:$B$501,MATCH(C491,'20 2026 DEPO KABUL'!$F$2:$F$501,0)),"")</f>
        <v/>
      </c>
      <c r="E491" s="13"/>
      <c r="F491" s="13"/>
      <c r="G491" s="1" t="str">
        <f>IFERROR(INDEX('20 2026 DEPO KABUL'!$G$2:$G$501,MATCH(C491,'20 2026 DEPO KABUL'!$F$2:$F$501,0)),"")</f>
        <v/>
      </c>
      <c r="H491" s="1" t="str">
        <f>IFERROR(INDEX('20 2026 DEPO KABUL'!$H$2:$H$501,MATCH(C491,'20 2026 DEPO KABUL'!$F$2:$F$501,0)),"")</f>
        <v/>
      </c>
      <c r="I491" s="13"/>
      <c r="J491" s="13"/>
    </row>
    <row r="492" spans="1:10" ht="15" customHeight="1" x14ac:dyDescent="0.2">
      <c r="A492" s="13"/>
      <c r="B492" s="13"/>
      <c r="C492" s="13"/>
      <c r="D492" s="1" t="str">
        <f>IFERROR(INDEX('20 2026 DEPO KABUL'!$B$2:$B$501,MATCH(C492,'20 2026 DEPO KABUL'!$F$2:$F$501,0)),"")</f>
        <v/>
      </c>
      <c r="E492" s="13"/>
      <c r="F492" s="13"/>
      <c r="G492" s="1" t="str">
        <f>IFERROR(INDEX('20 2026 DEPO KABUL'!$G$2:$G$501,MATCH(C492,'20 2026 DEPO KABUL'!$F$2:$F$501,0)),"")</f>
        <v/>
      </c>
      <c r="H492" s="1" t="str">
        <f>IFERROR(INDEX('20 2026 DEPO KABUL'!$H$2:$H$501,MATCH(C492,'20 2026 DEPO KABUL'!$F$2:$F$501,0)),"")</f>
        <v/>
      </c>
      <c r="I492" s="13"/>
      <c r="J492" s="13"/>
    </row>
    <row r="493" spans="1:10" ht="15" customHeight="1" x14ac:dyDescent="0.2">
      <c r="A493" s="13"/>
      <c r="B493" s="13"/>
      <c r="C493" s="13"/>
      <c r="D493" s="1" t="str">
        <f>IFERROR(INDEX('20 2026 DEPO KABUL'!$B$2:$B$501,MATCH(C493,'20 2026 DEPO KABUL'!$F$2:$F$501,0)),"")</f>
        <v/>
      </c>
      <c r="E493" s="13"/>
      <c r="F493" s="13"/>
      <c r="G493" s="1" t="str">
        <f>IFERROR(INDEX('20 2026 DEPO KABUL'!$G$2:$G$501,MATCH(C493,'20 2026 DEPO KABUL'!$F$2:$F$501,0)),"")</f>
        <v/>
      </c>
      <c r="H493" s="1" t="str">
        <f>IFERROR(INDEX('20 2026 DEPO KABUL'!$H$2:$H$501,MATCH(C493,'20 2026 DEPO KABUL'!$F$2:$F$501,0)),"")</f>
        <v/>
      </c>
      <c r="I493" s="13"/>
      <c r="J493" s="13"/>
    </row>
    <row r="494" spans="1:10" ht="15" customHeight="1" x14ac:dyDescent="0.2">
      <c r="A494" s="13"/>
      <c r="B494" s="13"/>
      <c r="C494" s="13"/>
      <c r="D494" s="1" t="str">
        <f>IFERROR(INDEX('20 2026 DEPO KABUL'!$B$2:$B$501,MATCH(C494,'20 2026 DEPO KABUL'!$F$2:$F$501,0)),"")</f>
        <v/>
      </c>
      <c r="E494" s="13"/>
      <c r="F494" s="13"/>
      <c r="G494" s="1" t="str">
        <f>IFERROR(INDEX('20 2026 DEPO KABUL'!$G$2:$G$501,MATCH(C494,'20 2026 DEPO KABUL'!$F$2:$F$501,0)),"")</f>
        <v/>
      </c>
      <c r="H494" s="1" t="str">
        <f>IFERROR(INDEX('20 2026 DEPO KABUL'!$H$2:$H$501,MATCH(C494,'20 2026 DEPO KABUL'!$F$2:$F$501,0)),"")</f>
        <v/>
      </c>
      <c r="I494" s="13"/>
      <c r="J494" s="13"/>
    </row>
    <row r="495" spans="1:10" ht="15" customHeight="1" x14ac:dyDescent="0.2">
      <c r="A495" s="13"/>
      <c r="B495" s="13"/>
      <c r="C495" s="13"/>
      <c r="D495" s="1" t="str">
        <f>IFERROR(INDEX('20 2026 DEPO KABUL'!$B$2:$B$501,MATCH(C495,'20 2026 DEPO KABUL'!$F$2:$F$501,0)),"")</f>
        <v/>
      </c>
      <c r="E495" s="13"/>
      <c r="F495" s="13"/>
      <c r="G495" s="1" t="str">
        <f>IFERROR(INDEX('20 2026 DEPO KABUL'!$G$2:$G$501,MATCH(C495,'20 2026 DEPO KABUL'!$F$2:$F$501,0)),"")</f>
        <v/>
      </c>
      <c r="H495" s="1" t="str">
        <f>IFERROR(INDEX('20 2026 DEPO KABUL'!$H$2:$H$501,MATCH(C495,'20 2026 DEPO KABUL'!$F$2:$F$501,0)),"")</f>
        <v/>
      </c>
      <c r="I495" s="13"/>
      <c r="J495" s="13"/>
    </row>
    <row r="496" spans="1:10" ht="15" customHeight="1" x14ac:dyDescent="0.2">
      <c r="A496" s="13"/>
      <c r="B496" s="13"/>
      <c r="C496" s="13"/>
      <c r="D496" s="1" t="str">
        <f>IFERROR(INDEX('20 2026 DEPO KABUL'!$B$2:$B$501,MATCH(C496,'20 2026 DEPO KABUL'!$F$2:$F$501,0)),"")</f>
        <v/>
      </c>
      <c r="E496" s="13"/>
      <c r="F496" s="13"/>
      <c r="G496" s="1" t="str">
        <f>IFERROR(INDEX('20 2026 DEPO KABUL'!$G$2:$G$501,MATCH(C496,'20 2026 DEPO KABUL'!$F$2:$F$501,0)),"")</f>
        <v/>
      </c>
      <c r="H496" s="1" t="str">
        <f>IFERROR(INDEX('20 2026 DEPO KABUL'!$H$2:$H$501,MATCH(C496,'20 2026 DEPO KABUL'!$F$2:$F$501,0)),"")</f>
        <v/>
      </c>
      <c r="I496" s="13"/>
      <c r="J496" s="13"/>
    </row>
    <row r="497" spans="1:10" ht="15" customHeight="1" x14ac:dyDescent="0.2">
      <c r="A497" s="13"/>
      <c r="B497" s="13"/>
      <c r="C497" s="13"/>
      <c r="D497" s="1" t="str">
        <f>IFERROR(INDEX('20 2026 DEPO KABUL'!$B$2:$B$501,MATCH(C497,'20 2026 DEPO KABUL'!$F$2:$F$501,0)),"")</f>
        <v/>
      </c>
      <c r="E497" s="13"/>
      <c r="F497" s="13"/>
      <c r="G497" s="1" t="str">
        <f>IFERROR(INDEX('20 2026 DEPO KABUL'!$G$2:$G$501,MATCH(C497,'20 2026 DEPO KABUL'!$F$2:$F$501,0)),"")</f>
        <v/>
      </c>
      <c r="H497" s="1" t="str">
        <f>IFERROR(INDEX('20 2026 DEPO KABUL'!$H$2:$H$501,MATCH(C497,'20 2026 DEPO KABUL'!$F$2:$F$501,0)),"")</f>
        <v/>
      </c>
      <c r="I497" s="13"/>
      <c r="J497" s="13"/>
    </row>
    <row r="498" spans="1:10" ht="15" customHeight="1" x14ac:dyDescent="0.2">
      <c r="A498" s="13"/>
      <c r="B498" s="13"/>
      <c r="C498" s="13"/>
      <c r="D498" s="1" t="str">
        <f>IFERROR(INDEX('20 2026 DEPO KABUL'!$B$2:$B$501,MATCH(C498,'20 2026 DEPO KABUL'!$F$2:$F$501,0)),"")</f>
        <v/>
      </c>
      <c r="E498" s="13"/>
      <c r="F498" s="13"/>
      <c r="G498" s="1" t="str">
        <f>IFERROR(INDEX('20 2026 DEPO KABUL'!$G$2:$G$501,MATCH(C498,'20 2026 DEPO KABUL'!$F$2:$F$501,0)),"")</f>
        <v/>
      </c>
      <c r="H498" s="1" t="str">
        <f>IFERROR(INDEX('20 2026 DEPO KABUL'!$H$2:$H$501,MATCH(C498,'20 2026 DEPO KABUL'!$F$2:$F$501,0)),"")</f>
        <v/>
      </c>
      <c r="I498" s="13"/>
      <c r="J498" s="13"/>
    </row>
    <row r="499" spans="1:10" ht="15" customHeight="1" x14ac:dyDescent="0.2">
      <c r="A499" s="13"/>
      <c r="B499" s="13"/>
      <c r="C499" s="13"/>
      <c r="D499" s="1" t="str">
        <f>IFERROR(INDEX('20 2026 DEPO KABUL'!$B$2:$B$501,MATCH(C499,'20 2026 DEPO KABUL'!$F$2:$F$501,0)),"")</f>
        <v/>
      </c>
      <c r="E499" s="13"/>
      <c r="F499" s="13"/>
      <c r="G499" s="1" t="str">
        <f>IFERROR(INDEX('20 2026 DEPO KABUL'!$G$2:$G$501,MATCH(C499,'20 2026 DEPO KABUL'!$F$2:$F$501,0)),"")</f>
        <v/>
      </c>
      <c r="H499" s="1" t="str">
        <f>IFERROR(INDEX('20 2026 DEPO KABUL'!$H$2:$H$501,MATCH(C499,'20 2026 DEPO KABUL'!$F$2:$F$501,0)),"")</f>
        <v/>
      </c>
      <c r="I499" s="13"/>
      <c r="J499" s="13"/>
    </row>
    <row r="500" spans="1:10" ht="15" customHeight="1" x14ac:dyDescent="0.2">
      <c r="A500" s="13"/>
      <c r="B500" s="13"/>
      <c r="C500" s="13"/>
      <c r="D500" s="1" t="str">
        <f>IFERROR(INDEX('20 2026 DEPO KABUL'!$B$2:$B$501,MATCH(C500,'20 2026 DEPO KABUL'!$F$2:$F$501,0)),"")</f>
        <v/>
      </c>
      <c r="E500" s="13"/>
      <c r="F500" s="13"/>
      <c r="G500" s="1" t="str">
        <f>IFERROR(INDEX('20 2026 DEPO KABUL'!$G$2:$G$501,MATCH(C500,'20 2026 DEPO KABUL'!$F$2:$F$501,0)),"")</f>
        <v/>
      </c>
      <c r="H500" s="1" t="str">
        <f>IFERROR(INDEX('20 2026 DEPO KABUL'!$H$2:$H$501,MATCH(C500,'20 2026 DEPO KABUL'!$F$2:$F$501,0)),"")</f>
        <v/>
      </c>
      <c r="I500" s="13"/>
      <c r="J500" s="13"/>
    </row>
    <row r="501" spans="1:10" ht="15" customHeight="1" x14ac:dyDescent="0.2">
      <c r="A501" s="13"/>
      <c r="B501" s="13"/>
      <c r="C501" s="13"/>
      <c r="D501" s="1" t="str">
        <f>IFERROR(INDEX('20 2026 DEPO KABUL'!$B$2:$B$501,MATCH(C501,'20 2026 DEPO KABUL'!$F$2:$F$501,0)),"")</f>
        <v/>
      </c>
      <c r="E501" s="13"/>
      <c r="F501" s="13"/>
      <c r="G501" s="1" t="str">
        <f>IFERROR(INDEX('20 2026 DEPO KABUL'!$G$2:$G$501,MATCH(C501,'20 2026 DEPO KABUL'!$F$2:$F$501,0)),"")</f>
        <v/>
      </c>
      <c r="H501" s="1" t="str">
        <f>IFERROR(INDEX('20 2026 DEPO KABUL'!$H$2:$H$501,MATCH(C501,'20 2026 DEPO KABUL'!$F$2:$F$501,0)),"")</f>
        <v/>
      </c>
      <c r="I501" s="13"/>
      <c r="J501" s="13"/>
    </row>
    <row r="502" spans="1:10" ht="15" customHeight="1" x14ac:dyDescent="0.2">
      <c r="A502" s="1" t="s">
        <v>405</v>
      </c>
      <c r="B502" s="1" t="s">
        <v>406</v>
      </c>
      <c r="C502" s="1" t="s">
        <v>300</v>
      </c>
      <c r="D502" s="1" t="s">
        <v>251</v>
      </c>
      <c r="E502" s="1"/>
      <c r="F502" s="1"/>
      <c r="G502" s="1"/>
      <c r="H502" s="1"/>
      <c r="I502" s="1"/>
      <c r="J502" s="1" t="s">
        <v>540</v>
      </c>
    </row>
    <row r="503" spans="1:10" ht="15" customHeight="1" x14ac:dyDescent="0.2">
      <c r="A503" s="1" t="s">
        <v>405</v>
      </c>
      <c r="B503" s="1" t="s">
        <v>406</v>
      </c>
      <c r="C503" s="1" t="s">
        <v>301</v>
      </c>
      <c r="D503" s="1" t="s">
        <v>256</v>
      </c>
      <c r="E503" s="1"/>
      <c r="F503" s="1"/>
      <c r="G503" s="1"/>
      <c r="H503" s="1"/>
      <c r="I503" s="1"/>
      <c r="J503" s="1" t="s">
        <v>540</v>
      </c>
    </row>
    <row r="504" spans="1:10" ht="15" customHeight="1" x14ac:dyDescent="0.2">
      <c r="A504" s="1" t="s">
        <v>405</v>
      </c>
      <c r="B504" s="1" t="s">
        <v>406</v>
      </c>
      <c r="C504" s="1" t="s">
        <v>306</v>
      </c>
      <c r="D504" s="1" t="s">
        <v>536</v>
      </c>
      <c r="E504" s="1"/>
      <c r="F504" s="1"/>
      <c r="G504" s="1"/>
      <c r="H504" s="1"/>
      <c r="I504" s="1"/>
      <c r="J504" s="1" t="s">
        <v>540</v>
      </c>
    </row>
    <row r="505" spans="1:10" ht="15" customHeight="1" x14ac:dyDescent="0.2">
      <c r="A505" s="1" t="s">
        <v>405</v>
      </c>
      <c r="B505" s="1" t="s">
        <v>406</v>
      </c>
      <c r="C505" s="1" t="s">
        <v>305</v>
      </c>
      <c r="D505" s="1" t="s">
        <v>268</v>
      </c>
      <c r="E505" s="1"/>
      <c r="F505" s="1"/>
      <c r="G505" s="1"/>
      <c r="H505" s="1"/>
      <c r="I505" s="1"/>
      <c r="J505" s="1" t="s">
        <v>540</v>
      </c>
    </row>
    <row r="506" spans="1:10" ht="15" customHeight="1" x14ac:dyDescent="0.2">
      <c r="A506" s="1" t="s">
        <v>405</v>
      </c>
      <c r="B506" s="1" t="s">
        <v>406</v>
      </c>
      <c r="C506" s="1" t="s">
        <v>307</v>
      </c>
      <c r="D506" s="1" t="s">
        <v>266</v>
      </c>
      <c r="E506" s="1"/>
      <c r="F506" s="1"/>
      <c r="G506" s="1"/>
      <c r="H506" s="1"/>
      <c r="I506" s="1"/>
      <c r="J506" s="1" t="s">
        <v>540</v>
      </c>
    </row>
    <row r="507" spans="1:10" ht="15" customHeight="1" x14ac:dyDescent="0.2">
      <c r="A507" s="1" t="s">
        <v>405</v>
      </c>
      <c r="B507" s="1" t="s">
        <v>406</v>
      </c>
      <c r="C507" s="1" t="s">
        <v>303</v>
      </c>
      <c r="D507" s="1" t="s">
        <v>265</v>
      </c>
      <c r="E507" s="1"/>
      <c r="F507" s="1"/>
      <c r="G507" s="1"/>
      <c r="H507" s="1"/>
      <c r="I507" s="1"/>
      <c r="J507" s="1" t="s">
        <v>540</v>
      </c>
    </row>
    <row r="508" spans="1:10" ht="15" customHeight="1" x14ac:dyDescent="0.2">
      <c r="A508" s="1" t="s">
        <v>405</v>
      </c>
      <c r="B508" s="1" t="s">
        <v>406</v>
      </c>
      <c r="C508" s="1" t="s">
        <v>538</v>
      </c>
      <c r="D508" s="1" t="s">
        <v>269</v>
      </c>
      <c r="E508" s="1"/>
      <c r="F508" s="1"/>
      <c r="G508" s="1"/>
      <c r="H508" s="1"/>
      <c r="I508" s="1"/>
      <c r="J508" s="1" t="s">
        <v>540</v>
      </c>
    </row>
    <row r="509" spans="1:10" ht="15" customHeight="1" x14ac:dyDescent="0.2">
      <c r="A509" s="1" t="s">
        <v>405</v>
      </c>
      <c r="B509" s="1" t="s">
        <v>406</v>
      </c>
      <c r="C509" s="1" t="s">
        <v>295</v>
      </c>
      <c r="D509" s="1" t="s">
        <v>541</v>
      </c>
      <c r="E509" s="1"/>
      <c r="F509" s="1"/>
      <c r="G509" s="1"/>
      <c r="H509" s="1"/>
      <c r="I509" s="1"/>
      <c r="J509" s="1" t="s">
        <v>540</v>
      </c>
    </row>
    <row r="510" spans="1:10" ht="15" customHeight="1" x14ac:dyDescent="0.2">
      <c r="A510" s="1" t="s">
        <v>408</v>
      </c>
      <c r="B510" s="1" t="s">
        <v>409</v>
      </c>
      <c r="C510" s="1" t="s">
        <v>300</v>
      </c>
      <c r="D510" s="1" t="s">
        <v>251</v>
      </c>
      <c r="E510" s="1"/>
      <c r="F510" s="1"/>
      <c r="G510" s="1"/>
      <c r="H510" s="1"/>
      <c r="I510" s="1"/>
      <c r="J510" s="1" t="s">
        <v>540</v>
      </c>
    </row>
    <row r="511" spans="1:10" ht="15" customHeight="1" x14ac:dyDescent="0.2">
      <c r="A511" s="1" t="s">
        <v>408</v>
      </c>
      <c r="B511" s="1" t="s">
        <v>409</v>
      </c>
      <c r="C511" s="1" t="s">
        <v>301</v>
      </c>
      <c r="D511" s="1" t="s">
        <v>256</v>
      </c>
      <c r="E511" s="1"/>
      <c r="F511" s="1"/>
      <c r="G511" s="1"/>
      <c r="H511" s="1"/>
      <c r="I511" s="1"/>
      <c r="J511" s="1" t="s">
        <v>540</v>
      </c>
    </row>
    <row r="512" spans="1:10" ht="15" customHeight="1" x14ac:dyDescent="0.2">
      <c r="A512" s="1" t="s">
        <v>408</v>
      </c>
      <c r="B512" s="1" t="s">
        <v>409</v>
      </c>
      <c r="C512" s="1" t="s">
        <v>306</v>
      </c>
      <c r="D512" s="1" t="s">
        <v>536</v>
      </c>
      <c r="E512" s="1"/>
      <c r="F512" s="1"/>
      <c r="G512" s="1"/>
      <c r="H512" s="1"/>
      <c r="I512" s="1"/>
      <c r="J512" s="1" t="s">
        <v>540</v>
      </c>
    </row>
    <row r="513" spans="1:10" ht="15" customHeight="1" x14ac:dyDescent="0.2">
      <c r="A513" s="1" t="s">
        <v>408</v>
      </c>
      <c r="B513" s="1" t="s">
        <v>409</v>
      </c>
      <c r="C513" s="1" t="s">
        <v>305</v>
      </c>
      <c r="D513" s="1" t="s">
        <v>268</v>
      </c>
      <c r="E513" s="1"/>
      <c r="F513" s="1"/>
      <c r="G513" s="1"/>
      <c r="H513" s="1"/>
      <c r="I513" s="1"/>
      <c r="J513" s="1" t="s">
        <v>540</v>
      </c>
    </row>
    <row r="514" spans="1:10" ht="15" customHeight="1" x14ac:dyDescent="0.2">
      <c r="A514" s="1" t="s">
        <v>408</v>
      </c>
      <c r="B514" s="1" t="s">
        <v>409</v>
      </c>
      <c r="C514" s="1" t="s">
        <v>307</v>
      </c>
      <c r="D514" s="1" t="s">
        <v>266</v>
      </c>
      <c r="E514" s="1"/>
      <c r="F514" s="1"/>
      <c r="G514" s="1"/>
      <c r="H514" s="1"/>
      <c r="I514" s="1"/>
      <c r="J514" s="1" t="s">
        <v>540</v>
      </c>
    </row>
    <row r="515" spans="1:10" ht="15" customHeight="1" x14ac:dyDescent="0.2">
      <c r="A515" s="1" t="s">
        <v>408</v>
      </c>
      <c r="B515" s="1" t="s">
        <v>409</v>
      </c>
      <c r="C515" s="1" t="s">
        <v>303</v>
      </c>
      <c r="D515" s="1" t="s">
        <v>265</v>
      </c>
      <c r="E515" s="1"/>
      <c r="F515" s="1"/>
      <c r="G515" s="1"/>
      <c r="H515" s="1"/>
      <c r="I515" s="1"/>
      <c r="J515" s="1" t="s">
        <v>540</v>
      </c>
    </row>
    <row r="516" spans="1:10" ht="15" customHeight="1" x14ac:dyDescent="0.2">
      <c r="A516" s="1" t="s">
        <v>408</v>
      </c>
      <c r="B516" s="1" t="s">
        <v>409</v>
      </c>
      <c r="C516" s="1" t="s">
        <v>538</v>
      </c>
      <c r="D516" s="1" t="s">
        <v>269</v>
      </c>
      <c r="E516" s="1"/>
      <c r="F516" s="1"/>
      <c r="G516" s="1"/>
      <c r="H516" s="1"/>
      <c r="I516" s="1"/>
      <c r="J516" s="1" t="s">
        <v>540</v>
      </c>
    </row>
    <row r="517" spans="1:10" ht="15" customHeight="1" x14ac:dyDescent="0.2">
      <c r="A517" s="1" t="s">
        <v>408</v>
      </c>
      <c r="B517" s="1" t="s">
        <v>409</v>
      </c>
      <c r="C517" s="1" t="s">
        <v>295</v>
      </c>
      <c r="D517" s="1" t="s">
        <v>541</v>
      </c>
      <c r="E517" s="1"/>
      <c r="F517" s="1"/>
      <c r="G517" s="1"/>
      <c r="H517" s="1"/>
      <c r="I517" s="1"/>
      <c r="J517" s="1" t="s">
        <v>540</v>
      </c>
    </row>
    <row r="518" spans="1:10" ht="15" customHeight="1" x14ac:dyDescent="0.2">
      <c r="A518" s="1" t="s">
        <v>411</v>
      </c>
      <c r="B518" s="1" t="s">
        <v>412</v>
      </c>
      <c r="C518" s="1" t="s">
        <v>300</v>
      </c>
      <c r="D518" s="1" t="s">
        <v>251</v>
      </c>
      <c r="E518" s="1"/>
      <c r="F518" s="1"/>
      <c r="G518" s="1"/>
      <c r="H518" s="1"/>
      <c r="I518" s="1"/>
      <c r="J518" s="1" t="s">
        <v>540</v>
      </c>
    </row>
    <row r="519" spans="1:10" ht="15" customHeight="1" x14ac:dyDescent="0.2">
      <c r="A519" s="1" t="s">
        <v>411</v>
      </c>
      <c r="B519" s="1" t="s">
        <v>412</v>
      </c>
      <c r="C519" s="1" t="s">
        <v>301</v>
      </c>
      <c r="D519" s="1" t="s">
        <v>256</v>
      </c>
      <c r="E519" s="1"/>
      <c r="F519" s="1"/>
      <c r="G519" s="1"/>
      <c r="H519" s="1"/>
      <c r="I519" s="1"/>
      <c r="J519" s="1" t="s">
        <v>540</v>
      </c>
    </row>
    <row r="520" spans="1:10" ht="15" customHeight="1" x14ac:dyDescent="0.2">
      <c r="A520" s="1" t="s">
        <v>411</v>
      </c>
      <c r="B520" s="1" t="s">
        <v>412</v>
      </c>
      <c r="C520" s="1" t="s">
        <v>306</v>
      </c>
      <c r="D520" s="1" t="s">
        <v>536</v>
      </c>
      <c r="E520" s="1"/>
      <c r="F520" s="1"/>
      <c r="G520" s="1"/>
      <c r="H520" s="1"/>
      <c r="I520" s="1"/>
      <c r="J520" s="1" t="s">
        <v>540</v>
      </c>
    </row>
    <row r="521" spans="1:10" ht="15" customHeight="1" x14ac:dyDescent="0.2">
      <c r="A521" s="1" t="s">
        <v>411</v>
      </c>
      <c r="B521" s="1" t="s">
        <v>412</v>
      </c>
      <c r="C521" s="1" t="s">
        <v>305</v>
      </c>
      <c r="D521" s="1" t="s">
        <v>268</v>
      </c>
      <c r="E521" s="1"/>
      <c r="F521" s="1"/>
      <c r="G521" s="1"/>
      <c r="H521" s="1"/>
      <c r="I521" s="1"/>
      <c r="J521" s="1" t="s">
        <v>540</v>
      </c>
    </row>
    <row r="522" spans="1:10" ht="15" customHeight="1" x14ac:dyDescent="0.2">
      <c r="A522" s="1" t="s">
        <v>411</v>
      </c>
      <c r="B522" s="1" t="s">
        <v>412</v>
      </c>
      <c r="C522" s="1" t="s">
        <v>307</v>
      </c>
      <c r="D522" s="1" t="s">
        <v>266</v>
      </c>
      <c r="E522" s="1"/>
      <c r="F522" s="1"/>
      <c r="G522" s="1"/>
      <c r="H522" s="1"/>
      <c r="I522" s="1"/>
      <c r="J522" s="1" t="s">
        <v>540</v>
      </c>
    </row>
    <row r="523" spans="1:10" ht="15" customHeight="1" x14ac:dyDescent="0.2">
      <c r="A523" s="1" t="s">
        <v>411</v>
      </c>
      <c r="B523" s="1" t="s">
        <v>412</v>
      </c>
      <c r="C523" s="1" t="s">
        <v>303</v>
      </c>
      <c r="D523" s="1" t="s">
        <v>265</v>
      </c>
      <c r="E523" s="1"/>
      <c r="F523" s="1"/>
      <c r="G523" s="1"/>
      <c r="H523" s="1"/>
      <c r="I523" s="1"/>
      <c r="J523" s="1" t="s">
        <v>540</v>
      </c>
    </row>
    <row r="524" spans="1:10" ht="15" customHeight="1" x14ac:dyDescent="0.2">
      <c r="A524" s="1" t="s">
        <v>411</v>
      </c>
      <c r="B524" s="1" t="s">
        <v>412</v>
      </c>
      <c r="C524" s="1" t="s">
        <v>538</v>
      </c>
      <c r="D524" s="1" t="s">
        <v>269</v>
      </c>
      <c r="E524" s="1"/>
      <c r="F524" s="1"/>
      <c r="G524" s="1"/>
      <c r="H524" s="1"/>
      <c r="I524" s="1"/>
      <c r="J524" s="1" t="s">
        <v>540</v>
      </c>
    </row>
    <row r="525" spans="1:10" ht="15" customHeight="1" x14ac:dyDescent="0.2">
      <c r="A525" s="1" t="s">
        <v>411</v>
      </c>
      <c r="B525" s="1" t="s">
        <v>412</v>
      </c>
      <c r="C525" s="1" t="s">
        <v>295</v>
      </c>
      <c r="D525" s="1" t="s">
        <v>541</v>
      </c>
      <c r="E525" s="1"/>
      <c r="F525" s="1"/>
      <c r="G525" s="1"/>
      <c r="H525" s="1"/>
      <c r="I525" s="1"/>
      <c r="J525" s="1" t="s">
        <v>540</v>
      </c>
    </row>
    <row r="526" spans="1:10" ht="15" customHeight="1" x14ac:dyDescent="0.2">
      <c r="A526" s="1" t="s">
        <v>413</v>
      </c>
      <c r="B526" s="1" t="s">
        <v>414</v>
      </c>
      <c r="C526" s="1" t="s">
        <v>300</v>
      </c>
      <c r="D526" s="1" t="s">
        <v>251</v>
      </c>
      <c r="E526" s="1"/>
      <c r="F526" s="1"/>
      <c r="G526" s="1"/>
      <c r="H526" s="1"/>
      <c r="I526" s="1"/>
      <c r="J526" s="1" t="s">
        <v>540</v>
      </c>
    </row>
    <row r="527" spans="1:10" ht="15" customHeight="1" x14ac:dyDescent="0.2">
      <c r="A527" s="1" t="s">
        <v>413</v>
      </c>
      <c r="B527" s="1" t="s">
        <v>414</v>
      </c>
      <c r="C527" s="1" t="s">
        <v>301</v>
      </c>
      <c r="D527" s="1" t="s">
        <v>256</v>
      </c>
      <c r="E527" s="1"/>
      <c r="F527" s="1"/>
      <c r="G527" s="1"/>
      <c r="H527" s="1"/>
      <c r="I527" s="1"/>
      <c r="J527" s="1" t="s">
        <v>540</v>
      </c>
    </row>
    <row r="528" spans="1:10" ht="15" customHeight="1" x14ac:dyDescent="0.2">
      <c r="A528" s="1" t="s">
        <v>413</v>
      </c>
      <c r="B528" s="1" t="s">
        <v>414</v>
      </c>
      <c r="C528" s="1" t="s">
        <v>306</v>
      </c>
      <c r="D528" s="1" t="s">
        <v>536</v>
      </c>
      <c r="E528" s="1"/>
      <c r="F528" s="1"/>
      <c r="G528" s="1"/>
      <c r="H528" s="1"/>
      <c r="I528" s="1"/>
      <c r="J528" s="1" t="s">
        <v>540</v>
      </c>
    </row>
    <row r="529" spans="1:10" ht="15" customHeight="1" x14ac:dyDescent="0.2">
      <c r="A529" s="1" t="s">
        <v>413</v>
      </c>
      <c r="B529" s="1" t="s">
        <v>414</v>
      </c>
      <c r="C529" s="1" t="s">
        <v>305</v>
      </c>
      <c r="D529" s="1" t="s">
        <v>268</v>
      </c>
      <c r="E529" s="1"/>
      <c r="F529" s="1"/>
      <c r="G529" s="1"/>
      <c r="H529" s="1"/>
      <c r="I529" s="1"/>
      <c r="J529" s="1" t="s">
        <v>540</v>
      </c>
    </row>
    <row r="530" spans="1:10" ht="15" customHeight="1" x14ac:dyDescent="0.2">
      <c r="A530" s="1" t="s">
        <v>413</v>
      </c>
      <c r="B530" s="1" t="s">
        <v>414</v>
      </c>
      <c r="C530" s="1" t="s">
        <v>307</v>
      </c>
      <c r="D530" s="1" t="s">
        <v>266</v>
      </c>
      <c r="E530" s="1"/>
      <c r="F530" s="1"/>
      <c r="G530" s="1"/>
      <c r="H530" s="1"/>
      <c r="I530" s="1"/>
      <c r="J530" s="1" t="s">
        <v>540</v>
      </c>
    </row>
    <row r="531" spans="1:10" ht="15" customHeight="1" x14ac:dyDescent="0.2">
      <c r="A531" s="1" t="s">
        <v>413</v>
      </c>
      <c r="B531" s="1" t="s">
        <v>414</v>
      </c>
      <c r="C531" s="1" t="s">
        <v>303</v>
      </c>
      <c r="D531" s="1" t="s">
        <v>265</v>
      </c>
      <c r="E531" s="1"/>
      <c r="F531" s="1"/>
      <c r="G531" s="1"/>
      <c r="H531" s="1"/>
      <c r="I531" s="1"/>
      <c r="J531" s="1" t="s">
        <v>540</v>
      </c>
    </row>
    <row r="532" spans="1:10" ht="15" customHeight="1" x14ac:dyDescent="0.2">
      <c r="A532" s="1" t="s">
        <v>413</v>
      </c>
      <c r="B532" s="1" t="s">
        <v>414</v>
      </c>
      <c r="C532" s="1" t="s">
        <v>538</v>
      </c>
      <c r="D532" s="1" t="s">
        <v>269</v>
      </c>
      <c r="E532" s="1"/>
      <c r="F532" s="1"/>
      <c r="G532" s="1"/>
      <c r="H532" s="1"/>
      <c r="I532" s="1"/>
      <c r="J532" s="1" t="s">
        <v>540</v>
      </c>
    </row>
    <row r="533" spans="1:10" ht="15" customHeight="1" x14ac:dyDescent="0.2">
      <c r="A533" s="1" t="s">
        <v>413</v>
      </c>
      <c r="B533" s="1" t="s">
        <v>414</v>
      </c>
      <c r="C533" s="1" t="s">
        <v>295</v>
      </c>
      <c r="D533" s="1" t="s">
        <v>541</v>
      </c>
      <c r="E533" s="1"/>
      <c r="F533" s="1"/>
      <c r="G533" s="1"/>
      <c r="H533" s="1"/>
      <c r="I533" s="1"/>
      <c r="J533" s="1" t="s">
        <v>540</v>
      </c>
    </row>
    <row r="534" spans="1:10" ht="15" customHeight="1" x14ac:dyDescent="0.2">
      <c r="A534" s="1" t="s">
        <v>415</v>
      </c>
      <c r="B534" s="1" t="s">
        <v>416</v>
      </c>
      <c r="C534" s="1" t="s">
        <v>300</v>
      </c>
      <c r="D534" s="1" t="s">
        <v>251</v>
      </c>
      <c r="E534" s="1"/>
      <c r="F534" s="1"/>
      <c r="G534" s="1"/>
      <c r="H534" s="1"/>
      <c r="I534" s="1"/>
      <c r="J534" s="1" t="s">
        <v>540</v>
      </c>
    </row>
    <row r="535" spans="1:10" ht="15" customHeight="1" x14ac:dyDescent="0.2">
      <c r="A535" s="1" t="s">
        <v>415</v>
      </c>
      <c r="B535" s="1" t="s">
        <v>416</v>
      </c>
      <c r="C535" s="1" t="s">
        <v>301</v>
      </c>
      <c r="D535" s="1" t="s">
        <v>256</v>
      </c>
      <c r="E535" s="1"/>
      <c r="F535" s="1"/>
      <c r="G535" s="1"/>
      <c r="H535" s="1"/>
      <c r="I535" s="1"/>
      <c r="J535" s="1" t="s">
        <v>540</v>
      </c>
    </row>
    <row r="536" spans="1:10" ht="15" customHeight="1" x14ac:dyDescent="0.2">
      <c r="A536" s="1" t="s">
        <v>415</v>
      </c>
      <c r="B536" s="1" t="s">
        <v>416</v>
      </c>
      <c r="C536" s="1" t="s">
        <v>306</v>
      </c>
      <c r="D536" s="1" t="s">
        <v>536</v>
      </c>
      <c r="E536" s="1"/>
      <c r="F536" s="1"/>
      <c r="G536" s="1"/>
      <c r="H536" s="1"/>
      <c r="I536" s="1"/>
      <c r="J536" s="1" t="s">
        <v>540</v>
      </c>
    </row>
    <row r="537" spans="1:10" ht="15" customHeight="1" x14ac:dyDescent="0.2">
      <c r="A537" s="1" t="s">
        <v>415</v>
      </c>
      <c r="B537" s="1" t="s">
        <v>416</v>
      </c>
      <c r="C537" s="1" t="s">
        <v>305</v>
      </c>
      <c r="D537" s="1" t="s">
        <v>268</v>
      </c>
      <c r="E537" s="1"/>
      <c r="F537" s="1"/>
      <c r="G537" s="1"/>
      <c r="H537" s="1"/>
      <c r="I537" s="1"/>
      <c r="J537" s="1" t="s">
        <v>540</v>
      </c>
    </row>
    <row r="538" spans="1:10" ht="15" customHeight="1" x14ac:dyDescent="0.2">
      <c r="A538" s="1" t="s">
        <v>415</v>
      </c>
      <c r="B538" s="1" t="s">
        <v>416</v>
      </c>
      <c r="C538" s="1" t="s">
        <v>307</v>
      </c>
      <c r="D538" s="1" t="s">
        <v>266</v>
      </c>
      <c r="E538" s="1"/>
      <c r="F538" s="1"/>
      <c r="G538" s="1"/>
      <c r="H538" s="1"/>
      <c r="I538" s="1"/>
      <c r="J538" s="1" t="s">
        <v>540</v>
      </c>
    </row>
    <row r="539" spans="1:10" ht="15" customHeight="1" x14ac:dyDescent="0.2">
      <c r="A539" s="1" t="s">
        <v>415</v>
      </c>
      <c r="B539" s="1" t="s">
        <v>416</v>
      </c>
      <c r="C539" s="1" t="s">
        <v>303</v>
      </c>
      <c r="D539" s="1" t="s">
        <v>265</v>
      </c>
      <c r="E539" s="1"/>
      <c r="F539" s="1"/>
      <c r="G539" s="1"/>
      <c r="H539" s="1"/>
      <c r="I539" s="1"/>
      <c r="J539" s="1" t="s">
        <v>540</v>
      </c>
    </row>
    <row r="540" spans="1:10" ht="15" customHeight="1" x14ac:dyDescent="0.2">
      <c r="A540" s="1" t="s">
        <v>415</v>
      </c>
      <c r="B540" s="1" t="s">
        <v>416</v>
      </c>
      <c r="C540" s="1" t="s">
        <v>538</v>
      </c>
      <c r="D540" s="1" t="s">
        <v>269</v>
      </c>
      <c r="E540" s="1"/>
      <c r="F540" s="1"/>
      <c r="G540" s="1"/>
      <c r="H540" s="1"/>
      <c r="I540" s="1"/>
      <c r="J540" s="1" t="s">
        <v>540</v>
      </c>
    </row>
    <row r="541" spans="1:10" ht="15" customHeight="1" x14ac:dyDescent="0.2">
      <c r="A541" s="1" t="s">
        <v>415</v>
      </c>
      <c r="B541" s="1" t="s">
        <v>416</v>
      </c>
      <c r="C541" s="1" t="s">
        <v>295</v>
      </c>
      <c r="D541" s="1" t="s">
        <v>541</v>
      </c>
      <c r="E541" s="1"/>
      <c r="F541" s="1"/>
      <c r="G541" s="1"/>
      <c r="H541" s="1"/>
      <c r="I541" s="1"/>
      <c r="J541" s="1" t="s">
        <v>540</v>
      </c>
    </row>
    <row r="542" spans="1:10" ht="15" customHeight="1" x14ac:dyDescent="0.2">
      <c r="A542" s="1" t="s">
        <v>417</v>
      </c>
      <c r="B542" s="1" t="s">
        <v>418</v>
      </c>
      <c r="C542" s="1" t="s">
        <v>300</v>
      </c>
      <c r="D542" s="1" t="s">
        <v>251</v>
      </c>
      <c r="E542" s="1"/>
      <c r="F542" s="1"/>
      <c r="G542" s="1"/>
      <c r="H542" s="1"/>
      <c r="I542" s="1"/>
      <c r="J542" s="1" t="s">
        <v>540</v>
      </c>
    </row>
    <row r="543" spans="1:10" ht="15" customHeight="1" x14ac:dyDescent="0.2">
      <c r="A543" s="1" t="s">
        <v>417</v>
      </c>
      <c r="B543" s="1" t="s">
        <v>418</v>
      </c>
      <c r="C543" s="1" t="s">
        <v>301</v>
      </c>
      <c r="D543" s="1" t="s">
        <v>256</v>
      </c>
      <c r="E543" s="1"/>
      <c r="F543" s="1"/>
      <c r="G543" s="1"/>
      <c r="H543" s="1"/>
      <c r="I543" s="1"/>
      <c r="J543" s="1" t="s">
        <v>540</v>
      </c>
    </row>
    <row r="544" spans="1:10" ht="15" customHeight="1" x14ac:dyDescent="0.2">
      <c r="A544" s="1" t="s">
        <v>417</v>
      </c>
      <c r="B544" s="1" t="s">
        <v>418</v>
      </c>
      <c r="C544" s="1" t="s">
        <v>306</v>
      </c>
      <c r="D544" s="1" t="s">
        <v>536</v>
      </c>
      <c r="E544" s="1"/>
      <c r="F544" s="1"/>
      <c r="G544" s="1"/>
      <c r="H544" s="1"/>
      <c r="I544" s="1"/>
      <c r="J544" s="1" t="s">
        <v>540</v>
      </c>
    </row>
    <row r="545" spans="1:10" ht="15" customHeight="1" x14ac:dyDescent="0.2">
      <c r="A545" s="1" t="s">
        <v>417</v>
      </c>
      <c r="B545" s="1" t="s">
        <v>418</v>
      </c>
      <c r="C545" s="1" t="s">
        <v>305</v>
      </c>
      <c r="D545" s="1" t="s">
        <v>268</v>
      </c>
      <c r="E545" s="1"/>
      <c r="F545" s="1"/>
      <c r="G545" s="1"/>
      <c r="H545" s="1"/>
      <c r="I545" s="1"/>
      <c r="J545" s="1" t="s">
        <v>540</v>
      </c>
    </row>
    <row r="546" spans="1:10" ht="15" customHeight="1" x14ac:dyDescent="0.2">
      <c r="A546" s="1" t="s">
        <v>417</v>
      </c>
      <c r="B546" s="1" t="s">
        <v>418</v>
      </c>
      <c r="C546" s="1" t="s">
        <v>307</v>
      </c>
      <c r="D546" s="1" t="s">
        <v>266</v>
      </c>
      <c r="E546" s="1"/>
      <c r="F546" s="1"/>
      <c r="G546" s="1"/>
      <c r="H546" s="1"/>
      <c r="I546" s="1"/>
      <c r="J546" s="1" t="s">
        <v>540</v>
      </c>
    </row>
    <row r="547" spans="1:10" ht="15" customHeight="1" x14ac:dyDescent="0.2">
      <c r="A547" s="1" t="s">
        <v>417</v>
      </c>
      <c r="B547" s="1" t="s">
        <v>418</v>
      </c>
      <c r="C547" s="1" t="s">
        <v>303</v>
      </c>
      <c r="D547" s="1" t="s">
        <v>265</v>
      </c>
      <c r="E547" s="1"/>
      <c r="F547" s="1"/>
      <c r="G547" s="1"/>
      <c r="H547" s="1"/>
      <c r="I547" s="1"/>
      <c r="J547" s="1" t="s">
        <v>540</v>
      </c>
    </row>
    <row r="548" spans="1:10" ht="15" customHeight="1" x14ac:dyDescent="0.2">
      <c r="A548" s="1" t="s">
        <v>417</v>
      </c>
      <c r="B548" s="1" t="s">
        <v>418</v>
      </c>
      <c r="C548" s="1" t="s">
        <v>538</v>
      </c>
      <c r="D548" s="1" t="s">
        <v>269</v>
      </c>
      <c r="E548" s="1"/>
      <c r="F548" s="1"/>
      <c r="G548" s="1"/>
      <c r="H548" s="1"/>
      <c r="I548" s="1"/>
      <c r="J548" s="1" t="s">
        <v>540</v>
      </c>
    </row>
    <row r="549" spans="1:10" ht="15" customHeight="1" x14ac:dyDescent="0.2">
      <c r="A549" s="1" t="s">
        <v>417</v>
      </c>
      <c r="B549" s="1" t="s">
        <v>418</v>
      </c>
      <c r="C549" s="1" t="s">
        <v>295</v>
      </c>
      <c r="D549" s="1" t="s">
        <v>541</v>
      </c>
      <c r="E549" s="1"/>
      <c r="F549" s="1"/>
      <c r="G549" s="1"/>
      <c r="H549" s="1"/>
      <c r="I549" s="1"/>
      <c r="J549" s="1" t="s">
        <v>540</v>
      </c>
    </row>
    <row r="550" spans="1:10" ht="15" customHeight="1" x14ac:dyDescent="0.2">
      <c r="A550" s="1" t="s">
        <v>419</v>
      </c>
      <c r="B550" s="1" t="s">
        <v>420</v>
      </c>
      <c r="C550" s="1" t="s">
        <v>300</v>
      </c>
      <c r="D550" s="1" t="s">
        <v>251</v>
      </c>
      <c r="E550" s="1"/>
      <c r="F550" s="1"/>
      <c r="G550" s="1"/>
      <c r="H550" s="1"/>
      <c r="I550" s="1"/>
      <c r="J550" s="1" t="s">
        <v>540</v>
      </c>
    </row>
    <row r="551" spans="1:10" ht="15" customHeight="1" x14ac:dyDescent="0.2">
      <c r="A551" s="1" t="s">
        <v>419</v>
      </c>
      <c r="B551" s="1" t="s">
        <v>420</v>
      </c>
      <c r="C551" s="1" t="s">
        <v>301</v>
      </c>
      <c r="D551" s="1" t="s">
        <v>256</v>
      </c>
      <c r="E551" s="1"/>
      <c r="F551" s="1"/>
      <c r="G551" s="1"/>
      <c r="H551" s="1"/>
      <c r="I551" s="1"/>
      <c r="J551" s="1" t="s">
        <v>540</v>
      </c>
    </row>
    <row r="552" spans="1:10" ht="15" customHeight="1" x14ac:dyDescent="0.2">
      <c r="A552" s="1" t="s">
        <v>419</v>
      </c>
      <c r="B552" s="1" t="s">
        <v>420</v>
      </c>
      <c r="C552" s="1" t="s">
        <v>306</v>
      </c>
      <c r="D552" s="1" t="s">
        <v>536</v>
      </c>
      <c r="E552" s="1"/>
      <c r="F552" s="1"/>
      <c r="G552" s="1"/>
      <c r="H552" s="1"/>
      <c r="I552" s="1"/>
      <c r="J552" s="1" t="s">
        <v>540</v>
      </c>
    </row>
    <row r="553" spans="1:10" ht="15" customHeight="1" x14ac:dyDescent="0.2">
      <c r="A553" s="1" t="s">
        <v>419</v>
      </c>
      <c r="B553" s="1" t="s">
        <v>420</v>
      </c>
      <c r="C553" s="1" t="s">
        <v>305</v>
      </c>
      <c r="D553" s="1" t="s">
        <v>268</v>
      </c>
      <c r="E553" s="1"/>
      <c r="F553" s="1"/>
      <c r="G553" s="1"/>
      <c r="H553" s="1"/>
      <c r="I553" s="1"/>
      <c r="J553" s="1" t="s">
        <v>540</v>
      </c>
    </row>
    <row r="554" spans="1:10" ht="15" customHeight="1" x14ac:dyDescent="0.2">
      <c r="A554" s="1" t="s">
        <v>419</v>
      </c>
      <c r="B554" s="1" t="s">
        <v>420</v>
      </c>
      <c r="C554" s="1" t="s">
        <v>307</v>
      </c>
      <c r="D554" s="1" t="s">
        <v>266</v>
      </c>
      <c r="E554" s="1"/>
      <c r="F554" s="1"/>
      <c r="G554" s="1"/>
      <c r="H554" s="1"/>
      <c r="I554" s="1"/>
      <c r="J554" s="1" t="s">
        <v>540</v>
      </c>
    </row>
    <row r="555" spans="1:10" ht="15" customHeight="1" x14ac:dyDescent="0.2">
      <c r="A555" s="1" t="s">
        <v>419</v>
      </c>
      <c r="B555" s="1" t="s">
        <v>420</v>
      </c>
      <c r="C555" s="1" t="s">
        <v>303</v>
      </c>
      <c r="D555" s="1" t="s">
        <v>265</v>
      </c>
      <c r="E555" s="1"/>
      <c r="F555" s="1"/>
      <c r="G555" s="1"/>
      <c r="H555" s="1"/>
      <c r="I555" s="1"/>
      <c r="J555" s="1" t="s">
        <v>540</v>
      </c>
    </row>
    <row r="556" spans="1:10" ht="15" customHeight="1" x14ac:dyDescent="0.2">
      <c r="A556" s="1" t="s">
        <v>419</v>
      </c>
      <c r="B556" s="1" t="s">
        <v>420</v>
      </c>
      <c r="C556" s="1" t="s">
        <v>538</v>
      </c>
      <c r="D556" s="1" t="s">
        <v>269</v>
      </c>
      <c r="E556" s="1"/>
      <c r="F556" s="1"/>
      <c r="G556" s="1"/>
      <c r="H556" s="1"/>
      <c r="I556" s="1"/>
      <c r="J556" s="1" t="s">
        <v>540</v>
      </c>
    </row>
    <row r="557" spans="1:10" ht="15" customHeight="1" x14ac:dyDescent="0.2">
      <c r="A557" s="1" t="s">
        <v>419</v>
      </c>
      <c r="B557" s="1" t="s">
        <v>420</v>
      </c>
      <c r="C557" s="1" t="s">
        <v>295</v>
      </c>
      <c r="D557" s="1" t="s">
        <v>541</v>
      </c>
      <c r="E557" s="1"/>
      <c r="F557" s="1"/>
      <c r="G557" s="1"/>
      <c r="H557" s="1"/>
      <c r="I557" s="1"/>
      <c r="J557" s="1" t="s">
        <v>540</v>
      </c>
    </row>
    <row r="558" spans="1:10" ht="15" customHeight="1" x14ac:dyDescent="0.2">
      <c r="A558" s="1" t="s">
        <v>422</v>
      </c>
      <c r="B558" s="1" t="s">
        <v>423</v>
      </c>
      <c r="C558" s="1" t="s">
        <v>300</v>
      </c>
      <c r="D558" s="1" t="s">
        <v>251</v>
      </c>
      <c r="E558" s="1"/>
      <c r="F558" s="1"/>
      <c r="G558" s="1"/>
      <c r="H558" s="1"/>
      <c r="I558" s="1"/>
      <c r="J558" s="1" t="s">
        <v>540</v>
      </c>
    </row>
    <row r="559" spans="1:10" ht="15" customHeight="1" x14ac:dyDescent="0.2">
      <c r="A559" s="1" t="s">
        <v>422</v>
      </c>
      <c r="B559" s="1" t="s">
        <v>423</v>
      </c>
      <c r="C559" s="1" t="s">
        <v>301</v>
      </c>
      <c r="D559" s="1" t="s">
        <v>256</v>
      </c>
      <c r="E559" s="1"/>
      <c r="F559" s="1"/>
      <c r="G559" s="1"/>
      <c r="H559" s="1"/>
      <c r="I559" s="1"/>
      <c r="J559" s="1" t="s">
        <v>540</v>
      </c>
    </row>
    <row r="560" spans="1:10" ht="15" customHeight="1" x14ac:dyDescent="0.2">
      <c r="A560" s="1" t="s">
        <v>422</v>
      </c>
      <c r="B560" s="1" t="s">
        <v>423</v>
      </c>
      <c r="C560" s="1" t="s">
        <v>306</v>
      </c>
      <c r="D560" s="1" t="s">
        <v>536</v>
      </c>
      <c r="E560" s="1"/>
      <c r="F560" s="1"/>
      <c r="G560" s="1"/>
      <c r="H560" s="1"/>
      <c r="I560" s="1"/>
      <c r="J560" s="1" t="s">
        <v>540</v>
      </c>
    </row>
    <row r="561" spans="1:10" ht="15" customHeight="1" x14ac:dyDescent="0.2">
      <c r="A561" s="1" t="s">
        <v>422</v>
      </c>
      <c r="B561" s="1" t="s">
        <v>423</v>
      </c>
      <c r="C561" s="1" t="s">
        <v>305</v>
      </c>
      <c r="D561" s="1" t="s">
        <v>268</v>
      </c>
      <c r="E561" s="1"/>
      <c r="F561" s="1"/>
      <c r="G561" s="1"/>
      <c r="H561" s="1"/>
      <c r="I561" s="1"/>
      <c r="J561" s="1" t="s">
        <v>540</v>
      </c>
    </row>
    <row r="562" spans="1:10" ht="15" customHeight="1" x14ac:dyDescent="0.2">
      <c r="A562" s="1" t="s">
        <v>422</v>
      </c>
      <c r="B562" s="1" t="s">
        <v>423</v>
      </c>
      <c r="C562" s="1" t="s">
        <v>307</v>
      </c>
      <c r="D562" s="1" t="s">
        <v>266</v>
      </c>
      <c r="E562" s="1"/>
      <c r="F562" s="1"/>
      <c r="G562" s="1"/>
      <c r="H562" s="1"/>
      <c r="I562" s="1"/>
      <c r="J562" s="1" t="s">
        <v>540</v>
      </c>
    </row>
    <row r="563" spans="1:10" ht="15" customHeight="1" x14ac:dyDescent="0.2">
      <c r="A563" s="1" t="s">
        <v>422</v>
      </c>
      <c r="B563" s="1" t="s">
        <v>423</v>
      </c>
      <c r="C563" s="1" t="s">
        <v>303</v>
      </c>
      <c r="D563" s="1" t="s">
        <v>265</v>
      </c>
      <c r="E563" s="1"/>
      <c r="F563" s="1"/>
      <c r="G563" s="1"/>
      <c r="H563" s="1"/>
      <c r="I563" s="1"/>
      <c r="J563" s="1" t="s">
        <v>540</v>
      </c>
    </row>
    <row r="564" spans="1:10" ht="15" customHeight="1" x14ac:dyDescent="0.2">
      <c r="A564" s="1" t="s">
        <v>422</v>
      </c>
      <c r="B564" s="1" t="s">
        <v>423</v>
      </c>
      <c r="C564" s="1" t="s">
        <v>538</v>
      </c>
      <c r="D564" s="1" t="s">
        <v>269</v>
      </c>
      <c r="E564" s="1"/>
      <c r="F564" s="1"/>
      <c r="G564" s="1"/>
      <c r="H564" s="1"/>
      <c r="I564" s="1"/>
      <c r="J564" s="1" t="s">
        <v>540</v>
      </c>
    </row>
    <row r="565" spans="1:10" ht="15" customHeight="1" x14ac:dyDescent="0.2">
      <c r="A565" s="1" t="s">
        <v>422</v>
      </c>
      <c r="B565" s="1" t="s">
        <v>423</v>
      </c>
      <c r="C565" s="1" t="s">
        <v>295</v>
      </c>
      <c r="D565" s="1" t="s">
        <v>541</v>
      </c>
      <c r="E565" s="1"/>
      <c r="F565" s="1"/>
      <c r="G565" s="1"/>
      <c r="H565" s="1"/>
      <c r="I565" s="1"/>
      <c r="J565" s="1" t="s">
        <v>540</v>
      </c>
    </row>
    <row r="566" spans="1:10" ht="15" customHeight="1" x14ac:dyDescent="0.2">
      <c r="A566" s="1" t="s">
        <v>425</v>
      </c>
      <c r="B566" s="1" t="s">
        <v>426</v>
      </c>
      <c r="C566" s="1" t="s">
        <v>300</v>
      </c>
      <c r="D566" s="1" t="s">
        <v>251</v>
      </c>
      <c r="E566" s="1"/>
      <c r="F566" s="1"/>
      <c r="G566" s="1"/>
      <c r="H566" s="1"/>
      <c r="I566" s="1"/>
      <c r="J566" s="1" t="s">
        <v>540</v>
      </c>
    </row>
    <row r="567" spans="1:10" ht="15" customHeight="1" x14ac:dyDescent="0.2">
      <c r="A567" s="1" t="s">
        <v>425</v>
      </c>
      <c r="B567" s="1" t="s">
        <v>426</v>
      </c>
      <c r="C567" s="1" t="s">
        <v>301</v>
      </c>
      <c r="D567" s="1" t="s">
        <v>256</v>
      </c>
      <c r="E567" s="1"/>
      <c r="F567" s="1"/>
      <c r="G567" s="1"/>
      <c r="H567" s="1"/>
      <c r="I567" s="1"/>
      <c r="J567" s="1" t="s">
        <v>540</v>
      </c>
    </row>
    <row r="568" spans="1:10" ht="15" customHeight="1" x14ac:dyDescent="0.2">
      <c r="A568" s="1" t="s">
        <v>425</v>
      </c>
      <c r="B568" s="1" t="s">
        <v>426</v>
      </c>
      <c r="C568" s="1" t="s">
        <v>306</v>
      </c>
      <c r="D568" s="1" t="s">
        <v>536</v>
      </c>
      <c r="E568" s="1"/>
      <c r="F568" s="1"/>
      <c r="G568" s="1"/>
      <c r="H568" s="1"/>
      <c r="I568" s="1"/>
      <c r="J568" s="1" t="s">
        <v>540</v>
      </c>
    </row>
    <row r="569" spans="1:10" ht="15" customHeight="1" x14ac:dyDescent="0.2">
      <c r="A569" s="1" t="s">
        <v>425</v>
      </c>
      <c r="B569" s="1" t="s">
        <v>426</v>
      </c>
      <c r="C569" s="1" t="s">
        <v>305</v>
      </c>
      <c r="D569" s="1" t="s">
        <v>268</v>
      </c>
      <c r="E569" s="1"/>
      <c r="F569" s="1"/>
      <c r="G569" s="1"/>
      <c r="H569" s="1"/>
      <c r="I569" s="1"/>
      <c r="J569" s="1" t="s">
        <v>540</v>
      </c>
    </row>
    <row r="570" spans="1:10" ht="15" customHeight="1" x14ac:dyDescent="0.2">
      <c r="A570" s="1" t="s">
        <v>425</v>
      </c>
      <c r="B570" s="1" t="s">
        <v>426</v>
      </c>
      <c r="C570" s="1" t="s">
        <v>307</v>
      </c>
      <c r="D570" s="1" t="s">
        <v>266</v>
      </c>
      <c r="E570" s="1"/>
      <c r="F570" s="1"/>
      <c r="G570" s="1"/>
      <c r="H570" s="1"/>
      <c r="I570" s="1"/>
      <c r="J570" s="1" t="s">
        <v>540</v>
      </c>
    </row>
    <row r="571" spans="1:10" ht="15" customHeight="1" x14ac:dyDescent="0.2">
      <c r="A571" s="1" t="s">
        <v>425</v>
      </c>
      <c r="B571" s="1" t="s">
        <v>426</v>
      </c>
      <c r="C571" s="1" t="s">
        <v>303</v>
      </c>
      <c r="D571" s="1" t="s">
        <v>265</v>
      </c>
      <c r="E571" s="1"/>
      <c r="F571" s="1"/>
      <c r="G571" s="1"/>
      <c r="H571" s="1"/>
      <c r="I571" s="1"/>
      <c r="J571" s="1" t="s">
        <v>540</v>
      </c>
    </row>
    <row r="572" spans="1:10" ht="15" customHeight="1" x14ac:dyDescent="0.2">
      <c r="A572" s="1" t="s">
        <v>425</v>
      </c>
      <c r="B572" s="1" t="s">
        <v>426</v>
      </c>
      <c r="C572" s="1" t="s">
        <v>538</v>
      </c>
      <c r="D572" s="1" t="s">
        <v>269</v>
      </c>
      <c r="E572" s="1"/>
      <c r="F572" s="1"/>
      <c r="G572" s="1"/>
      <c r="H572" s="1"/>
      <c r="I572" s="1"/>
      <c r="J572" s="1" t="s">
        <v>540</v>
      </c>
    </row>
    <row r="573" spans="1:10" ht="15" customHeight="1" x14ac:dyDescent="0.2">
      <c r="A573" s="1" t="s">
        <v>425</v>
      </c>
      <c r="B573" s="1" t="s">
        <v>426</v>
      </c>
      <c r="C573" s="1" t="s">
        <v>295</v>
      </c>
      <c r="D573" s="1" t="s">
        <v>541</v>
      </c>
      <c r="E573" s="1"/>
      <c r="F573" s="1"/>
      <c r="G573" s="1"/>
      <c r="H573" s="1"/>
      <c r="I573" s="1"/>
      <c r="J573" s="1" t="s">
        <v>540</v>
      </c>
    </row>
  </sheetData>
  <autoFilter ref="A1:J573" xr:uid="{00000000-0009-0000-0000-00001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21</vt:i4>
      </vt:variant>
      <vt:variant>
        <vt:lpstr>Adlandırılmış Aralıklar</vt:lpstr>
      </vt:variant>
      <vt:variant>
        <vt:i4>8</vt:i4>
      </vt:variant>
    </vt:vector>
  </HeadingPairs>
  <TitlesOfParts>
    <vt:vector size="29" baseType="lpstr">
      <vt:lpstr>00 ANA SAYFA</vt:lpstr>
      <vt:lpstr>01 VERİ ENVANTERİ</vt:lpstr>
      <vt:lpstr>02 DENETİM KONTROL</vt:lpstr>
      <vt:lpstr>03 REV08 ÇAPRAZ KONTROL</vt:lpstr>
      <vt:lpstr>04 TANIMLAR</vt:lpstr>
      <vt:lpstr>05 REV11 FİNAL TARAMA</vt:lpstr>
      <vt:lpstr>06 LOT LİSTELERİ</vt:lpstr>
      <vt:lpstr>10 2025 ÜRETİM</vt:lpstr>
      <vt:lpstr>11 2025 PAKETLEME</vt:lpstr>
      <vt:lpstr>12 2025 SEVKİYAT</vt:lpstr>
      <vt:lpstr>90 2025 YIL ÖZETİ</vt:lpstr>
      <vt:lpstr>20 2026 DEPO KABUL</vt:lpstr>
      <vt:lpstr>21 2026 ÜRETİM</vt:lpstr>
      <vt:lpstr>22 2026 PAKETLEME</vt:lpstr>
      <vt:lpstr>23 2026 SEVKİYAT</vt:lpstr>
      <vt:lpstr>24 2026 KÜTLE DENKLİĞİ</vt:lpstr>
      <vt:lpstr>25 2026 LOT BAĞI</vt:lpstr>
      <vt:lpstr>26 2026 TEMİZLİK</vt:lpstr>
      <vt:lpstr>98 ÇAPRAZ KONTROL</vt:lpstr>
      <vt:lpstr>99 KULLANIM</vt:lpstr>
      <vt:lpstr>97 LOT BAĞI ESKİ</vt:lpstr>
      <vt:lpstr>LOT_BENECEL</vt:lpstr>
      <vt:lpstr>LOT_KARABIBER</vt:lpstr>
      <vt:lpstr>LOT_MISIR</vt:lpstr>
      <vt:lpstr>LOT_NISASTA</vt:lpstr>
      <vt:lpstr>LOT_PATATES</vt:lpstr>
      <vt:lpstr>LOT_SARIMSAK</vt:lpstr>
      <vt:lpstr>LOT_SAVOUR</vt:lpstr>
      <vt:lpstr>LOT_TUZ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fatih ayaz</cp:lastModifiedBy>
  <dcterms:created xsi:type="dcterms:W3CDTF">2026-07-07T12:17:20Z</dcterms:created>
  <dcterms:modified xsi:type="dcterms:W3CDTF">2026-07-07T12:57:05Z</dcterms:modified>
</cp:coreProperties>
</file>