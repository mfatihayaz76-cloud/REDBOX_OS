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00 ANA SAYFA" sheetId="1" state="visible" r:id="rId1"/>
    <sheet name="01 VERİ ENVANTERİ" sheetId="2" state="visible" r:id="rId2"/>
    <sheet name="02 DENETİM KONTROL" sheetId="3" state="visible" r:id="rId3"/>
    <sheet name="03 REV08 ÇAPRAZ KONTROL" sheetId="4" state="visible" r:id="rId4"/>
    <sheet name="04 TANIMLAR" sheetId="5" state="hidden" r:id="rId5"/>
    <sheet name="05 REV11 FİNAL TARAMA" sheetId="6" state="visible" r:id="rId6"/>
    <sheet name="06 LOT LİSTELERİ" sheetId="7" state="hidden" r:id="rId7"/>
    <sheet name="10 2025 ÜRETİM" sheetId="8" state="visible" r:id="rId8"/>
    <sheet name="11 2025 PAKETLEME" sheetId="9" state="visible" r:id="rId9"/>
    <sheet name="12 2025 SEVKİYAT" sheetId="10" state="visible" r:id="rId10"/>
    <sheet name="90 2025 YIL ÖZETİ" sheetId="11" state="visible" r:id="rId11"/>
    <sheet name="20 2026 DEPO KABUL" sheetId="12" state="visible" r:id="rId12"/>
    <sheet name="21 2026 ÜRETİM" sheetId="13" state="visible" r:id="rId13"/>
    <sheet name="22 2026 PAKETLEME" sheetId="14" state="visible" r:id="rId14"/>
    <sheet name="23 2026 SEVKİYAT" sheetId="15" state="visible" r:id="rId15"/>
    <sheet name="24 2026 KÜTLE DENKLİĞİ" sheetId="16" state="visible" r:id="rId16"/>
    <sheet name="25 2026 LOT BAĞI" sheetId="17" state="visible" r:id="rId17"/>
    <sheet name="26 2026 TEMİZLİK" sheetId="18" state="visible" r:id="rId18"/>
    <sheet name="98 ÇAPRAZ KONTROL" sheetId="19" state="visible" r:id="rId19"/>
    <sheet name="99 KULLANIM" sheetId="20" state="visible" r:id="rId20"/>
    <sheet name="97 LOT BAĞI ESKİ" sheetId="21" state="hidden" r:id="rId21"/>
  </sheets>
  <definedNames>
    <definedName name="LOT_BENECEL">'25 2026 LOT BAĞI'!$T$2:$T$2</definedName>
    <definedName name="LOT_KARABIBER">'25 2026 LOT BAĞI'!$R$2:$R$4</definedName>
    <definedName name="LOT_MISIR">'25 2026 LOT BAĞI'!$O$2:$O$4</definedName>
    <definedName name="LOT_NISASTA">'25 2026 LOT BAĞI'!$N$2:$N$3</definedName>
    <definedName name="LOT_PATATES">'25 2026 LOT BAĞI'!$M$2:$M$3</definedName>
    <definedName name="LOT_SARIMSAK">'25 2026 LOT BAĞI'!$Q$2:$Q$3</definedName>
    <definedName name="LOT_SAVOUR">'25 2026 LOT BAĞI'!$P$2:$P$2</definedName>
    <definedName name="LOT_TUZ">'25 2026 LOT BAĞI'!$S$2:$S$3</definedName>
    <definedName name="_xlnm._FilterDatabase" localSheetId="1" hidden="1">'01 VERİ ENVANTERİ'!$A$1:$D$8</definedName>
    <definedName name="_xlnm._FilterDatabase" localSheetId="2" hidden="1">'02 DENETİM KONTROL'!$A$1:$F$28</definedName>
    <definedName name="_xlnm._FilterDatabase" localSheetId="7" hidden="1">'10 2025 ÜRETİM'!$A$1:$G$9</definedName>
    <definedName name="_xlnm._FilterDatabase" localSheetId="8" hidden="1">'11 2025 PAKETLEME'!$A$1:$H$4</definedName>
    <definedName name="_xlnm._FilterDatabase" localSheetId="9" hidden="1">'12 2025 SEVKİYAT'!$A$1:$H$6</definedName>
    <definedName name="_xlnm._FilterDatabase" localSheetId="11" hidden="1">'20 2026 DEPO KABUL'!$A$1:$J$501</definedName>
    <definedName name="_xlnm._FilterDatabase" localSheetId="12" hidden="1">'21 2026 ÜRETİM'!$A$1:$H$501</definedName>
    <definedName name="_xlnm._FilterDatabase" localSheetId="13" hidden="1">'22 2026 PAKETLEME'!$A$1:$K$501</definedName>
    <definedName name="_xlnm._FilterDatabase" localSheetId="14" hidden="1">'23 2026 SEVKİYAT'!$A$1:$I$501</definedName>
    <definedName name="_xlnm._FilterDatabase" localSheetId="15" hidden="1">'24 2026 KÜTLE DENKLİĞİ'!$A$1:$M$501</definedName>
    <definedName name="_xlnm._FilterDatabase" localSheetId="16" hidden="1">'25 2026 LOT BAĞI'!$A$1:$L$501</definedName>
    <definedName name="_xlnm._FilterDatabase" localSheetId="17" hidden="1">'26 2026 TEMİZLİK'!$A$1:$H$501</definedName>
    <definedName name="_xlnm._FilterDatabase" localSheetId="18" hidden="1">'98 ÇAPRAZ KONTROL'!$A$1:$I$8</definedName>
    <definedName name="_xlnm._FilterDatabase" localSheetId="20" hidden="1">'97 LOT BAĞI ESKİ'!$A$1:$J$573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dd\.mm\.yyyy"/>
  </numFmts>
  <fonts count="9">
    <font>
      <name val="Calibri"/>
      <family val="2"/>
      <color theme="1"/>
      <sz val="11"/>
      <scheme val="minor"/>
    </font>
    <font>
      <name val="Arial"/>
      <family val="2"/>
      <b val="1"/>
      <color rgb="FFFFFFFF"/>
      <sz val="15"/>
    </font>
    <font>
      <name val="Calibri"/>
      <charset val="1"/>
      <family val="2"/>
      <color theme="1"/>
      <sz val="11"/>
    </font>
    <font>
      <name val="Cambria"/>
      <family val="1"/>
      <b val="1"/>
      <color rgb="FFFFFFFF"/>
      <sz val="11"/>
    </font>
    <font>
      <name val="Cambria"/>
      <family val="1"/>
      <b val="1"/>
      <sz val="11"/>
    </font>
    <font>
      <name val="Arial"/>
      <family val="2"/>
      <sz val="9"/>
    </font>
    <font>
      <name val="Calibri"/>
      <family val="2"/>
      <b val="1"/>
      <color rgb="FFFFFFFF"/>
      <sz val="11"/>
    </font>
    <font>
      <name val="Arial"/>
      <family val="2"/>
      <b val="1"/>
      <color rgb="FFFFFFFF"/>
      <sz val="11"/>
    </font>
    <font>
      <name val="Calibri"/>
      <family val="2"/>
      <color theme="10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DDEBF7"/>
        <bgColor rgb="FFD9EAF7"/>
      </patternFill>
    </fill>
    <fill>
      <patternFill patternType="solid">
        <fgColor rgb="FFE2F0D9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F4CCCC"/>
        <bgColor rgb="FFCCCCFF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70AD47"/>
      </patternFill>
    </fill>
  </fills>
  <borders count="3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</borders>
  <cellStyleXfs count="2">
    <xf numFmtId="0" fontId="0" fillId="0" borderId="0"/>
    <xf numFmtId="0" fontId="8" fillId="0" borderId="0"/>
  </cellStyleXfs>
  <cellXfs count="84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2" fillId="0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2" borderId="0" pivotButton="0" quotePrefix="0" xfId="0"/>
    <xf numFmtId="0" fontId="6" fillId="8" borderId="0" pivotButton="0" quotePrefix="0" xfId="0"/>
    <xf numFmtId="0" fontId="7" fillId="2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6" fillId="8" borderId="4" applyAlignment="1" pivotButton="0" quotePrefix="0" xfId="1">
      <alignment horizontal="center"/>
    </xf>
    <xf numFmtId="0" fontId="6" fillId="10" borderId="4" applyAlignment="1" pivotButton="0" quotePrefix="0" xfId="1">
      <alignment horizontal="center"/>
    </xf>
    <xf numFmtId="0" fontId="6" fillId="11" borderId="4" applyAlignment="1" pivotButton="0" quotePrefix="0" xfId="1">
      <alignment horizontal="center"/>
    </xf>
    <xf numFmtId="0" fontId="1" fillId="2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5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5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0" fillId="0" borderId="5" pivotButton="0" quotePrefix="0" xfId="0"/>
    <xf numFmtId="0" fontId="2" fillId="0" borderId="6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165" fontId="2" fillId="0" borderId="10" applyAlignment="1" pivotButton="0" quotePrefix="0" xfId="0">
      <alignment vertical="center" wrapText="1"/>
    </xf>
    <xf numFmtId="165" fontId="2" fillId="0" borderId="1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2" fillId="9" borderId="11" applyAlignment="1" pivotButton="0" quotePrefix="0" xfId="0">
      <alignment vertical="center" wrapText="1"/>
    </xf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vertical="center" wrapText="1"/>
    </xf>
    <xf numFmtId="0" fontId="2" fillId="0" borderId="14" applyAlignment="1" pivotButton="0" quotePrefix="0" xfId="0">
      <alignment vertical="center" wrapText="1"/>
    </xf>
    <xf numFmtId="0" fontId="2" fillId="9" borderId="14" applyAlignment="1" pivotButton="0" quotePrefix="0" xfId="0">
      <alignment vertical="center" wrapText="1"/>
    </xf>
    <xf numFmtId="0" fontId="0" fillId="0" borderId="14" pivotButton="0" quotePrefix="0" xfId="0"/>
    <xf numFmtId="0" fontId="3" fillId="2" borderId="7" applyAlignment="1" pivotButton="0" quotePrefix="0" xfId="0">
      <alignment horizontal="center" vertical="center" wrapText="1"/>
    </xf>
    <xf numFmtId="0" fontId="2" fillId="0" borderId="15" applyAlignment="1" pivotButton="0" quotePrefix="0" xfId="0">
      <alignment vertical="center" wrapText="1"/>
    </xf>
    <xf numFmtId="0" fontId="2" fillId="0" borderId="16" applyAlignment="1" pivotButton="0" quotePrefix="0" xfId="0">
      <alignment vertical="center" wrapText="1"/>
    </xf>
    <xf numFmtId="0" fontId="2" fillId="9" borderId="16" applyAlignment="1" pivotButton="0" quotePrefix="0" xfId="0">
      <alignment vertical="center" wrapText="1"/>
    </xf>
    <xf numFmtId="0" fontId="0" fillId="0" borderId="16" pivotButton="0" quotePrefix="0" xfId="0"/>
    <xf numFmtId="0" fontId="3" fillId="2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9" borderId="19" applyAlignment="1" pivotButton="0" quotePrefix="0" xfId="0">
      <alignment vertical="center" wrapText="1"/>
    </xf>
    <xf numFmtId="0" fontId="0" fillId="0" borderId="19" pivotButton="0" quotePrefix="0" xfId="0"/>
    <xf numFmtId="0" fontId="2" fillId="6" borderId="14" applyAlignment="1" pivotButton="0" quotePrefix="0" xfId="0">
      <alignment vertical="center" wrapText="1"/>
    </xf>
    <xf numFmtId="0" fontId="2" fillId="6" borderId="16" applyAlignment="1" pivotButton="0" quotePrefix="0" xfId="0">
      <alignment vertical="center" wrapText="1"/>
    </xf>
    <xf numFmtId="0" fontId="3" fillId="2" borderId="20" applyAlignment="1" pivotButton="0" quotePrefix="0" xfId="0">
      <alignment horizontal="center" vertical="center" wrapText="1"/>
    </xf>
    <xf numFmtId="0" fontId="2" fillId="6" borderId="19" applyAlignment="1" pivotButton="0" quotePrefix="0" xfId="0">
      <alignment vertical="center" wrapText="1"/>
    </xf>
    <xf numFmtId="0" fontId="3" fillId="2" borderId="21" applyAlignment="1" pivotButton="0" quotePrefix="0" xfId="0">
      <alignment horizontal="center" vertical="center" wrapText="1"/>
    </xf>
    <xf numFmtId="0" fontId="2" fillId="6" borderId="11" applyAlignment="1" pivotButton="0" quotePrefix="0" xfId="0">
      <alignment vertical="center" wrapText="1"/>
    </xf>
    <xf numFmtId="0" fontId="3" fillId="2" borderId="22" applyAlignment="1" pivotButton="0" quotePrefix="0" xfId="0">
      <alignment horizontal="center" vertical="center" wrapText="1"/>
    </xf>
    <xf numFmtId="0" fontId="3" fillId="2" borderId="23" applyAlignment="1" pivotButton="0" quotePrefix="0" xfId="0">
      <alignment horizontal="center" vertical="center" wrapText="1"/>
    </xf>
    <xf numFmtId="0" fontId="3" fillId="2" borderId="24" applyAlignment="1" pivotButton="0" quotePrefix="0" xfId="0">
      <alignment horizontal="center" vertical="center" wrapText="1"/>
    </xf>
    <xf numFmtId="0" fontId="2" fillId="0" borderId="25" applyAlignment="1" pivotButton="0" quotePrefix="0" xfId="0">
      <alignment vertical="center" wrapText="1"/>
    </xf>
    <xf numFmtId="0" fontId="2" fillId="6" borderId="25" applyAlignment="1" pivotButton="0" quotePrefix="0" xfId="0">
      <alignment vertical="center" wrapText="1"/>
    </xf>
    <xf numFmtId="0" fontId="0" fillId="0" borderId="25" pivotButton="0" quotePrefix="0" xfId="0"/>
    <xf numFmtId="0" fontId="2" fillId="0" borderId="10" applyAlignment="1" pivotButton="0" quotePrefix="0" xfId="0">
      <alignment vertical="center" wrapText="1"/>
    </xf>
    <xf numFmtId="0" fontId="2" fillId="0" borderId="26" applyAlignment="1" pivotButton="0" quotePrefix="0" xfId="0">
      <alignment vertical="center" wrapText="1"/>
    </xf>
    <xf numFmtId="0" fontId="3" fillId="2" borderId="27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top" wrapText="1"/>
    </xf>
    <xf numFmtId="0" fontId="2" fillId="0" borderId="14" applyAlignment="1" pivotButton="0" quotePrefix="0" xfId="0">
      <alignment vertical="top" wrapText="1"/>
    </xf>
    <xf numFmtId="0" fontId="2" fillId="0" borderId="16" applyAlignment="1" pivotButton="0" quotePrefix="0" xfId="0">
      <alignment vertical="top" wrapText="1"/>
    </xf>
    <xf numFmtId="0" fontId="2" fillId="0" borderId="28" applyAlignment="1" pivotButton="0" quotePrefix="0" xfId="0">
      <alignment vertical="center" wrapText="1"/>
    </xf>
    <xf numFmtId="0" fontId="2" fillId="6" borderId="28" applyAlignment="1" pivotButton="0" quotePrefix="0" xfId="0">
      <alignment vertical="center" wrapText="1"/>
    </xf>
    <xf numFmtId="0" fontId="2" fillId="9" borderId="28" applyAlignment="1" pivotButton="0" quotePrefix="0" xfId="0">
      <alignment vertical="center" wrapText="1"/>
    </xf>
    <xf numFmtId="0" fontId="2" fillId="0" borderId="28" applyAlignment="1" pivotButton="0" quotePrefix="0" xfId="0">
      <alignment vertical="top" wrapText="1"/>
    </xf>
    <xf numFmtId="0" fontId="0" fillId="0" borderId="28" pivotButton="0" quotePrefix="0" xfId="0"/>
    <xf numFmtId="0" fontId="2" fillId="0" borderId="19" applyAlignment="1" pivotButton="0" quotePrefix="0" xfId="0">
      <alignment vertical="top" wrapText="1"/>
    </xf>
    <xf numFmtId="0" fontId="2" fillId="0" borderId="29" applyAlignment="1" pivotButton="0" quotePrefix="0" xfId="0">
      <alignment vertical="center" wrapText="1"/>
    </xf>
    <xf numFmtId="0" fontId="3" fillId="2" borderId="30" applyAlignment="1" pivotButton="0" quotePrefix="0" xfId="0">
      <alignment horizontal="center" vertical="center" wrapText="1"/>
    </xf>
    <xf numFmtId="164" fontId="2" fillId="6" borderId="16" applyAlignment="1" pivotButton="0" quotePrefix="0" xfId="0">
      <alignment vertical="center" wrapText="1"/>
    </xf>
    <xf numFmtId="164" fontId="2" fillId="6" borderId="19" applyAlignment="1" pivotButton="0" quotePrefix="0" xfId="0">
      <alignment vertical="center" wrapText="1"/>
    </xf>
    <xf numFmtId="0" fontId="2" fillId="0" borderId="5" pivotButton="0" quotePrefix="0" xfId="0"/>
  </cellXfs>
  <cellStyles count="2">
    <cellStyle name="Normal" xfId="0" builtinId="0"/>
    <cellStyle name="Köprü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J33"/>
  <sheetViews>
    <sheetView showGridLines="0" tabSelected="1" workbookViewId="0">
      <selection activeCell="D28" sqref="D28"/>
    </sheetView>
  </sheetViews>
  <sheetFormatPr baseColWidth="10" defaultColWidth="8.83203125" defaultRowHeight="15"/>
  <cols>
    <col width="34" customWidth="1" min="1" max="1"/>
    <col width="20" customWidth="1" min="2" max="2"/>
    <col width="14" customWidth="1" min="3" max="3"/>
    <col width="28" customWidth="1" min="4" max="4"/>
    <col width="18" customWidth="1" min="5" max="5"/>
    <col width="14" customWidth="1" min="6" max="6"/>
    <col width="27" customWidth="1" min="7" max="7"/>
    <col width="18" customWidth="1" min="8" max="8"/>
    <col width="15" customWidth="1" min="9" max="9"/>
    <col width="18" customWidth="1" min="10" max="10"/>
  </cols>
  <sheetData>
    <row r="1" ht="18.5" customHeight="1">
      <c r="A1" s="22" t="inlineStr">
        <is>
          <t>REDBOX GIDA SANAYİ VE TİC. LTD. ŞTİ.</t>
        </is>
      </c>
      <c r="B1" s="23" t="n"/>
      <c r="C1" s="23" t="n"/>
      <c r="D1" s="23" t="n"/>
      <c r="E1" s="23" t="n"/>
      <c r="F1" s="24" t="n"/>
      <c r="G1" s="1" t="n"/>
      <c r="H1" s="1" t="n"/>
      <c r="I1" s="1" t="n"/>
      <c r="J1" s="1" t="n"/>
    </row>
    <row r="2" ht="18.5" customHeight="1">
      <c r="A2" s="22" t="inlineStr">
        <is>
          <t>LONG POTATO — 2026 CANLI YÖNETİM PANELİ</t>
        </is>
      </c>
      <c r="B2" s="23" t="n"/>
      <c r="C2" s="23" t="n"/>
      <c r="D2" s="23" t="n"/>
      <c r="E2" s="23" t="n"/>
      <c r="F2" s="24" t="n"/>
      <c r="G2" s="1" t="n"/>
      <c r="H2" s="1" t="n"/>
      <c r="I2" s="1" t="n"/>
      <c r="J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15" customHeight="1">
      <c r="A4" s="2" t="inlineStr">
        <is>
          <t>OPERASYON AKIŞI</t>
        </is>
      </c>
      <c r="B4" s="2" t="inlineStr">
        <is>
          <t>1. DEPO KABUL</t>
        </is>
      </c>
      <c r="C4" s="2" t="inlineStr">
        <is>
          <t>→</t>
        </is>
      </c>
      <c r="D4" s="2" t="inlineStr">
        <is>
          <t>2. ÜRETİM</t>
        </is>
      </c>
      <c r="E4" s="2" t="inlineStr">
        <is>
          <t>→</t>
        </is>
      </c>
      <c r="F4" s="2" t="inlineStr">
        <is>
          <t>3. PAKETLEME</t>
        </is>
      </c>
      <c r="G4" s="2" t="inlineStr">
        <is>
          <t>→</t>
        </is>
      </c>
      <c r="H4" s="2" t="inlineStr">
        <is>
          <t>4. SEVKİYAT</t>
        </is>
      </c>
      <c r="I4" s="2" t="inlineStr">
        <is>
          <t>→</t>
        </is>
      </c>
      <c r="J4" s="2" t="inlineStr">
        <is>
          <t>5. İZLENEBİLİRLİK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 ht="15" customHeight="1">
      <c r="A6" s="4" t="inlineStr">
        <is>
          <t>Kabul edilen hammadde lotu</t>
        </is>
      </c>
      <c r="B6" s="3">
        <f>COUNTA('20 2026 DEPO KABUL'!F2:F501)</f>
        <v/>
      </c>
      <c r="C6" s="3" t="n"/>
      <c r="D6" s="4" t="inlineStr">
        <is>
          <t>Kabul kaydı</t>
        </is>
      </c>
      <c r="E6" s="3">
        <f>COUNTIF('20 2026 DEPO KABUL'!I2:I501,"KABUL")</f>
        <v/>
      </c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 ht="15" customHeight="1">
      <c r="A8" s="5" t="inlineStr">
        <is>
          <t>Toplam üretim günü</t>
        </is>
      </c>
      <c r="B8" s="6">
        <f>COUNTA('21 2026 ÜRETİM'!A2:A501)</f>
        <v/>
      </c>
      <c r="C8" s="1" t="n"/>
      <c r="D8" s="25" t="inlineStr">
        <is>
          <t>2026 SEVK NOKTASI</t>
        </is>
      </c>
      <c r="E8" s="25" t="inlineStr">
        <is>
          <t>KG</t>
        </is>
      </c>
      <c r="F8" s="1" t="n"/>
      <c r="G8" s="26" t="inlineStr">
        <is>
          <t>SEVK NOKTASI</t>
        </is>
      </c>
      <c r="H8" s="26" t="inlineStr">
        <is>
          <t>TOPLAM PAKET</t>
        </is>
      </c>
      <c r="I8" s="26" t="inlineStr">
        <is>
          <t>AMBALAJ</t>
        </is>
      </c>
      <c r="J8" s="26" t="inlineStr">
        <is>
          <t>TOPLAM KG</t>
        </is>
      </c>
    </row>
    <row r="9" ht="15" customHeight="1">
      <c r="A9" s="5" t="inlineStr">
        <is>
          <t>Toplam parti</t>
        </is>
      </c>
      <c r="B9" s="6">
        <f>SUM('21 2026 ÜRETİM'!B2:B501)</f>
        <v/>
      </c>
      <c r="C9" s="1" t="n"/>
      <c r="D9" s="9" t="inlineStr">
        <is>
          <t>File Market</t>
        </is>
      </c>
      <c r="E9" s="10">
        <f>SUMIF('23 2026 SEVKİYAT'!$B$2:$B$501,D9,'23 2026 SEVKİYAT'!$H$2:$H$501)</f>
        <v/>
      </c>
      <c r="F9" s="1" t="n"/>
      <c r="G9" s="9" t="inlineStr">
        <is>
          <t>File Market</t>
        </is>
      </c>
      <c r="H9" s="10">
        <f>SUMIFS('23 2026 SEVKİYAT'!$G$2:$G$501,'23 2026 SEVKİYAT'!$B$2:$B$501,G5,'23 2026 SEVKİYAT'!$F$2:$F$501,I5)</f>
        <v/>
      </c>
      <c r="I9" s="9" t="inlineStr">
        <is>
          <t>500 g</t>
        </is>
      </c>
      <c r="J9" s="10">
        <f>SUMIFS('23 2026 SEVKİYAT'!$H$2:$H$501,'23 2026 SEVKİYAT'!$B$2:$B$501,G5,'23 2026 SEVKİYAT'!$F$2:$F$501,I5)</f>
        <v/>
      </c>
    </row>
    <row r="10" ht="15" customHeight="1">
      <c r="A10" s="5" t="inlineStr">
        <is>
          <t>Teorik üretim kg</t>
        </is>
      </c>
      <c r="B10" s="6">
        <f>SUM('21 2026 ÜRETİM'!D2:D501)</f>
        <v/>
      </c>
      <c r="C10" s="1" t="n"/>
      <c r="D10" s="9" t="inlineStr">
        <is>
          <t>Şehzade Market</t>
        </is>
      </c>
      <c r="E10" s="10">
        <f>SUMIF('23 2026 SEVKİYAT'!$B$2:$B$501,D10,'23 2026 SEVKİYAT'!$H$2:$H$501)</f>
        <v/>
      </c>
      <c r="F10" s="1" t="n"/>
      <c r="G10" s="9" t="inlineStr">
        <is>
          <t>Şehzade Market</t>
        </is>
      </c>
      <c r="H10" s="10">
        <f>SUMIFS('23 2026 SEVKİYAT'!$G$2:$G$501,'23 2026 SEVKİYAT'!$B$2:$B$501,G6,'23 2026 SEVKİYAT'!$F$2:$F$501,I6)</f>
        <v/>
      </c>
      <c r="I10" s="9" t="inlineStr">
        <is>
          <t>500 g</t>
        </is>
      </c>
      <c r="J10" s="10">
        <f>SUMIFS('23 2026 SEVKİYAT'!$H$2:$H$501,'23 2026 SEVKİYAT'!$B$2:$B$501,G6,'23 2026 SEVKİYAT'!$F$2:$F$501,I6)</f>
        <v/>
      </c>
    </row>
    <row r="11" ht="15" customHeight="1">
      <c r="A11" s="5" t="inlineStr">
        <is>
          <t>Üretim firesi kg</t>
        </is>
      </c>
      <c r="B11" s="6">
        <f>SUM('21 2026 ÜRETİM'!E2:E501)</f>
        <v/>
      </c>
      <c r="C11" s="1" t="n"/>
      <c r="D11" s="9" t="inlineStr">
        <is>
          <t>Malatya Alek Gıda</t>
        </is>
      </c>
      <c r="E11" s="10">
        <f>SUMIF('23 2026 SEVKİYAT'!$B$2:$B$501,D11,'23 2026 SEVKİYAT'!$H$2:$H$501)</f>
        <v/>
      </c>
      <c r="F11" s="1" t="n"/>
      <c r="G11" s="9" t="inlineStr">
        <is>
          <t>Malatya Alek Gıda</t>
        </is>
      </c>
      <c r="H11" s="10">
        <f>SUMIFS('23 2026 SEVKİYAT'!$G$2:$G$501,'23 2026 SEVKİYAT'!$B$2:$B$501,G7,'23 2026 SEVKİYAT'!$F$2:$F$501,I7)</f>
        <v/>
      </c>
      <c r="I11" s="9" t="inlineStr">
        <is>
          <t>2,5 kg</t>
        </is>
      </c>
      <c r="J11" s="10">
        <f>SUMIFS('23 2026 SEVKİYAT'!$H$2:$H$501,'23 2026 SEVKİYAT'!$B$2:$B$501,G7,'23 2026 SEVKİYAT'!$F$2:$F$501,I7)</f>
        <v/>
      </c>
    </row>
    <row r="12" ht="15" customHeight="1">
      <c r="A12" s="5" t="inlineStr">
        <is>
          <t>Net mamul kg</t>
        </is>
      </c>
      <c r="B12" s="6">
        <f>SUM('21 2026 ÜRETİM'!F2:F501)</f>
        <v/>
      </c>
      <c r="C12" s="1" t="n"/>
      <c r="D12" s="9" t="inlineStr">
        <is>
          <t>Fuar aracı</t>
        </is>
      </c>
      <c r="E12" s="10">
        <f>SUMIF('23 2026 SEVKİYAT'!$B$2:$B$501,D12,'23 2026 SEVKİYAT'!$H$2:$H$501)</f>
        <v/>
      </c>
      <c r="F12" s="1" t="n"/>
      <c r="G12" s="9" t="inlineStr">
        <is>
          <t>Fuar aracı</t>
        </is>
      </c>
      <c r="H12" s="10">
        <f>SUMIFS('23 2026 SEVKİYAT'!$G$2:$G$501,'23 2026 SEVKİYAT'!$B$2:$B$501,G8,'23 2026 SEVKİYAT'!$F$2:$F$501,I8)</f>
        <v/>
      </c>
      <c r="I12" s="9" t="inlineStr">
        <is>
          <t>2,5 kg</t>
        </is>
      </c>
      <c r="J12" s="10">
        <f>SUMIFS('23 2026 SEVKİYAT'!$H$2:$H$501,'23 2026 SEVKİYAT'!$B$2:$B$501,G8,'23 2026 SEVKİYAT'!$F$2:$F$501,I8)</f>
        <v/>
      </c>
    </row>
    <row r="13" ht="15" customHeight="1">
      <c r="A13" s="5" t="inlineStr">
        <is>
          <t>500 g paket adedi</t>
        </is>
      </c>
      <c r="B13" s="6">
        <f>SUM('22 2026 PAKETLEME'!D2:D501)</f>
        <v/>
      </c>
      <c r="C13" s="1" t="n"/>
      <c r="D13" s="1" t="inlineStr">
        <is>
          <t>Festival / Fuar</t>
        </is>
      </c>
      <c r="E13" s="1">
        <f>SUMIF('23 2026 SEVKİYAT'!$B$2:$B$501,D13,'23 2026 SEVKİYAT'!$H$2:$H$501)</f>
        <v/>
      </c>
      <c r="F13" s="1" t="n"/>
      <c r="G13" s="9" t="inlineStr">
        <is>
          <t>Festival / Fuar</t>
        </is>
      </c>
      <c r="H13" s="10">
        <f>SUMIFS('23 2026 SEVKİYAT'!$G$2:$G$501,'23 2026 SEVKİYAT'!$B$2:$B$501,G9,'23 2026 SEVKİYAT'!$F$2:$F$501,I9)</f>
        <v/>
      </c>
      <c r="I13" s="9" t="inlineStr">
        <is>
          <t>2,5 kg</t>
        </is>
      </c>
      <c r="J13" s="10">
        <f>SUMIFS('23 2026 SEVKİYAT'!$H$2:$H$501,'23 2026 SEVKİYAT'!$B$2:$B$501,G9,'23 2026 SEVKİYAT'!$F$2:$F$501,I9)</f>
        <v/>
      </c>
    </row>
    <row r="14" ht="15" customHeight="1">
      <c r="A14" s="5" t="inlineStr">
        <is>
          <t>500 g paketlenen kg</t>
        </is>
      </c>
      <c r="B14" s="6">
        <f>SUM('22 2026 PAKETLEME'!E2:E501)</f>
        <v/>
      </c>
      <c r="C14" s="1" t="n"/>
      <c r="D14" s="1" t="inlineStr">
        <is>
          <t>Samsun Terme Fuarı</t>
        </is>
      </c>
      <c r="E14" s="1">
        <f>SUMIF('23 2026 SEVKİYAT'!$B$2:$B$501,D14,'23 2026 SEVKİYAT'!$H$2:$H$501)</f>
        <v/>
      </c>
      <c r="F14" s="1" t="n"/>
      <c r="G14" s="9" t="inlineStr">
        <is>
          <t>Samsun Terme Fuarı</t>
        </is>
      </c>
      <c r="H14" s="10" t="inlineStr">
        <is>
          <t>TEYİT</t>
        </is>
      </c>
      <c r="I14" s="9" t="inlineStr">
        <is>
          <t>2,5 kg</t>
        </is>
      </c>
      <c r="J14" s="10">
        <f>SUMIF('23 2026 SEVKİYAT'!$B$2:$B$501,G10,'23 2026 SEVKİYAT'!$H$2:$H$501)</f>
        <v/>
      </c>
    </row>
    <row r="15" ht="15" customHeight="1">
      <c r="A15" s="5" t="inlineStr">
        <is>
          <t>2,5 kg paket adedi</t>
        </is>
      </c>
      <c r="B15" s="6">
        <f>SUM('22 2026 PAKETLEME'!F2:F501)</f>
        <v/>
      </c>
      <c r="C15" s="1" t="n"/>
      <c r="D15" s="26" t="inlineStr">
        <is>
          <t>KÜTLE DENKLİĞİ KONTROLÜ</t>
        </is>
      </c>
      <c r="E15" s="26" t="inlineStr">
        <is>
          <t>DEĞER</t>
        </is>
      </c>
      <c r="F15" s="1" t="n"/>
      <c r="G15" s="1" t="n"/>
      <c r="H15" s="1" t="n"/>
      <c r="I15" s="1" t="n"/>
      <c r="J15" s="1" t="n"/>
    </row>
    <row r="16" ht="15" customHeight="1">
      <c r="A16" s="5" t="inlineStr">
        <is>
          <t>2,5 kg paketlenen kg</t>
        </is>
      </c>
      <c r="B16" s="6">
        <f>SUM('22 2026 PAKETLEME'!G2:G501)</f>
        <v/>
      </c>
      <c r="C16" s="1" t="n"/>
      <c r="D16" s="11" t="inlineStr">
        <is>
          <t>Kontrol edilen üretim</t>
        </is>
      </c>
      <c r="E16" s="10">
        <f>COUNTA('24 2026 KÜTLE DENKLİĞİ'!A2:A501)</f>
        <v/>
      </c>
      <c r="F16" s="1" t="n"/>
      <c r="G16" s="1" t="n"/>
      <c r="H16" s="1" t="n"/>
      <c r="I16" s="1" t="n"/>
      <c r="J16" s="1" t="n"/>
    </row>
    <row r="17" ht="15" customHeight="1">
      <c r="A17" s="5" t="inlineStr">
        <is>
          <t>Paketleme firesi kg</t>
        </is>
      </c>
      <c r="B17" s="6">
        <f>SUM('22 2026 PAKETLEME'!H2:H501)</f>
        <v/>
      </c>
      <c r="C17" s="1" t="n"/>
      <c r="D17" s="11" t="inlineStr">
        <is>
          <t>Kapalı denklik</t>
        </is>
      </c>
      <c r="E17" s="10">
        <f>COUNTIF('24 2026 KÜTLE DENKLİĞİ'!L2:L501,"KAPALI")</f>
        <v/>
      </c>
      <c r="F17" s="1" t="n"/>
      <c r="G17" s="26" t="inlineStr">
        <is>
          <t>DENETİM DURUMU</t>
        </is>
      </c>
      <c r="H17" s="26" t="inlineStr">
        <is>
          <t>ADET</t>
        </is>
      </c>
      <c r="I17" s="1" t="n"/>
      <c r="J17" s="1" t="n"/>
    </row>
    <row r="18" ht="15" customHeight="1">
      <c r="A18" s="5" t="inlineStr">
        <is>
          <t>Toplam sevk kg</t>
        </is>
      </c>
      <c r="B18" s="6">
        <f>SUM('23 2026 SEVKİYAT'!H2:H501)</f>
        <v/>
      </c>
      <c r="C18" s="1" t="n"/>
      <c r="D18" s="11" t="inlineStr">
        <is>
          <t>Kontrol gereken</t>
        </is>
      </c>
      <c r="E18" s="10">
        <f>COUNTIF('24 2026 KÜTLE DENKLİĞİ'!L2:L501,"KONTROL")</f>
        <v/>
      </c>
      <c r="F18" s="1" t="n"/>
      <c r="G18" s="9" t="inlineStr">
        <is>
          <t>Gerçek veri işlendi</t>
        </is>
      </c>
      <c r="H18" s="10">
        <f>COUNTIF('02 DENETİM KONTROL'!C2:C100,"*İŞLENDİ*")</f>
        <v/>
      </c>
      <c r="I18" s="1" t="n"/>
      <c r="J18" s="1" t="n"/>
    </row>
    <row r="19" ht="15" customHeight="1">
      <c r="A19" s="5" t="inlineStr">
        <is>
          <t>Hesaplanan paketli stok kg</t>
        </is>
      </c>
      <c r="B19" s="6">
        <f>SUM('22 2026 PAKETLEME'!E2:E501)+SUM('22 2026 PAKETLEME'!G2:G501)-SUM('23 2026 SEVKİYAT'!H2:H501)</f>
        <v/>
      </c>
      <c r="C19" s="1" t="n"/>
      <c r="D19" s="11" t="inlineStr">
        <is>
          <t>Negatif paketli stok</t>
        </is>
      </c>
      <c r="E19" s="10">
        <f>COUNTIF('24 2026 KÜTLE DENKLİĞİ'!J2:J501,"&lt;0")</f>
        <v/>
      </c>
      <c r="F19" s="1" t="n"/>
      <c r="G19" s="9" t="inlineStr">
        <is>
          <t>Açık aksiyon</t>
        </is>
      </c>
      <c r="H19" s="10">
        <f>COUNTIF('02 DENETİM KONTROL'!C2:C100,"AÇIK AKSİYON")</f>
        <v/>
      </c>
      <c r="I19" s="1" t="n"/>
      <c r="J19" s="1" t="n"/>
    </row>
    <row r="20" ht="28.25" customHeight="1">
      <c r="A20" s="1" t="n"/>
      <c r="B20" s="1" t="n"/>
      <c r="C20" s="1" t="n"/>
      <c r="D20" s="11" t="inlineStr">
        <is>
          <t>Toplam paketleme bakiyesi kg</t>
        </is>
      </c>
      <c r="E20" s="6">
        <f>SUMPRODUCT(IFERROR('24 2026 KÜTLE DENKLİĞİ'!H2:H501,0))</f>
        <v/>
      </c>
      <c r="F20" s="1" t="n"/>
      <c r="G20" s="9" t="inlineStr">
        <is>
          <t>Kontrollü belge gerekiyor</t>
        </is>
      </c>
      <c r="H20" s="10">
        <f>COUNTIF('02 DENETİM KONTROL'!C2:C100,"KONTROLLÜ BELGE GEREKİYOR")</f>
        <v/>
      </c>
      <c r="I20" s="1" t="n"/>
      <c r="J20" s="1" t="n"/>
    </row>
    <row r="21" ht="15" customHeight="1">
      <c r="A21" s="1" t="n"/>
      <c r="B21" s="1" t="n"/>
      <c r="C21" s="1" t="n"/>
      <c r="D21" s="1" t="n"/>
      <c r="E21" s="1" t="n"/>
      <c r="F21" s="1" t="n"/>
      <c r="G21" s="9" t="inlineStr">
        <is>
          <t>Revizyon kontrolü</t>
        </is>
      </c>
      <c r="H21" s="10">
        <f>COUNTIF('02 DENETİM KONTROL'!C2:C100,"REVİZYON KONTROLÜ")</f>
        <v/>
      </c>
      <c r="I21" s="1" t="n"/>
      <c r="J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28.25" customHeight="1">
      <c r="A23" s="1" t="n"/>
      <c r="B23" s="1" t="n"/>
      <c r="C23" s="1" t="n"/>
      <c r="D23" s="1" t="n"/>
      <c r="E23" s="1" t="n"/>
      <c r="F23" s="1" t="n"/>
      <c r="G23" s="10" t="inlineStr">
        <is>
          <t>REV.08 PAKETLEME KAYITLARI DOLU</t>
        </is>
      </c>
      <c r="H23" s="10" t="n"/>
      <c r="I23" s="1" t="n"/>
      <c r="J23" s="1" t="n"/>
    </row>
    <row r="24" ht="15" customHeight="1">
      <c r="A24" s="1" t="n"/>
      <c r="B24" s="1" t="n"/>
      <c r="C24" s="1" t="n"/>
      <c r="D24" s="1" t="n"/>
      <c r="E24" s="1" t="n"/>
      <c r="F24" s="1" t="n"/>
      <c r="G24" s="10" t="inlineStr">
        <is>
          <t>2026 üretim satırı</t>
        </is>
      </c>
      <c r="H24" s="10" t="n">
        <v>11</v>
      </c>
      <c r="I24" s="1" t="n"/>
      <c r="J24" s="1" t="n"/>
    </row>
    <row r="25" ht="15" customHeight="1">
      <c r="A25" s="1" t="n"/>
      <c r="B25" s="1" t="n"/>
      <c r="C25" s="1" t="n"/>
      <c r="D25" s="1" t="n"/>
      <c r="E25" s="1" t="n"/>
      <c r="F25" s="1" t="n"/>
      <c r="G25" s="10" t="inlineStr">
        <is>
          <t>2026 paketleme tarih satırı</t>
        </is>
      </c>
      <c r="H25" s="10" t="n">
        <v>11</v>
      </c>
      <c r="I25" s="1" t="n"/>
      <c r="J25" s="1" t="n"/>
    </row>
    <row r="26" ht="15" customHeight="1">
      <c r="A26" s="1" t="n"/>
      <c r="B26" s="1" t="n"/>
      <c r="C26" s="1" t="n"/>
      <c r="D26" s="1" t="n"/>
      <c r="E26" s="1" t="n"/>
      <c r="F26" s="1" t="n"/>
      <c r="G26" s="10" t="inlineStr">
        <is>
          <t>2026 sevkiyat satırı</t>
        </is>
      </c>
      <c r="H26" s="10" t="n">
        <v>7</v>
      </c>
      <c r="I26" s="1" t="n"/>
      <c r="J26" s="1" t="n"/>
    </row>
    <row r="27" ht="15" customHeight="1">
      <c r="A27" s="1" t="n"/>
      <c r="B27" s="1" t="n"/>
      <c r="C27" s="1" t="n"/>
      <c r="D27" s="1" t="n"/>
      <c r="E27" s="1" t="n"/>
      <c r="F27" s="1" t="n"/>
      <c r="G27" s="10" t="inlineStr">
        <is>
          <t>2026 lot bağı satırı</t>
        </is>
      </c>
      <c r="H27" s="10" t="n">
        <v>86</v>
      </c>
      <c r="I27" s="1" t="n"/>
      <c r="J27" s="1" t="n"/>
    </row>
    <row r="28" ht="28.25" customHeight="1">
      <c r="A28" s="1" t="n"/>
      <c r="B28" s="1" t="n"/>
      <c r="C28" s="1" t="n"/>
      <c r="D28" s="1" t="n"/>
      <c r="E28" s="1" t="n"/>
      <c r="F28" s="1" t="n"/>
      <c r="G28" s="10" t="inlineStr">
        <is>
          <t>Paketleme tarih kuralı</t>
        </is>
      </c>
      <c r="H28" s="10" t="inlineStr">
        <is>
          <t>Üretim tarihinden sonraki gün</t>
        </is>
      </c>
      <c r="I28" s="1" t="n"/>
      <c r="J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inlineStr">
        <is>
          <t>2026 dolu paketleme kaydı</t>
        </is>
      </c>
      <c r="H29" s="1" t="n">
        <v>11</v>
      </c>
      <c r="I29" s="1" t="n"/>
      <c r="J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10" defaultColWidth="8.83203125" defaultRowHeight="15"/>
  <cols>
    <col width="28" customWidth="1" min="1" max="1"/>
    <col width="15" customWidth="1" min="2" max="2"/>
    <col width="42" customWidth="1" min="3" max="3"/>
    <col width="65" customWidth="1" min="4" max="4"/>
  </cols>
  <sheetData>
    <row r="1" ht="15" customHeight="1">
      <c r="A1" s="26" t="inlineStr">
        <is>
          <t>Kayıt Grubu</t>
        </is>
      </c>
      <c r="B1" s="26" t="inlineStr">
        <is>
          <t>2025 / 2026</t>
        </is>
      </c>
      <c r="C1" s="26" t="inlineStr">
        <is>
          <t>Sistemdeki Durum</t>
        </is>
      </c>
      <c r="D1" s="26" t="inlineStr">
        <is>
          <t>Kontrol Notu</t>
        </is>
      </c>
    </row>
    <row r="2" ht="15" customHeight="1">
      <c r="A2" s="1" t="inlineStr">
        <is>
          <t>Üretim</t>
        </is>
      </c>
      <c r="B2" s="1" t="inlineStr">
        <is>
          <t>2026</t>
        </is>
      </c>
      <c r="C2" s="1" t="inlineStr">
        <is>
          <t>11 gerçek üretim kaydı konsolide</t>
        </is>
      </c>
      <c r="D2" s="1" t="inlineStr">
        <is>
          <t>14.01, 17.02 ve 15.04–23.06 kayıtları</t>
        </is>
      </c>
    </row>
    <row r="3" ht="15" customHeight="1">
      <c r="A3" s="1" t="inlineStr">
        <is>
          <t>Sevkiyat</t>
        </is>
      </c>
      <c r="B3" s="1" t="inlineStr">
        <is>
          <t>2026</t>
        </is>
      </c>
      <c r="C3" s="1" t="inlineStr">
        <is>
          <t>8 hareket konsolide</t>
        </is>
      </c>
      <c r="D3" s="1" t="inlineStr">
        <is>
          <t>File Market 2.880 paket 500 g dahil</t>
        </is>
      </c>
    </row>
    <row r="4" ht="15" customHeight="1">
      <c r="A4" s="1" t="inlineStr">
        <is>
          <t>Temizlik</t>
        </is>
      </c>
      <c r="B4" s="1" t="inlineStr">
        <is>
          <t>2026</t>
        </is>
      </c>
      <c r="C4" s="1" t="inlineStr">
        <is>
          <t>9 üretim sonrası kayıt konsolide</t>
        </is>
      </c>
      <c r="D4" s="1" t="inlineStr">
        <is>
          <t>15.04–23.06 lot bağlantılı</t>
        </is>
      </c>
    </row>
    <row r="5" ht="15" customHeight="1">
      <c r="A5" s="1" t="inlineStr">
        <is>
          <t>Lot İzlenebilirliği</t>
        </is>
      </c>
      <c r="B5" s="1" t="inlineStr">
        <is>
          <t>2026</t>
        </is>
      </c>
      <c r="C5" s="1" t="inlineStr">
        <is>
          <t>9 ürün lotu × 8 hammadde lotu konsolide</t>
        </is>
      </c>
      <c r="D5" s="1" t="inlineStr">
        <is>
          <t>270415–270623</t>
        </is>
      </c>
    </row>
    <row r="6" ht="15" customHeight="1">
      <c r="A6" s="1" t="inlineStr">
        <is>
          <t>Paketleme</t>
        </is>
      </c>
      <c r="B6" s="1" t="inlineStr">
        <is>
          <t>2026</t>
        </is>
      </c>
      <c r="C6" s="1" t="inlineStr">
        <is>
          <t>14.01 ve 17.02 kesin; diğerleri teyit gerektiriyor</t>
        </is>
      </c>
      <c r="D6" s="1" t="inlineStr">
        <is>
          <t>Teorik net ürün paketlenmiş ürün kabul edilmedi</t>
        </is>
      </c>
    </row>
    <row r="7" ht="15" customHeight="1">
      <c r="A7" s="1" t="inlineStr">
        <is>
          <t>2025 tarihsel dönem</t>
        </is>
      </c>
      <c r="B7" s="1" t="inlineStr">
        <is>
          <t>2025</t>
        </is>
      </c>
      <c r="C7" s="1" t="inlineStr">
        <is>
          <t>Ayrı sayfalarda korunuyor</t>
        </is>
      </c>
      <c r="D7" s="1" t="inlineStr">
        <is>
          <t>1 kg yalnızca tarihsel dönemde</t>
        </is>
      </c>
    </row>
    <row r="8" ht="15" customHeight="1">
      <c r="A8" s="1" t="inlineStr">
        <is>
          <t>Etiket aksiyonu</t>
        </is>
      </c>
      <c r="B8" s="1" t="inlineStr">
        <is>
          <t>2026</t>
        </is>
      </c>
      <c r="C8" s="1" t="inlineStr">
        <is>
          <t>Ana operasyon verisinden ayrı kontrollü aksiyon</t>
        </is>
      </c>
      <c r="D8" s="1" t="inlineStr">
        <is>
          <t>Nihai reçete/alerjen doğrulaması açık</t>
        </is>
      </c>
    </row>
    <row r="9" ht="15" customHeight="1">
      <c r="A9" s="3" t="inlineStr">
        <is>
          <t>Denetim çapraz taraması</t>
        </is>
      </c>
      <c r="B9" s="3" t="inlineStr">
        <is>
          <t>2025 / 2026</t>
        </is>
      </c>
      <c r="C9" s="3" t="inlineStr">
        <is>
          <t>Belge kontrol matrisi eklendi</t>
        </is>
      </c>
      <c r="D9" s="3" t="inlineStr">
        <is>
          <t>Taslak statüsü, 12000 Gauss, proses adımı, koruyucu ifadesi, etiket ve açık kayıtlar işaretlendi</t>
        </is>
      </c>
    </row>
    <row r="10" ht="15" customHeight="1">
      <c r="A10" s="3" t="inlineStr">
        <is>
          <t>Veri koruma kuralı</t>
        </is>
      </c>
      <c r="B10" s="3" t="inlineStr">
        <is>
          <t>TÜM DÖNEM</t>
        </is>
      </c>
      <c r="C10" s="3" t="inlineStr">
        <is>
          <t>Gerçek veri silinmeden revizyon</t>
        </is>
      </c>
      <c r="D10" s="3" t="inlineStr">
        <is>
          <t>Eksik bilgi varsa açık aksiyon; gerçekleşmemiş faaliyet geçmiş tarihli yapılmış gibi yazılmaz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38" customWidth="1" min="2" max="2"/>
    <col width="27" customWidth="1" min="3" max="3"/>
    <col width="48" customWidth="1" min="4" max="4"/>
    <col width="55" customWidth="1" min="5" max="5"/>
    <col width="24" customWidth="1" min="6" max="6"/>
  </cols>
  <sheetData>
    <row r="1" ht="28.25" customHeight="1">
      <c r="A1" s="12" t="inlineStr">
        <is>
          <t>Klasör</t>
        </is>
      </c>
      <c r="B1" s="12" t="inlineStr">
        <is>
          <t>Belge / Kayıt</t>
        </is>
      </c>
      <c r="C1" s="12" t="inlineStr">
        <is>
          <t>Durum</t>
        </is>
      </c>
      <c r="D1" s="12" t="inlineStr">
        <is>
          <t>Gerçek Veri / Kaynak</t>
        </is>
      </c>
      <c r="E1" s="12" t="inlineStr">
        <is>
          <t>Aksiyon</t>
        </is>
      </c>
      <c r="F1" s="12" t="inlineStr">
        <is>
          <t>Geçmişe Dönük Uydurma Kayıt?</t>
        </is>
      </c>
    </row>
    <row r="2" ht="15" customHeight="1">
      <c r="A2" s="1" t="inlineStr">
        <is>
          <t>01 HACCP</t>
        </is>
      </c>
      <c r="B2" s="1" t="inlineStr">
        <is>
          <t>HACCP Planı</t>
        </is>
      </c>
      <c r="C2" s="27" t="inlineStr">
        <is>
          <t>REVİZYON KONTROLÜ</t>
        </is>
      </c>
      <c r="D2" s="1" t="inlineStr">
        <is>
          <t>Mevcut taslak/çapraz kontrol</t>
        </is>
      </c>
      <c r="E2" s="1" t="inlineStr">
        <is>
          <t>12000 Gauss mıknatıs kontrolü ve proses adımları doğrulanacak</t>
        </is>
      </c>
      <c r="F2" s="1" t="inlineStr">
        <is>
          <t>HAYIR</t>
        </is>
      </c>
    </row>
    <row r="3" ht="15" customHeight="1">
      <c r="A3" s="1" t="inlineStr">
        <is>
          <t>01 HACCP</t>
        </is>
      </c>
      <c r="B3" s="1" t="inlineStr">
        <is>
          <t>Tehlike Analizi / CCP</t>
        </is>
      </c>
      <c r="C3" s="27" t="inlineStr">
        <is>
          <t>REVİZYON KONTROLÜ</t>
        </is>
      </c>
      <c r="D3" s="1" t="inlineStr">
        <is>
          <t>Mevcut taslak/çapraz kontrol</t>
        </is>
      </c>
      <c r="E3" s="1" t="inlineStr">
        <is>
          <t>Fiziksel tehlike ve mıknatıs kontrolü netleştirilecek</t>
        </is>
      </c>
      <c r="F3" s="1" t="inlineStr">
        <is>
          <t>HAYIR</t>
        </is>
      </c>
    </row>
    <row r="4" ht="15" customHeight="1">
      <c r="A4" s="1" t="inlineStr">
        <is>
          <t>01 HACCP</t>
        </is>
      </c>
      <c r="B4" s="1" t="inlineStr">
        <is>
          <t>Alerjen Yönetimi</t>
        </is>
      </c>
      <c r="C4" s="14" t="inlineStr">
        <is>
          <t>AÇIK AKSİYON</t>
        </is>
      </c>
      <c r="D4" s="1" t="inlineStr">
        <is>
          <t>Savour bileşeninde kereviz kaydı</t>
        </is>
      </c>
      <c r="E4" s="1" t="inlineStr">
        <is>
          <t>Nihai etiket/alerjen metni doğrulanacak</t>
        </is>
      </c>
      <c r="F4" s="1" t="inlineStr">
        <is>
          <t>HAYIR</t>
        </is>
      </c>
    </row>
    <row r="5" ht="15" customHeight="1">
      <c r="A5" s="1" t="inlineStr">
        <is>
          <t>02 Üretim</t>
        </is>
      </c>
      <c r="B5" s="1" t="inlineStr">
        <is>
          <t>2026 Üretim Kayıtları</t>
        </is>
      </c>
      <c r="C5" s="10" t="inlineStr">
        <is>
          <t>GERÇEK VERİ İŞLENDİ</t>
        </is>
      </c>
      <c r="D5" s="1" t="inlineStr">
        <is>
          <t>11 üretim kaydı</t>
        </is>
      </c>
      <c r="E5" s="1" t="inlineStr">
        <is>
          <t>Ana sistemde korunacak</t>
        </is>
      </c>
      <c r="F5" s="1" t="inlineStr">
        <is>
          <t>HAYIR</t>
        </is>
      </c>
    </row>
    <row r="6" ht="15" customHeight="1">
      <c r="A6" s="1" t="inlineStr">
        <is>
          <t>02 Üretim</t>
        </is>
      </c>
      <c r="B6" s="1" t="inlineStr">
        <is>
          <t>Lot İzlenebilirliği</t>
        </is>
      </c>
      <c r="C6" s="10" t="inlineStr">
        <is>
          <t>GERÇEK VERİ İŞLENDİ</t>
        </is>
      </c>
      <c r="D6" s="1" t="inlineStr">
        <is>
          <t>270415–270623 ürün lotları ve 8 hammadde lotu</t>
        </is>
      </c>
      <c r="E6" s="1" t="inlineStr">
        <is>
          <t>14.01 ve 17.02 lot bağı ayrıca mevcut kayıttan korunacak</t>
        </is>
      </c>
      <c r="F6" s="1" t="inlineStr">
        <is>
          <t>HAYIR</t>
        </is>
      </c>
    </row>
    <row r="7" ht="15" customHeight="1">
      <c r="A7" s="1" t="inlineStr">
        <is>
          <t>02 Üretim</t>
        </is>
      </c>
      <c r="B7" s="1" t="inlineStr">
        <is>
          <t>Fire Kayıtları</t>
        </is>
      </c>
      <c r="C7" s="10" t="inlineStr">
        <is>
          <t>GERÇEK VERİ İŞLENDİ</t>
        </is>
      </c>
      <c r="D7" s="1" t="inlineStr">
        <is>
          <t>Üretim fireleri</t>
        </is>
      </c>
      <c r="E7" s="1" t="inlineStr">
        <is>
          <t>Haziran sıcak hava/tepsileme nedenleri korunacak</t>
        </is>
      </c>
      <c r="F7" s="1" t="inlineStr">
        <is>
          <t>HAYIR</t>
        </is>
      </c>
    </row>
    <row r="8" ht="28.25" customHeight="1">
      <c r="A8" s="1" t="inlineStr">
        <is>
          <t>02 Üretim</t>
        </is>
      </c>
      <c r="B8" s="1" t="inlineStr">
        <is>
          <t>Kütle Denkliği</t>
        </is>
      </c>
      <c r="C8" s="27" t="inlineStr">
        <is>
          <t>KISMEN KAPALI</t>
        </is>
      </c>
      <c r="D8" s="1" t="inlineStr">
        <is>
          <t>14.01 ve 17.02 kesin paketleme</t>
        </is>
      </c>
      <c r="E8" s="1" t="inlineStr">
        <is>
          <t>Nisan–Haziran gerçek paketleme adetleri olmadan teorik net paketlenmiş sayılmayacak</t>
        </is>
      </c>
      <c r="F8" s="1" t="inlineStr">
        <is>
          <t>HAYIR</t>
        </is>
      </c>
    </row>
    <row r="9" ht="15" customHeight="1">
      <c r="A9" s="1" t="inlineStr">
        <is>
          <t>03 Kalite</t>
        </is>
      </c>
      <c r="B9" s="1" t="inlineStr">
        <is>
          <t>Son Ürün Spesifikasyonu</t>
        </is>
      </c>
      <c r="C9" s="27" t="inlineStr">
        <is>
          <t>KONTROLLÜ BELGE GEREKİYOR</t>
        </is>
      </c>
      <c r="D9" s="1" t="inlineStr">
        <is>
          <t>12 ay raf ömrü / -18°C</t>
        </is>
      </c>
      <c r="E9" s="1" t="inlineStr">
        <is>
          <t>Nihai revizyon kontrolü</t>
        </is>
      </c>
      <c r="F9" s="1" t="inlineStr">
        <is>
          <t>HAYIR</t>
        </is>
      </c>
    </row>
    <row r="10" ht="15" customHeight="1">
      <c r="A10" s="1" t="inlineStr">
        <is>
          <t>03 Kalite</t>
        </is>
      </c>
      <c r="B10" s="1" t="inlineStr">
        <is>
          <t>Proses Kalite Planı</t>
        </is>
      </c>
      <c r="C10" s="27" t="inlineStr">
        <is>
          <t>REVİZYON KONTROLÜ</t>
        </is>
      </c>
      <c r="D10" s="1" t="inlineStr">
        <is>
          <t>Mevcut çapraz kontrol bulgusu</t>
        </is>
      </c>
      <c r="E10" s="1" t="inlineStr">
        <is>
          <t>Kesme/ürün boyu adımı gerçek prosesle doğrulanacak</t>
        </is>
      </c>
      <c r="F10" s="1" t="inlineStr">
        <is>
          <t>HAYIR</t>
        </is>
      </c>
    </row>
    <row r="11" ht="15" customHeight="1">
      <c r="A11" s="1" t="inlineStr">
        <is>
          <t>04 Depo</t>
        </is>
      </c>
      <c r="B11" s="1" t="inlineStr">
        <is>
          <t>2025–2026 Hammadde Girişleri</t>
        </is>
      </c>
      <c r="C11" s="10" t="inlineStr">
        <is>
          <t>GERÇEK VERİ MEVCUT</t>
        </is>
      </c>
      <c r="D11" s="1" t="inlineStr">
        <is>
          <t>Kullanıcı lot ve alım beyanları + faturalar</t>
        </is>
      </c>
      <c r="E11" s="1" t="inlineStr">
        <is>
          <t>Ana depo kabul havuzunda konsolide edilecek</t>
        </is>
      </c>
      <c r="F11" s="1" t="inlineStr">
        <is>
          <t>HAYIR</t>
        </is>
      </c>
    </row>
    <row r="12" ht="28.25" customHeight="1">
      <c r="A12" s="1" t="inlineStr">
        <is>
          <t>04 Depo</t>
        </is>
      </c>
      <c r="B12" s="1" t="inlineStr">
        <is>
          <t>Onaylı Tedarikçi Listesi</t>
        </is>
      </c>
      <c r="C12" s="10" t="inlineStr">
        <is>
          <t>GERÇEK VERİ MEVCUT</t>
        </is>
      </c>
      <c r="D12" s="1" t="inlineStr">
        <is>
          <t>Satütaş, Değirmenci, Sizin Gıda, Ankara Gıda, Metro, IMCD</t>
        </is>
      </c>
      <c r="E12" s="1" t="inlineStr">
        <is>
          <t>Kontrollü listeye bağlanacak</t>
        </is>
      </c>
      <c r="F12" s="1" t="inlineStr">
        <is>
          <t>HAYIR</t>
        </is>
      </c>
    </row>
    <row r="13" ht="28.25" customHeight="1">
      <c r="A13" s="1" t="inlineStr">
        <is>
          <t>04 Depo</t>
        </is>
      </c>
      <c r="B13" s="1" t="inlineStr">
        <is>
          <t>Soğuk Oda Sıcaklık Takibi</t>
        </is>
      </c>
      <c r="C13" s="27" t="inlineStr">
        <is>
          <t>FORM / GÜNCEL KAYIT GEREKİYOR</t>
        </is>
      </c>
      <c r="D13" s="1" t="inlineStr">
        <is>
          <t>Depolama limiti -18°C</t>
        </is>
      </c>
      <c r="E13" s="1" t="inlineStr">
        <is>
          <t>Gerçek ölçümler günlük girilecek</t>
        </is>
      </c>
      <c r="F13" s="1" t="inlineStr">
        <is>
          <t>HAYIR</t>
        </is>
      </c>
    </row>
    <row r="14" ht="15" customHeight="1">
      <c r="A14" s="1" t="inlineStr">
        <is>
          <t>05 Temizlik</t>
        </is>
      </c>
      <c r="B14" s="1" t="inlineStr">
        <is>
          <t>Üretim Sonrası Temizlik</t>
        </is>
      </c>
      <c r="C14" s="10" t="inlineStr">
        <is>
          <t>GERÇEK VERİ İŞLENDİ</t>
        </is>
      </c>
      <c r="D14" s="1" t="inlineStr">
        <is>
          <t>9 lot bağlı kayıt</t>
        </is>
      </c>
      <c r="E14" s="1" t="inlineStr">
        <is>
          <t>15.04–23.06 kayıtları korunacak</t>
        </is>
      </c>
      <c r="F14" s="1" t="inlineStr">
        <is>
          <t>HAYIR</t>
        </is>
      </c>
    </row>
    <row r="15" ht="15" customHeight="1">
      <c r="A15" s="1" t="inlineStr">
        <is>
          <t>05 Temizlik</t>
        </is>
      </c>
      <c r="B15" s="1" t="inlineStr">
        <is>
          <t>Haftalık / Aylık Temizlik Planı</t>
        </is>
      </c>
      <c r="C15" s="27" t="inlineStr">
        <is>
          <t>KONTROLLÜ BELGE GEREKİYOR</t>
        </is>
      </c>
      <c r="D15" s="1" t="inlineStr">
        <is>
          <t>Denetim planında açık</t>
        </is>
      </c>
      <c r="E15" s="1" t="inlineStr">
        <is>
          <t>Plan ve boş devam satırları korunacak</t>
        </is>
      </c>
      <c r="F15" s="1" t="inlineStr">
        <is>
          <t>HAYIR</t>
        </is>
      </c>
    </row>
    <row r="16" ht="15" customHeight="1">
      <c r="A16" s="1" t="inlineStr">
        <is>
          <t>05 Temizlik</t>
        </is>
      </c>
      <c r="B16" s="1" t="inlineStr">
        <is>
          <t>Kimyasal Listesi</t>
        </is>
      </c>
      <c r="C16" s="27" t="inlineStr">
        <is>
          <t>VERİ MEVCUT / KONTROL</t>
        </is>
      </c>
      <c r="D16" s="1" t="inlineStr">
        <is>
          <t>ARO marka deterjan beyanı</t>
        </is>
      </c>
      <c r="E16" s="1" t="inlineStr">
        <is>
          <t>Ürün tipi ve kullanım talimatı etiketten doğrulanacak</t>
        </is>
      </c>
      <c r="F16" s="1" t="inlineStr">
        <is>
          <t>HAYIR</t>
        </is>
      </c>
    </row>
    <row r="17" ht="15" customHeight="1">
      <c r="A17" s="1" t="inlineStr">
        <is>
          <t>05 Hijyen</t>
        </is>
      </c>
      <c r="B17" s="1" t="inlineStr">
        <is>
          <t>Personel Hijyen Formu</t>
        </is>
      </c>
      <c r="C17" s="27" t="inlineStr">
        <is>
          <t>KONTROLLÜ BELGE GEREKİYOR</t>
        </is>
      </c>
      <c r="D17" s="1" t="inlineStr">
        <is>
          <t>Fatih Ayaz / Eda Ayaz</t>
        </is>
      </c>
      <c r="E17" s="1" t="inlineStr">
        <is>
          <t>Gerçek kontrol tarihinde doldurulacak</t>
        </is>
      </c>
      <c r="F17" s="1" t="inlineStr">
        <is>
          <t>HAYIR</t>
        </is>
      </c>
    </row>
    <row r="18" ht="15" customHeight="1">
      <c r="A18" s="1" t="inlineStr">
        <is>
          <t>06 Eğitim</t>
        </is>
      </c>
      <c r="B18" s="1" t="inlineStr">
        <is>
          <t>Yıllık Eğitim Planı / Katılım</t>
        </is>
      </c>
      <c r="C18" s="27" t="inlineStr">
        <is>
          <t>KONTROLLÜ BELGE GEREKİYOR</t>
        </is>
      </c>
      <c r="D18" s="1" t="inlineStr">
        <is>
          <t>Denetim planında açık</t>
        </is>
      </c>
      <c r="E18" s="1" t="inlineStr">
        <is>
          <t>Gerçek eğitim tarihleriyle kayıt</t>
        </is>
      </c>
      <c r="F18" s="1" t="inlineStr">
        <is>
          <t>HAYIR</t>
        </is>
      </c>
    </row>
    <row r="19" ht="15" customHeight="1">
      <c r="A19" s="1" t="inlineStr">
        <is>
          <t>06 Personel</t>
        </is>
      </c>
      <c r="B19" s="1" t="inlineStr">
        <is>
          <t>Ziyaretçi Giriş / Hijyen</t>
        </is>
      </c>
      <c r="C19" s="27" t="inlineStr">
        <is>
          <t>KONTROLLÜ BELGE GEREKİYOR</t>
        </is>
      </c>
      <c r="D19" s="1" t="inlineStr">
        <is>
          <t>Denetim planında açık</t>
        </is>
      </c>
      <c r="E19" s="1" t="inlineStr">
        <is>
          <t>Boş kontrollü form kullanılacak</t>
        </is>
      </c>
      <c r="F19" s="1" t="inlineStr">
        <is>
          <t>HAYIR</t>
        </is>
      </c>
    </row>
    <row r="20" ht="15" customHeight="1">
      <c r="A20" s="1" t="inlineStr">
        <is>
          <t>07 Sevkiyat</t>
        </is>
      </c>
      <c r="B20" s="1" t="inlineStr">
        <is>
          <t>File Market 18.05.2026</t>
        </is>
      </c>
      <c r="C20" s="10" t="inlineStr">
        <is>
          <t>GERÇEK VERİ İŞLENDİ</t>
        </is>
      </c>
      <c r="D20" s="1" t="inlineStr">
        <is>
          <t>2.880 paket / 500 g / 1.440 kg</t>
        </is>
      </c>
      <c r="E20" s="1" t="inlineStr">
        <is>
          <t>Lot dağılımı teyidi açık</t>
        </is>
      </c>
      <c r="F20" s="1" t="inlineStr">
        <is>
          <t>HAYIR</t>
        </is>
      </c>
    </row>
    <row r="21" ht="15" customHeight="1">
      <c r="A21" s="1" t="inlineStr">
        <is>
          <t>07 Sevkiyat</t>
        </is>
      </c>
      <c r="B21" s="1" t="inlineStr">
        <is>
          <t>Samsun Terme 04.06.2026</t>
        </is>
      </c>
      <c r="C21" s="10" t="inlineStr">
        <is>
          <t>GERÇEK VERİ İŞLENDİ</t>
        </is>
      </c>
      <c r="D21" s="1" t="inlineStr">
        <is>
          <t>114 kg / 2,5 kg</t>
        </is>
      </c>
      <c r="E21" s="1" t="inlineStr">
        <is>
          <t>Paket/lot dağılımı teyidi açık</t>
        </is>
      </c>
      <c r="F21" s="1" t="inlineStr">
        <is>
          <t>HAYIR</t>
        </is>
      </c>
    </row>
    <row r="22" ht="15" customHeight="1">
      <c r="A22" s="1" t="inlineStr">
        <is>
          <t>07 Sevkiyat</t>
        </is>
      </c>
      <c r="B22" s="1" t="inlineStr">
        <is>
          <t>Şehzade 24.06.2026</t>
        </is>
      </c>
      <c r="C22" s="10" t="inlineStr">
        <is>
          <t>GERÇEK VERİ İŞLENDİ</t>
        </is>
      </c>
      <c r="D22" s="1" t="inlineStr">
        <is>
          <t>672 paket / 500 g / 336 kg</t>
        </is>
      </c>
      <c r="E22" s="1" t="inlineStr">
        <is>
          <t>Lot dağılımı teyidi açık</t>
        </is>
      </c>
      <c r="F22" s="1" t="inlineStr">
        <is>
          <t>HAYIR</t>
        </is>
      </c>
    </row>
    <row r="23" ht="15" customHeight="1">
      <c r="A23" s="1" t="inlineStr">
        <is>
          <t>07 Sevkiyat</t>
        </is>
      </c>
      <c r="B23" s="1" t="inlineStr">
        <is>
          <t>Araç Sevkiyat Kontrol Formu</t>
        </is>
      </c>
      <c r="C23" s="27" t="inlineStr">
        <is>
          <t>KONTROLLÜ BELGE GEREKİYOR</t>
        </is>
      </c>
      <c r="D23" s="1" t="inlineStr">
        <is>
          <t>Araç/plaka kayıtları mevcut olan sevkler var</t>
        </is>
      </c>
      <c r="E23" s="1" t="inlineStr">
        <is>
          <t>Gerçek sevklerde doldurulacak</t>
        </is>
      </c>
      <c r="F23" s="1" t="inlineStr">
        <is>
          <t>HAYIR</t>
        </is>
      </c>
    </row>
    <row r="24" ht="15" customHeight="1">
      <c r="A24" s="1" t="inlineStr">
        <is>
          <t>08 DÖF</t>
        </is>
      </c>
      <c r="B24" s="1" t="inlineStr">
        <is>
          <t>DÖF Formu / Takip</t>
        </is>
      </c>
      <c r="C24" s="27" t="inlineStr">
        <is>
          <t>KONTROLLÜ BELGE GEREKİYOR</t>
        </is>
      </c>
      <c r="D24" s="1" t="inlineStr">
        <is>
          <t>Etiket ve çapraz kontrol bulguları mevcut</t>
        </is>
      </c>
      <c r="E24" s="1" t="inlineStr">
        <is>
          <t>Açık aksiyonlar DÖF mantığında izlenecek</t>
        </is>
      </c>
      <c r="F24" s="1" t="inlineStr">
        <is>
          <t>HAYIR</t>
        </is>
      </c>
    </row>
    <row r="25" ht="15" customHeight="1">
      <c r="A25" s="1" t="inlineStr">
        <is>
          <t>08 İç Tetkik</t>
        </is>
      </c>
      <c r="B25" s="1" t="inlineStr">
        <is>
          <t>İç Tetkik Planı / Rapor</t>
        </is>
      </c>
      <c r="C25" s="27" t="inlineStr">
        <is>
          <t>REVİZYON KONTROLÜ</t>
        </is>
      </c>
      <c r="D25" s="1" t="inlineStr">
        <is>
          <t>Mevcut taslak ve sonuç notu</t>
        </is>
      </c>
      <c r="E25" s="1" t="inlineStr">
        <is>
          <t>Taslak statüleri kapatılmadan nihai sayılmayacak</t>
        </is>
      </c>
      <c r="F25" s="1" t="inlineStr">
        <is>
          <t>HAYIR</t>
        </is>
      </c>
    </row>
    <row r="26" ht="15" customHeight="1">
      <c r="A26" s="1" t="inlineStr">
        <is>
          <t>09 Denetim</t>
        </is>
      </c>
      <c r="B26" s="1" t="inlineStr">
        <is>
          <t>Belge İndeksi / Hazırlık Listesi</t>
        </is>
      </c>
      <c r="C26" s="27" t="inlineStr">
        <is>
          <t>KONTROLLÜ BELGE GEREKİYOR</t>
        </is>
      </c>
      <c r="D26" s="1" t="inlineStr">
        <is>
          <t>Ana klasör planı mevcut</t>
        </is>
      </c>
      <c r="E26" s="1" t="inlineStr">
        <is>
          <t>Son dosya setine göre otomatik güncellenecek</t>
        </is>
      </c>
      <c r="F26" s="1" t="inlineStr">
        <is>
          <t>HAYIR</t>
        </is>
      </c>
    </row>
    <row r="27" ht="15" customHeight="1">
      <c r="A27" s="1" t="inlineStr">
        <is>
          <t>Haşere</t>
        </is>
      </c>
      <c r="B27" s="1" t="inlineStr">
        <is>
          <t>İlaçlama</t>
        </is>
      </c>
      <c r="C27" s="27" t="inlineStr">
        <is>
          <t>GERÇEK VERİ BEYANI</t>
        </is>
      </c>
      <c r="D27" s="1" t="inlineStr">
        <is>
          <t>Postallı İlaçlama; son 22.04.2026</t>
        </is>
      </c>
      <c r="E27" s="1" t="inlineStr">
        <is>
          <t>Yeni servis gerçekleşince gerçek tarih ve servis belgesi eklenecek</t>
        </is>
      </c>
      <c r="F27" s="1" t="inlineStr">
        <is>
          <t>HAYIR</t>
        </is>
      </c>
    </row>
    <row r="28" ht="15" customHeight="1">
      <c r="A28" s="1" t="inlineStr">
        <is>
          <t>Etiket</t>
        </is>
      </c>
      <c r="B28" s="1" t="inlineStr">
        <is>
          <t>500 g etiket uygunluk aksiyonu</t>
        </is>
      </c>
      <c r="C28" s="14" t="inlineStr">
        <is>
          <t>AÇIK AKSİYON</t>
        </is>
      </c>
      <c r="D28" s="1" t="inlineStr">
        <is>
          <t>Yaklaşık 5.000 etiket; reçete/alerjen kontrolü</t>
        </is>
      </c>
      <c r="E28" s="1" t="inlineStr">
        <is>
          <t>Yeni baskı öncesi nihai içerik doğrulaması</t>
        </is>
      </c>
      <c r="F28" s="1" t="inlineStr">
        <is>
          <t>HAYIR</t>
        </is>
      </c>
    </row>
  </sheetData>
  <autoFilter ref="A1:F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0" customWidth="1" min="1" max="1"/>
    <col width="32" customWidth="1" min="2" max="2"/>
    <col width="34" customWidth="1" min="3" max="3"/>
    <col width="16" customWidth="1" min="4" max="4"/>
    <col width="45" customWidth="1" min="5" max="5"/>
  </cols>
  <sheetData>
    <row r="1" ht="15" customHeight="1">
      <c r="A1" s="15" t="inlineStr">
        <is>
          <t>KONTROL</t>
        </is>
      </c>
      <c r="B1" s="15" t="inlineStr">
        <is>
          <t>KAYNAK</t>
        </is>
      </c>
      <c r="C1" s="15" t="inlineStr">
        <is>
          <t>ANA SİSTEM</t>
        </is>
      </c>
      <c r="D1" s="15" t="inlineStr">
        <is>
          <t>SONUÇ</t>
        </is>
      </c>
      <c r="E1" s="15" t="inlineStr">
        <is>
          <t>NOT</t>
        </is>
      </c>
    </row>
    <row r="2" ht="15" customHeight="1">
      <c r="A2" s="3" t="inlineStr">
        <is>
          <t>2026 Ocak-Şubat üretim</t>
        </is>
      </c>
      <c r="B2" s="3" t="inlineStr">
        <is>
          <t>FR-GV-001: 2 satır</t>
        </is>
      </c>
      <c r="C2" s="3" t="inlineStr">
        <is>
          <t>21 2026 ÜRETİM: 2 satır</t>
        </is>
      </c>
      <c r="D2" s="3" t="inlineStr">
        <is>
          <t>EŞLEŞTİ</t>
        </is>
      </c>
      <c r="E2" s="3" t="inlineStr">
        <is>
          <t>14.01 ve 17.02 geri eklendi</t>
        </is>
      </c>
    </row>
    <row r="3" ht="15" customHeight="1">
      <c r="A3" s="3" t="inlineStr">
        <is>
          <t>2026 Nisan-Haziran üretim</t>
        </is>
      </c>
      <c r="B3" s="3" t="inlineStr">
        <is>
          <t>Gerçek kayıt: 9 satır</t>
        </is>
      </c>
      <c r="C3" s="3" t="inlineStr">
        <is>
          <t>21 2026 ÜRETİM: 9 satır</t>
        </is>
      </c>
      <c r="D3" s="3" t="inlineStr">
        <is>
          <t>EŞLEŞTİ</t>
        </is>
      </c>
      <c r="E3" s="3" t="inlineStr">
        <is>
          <t>15.04–23.06</t>
        </is>
      </c>
    </row>
    <row r="4" ht="15" customHeight="1">
      <c r="A4" s="3" t="inlineStr">
        <is>
          <t>2026 paketleme kesin kayıt</t>
        </is>
      </c>
      <c r="B4" s="3" t="inlineStr">
        <is>
          <t>FR-GV-001: 2 satır</t>
        </is>
      </c>
      <c r="C4" s="3" t="inlineStr">
        <is>
          <t>22 2026 PAKETLEME: 2 kesin satır</t>
        </is>
      </c>
      <c r="D4" s="3" t="inlineStr">
        <is>
          <t>EŞLEŞTİ</t>
        </is>
      </c>
      <c r="E4" s="3" t="inlineStr">
        <is>
          <t>Ocak-Şubat</t>
        </is>
      </c>
    </row>
    <row r="5" ht="15" customHeight="1">
      <c r="A5" s="3" t="inlineStr">
        <is>
          <t>2026 sevkiyat Ocak-Mart</t>
        </is>
      </c>
      <c r="B5" s="3" t="inlineStr">
        <is>
          <t>FR-GV-001: 4 satır</t>
        </is>
      </c>
      <c r="C5" s="3" t="inlineStr">
        <is>
          <t>23 2026 SEVKİYAT: 4 satır</t>
        </is>
      </c>
      <c r="D5" s="3" t="inlineStr">
        <is>
          <t>EŞLEŞTİ</t>
        </is>
      </c>
      <c r="E5" s="3" t="inlineStr">
        <is>
          <t>1 sevk tarihi açık</t>
        </is>
      </c>
    </row>
    <row r="6" ht="15" customHeight="1">
      <c r="A6" s="3" t="inlineStr">
        <is>
          <t>2026 sevkiyat Mayıs-Haziran</t>
        </is>
      </c>
      <c r="B6" s="3" t="inlineStr">
        <is>
          <t>Gerçek kayıt: 3 satır</t>
        </is>
      </c>
      <c r="C6" s="3" t="inlineStr">
        <is>
          <t>23 2026 SEVKİYAT: 3 satır</t>
        </is>
      </c>
      <c r="D6" s="3" t="inlineStr">
        <is>
          <t>EŞLEŞTİ</t>
        </is>
      </c>
      <c r="E6" s="3" t="inlineStr">
        <is>
          <t>File/Samsun/Şehzade</t>
        </is>
      </c>
    </row>
    <row r="7" ht="15" customHeight="1">
      <c r="A7" s="3" t="inlineStr">
        <is>
          <t>File Market paket</t>
        </is>
      </c>
      <c r="B7" s="3" t="inlineStr">
        <is>
          <t>2.880 paket / 1.440 kg</t>
        </is>
      </c>
      <c r="C7" s="3" t="inlineStr">
        <is>
          <t>2.880 paket / 1.440 kg</t>
        </is>
      </c>
      <c r="D7" s="3" t="inlineStr">
        <is>
          <t>EŞLEŞTİ</t>
        </is>
      </c>
      <c r="E7" s="3" t="inlineStr">
        <is>
          <t>500 g</t>
        </is>
      </c>
    </row>
    <row r="8" ht="15" customHeight="1">
      <c r="A8" s="3" t="inlineStr">
        <is>
          <t>Samsun Terme</t>
        </is>
      </c>
      <c r="B8" s="3" t="inlineStr">
        <is>
          <t>114 kg / paket adedi teyitsiz</t>
        </is>
      </c>
      <c r="C8" s="3" t="inlineStr">
        <is>
          <t>114 kg / paket adedi TEYİT</t>
        </is>
      </c>
      <c r="D8" s="3" t="inlineStr">
        <is>
          <t>EŞLEŞTİ</t>
        </is>
      </c>
      <c r="E8" s="3" t="inlineStr">
        <is>
          <t>45,6 paket hatası kaldırıldı</t>
        </is>
      </c>
    </row>
    <row r="9" ht="15" customHeight="1">
      <c r="A9" s="3" t="inlineStr">
        <is>
          <t>2026 lot bağı</t>
        </is>
      </c>
      <c r="B9" s="3" t="inlineStr">
        <is>
          <t>Ocak-Şubat + Nisan-Haziran</t>
        </is>
      </c>
      <c r="C9" s="3" t="inlineStr">
        <is>
          <t>Tüm 11 üretim tarihi bağlı</t>
        </is>
      </c>
      <c r="D9" s="3" t="inlineStr">
        <is>
          <t>EŞLEŞTİ</t>
        </is>
      </c>
      <c r="E9" s="3" t="inlineStr">
        <is>
          <t>Lot satırları birleştirildi</t>
        </is>
      </c>
    </row>
    <row r="10" ht="15" customHeight="1">
      <c r="A10" s="3" t="inlineStr">
        <is>
          <t>2026 üretim/paketleme tarih kuralı</t>
        </is>
      </c>
      <c r="B10" s="3" t="inlineStr">
        <is>
          <t>Her üretim +1 gün</t>
        </is>
      </c>
      <c r="C10" s="3" t="inlineStr">
        <is>
          <t>11 üretim / 11 paketleme tarihi</t>
        </is>
      </c>
      <c r="D10" s="3" t="inlineStr">
        <is>
          <t>EŞLEŞTİ</t>
        </is>
      </c>
      <c r="E10" s="3" t="inlineStr">
        <is>
          <t>Gündüz paketleme, akşam yeni üretim yapılabilir; kayıtlar üretim lotuna göre bağlı</t>
        </is>
      </c>
    </row>
    <row r="11" ht="15" customHeight="1">
      <c r="A11" s="3" t="inlineStr">
        <is>
          <t>Paket adedi veri kuralı</t>
        </is>
      </c>
      <c r="B11" s="3" t="inlineStr">
        <is>
          <t>Kesin kayıt varsa doldur</t>
        </is>
      </c>
      <c r="C11" s="3" t="inlineStr">
        <is>
          <t>Teyitsiz adet boş</t>
        </is>
      </c>
      <c r="D11" s="3" t="inlineStr">
        <is>
          <t>EŞLEŞTİ</t>
        </is>
      </c>
      <c r="E11" s="3" t="inlineStr">
        <is>
          <t>Paketleme tarihi oluşturuldu; paket adetleri uydurulmadı</t>
        </is>
      </c>
    </row>
    <row r="12" ht="15" customHeight="1">
      <c r="A12" s="3" t="inlineStr">
        <is>
          <t>2026 paketleme ambalaj kaydı</t>
        </is>
      </c>
      <c r="B12" s="3" t="inlineStr">
        <is>
          <t>Önceki kayıtlarla dolduruldu</t>
        </is>
      </c>
      <c r="C12" s="3" t="inlineStr">
        <is>
          <t>Ocak-Şubat karma; Nisan-Haziran 500 g</t>
        </is>
      </c>
      <c r="D12" s="3" t="inlineStr">
        <is>
          <t>EŞLEŞTİ</t>
        </is>
      </c>
      <c r="E12" s="3" t="inlineStr">
        <is>
          <t>Üretim kayıtlarındaki ambalaj bilgisi paketleme sayfasına aktarıldı; boş teyit satırları kaldırıldı.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10" defaultColWidth="8.83203125" defaultRowHeight="15"/>
  <sheetData>
    <row r="1" ht="15" customHeight="1">
      <c r="A1" s="15" t="inlineStr">
        <is>
          <t>Hammadde</t>
        </is>
      </c>
      <c r="B1" s="15" t="inlineStr">
        <is>
          <t>Varsayılan Tedarikçi</t>
        </is>
      </c>
      <c r="C1" s="15" t="inlineStr">
        <is>
          <t>Birim</t>
        </is>
      </c>
      <c r="D1" s="15" t="n"/>
      <c r="E1" s="15" t="inlineStr">
        <is>
          <t>Ambalaj</t>
        </is>
      </c>
      <c r="F1" s="15" t="n"/>
      <c r="G1" s="15" t="inlineStr">
        <is>
          <t>Durum</t>
        </is>
      </c>
      <c r="H1" s="15" t="n"/>
      <c r="I1" s="15" t="inlineStr">
        <is>
          <t>Temizlik Durumu</t>
        </is>
      </c>
    </row>
    <row r="2" ht="15" customHeight="1">
      <c r="A2" s="3" t="inlineStr">
        <is>
          <t>Patates unu</t>
        </is>
      </c>
      <c r="B2" s="3" t="inlineStr">
        <is>
          <t>Satütaş</t>
        </is>
      </c>
      <c r="C2" s="3" t="inlineStr">
        <is>
          <t>kg</t>
        </is>
      </c>
      <c r="D2" s="3" t="n"/>
      <c r="E2" s="3" t="inlineStr">
        <is>
          <t>500 g</t>
        </is>
      </c>
      <c r="F2" s="3" t="n"/>
      <c r="G2" s="3" t="inlineStr">
        <is>
          <t>KABUL</t>
        </is>
      </c>
      <c r="H2" s="3" t="n"/>
      <c r="I2" s="3" t="inlineStr">
        <is>
          <t>Tamamlandı</t>
        </is>
      </c>
    </row>
    <row r="3" ht="15" customHeight="1">
      <c r="A3" s="3" t="inlineStr">
        <is>
          <t>Mısır nişastası</t>
        </is>
      </c>
      <c r="B3" s="3" t="inlineStr">
        <is>
          <t>Değirmenci Gıda</t>
        </is>
      </c>
      <c r="C3" s="3" t="inlineStr">
        <is>
          <t>kg</t>
        </is>
      </c>
      <c r="D3" s="3" t="n"/>
      <c r="E3" s="3" t="inlineStr">
        <is>
          <t>2,5 kg</t>
        </is>
      </c>
      <c r="F3" s="3" t="n"/>
      <c r="G3" s="3" t="inlineStr">
        <is>
          <t>ŞARTLI KABUL</t>
        </is>
      </c>
      <c r="H3" s="3" t="n"/>
      <c r="I3" s="3" t="inlineStr">
        <is>
          <t>Açık</t>
        </is>
      </c>
    </row>
    <row r="4" ht="15" customHeight="1">
      <c r="A4" s="3" t="inlineStr">
        <is>
          <t>Tat mısır unu</t>
        </is>
      </c>
      <c r="B4" s="3" t="inlineStr">
        <is>
          <t>Sizin Gıda</t>
        </is>
      </c>
      <c r="C4" s="3" t="inlineStr">
        <is>
          <t>kg</t>
        </is>
      </c>
      <c r="D4" s="3" t="n"/>
      <c r="E4" s="3" t="n"/>
      <c r="F4" s="3" t="n"/>
      <c r="G4" s="3" t="inlineStr">
        <is>
          <t>RED</t>
        </is>
      </c>
      <c r="H4" s="3" t="n"/>
      <c r="I4" s="3" t="n"/>
    </row>
    <row r="5" ht="15" customHeight="1">
      <c r="A5" s="3" t="inlineStr">
        <is>
          <t>Savour tavuk çeşnisi</t>
        </is>
      </c>
      <c r="B5" s="3" t="inlineStr">
        <is>
          <t>Ankara Gıda</t>
        </is>
      </c>
      <c r="C5" s="3" t="inlineStr">
        <is>
          <t>kg</t>
        </is>
      </c>
      <c r="D5" s="3" t="n"/>
      <c r="E5" s="3" t="n"/>
      <c r="F5" s="3" t="n"/>
      <c r="G5" s="3" t="n"/>
      <c r="H5" s="3" t="n"/>
      <c r="I5" s="3" t="n"/>
    </row>
    <row r="6" ht="15" customHeight="1">
      <c r="A6" s="3" t="inlineStr">
        <is>
          <t>Sarımsak tozu</t>
        </is>
      </c>
      <c r="B6" s="3" t="inlineStr">
        <is>
          <t>Sizin Gıda</t>
        </is>
      </c>
      <c r="C6" s="3" t="inlineStr">
        <is>
          <t>kg</t>
        </is>
      </c>
      <c r="D6" s="3" t="n"/>
      <c r="E6" s="3" t="n"/>
      <c r="F6" s="3" t="n"/>
      <c r="G6" s="3" t="n"/>
      <c r="H6" s="3" t="n"/>
      <c r="I6" s="3" t="n"/>
    </row>
    <row r="7" ht="15" customHeight="1">
      <c r="A7" s="3" t="inlineStr">
        <is>
          <t>Karabiber</t>
        </is>
      </c>
      <c r="B7" s="3" t="inlineStr">
        <is>
          <t>Metro Market</t>
        </is>
      </c>
      <c r="C7" s="3" t="inlineStr">
        <is>
          <t>kg</t>
        </is>
      </c>
      <c r="D7" s="3" t="n"/>
      <c r="E7" s="3" t="n"/>
      <c r="F7" s="3" t="n"/>
      <c r="G7" s="3" t="n"/>
      <c r="H7" s="3" t="n"/>
      <c r="I7" s="3" t="n"/>
    </row>
    <row r="8" ht="15" customHeight="1">
      <c r="A8" s="3" t="inlineStr">
        <is>
          <t>Tuz</t>
        </is>
      </c>
      <c r="B8" s="3" t="inlineStr">
        <is>
          <t>Sizin Gıda</t>
        </is>
      </c>
      <c r="C8" s="3" t="inlineStr">
        <is>
          <t>kg</t>
        </is>
      </c>
      <c r="D8" s="3" t="n"/>
      <c r="E8" s="3" t="n"/>
      <c r="F8" s="3" t="n"/>
      <c r="G8" s="3" t="n"/>
      <c r="H8" s="3" t="n"/>
      <c r="I8" s="3" t="n"/>
    </row>
    <row r="9" ht="15" customHeight="1">
      <c r="A9" s="3" t="inlineStr">
        <is>
          <t>BENECEL A4M</t>
        </is>
      </c>
      <c r="B9" s="3" t="inlineStr">
        <is>
          <t>IMCD Türkiye</t>
        </is>
      </c>
      <c r="C9" s="3" t="inlineStr">
        <is>
          <t>kg</t>
        </is>
      </c>
      <c r="D9" s="3" t="n"/>
      <c r="E9" s="3" t="n"/>
      <c r="F9" s="3" t="n"/>
      <c r="G9" s="3" t="n"/>
      <c r="H9" s="3" t="n"/>
      <c r="I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38" customWidth="1" min="1" max="1"/>
    <col width="18" customWidth="1" min="2" max="2"/>
    <col width="95" customWidth="1" min="3" max="3"/>
  </cols>
  <sheetData>
    <row r="1">
      <c r="A1" s="16" t="inlineStr">
        <is>
          <t>Kontrol</t>
        </is>
      </c>
      <c r="B1" s="16" t="inlineStr">
        <is>
          <t>Sonuç</t>
        </is>
      </c>
      <c r="C1" s="16" t="inlineStr">
        <is>
          <t>Açıklama</t>
        </is>
      </c>
    </row>
    <row r="2">
      <c r="A2" s="3" t="inlineStr">
        <is>
          <t>Formül referans hatası</t>
        </is>
      </c>
      <c r="B2" s="3" t="inlineStr">
        <is>
          <t>UYGUN</t>
        </is>
      </c>
      <c r="C2" s="3" t="inlineStr">
        <is>
          <t>0 hata</t>
        </is>
      </c>
    </row>
    <row r="3">
      <c r="A3" s="3" t="inlineStr">
        <is>
          <t>Eski sayfa adına bağlı formül</t>
        </is>
      </c>
      <c r="B3" s="3" t="inlineStr">
        <is>
          <t>UYGUN</t>
        </is>
      </c>
      <c r="C3" s="3" t="inlineStr">
        <is>
          <t>0 eski referans</t>
        </is>
      </c>
    </row>
    <row r="4">
      <c r="A4" s="3" t="inlineStr">
        <is>
          <t>502+ sabit veri bloğu</t>
        </is>
      </c>
      <c r="B4" s="3" t="inlineStr">
        <is>
          <t>UYGUN</t>
        </is>
      </c>
      <c r="C4" s="3" t="inlineStr">
        <is>
          <t>Mükerrer alt veri bloğu yok</t>
        </is>
      </c>
    </row>
    <row r="5">
      <c r="A5" s="3" t="inlineStr">
        <is>
          <t>Birebir aynı satır tekrarı</t>
        </is>
      </c>
      <c r="B5" s="3" t="inlineStr">
        <is>
          <t>UYGUN</t>
        </is>
      </c>
      <c r="C5" s="3" t="inlineStr">
        <is>
          <t>0 satır; boş/formül şablonları hariç</t>
        </is>
      </c>
    </row>
    <row r="6">
      <c r="A6" s="3" t="inlineStr">
        <is>
          <t>Paketleme ertesi gün kontrolü</t>
        </is>
      </c>
      <c r="B6" s="3" t="inlineStr">
        <is>
          <t>UYGUN</t>
        </is>
      </c>
      <c r="C6" s="3" t="inlineStr">
        <is>
          <t>0 tarih sapması</t>
        </is>
      </c>
    </row>
    <row r="7">
      <c r="A7" s="3" t="inlineStr">
        <is>
          <t>Sevkiyat aynı kimlikte tekrar</t>
        </is>
      </c>
      <c r="B7" s="3" t="inlineStr">
        <is>
          <t>UYGUN</t>
        </is>
      </c>
      <c r="C7" s="3" t="inlineStr">
        <is>
          <t>{}</t>
        </is>
      </c>
    </row>
    <row r="8">
      <c r="A8" s="3" t="inlineStr">
        <is>
          <t>2025 dönem yapısı</t>
        </is>
      </c>
      <c r="B8" s="3" t="inlineStr">
        <is>
          <t>KORUNDU</t>
        </is>
      </c>
      <c r="C8" s="3" t="inlineStr">
        <is>
          <t>Kapanmış tarihsel kayıt sekmeleri değiştirilmedi</t>
        </is>
      </c>
    </row>
    <row r="9">
      <c r="A9" s="3" t="inlineStr">
        <is>
          <t>2026 operasyon sırası</t>
        </is>
      </c>
      <c r="B9" s="3" t="inlineStr">
        <is>
          <t>UYGUN</t>
        </is>
      </c>
      <c r="C9" s="3" t="inlineStr">
        <is>
          <t>Depo Kabul → Üretim → Paketleme → Sevkiyat → Kütle Denkliği → Lot Bağı → Temizlik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10" defaultColWidth="8.83203125" defaultRowHeight="15"/>
  <sheetData>
    <row r="1">
      <c r="A1" s="3" t="inlineStr">
        <is>
          <t>Patates unu</t>
        </is>
      </c>
      <c r="B1" s="3" t="inlineStr">
        <is>
          <t>Mısır nişastası</t>
        </is>
      </c>
      <c r="C1" s="3" t="inlineStr">
        <is>
          <t>Tat mısır unu</t>
        </is>
      </c>
      <c r="D1" s="3" t="inlineStr">
        <is>
          <t>Savour tavuk çeşnisi</t>
        </is>
      </c>
      <c r="E1" s="3" t="inlineStr">
        <is>
          <t>Sarımsak tozu</t>
        </is>
      </c>
      <c r="F1" s="3" t="inlineStr">
        <is>
          <t>Karabiber</t>
        </is>
      </c>
      <c r="G1" s="3" t="inlineStr">
        <is>
          <t>Tuz</t>
        </is>
      </c>
      <c r="H1" s="3" t="inlineStr">
        <is>
          <t>BENECEL A4M</t>
        </is>
      </c>
    </row>
    <row r="2">
      <c r="A2" s="3" t="inlineStr">
        <is>
          <t>251011</t>
        </is>
      </c>
      <c r="B2" s="3" t="inlineStr">
        <is>
          <t>57108774</t>
        </is>
      </c>
      <c r="C2" s="3" t="inlineStr">
        <is>
          <t>9222</t>
        </is>
      </c>
      <c r="D2" s="3" t="inlineStr">
        <is>
          <t>01.09.EY</t>
        </is>
      </c>
      <c r="E2" s="3" t="inlineStr">
        <is>
          <t>040126-141</t>
        </is>
      </c>
      <c r="F2" s="3" t="inlineStr">
        <is>
          <t>170126-678</t>
        </is>
      </c>
      <c r="G2" s="3" t="inlineStr">
        <is>
          <t>20423</t>
        </is>
      </c>
      <c r="H2" s="3" t="inlineStr">
        <is>
          <t>2743063</t>
        </is>
      </c>
    </row>
    <row r="3">
      <c r="A3" s="3" t="inlineStr">
        <is>
          <t>251212</t>
        </is>
      </c>
      <c r="B3" s="3" t="inlineStr">
        <is>
          <t>58138875</t>
        </is>
      </c>
      <c r="C3" s="3" t="inlineStr">
        <is>
          <t>8825</t>
        </is>
      </c>
      <c r="D3" s="3" t="n"/>
      <c r="E3" s="3" t="inlineStr">
        <is>
          <t>170226-157</t>
        </is>
      </c>
      <c r="F3" s="3" t="inlineStr">
        <is>
          <t>161125-567</t>
        </is>
      </c>
      <c r="G3" s="3" t="inlineStr">
        <is>
          <t>20425</t>
        </is>
      </c>
      <c r="H3" s="3" t="n"/>
    </row>
    <row r="4">
      <c r="A4" s="3" t="n"/>
      <c r="B4" s="3" t="n"/>
      <c r="C4" s="3" t="inlineStr">
        <is>
          <t>9226</t>
        </is>
      </c>
      <c r="D4" s="3" t="n"/>
      <c r="E4" s="3" t="n"/>
      <c r="F4" s="3" t="inlineStr">
        <is>
          <t>070426-693</t>
        </is>
      </c>
      <c r="G4" s="3" t="n"/>
      <c r="H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14" customWidth="1" min="2" max="2"/>
    <col width="19" customWidth="1" min="5" max="5"/>
    <col width="15" customWidth="1" min="6" max="6"/>
    <col width="27" customWidth="1" min="7" max="7"/>
  </cols>
  <sheetData>
    <row r="1" ht="26.75" customHeight="1">
      <c r="A1" s="17" t="inlineStr">
        <is>
          <t>Üretim Tarihi</t>
        </is>
      </c>
      <c r="B1" s="17" t="inlineStr">
        <is>
          <t>Parti</t>
        </is>
      </c>
      <c r="C1" s="17" t="inlineStr">
        <is>
          <t>kg/Parti</t>
        </is>
      </c>
      <c r="D1" s="17" t="inlineStr">
        <is>
          <t>Teorik kg</t>
        </is>
      </c>
      <c r="E1" s="17" t="inlineStr">
        <is>
          <t>Üretim Firesi kg</t>
        </is>
      </c>
      <c r="F1" s="17" t="inlineStr">
        <is>
          <t>Net Mamul kg</t>
        </is>
      </c>
      <c r="G1" s="17" t="inlineStr">
        <is>
          <t>Paketleme</t>
        </is>
      </c>
    </row>
    <row r="2" ht="15" customHeight="1">
      <c r="A2" s="1" t="inlineStr">
        <is>
          <t>18.09.2025</t>
        </is>
      </c>
      <c r="B2" s="1" t="n">
        <v>13</v>
      </c>
      <c r="C2" s="1" t="n">
        <v>20.412</v>
      </c>
      <c r="D2" s="1" t="n">
        <v>265.356</v>
      </c>
      <c r="E2" s="1" t="n">
        <v>4</v>
      </c>
      <c r="F2" s="1" t="n">
        <v>261.356</v>
      </c>
      <c r="G2" s="1" t="inlineStr">
        <is>
          <t>500 g</t>
        </is>
      </c>
    </row>
    <row r="3" ht="15" customHeight="1">
      <c r="A3" s="1" t="inlineStr">
        <is>
          <t>19.09.2025</t>
        </is>
      </c>
      <c r="B3" s="1" t="n">
        <v>13</v>
      </c>
      <c r="C3" s="1" t="n">
        <v>20.412</v>
      </c>
      <c r="D3" s="1" t="n">
        <v>265.356</v>
      </c>
      <c r="E3" s="1" t="n">
        <v>5</v>
      </c>
      <c r="F3" s="1" t="n">
        <v>260.356</v>
      </c>
      <c r="G3" s="1" t="inlineStr">
        <is>
          <t>500 g</t>
        </is>
      </c>
    </row>
    <row r="4" ht="15" customHeight="1">
      <c r="A4" s="1" t="inlineStr">
        <is>
          <t>20.09.2025</t>
        </is>
      </c>
      <c r="B4" s="1" t="n">
        <v>13</v>
      </c>
      <c r="C4" s="1" t="n">
        <v>20.412</v>
      </c>
      <c r="D4" s="1" t="n">
        <v>265.356</v>
      </c>
      <c r="E4" s="1" t="n">
        <v>3</v>
      </c>
      <c r="F4" s="1" t="n">
        <v>262.356</v>
      </c>
      <c r="G4" s="1" t="inlineStr">
        <is>
          <t>500 g</t>
        </is>
      </c>
    </row>
    <row r="5" ht="15" customHeight="1">
      <c r="A5" s="1" t="inlineStr">
        <is>
          <t>21.09.2025</t>
        </is>
      </c>
      <c r="B5" s="1" t="n">
        <v>13</v>
      </c>
      <c r="C5" s="1" t="n">
        <v>20.412</v>
      </c>
      <c r="D5" s="1" t="n">
        <v>265.356</v>
      </c>
      <c r="E5" s="1" t="n">
        <v>4</v>
      </c>
      <c r="F5" s="1" t="n">
        <v>261.356</v>
      </c>
      <c r="G5" s="1" t="inlineStr">
        <is>
          <t>500 g</t>
        </is>
      </c>
    </row>
    <row r="6" ht="15" customHeight="1">
      <c r="A6" s="1" t="inlineStr">
        <is>
          <t>22.09.2025</t>
        </is>
      </c>
      <c r="B6" s="1" t="n">
        <v>13</v>
      </c>
      <c r="C6" s="1" t="n">
        <v>20.412</v>
      </c>
      <c r="D6" s="1" t="n">
        <v>265.356</v>
      </c>
      <c r="E6" s="1" t="n">
        <v>4</v>
      </c>
      <c r="F6" s="1" t="n">
        <v>261.356</v>
      </c>
      <c r="G6" s="1" t="inlineStr">
        <is>
          <t>500 g</t>
        </is>
      </c>
    </row>
    <row r="7" ht="15" customHeight="1">
      <c r="A7" s="1" t="inlineStr">
        <is>
          <t>23.09.2025</t>
        </is>
      </c>
      <c r="B7" s="1" t="n">
        <v>9</v>
      </c>
      <c r="C7" s="1" t="n">
        <v>20.412</v>
      </c>
      <c r="D7" s="1" t="n">
        <v>183.708</v>
      </c>
      <c r="E7" s="1" t="n">
        <v>3</v>
      </c>
      <c r="F7" s="1" t="n">
        <v>180.708</v>
      </c>
      <c r="G7" s="1" t="inlineStr">
        <is>
          <t>500 g</t>
        </is>
      </c>
    </row>
    <row r="8" ht="15" customHeight="1">
      <c r="A8" s="1" t="inlineStr">
        <is>
          <t>20.10.2025</t>
        </is>
      </c>
      <c r="B8" s="1" t="n">
        <v>12</v>
      </c>
      <c r="C8" s="1" t="n">
        <v>20.412</v>
      </c>
      <c r="D8" s="1" t="n">
        <v>244.944</v>
      </c>
      <c r="E8" s="1" t="n">
        <v>4</v>
      </c>
      <c r="F8" s="1" t="n">
        <v>240.944</v>
      </c>
      <c r="G8" s="1" t="inlineStr">
        <is>
          <t>1 kg — TARİHSEL</t>
        </is>
      </c>
    </row>
    <row r="9" ht="15" customHeight="1">
      <c r="A9" s="1" t="inlineStr">
        <is>
          <t>23.12.2025</t>
        </is>
      </c>
      <c r="B9" s="1" t="n">
        <v>12</v>
      </c>
      <c r="C9" s="1" t="n">
        <v>20.412</v>
      </c>
      <c r="D9" s="1" t="n">
        <v>244.944</v>
      </c>
      <c r="E9" s="1" t="n">
        <v>5</v>
      </c>
      <c r="F9" s="1" t="n">
        <v>239.944</v>
      </c>
      <c r="G9" s="1" t="inlineStr">
        <is>
          <t>1 kg + 2,5 kg — TARİHSEL</t>
        </is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14" customWidth="1" min="2" max="2"/>
    <col width="22" customWidth="1" min="4" max="4"/>
    <col width="14" customWidth="1" min="5" max="5"/>
    <col width="15" customWidth="1" min="6" max="6"/>
    <col width="14" customWidth="1" min="7" max="7"/>
    <col width="22" customWidth="1" min="8" max="8"/>
  </cols>
  <sheetData>
    <row r="1" ht="26.75" customHeight="1">
      <c r="A1" s="17" t="inlineStr">
        <is>
          <t>Üretim Bağı</t>
        </is>
      </c>
      <c r="B1" s="17" t="inlineStr">
        <is>
          <t>500 g Paket</t>
        </is>
      </c>
      <c r="C1" s="17" t="inlineStr">
        <is>
          <t>500 g kg</t>
        </is>
      </c>
      <c r="D1" s="17" t="inlineStr">
        <is>
          <t>1 kg Paket TARİHSEL</t>
        </is>
      </c>
      <c r="E1" s="17" t="inlineStr">
        <is>
          <t>1 kg kg</t>
        </is>
      </c>
      <c r="F1" s="17" t="inlineStr">
        <is>
          <t>2,5 kg Paket</t>
        </is>
      </c>
      <c r="G1" s="17" t="inlineStr">
        <is>
          <t>2,5 kg kg</t>
        </is>
      </c>
      <c r="H1" s="17" t="inlineStr">
        <is>
          <t>Paketleme Firesi kg</t>
        </is>
      </c>
    </row>
    <row r="2" ht="15" customHeight="1">
      <c r="A2" s="1" t="inlineStr">
        <is>
          <t>18–23.09.2025</t>
        </is>
      </c>
      <c r="B2" s="1" t="n">
        <v>2974</v>
      </c>
      <c r="C2" s="1" t="n">
        <v>1487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0.488</v>
      </c>
    </row>
    <row r="3" ht="15" customHeight="1">
      <c r="A3" s="1" t="inlineStr">
        <is>
          <t>20.10.2025</t>
        </is>
      </c>
      <c r="B3" s="1" t="n">
        <v>0</v>
      </c>
      <c r="C3" s="1" t="n">
        <v>0</v>
      </c>
      <c r="D3" s="1" t="n">
        <v>240</v>
      </c>
      <c r="E3" s="1" t="n">
        <v>240</v>
      </c>
      <c r="F3" s="1" t="n">
        <v>0</v>
      </c>
      <c r="G3" s="1" t="n">
        <v>0</v>
      </c>
      <c r="H3" s="1" t="n">
        <v>0.944</v>
      </c>
    </row>
    <row r="4" ht="15" customHeight="1">
      <c r="A4" s="1" t="inlineStr">
        <is>
          <t>23.12.2025</t>
        </is>
      </c>
      <c r="B4" s="1" t="n">
        <v>0</v>
      </c>
      <c r="C4" s="1" t="n">
        <v>0</v>
      </c>
      <c r="D4" s="1" t="n">
        <v>100</v>
      </c>
      <c r="E4" s="1" t="n">
        <v>100</v>
      </c>
      <c r="F4" s="1" t="n">
        <v>55</v>
      </c>
      <c r="G4" s="1" t="n">
        <v>137.5</v>
      </c>
      <c r="H4" s="1" t="n">
        <v>2.444</v>
      </c>
    </row>
  </sheetData>
  <autoFilter ref="A1:H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16" customWidth="1" min="2" max="2"/>
    <col width="18" customWidth="1" min="3" max="3"/>
    <col width="16" customWidth="1" min="4" max="4"/>
    <col width="14" customWidth="1" min="7" max="7"/>
  </cols>
  <sheetData>
    <row r="1" ht="15" customHeight="1">
      <c r="A1" s="17" t="inlineStr">
        <is>
          <t>Sevk Tarihi</t>
        </is>
      </c>
      <c r="B1" s="17" t="inlineStr">
        <is>
          <t>Alıcı</t>
        </is>
      </c>
      <c r="C1" s="17" t="inlineStr">
        <is>
          <t>Lojistik</t>
        </is>
      </c>
      <c r="D1" s="17" t="inlineStr">
        <is>
          <t>Plaka</t>
        </is>
      </c>
      <c r="E1" s="17" t="inlineStr">
        <is>
          <t>Üretim Bağı</t>
        </is>
      </c>
      <c r="F1" s="17" t="inlineStr">
        <is>
          <t>Ambalaj</t>
        </is>
      </c>
      <c r="G1" s="17" t="inlineStr">
        <is>
          <t>Paket</t>
        </is>
      </c>
      <c r="H1" s="17" t="inlineStr">
        <is>
          <t>kg</t>
        </is>
      </c>
    </row>
    <row r="2" ht="15" customHeight="1">
      <c r="A2" s="1" t="inlineStr">
        <is>
          <t>01.10.2025</t>
        </is>
      </c>
      <c r="B2" s="1" t="inlineStr">
        <is>
          <t>File Market</t>
        </is>
      </c>
      <c r="C2" s="1" t="inlineStr">
        <is>
          <t>Narlog Lojistik</t>
        </is>
      </c>
      <c r="D2" s="1" t="inlineStr">
        <is>
          <t>34 AAB 37</t>
        </is>
      </c>
      <c r="E2" s="1" t="inlineStr">
        <is>
          <t>18–23.09.2025</t>
        </is>
      </c>
      <c r="F2" s="1" t="inlineStr">
        <is>
          <t>500 g</t>
        </is>
      </c>
      <c r="G2" s="1" t="n">
        <v>2880</v>
      </c>
      <c r="H2" s="1" t="n">
        <v>1440</v>
      </c>
    </row>
    <row r="3" ht="15" customHeight="1">
      <c r="A3" s="1" t="inlineStr">
        <is>
          <t>22.10.2025</t>
        </is>
      </c>
      <c r="B3" s="1" t="inlineStr">
        <is>
          <t>Arca Burger</t>
        </is>
      </c>
      <c r="C3" s="1" t="inlineStr">
        <is>
          <t>PolarXP</t>
        </is>
      </c>
      <c r="D3" s="1" t="inlineStr">
        <is>
          <t>BİLDİRİLMİYOR</t>
        </is>
      </c>
      <c r="E3" s="1" t="inlineStr">
        <is>
          <t>20.10.2025</t>
        </is>
      </c>
      <c r="F3" s="1" t="inlineStr">
        <is>
          <t>1 kg TARİHSEL</t>
        </is>
      </c>
      <c r="G3" s="1" t="n">
        <v>48</v>
      </c>
      <c r="H3" s="1" t="n">
        <v>48</v>
      </c>
    </row>
    <row r="4" ht="15" customHeight="1">
      <c r="A4" s="1" t="inlineStr">
        <is>
          <t>03.12.2025</t>
        </is>
      </c>
      <c r="B4" s="1" t="inlineStr">
        <is>
          <t>Carnaval</t>
        </is>
      </c>
      <c r="C4" s="1" t="inlineStr">
        <is>
          <t>PolarXP</t>
        </is>
      </c>
      <c r="D4" s="1" t="inlineStr">
        <is>
          <t>BİLDİRİLMİYOR</t>
        </is>
      </c>
      <c r="E4" s="1" t="inlineStr">
        <is>
          <t>20.10.2025</t>
        </is>
      </c>
      <c r="F4" s="1" t="inlineStr">
        <is>
          <t>1 kg TARİHSEL</t>
        </is>
      </c>
      <c r="G4" s="1" t="n">
        <v>80</v>
      </c>
      <c r="H4" s="1" t="n">
        <v>80</v>
      </c>
    </row>
    <row r="5" ht="15" customHeight="1">
      <c r="A5" s="1" t="inlineStr">
        <is>
          <t>16.12.2025</t>
        </is>
      </c>
      <c r="B5" s="1" t="inlineStr">
        <is>
          <t>Senem Değerli</t>
        </is>
      </c>
      <c r="C5" s="1" t="inlineStr">
        <is>
          <t>PolarXP</t>
        </is>
      </c>
      <c r="D5" s="1" t="inlineStr">
        <is>
          <t>BİLDİRİLMİYOR</t>
        </is>
      </c>
      <c r="E5" s="1" t="inlineStr">
        <is>
          <t>20.10.2025</t>
        </is>
      </c>
      <c r="F5" s="1" t="inlineStr">
        <is>
          <t>1 kg TARİHSEL</t>
        </is>
      </c>
      <c r="G5" s="1" t="n">
        <v>80</v>
      </c>
      <c r="H5" s="1" t="n">
        <v>80</v>
      </c>
    </row>
    <row r="6" ht="15" customHeight="1">
      <c r="A6" s="1" t="inlineStr">
        <is>
          <t>25.12.2025</t>
        </is>
      </c>
      <c r="B6" s="1" t="inlineStr">
        <is>
          <t>Carnaval</t>
        </is>
      </c>
      <c r="C6" s="1" t="inlineStr">
        <is>
          <t>PolarXP</t>
        </is>
      </c>
      <c r="D6" s="1" t="inlineStr">
        <is>
          <t>BİLDİRİLMİYOR</t>
        </is>
      </c>
      <c r="E6" s="1" t="inlineStr">
        <is>
          <t>23.12.2025</t>
        </is>
      </c>
      <c r="F6" s="1" t="inlineStr">
        <is>
          <t>1 kg TARİHSEL</t>
        </is>
      </c>
      <c r="G6" s="1" t="n">
        <v>80</v>
      </c>
      <c r="H6" s="1" t="n">
        <v>80</v>
      </c>
    </row>
  </sheetData>
  <autoFilter ref="A1:H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:D1"/>
    </sheetView>
  </sheetViews>
  <sheetFormatPr baseColWidth="10" defaultColWidth="8.83203125" defaultRowHeight="15"/>
  <cols>
    <col width="26" customWidth="1" min="1" max="1"/>
    <col width="36" customWidth="1" min="2" max="2"/>
    <col width="14" customWidth="1" min="3" max="3"/>
  </cols>
  <sheetData>
    <row r="1" ht="15" customHeight="1">
      <c r="A1" s="25" t="inlineStr">
        <is>
          <t>2025 TARİHSEL YIL ÖZETİ</t>
        </is>
      </c>
      <c r="B1" s="23" t="n"/>
      <c r="C1" s="23" t="n"/>
      <c r="D1" s="24" t="n"/>
    </row>
    <row r="2" ht="15" customHeight="1">
      <c r="A2" s="1" t="n"/>
      <c r="B2" s="1" t="n"/>
      <c r="C2" s="1" t="n"/>
      <c r="D2" s="1" t="n"/>
    </row>
    <row r="3" ht="15" customHeight="1">
      <c r="A3" s="9" t="inlineStr">
        <is>
          <t>Toplam üretim günü</t>
        </is>
      </c>
      <c r="B3" s="10">
        <f>COUNT('10 2025 ÜRETİM'!A2:A100)</f>
        <v/>
      </c>
      <c r="C3" s="1" t="n"/>
      <c r="D3" s="1" t="n"/>
    </row>
    <row r="4" ht="15" customHeight="1">
      <c r="A4" s="9" t="inlineStr">
        <is>
          <t>Toplam parti</t>
        </is>
      </c>
      <c r="B4" s="10">
        <f>SUM('10 2025 ÜRETİM'!B2:B100)</f>
        <v/>
      </c>
      <c r="C4" s="1" t="n"/>
      <c r="D4" s="1" t="n"/>
    </row>
    <row r="5" ht="15" customHeight="1">
      <c r="A5" s="9" t="inlineStr">
        <is>
          <t>Teorik kg</t>
        </is>
      </c>
      <c r="B5" s="10">
        <f>SUM('10 2025 ÜRETİM'!D2:D100)</f>
        <v/>
      </c>
      <c r="C5" s="1" t="n"/>
      <c r="D5" s="1" t="n"/>
    </row>
    <row r="6" ht="15" customHeight="1">
      <c r="A6" s="9" t="inlineStr">
        <is>
          <t>Üretim firesi kg</t>
        </is>
      </c>
      <c r="B6" s="10">
        <f>SUM('10 2025 ÜRETİM'!E2:E100)</f>
        <v/>
      </c>
      <c r="C6" s="1" t="n"/>
      <c r="D6" s="1" t="n"/>
    </row>
    <row r="7" ht="15" customHeight="1">
      <c r="A7" s="9" t="inlineStr">
        <is>
          <t>Net mamul kg</t>
        </is>
      </c>
      <c r="B7" s="10">
        <f>SUM('10 2025 ÜRETİM'!F2:F100)</f>
        <v/>
      </c>
      <c r="C7" s="1" t="n"/>
      <c r="D7" s="1" t="n"/>
    </row>
    <row r="8" ht="15" customHeight="1">
      <c r="A8" s="9" t="inlineStr">
        <is>
          <t>500 g paket</t>
        </is>
      </c>
      <c r="B8" s="10">
        <f>SUM('11 2025 PAKETLEME'!B2:B100)</f>
        <v/>
      </c>
      <c r="C8" s="1" t="n"/>
      <c r="D8" s="1" t="n"/>
    </row>
    <row r="9" ht="15" customHeight="1">
      <c r="A9" s="9" t="inlineStr">
        <is>
          <t>1 kg paket — tarihsel</t>
        </is>
      </c>
      <c r="B9" s="10">
        <f>SUM('11 2025 PAKETLEME'!D2:D100)</f>
        <v/>
      </c>
      <c r="C9" s="1" t="n"/>
      <c r="D9" s="1" t="n"/>
    </row>
    <row r="10" ht="15" customHeight="1">
      <c r="A10" s="9" t="inlineStr">
        <is>
          <t>2,5 kg paket</t>
        </is>
      </c>
      <c r="B10" s="10">
        <f>SUM('11 2025 PAKETLEME'!F2:F100)</f>
        <v/>
      </c>
      <c r="C10" s="1" t="n"/>
      <c r="D10" s="1" t="n"/>
    </row>
    <row r="11" ht="15" customHeight="1">
      <c r="A11" s="9" t="inlineStr">
        <is>
          <t>Doğrulanmış sevk kg</t>
        </is>
      </c>
      <c r="B11" s="10">
        <f>SUM('12 2025 SEVKİYAT'!H2:H100)</f>
        <v/>
      </c>
      <c r="C11" s="1" t="n"/>
      <c r="D11" s="1" t="n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70AD47"/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M15" sqref="M15"/>
    </sheetView>
  </sheetViews>
  <sheetFormatPr baseColWidth="10" defaultColWidth="8.83203125" defaultRowHeight="15"/>
  <cols>
    <col width="15" customWidth="1" style="49" min="1" max="1"/>
    <col width="24" customWidth="1" style="54" min="2" max="2"/>
    <col width="8.83203125" customWidth="1" style="49" min="3" max="3"/>
    <col width="12" customWidth="1" style="54" min="4" max="4"/>
    <col width="14" customWidth="1" style="49" min="5" max="5"/>
    <col width="18" customWidth="1" style="54" min="6" max="6"/>
    <col width="14" customWidth="1" style="49" min="7" max="7"/>
    <col width="8.83203125" customWidth="1" style="54" min="8" max="8"/>
    <col width="18" customWidth="1" style="49" min="9" max="9"/>
    <col width="35" customWidth="1" style="49" min="10" max="10"/>
    <col width="18" customWidth="1" min="22" max="22"/>
  </cols>
  <sheetData>
    <row r="1" ht="31.5" customHeight="1" thickBot="1">
      <c r="A1" s="45" t="inlineStr">
        <is>
          <t>Giriş Tarihi</t>
        </is>
      </c>
      <c r="B1" s="57" t="inlineStr">
        <is>
          <t>Hammadde Seç</t>
        </is>
      </c>
      <c r="C1" s="45" t="inlineStr">
        <is>
          <t>Tedarikçi Otomatik</t>
        </is>
      </c>
      <c r="D1" s="57" t="inlineStr">
        <is>
          <t>Miktar</t>
        </is>
      </c>
      <c r="E1" s="45" t="inlineStr">
        <is>
          <t>Birim Otomatik</t>
        </is>
      </c>
      <c r="F1" s="57" t="inlineStr">
        <is>
          <t>Lot No</t>
        </is>
      </c>
      <c r="G1" s="45" t="inlineStr">
        <is>
          <t>ÜRT</t>
        </is>
      </c>
      <c r="H1" s="57" t="inlineStr">
        <is>
          <t>SKT</t>
        </is>
      </c>
      <c r="I1" s="45" t="inlineStr">
        <is>
          <t>Kabul Durumu</t>
        </is>
      </c>
      <c r="J1" s="45" t="inlineStr">
        <is>
          <t>Açıklama</t>
        </is>
      </c>
      <c r="V1" s="19" t="inlineStr">
        <is>
          <t>⌂ ANA SAYFA</t>
        </is>
      </c>
    </row>
    <row r="2" ht="15" customHeight="1">
      <c r="A2" s="46" t="inlineStr">
        <is>
          <t>02.01.2026</t>
        </is>
      </c>
      <c r="B2" s="51" t="inlineStr">
        <is>
          <t>Patates unu</t>
        </is>
      </c>
      <c r="C2" s="46" t="inlineStr">
        <is>
          <t>Satütaş</t>
        </is>
      </c>
      <c r="D2" s="51" t="n"/>
      <c r="E2" s="46" t="n"/>
      <c r="F2" s="51" t="inlineStr">
        <is>
          <t>251011</t>
        </is>
      </c>
      <c r="G2" s="46" t="inlineStr">
        <is>
          <t>02.01.2026</t>
        </is>
      </c>
      <c r="H2" s="51" t="n"/>
      <c r="I2" s="46" t="inlineStr">
        <is>
          <t>KABUL</t>
        </is>
      </c>
      <c r="J2" s="46" t="n"/>
      <c r="V2" s="20" t="inlineStr">
        <is>
          <t>→ ÜRETİM</t>
        </is>
      </c>
    </row>
    <row r="3" ht="15" customHeight="1">
      <c r="A3" s="47" t="inlineStr">
        <is>
          <t>02.01.2026</t>
        </is>
      </c>
      <c r="B3" s="52" t="inlineStr">
        <is>
          <t>Mısır nişastası</t>
        </is>
      </c>
      <c r="C3" s="47" t="inlineStr">
        <is>
          <t>Değirmenci Gıda</t>
        </is>
      </c>
      <c r="D3" s="52" t="n"/>
      <c r="E3" s="47" t="n"/>
      <c r="F3" s="52" t="inlineStr">
        <is>
          <t>57108774</t>
        </is>
      </c>
      <c r="G3" s="47" t="inlineStr">
        <is>
          <t>05.01.2026</t>
        </is>
      </c>
      <c r="H3" s="52" t="inlineStr">
        <is>
          <t>05.01.2028</t>
        </is>
      </c>
      <c r="I3" s="47" t="inlineStr">
        <is>
          <t>KABUL</t>
        </is>
      </c>
      <c r="J3" s="47" t="n"/>
      <c r="V3" s="21" t="inlineStr">
        <is>
          <t>→ LOT BAĞI</t>
        </is>
      </c>
    </row>
    <row r="4" ht="15" customHeight="1">
      <c r="A4" s="47" t="inlineStr">
        <is>
          <t>02.01.2026</t>
        </is>
      </c>
      <c r="B4" s="52" t="inlineStr">
        <is>
          <t>BENECEL A4M</t>
        </is>
      </c>
      <c r="C4" s="47" t="inlineStr">
        <is>
          <t>IMCD Türkiye</t>
        </is>
      </c>
      <c r="D4" s="52" t="n"/>
      <c r="E4" s="47" t="n"/>
      <c r="F4" s="52" t="inlineStr">
        <is>
          <t>2743063</t>
        </is>
      </c>
      <c r="G4" s="47" t="inlineStr">
        <is>
          <t>08.01.2026</t>
        </is>
      </c>
      <c r="H4" s="52" t="inlineStr">
        <is>
          <t>08.01.2028</t>
        </is>
      </c>
      <c r="I4" s="47" t="inlineStr">
        <is>
          <t>KABUL</t>
        </is>
      </c>
      <c r="J4" s="47" t="n"/>
    </row>
    <row r="5" ht="15" customHeight="1">
      <c r="A5" s="47" t="inlineStr">
        <is>
          <t>02.01.2026</t>
        </is>
      </c>
      <c r="B5" s="52" t="inlineStr">
        <is>
          <t>Tuz</t>
        </is>
      </c>
      <c r="C5" s="47" t="inlineStr">
        <is>
          <t>Sizin Gıda</t>
        </is>
      </c>
      <c r="D5" s="52" t="n"/>
      <c r="E5" s="47" t="n"/>
      <c r="F5" s="52" t="inlineStr">
        <is>
          <t>20423</t>
        </is>
      </c>
      <c r="G5" s="47" t="inlineStr">
        <is>
          <t>16.11.2025</t>
        </is>
      </c>
      <c r="H5" s="52" t="inlineStr">
        <is>
          <t>16.11.2029</t>
        </is>
      </c>
      <c r="I5" s="47" t="inlineStr">
        <is>
          <t>KABUL</t>
        </is>
      </c>
      <c r="J5" s="47" t="n"/>
    </row>
    <row r="6" ht="15" customHeight="1">
      <c r="A6" s="47" t="inlineStr">
        <is>
          <t>02.01.2026</t>
        </is>
      </c>
      <c r="B6" s="52" t="inlineStr">
        <is>
          <t>Tat mısır unu</t>
        </is>
      </c>
      <c r="C6" s="47" t="inlineStr">
        <is>
          <t>Sizin Gıda</t>
        </is>
      </c>
      <c r="D6" s="52" t="n"/>
      <c r="E6" s="47" t="n"/>
      <c r="F6" s="52" t="inlineStr">
        <is>
          <t>9222</t>
        </is>
      </c>
      <c r="G6" s="47" t="inlineStr">
        <is>
          <t>13.01.2026</t>
        </is>
      </c>
      <c r="H6" s="52" t="inlineStr">
        <is>
          <t>13.01.2027</t>
        </is>
      </c>
      <c r="I6" s="47" t="inlineStr">
        <is>
          <t>KABUL</t>
        </is>
      </c>
      <c r="J6" s="47" t="inlineStr">
        <is>
          <t>Kronoloji doğrulama</t>
        </is>
      </c>
    </row>
    <row r="7" ht="15" customHeight="1">
      <c r="A7" s="47" t="inlineStr">
        <is>
          <t>02.01.2026</t>
        </is>
      </c>
      <c r="B7" s="52" t="inlineStr">
        <is>
          <t>Karabiber</t>
        </is>
      </c>
      <c r="C7" s="47" t="inlineStr">
        <is>
          <t>Metro Market</t>
        </is>
      </c>
      <c r="D7" s="52" t="n"/>
      <c r="E7" s="47" t="n"/>
      <c r="F7" s="52" t="inlineStr">
        <is>
          <t>170126-678</t>
        </is>
      </c>
      <c r="G7" s="47" t="inlineStr">
        <is>
          <t>17.01.2026</t>
        </is>
      </c>
      <c r="H7" s="52" t="inlineStr">
        <is>
          <t>17.01.2028</t>
        </is>
      </c>
      <c r="I7" s="47" t="inlineStr">
        <is>
          <t>KABUL</t>
        </is>
      </c>
      <c r="J7" s="47" t="inlineStr">
        <is>
          <t>Kronoloji doğrulama</t>
        </is>
      </c>
    </row>
    <row r="8" ht="15" customHeight="1">
      <c r="A8" s="47" t="inlineStr">
        <is>
          <t>02.01.2026</t>
        </is>
      </c>
      <c r="B8" s="52" t="inlineStr">
        <is>
          <t>Sarımsak tozu</t>
        </is>
      </c>
      <c r="C8" s="47" t="inlineStr">
        <is>
          <t>Sizin Gıda</t>
        </is>
      </c>
      <c r="D8" s="52" t="n"/>
      <c r="E8" s="47" t="n"/>
      <c r="F8" s="52" t="inlineStr">
        <is>
          <t>040126-141</t>
        </is>
      </c>
      <c r="G8" s="47" t="inlineStr">
        <is>
          <t>04.01.2026</t>
        </is>
      </c>
      <c r="H8" s="52" t="inlineStr">
        <is>
          <t>04.01.2028</t>
        </is>
      </c>
      <c r="I8" s="47" t="inlineStr">
        <is>
          <t>KABUL</t>
        </is>
      </c>
      <c r="J8" s="47" t="n"/>
    </row>
    <row r="9" ht="15" customHeight="1">
      <c r="A9" s="47" t="inlineStr">
        <is>
          <t>02.02.2026</t>
        </is>
      </c>
      <c r="B9" s="52" t="inlineStr">
        <is>
          <t>Tat mısır unu</t>
        </is>
      </c>
      <c r="C9" s="47" t="inlineStr">
        <is>
          <t>Sizin Gıda</t>
        </is>
      </c>
      <c r="D9" s="52" t="n"/>
      <c r="E9" s="47" t="n"/>
      <c r="F9" s="52" t="inlineStr">
        <is>
          <t>8825</t>
        </is>
      </c>
      <c r="G9" s="47" t="inlineStr">
        <is>
          <t>05.12.2025</t>
        </is>
      </c>
      <c r="H9" s="52" t="inlineStr">
        <is>
          <t>05.12.2026</t>
        </is>
      </c>
      <c r="I9" s="47" t="inlineStr">
        <is>
          <t>KABUL</t>
        </is>
      </c>
      <c r="J9" s="47" t="n"/>
    </row>
    <row r="10" ht="15" customHeight="1">
      <c r="A10" s="47" t="inlineStr">
        <is>
          <t>02.02.2026</t>
        </is>
      </c>
      <c r="B10" s="52" t="inlineStr">
        <is>
          <t>Karabiber</t>
        </is>
      </c>
      <c r="C10" s="47" t="inlineStr">
        <is>
          <t>Metro Market</t>
        </is>
      </c>
      <c r="D10" s="52" t="n"/>
      <c r="E10" s="47" t="n"/>
      <c r="F10" s="52" t="inlineStr">
        <is>
          <t>161125-567</t>
        </is>
      </c>
      <c r="G10" s="47" t="inlineStr">
        <is>
          <t>16.11.2025</t>
        </is>
      </c>
      <c r="H10" s="52" t="inlineStr">
        <is>
          <t>16.11.2027</t>
        </is>
      </c>
      <c r="I10" s="47" t="inlineStr">
        <is>
          <t>KABUL</t>
        </is>
      </c>
      <c r="J10" s="47" t="n"/>
    </row>
    <row r="11" ht="15" customHeight="1">
      <c r="A11" s="56" t="n"/>
      <c r="B11" s="58" t="inlineStr">
        <is>
          <t>Patates unu</t>
        </is>
      </c>
      <c r="C11" s="56" t="inlineStr">
        <is>
          <t>Satütaş</t>
        </is>
      </c>
      <c r="D11" s="58" t="n"/>
      <c r="E11" s="56">
        <f>IF(B11="","",IFERROR(VLOOKUP(B11,'04 TANIMLAR'!$A$2:$C$9,3,FALSE()),""))</f>
        <v/>
      </c>
      <c r="F11" s="58" t="inlineStr">
        <is>
          <t>251212</t>
        </is>
      </c>
      <c r="G11" s="56" t="inlineStr">
        <is>
          <t>12.12.2025</t>
        </is>
      </c>
      <c r="H11" s="58" t="inlineStr">
        <is>
          <t>12.12.2026</t>
        </is>
      </c>
      <c r="I11" s="56" t="inlineStr">
        <is>
          <t>TEYİT</t>
        </is>
      </c>
      <c r="J11" s="56" t="inlineStr">
        <is>
          <t>TARİHSEL LOT KAYDI — giriş/alım tarihi satın alma kaydıyla eşleştirilecek</t>
        </is>
      </c>
    </row>
    <row r="12" ht="15" customHeight="1">
      <c r="A12" s="56" t="n"/>
      <c r="B12" s="58" t="inlineStr">
        <is>
          <t>Mısır nişastası</t>
        </is>
      </c>
      <c r="C12" s="56" t="inlineStr">
        <is>
          <t>Değirmenci Gıda</t>
        </is>
      </c>
      <c r="D12" s="58" t="n"/>
      <c r="E12" s="56">
        <f>IF(B12="","",IFERROR(VLOOKUP(B12,'04 TANIMLAR'!$A$2:$C$9,3,FALSE()),""))</f>
        <v/>
      </c>
      <c r="F12" s="58" t="inlineStr">
        <is>
          <t>58138875</t>
        </is>
      </c>
      <c r="G12" s="56" t="inlineStr">
        <is>
          <t>09.09.2025</t>
        </is>
      </c>
      <c r="H12" s="58" t="inlineStr">
        <is>
          <t>09.09.2027</t>
        </is>
      </c>
      <c r="I12" s="56" t="inlineStr">
        <is>
          <t>TEYİT</t>
        </is>
      </c>
      <c r="J12" s="56" t="inlineStr">
        <is>
          <t>TARİHSEL LOT KAYDI — giriş/alım tarihi satın alma kaydıyla eşleştirilecek</t>
        </is>
      </c>
    </row>
    <row r="13" ht="15" customHeight="1">
      <c r="A13" s="56" t="n"/>
      <c r="B13" s="58" t="inlineStr">
        <is>
          <t>Tat mısır unu</t>
        </is>
      </c>
      <c r="C13" s="56" t="inlineStr">
        <is>
          <t>Sizin Gıda</t>
        </is>
      </c>
      <c r="D13" s="58" t="n"/>
      <c r="E13" s="56">
        <f>IF(B13="","",IFERROR(VLOOKUP(B13,'04 TANIMLAR'!$A$2:$C$9,3,FALSE()),""))</f>
        <v/>
      </c>
      <c r="F13" s="58" t="inlineStr">
        <is>
          <t>9226</t>
        </is>
      </c>
      <c r="G13" s="56" t="inlineStr">
        <is>
          <t>20.02.2026</t>
        </is>
      </c>
      <c r="H13" s="58" t="inlineStr">
        <is>
          <t>20.02.2027</t>
        </is>
      </c>
      <c r="I13" s="56" t="inlineStr">
        <is>
          <t>TEYİT</t>
        </is>
      </c>
      <c r="J13" s="56" t="inlineStr">
        <is>
          <t>TARİHSEL LOT KAYDI — giriş/alım tarihi satın alma kaydıyla eşleştirilecek</t>
        </is>
      </c>
    </row>
    <row r="14" ht="15" customHeight="1">
      <c r="A14" s="56" t="n"/>
      <c r="B14" s="58" t="inlineStr">
        <is>
          <t>Savour tavuk çeşnisi</t>
        </is>
      </c>
      <c r="C14" s="56" t="inlineStr">
        <is>
          <t>Ankara Gıda</t>
        </is>
      </c>
      <c r="D14" s="58" t="n"/>
      <c r="E14" s="56">
        <f>IF(B14="","",IFERROR(VLOOKUP(B14,'04 TANIMLAR'!$A$2:$C$9,3,FALSE()),""))</f>
        <v/>
      </c>
      <c r="F14" s="58" t="inlineStr">
        <is>
          <t>01.09.EY</t>
        </is>
      </c>
      <c r="G14" s="56" t="n"/>
      <c r="H14" s="58" t="n"/>
      <c r="I14" s="56" t="inlineStr">
        <is>
          <t>TEYİT</t>
        </is>
      </c>
      <c r="J14" s="56" t="inlineStr">
        <is>
          <t>TARİHSEL LOT KAYDI — giriş/alım tarihi satın alma kaydıyla eşleştirilecek</t>
        </is>
      </c>
    </row>
    <row r="15" ht="15" customHeight="1">
      <c r="A15" s="56" t="n"/>
      <c r="B15" s="58" t="inlineStr">
        <is>
          <t>Sarımsak tozu</t>
        </is>
      </c>
      <c r="C15" s="56" t="inlineStr">
        <is>
          <t>Sizin Gıda</t>
        </is>
      </c>
      <c r="D15" s="58" t="n"/>
      <c r="E15" s="56">
        <f>IF(B15="","",IFERROR(VLOOKUP(B15,'04 TANIMLAR'!$A$2:$C$9,3,FALSE()),""))</f>
        <v/>
      </c>
      <c r="F15" s="58" t="inlineStr">
        <is>
          <t>170226-157</t>
        </is>
      </c>
      <c r="G15" s="56" t="inlineStr">
        <is>
          <t>17.02.2026</t>
        </is>
      </c>
      <c r="H15" s="58" t="inlineStr">
        <is>
          <t>17.02.2028</t>
        </is>
      </c>
      <c r="I15" s="56" t="inlineStr">
        <is>
          <t>TEYİT</t>
        </is>
      </c>
      <c r="J15" s="56" t="inlineStr">
        <is>
          <t>TARİHSEL LOT KAYDI — giriş/alım tarihi satın alma kaydıyla eşleştirilecek</t>
        </is>
      </c>
    </row>
    <row r="16" ht="15" customHeight="1">
      <c r="A16" s="56" t="n"/>
      <c r="B16" s="58" t="inlineStr">
        <is>
          <t>Karabiber</t>
        </is>
      </c>
      <c r="C16" s="56" t="inlineStr">
        <is>
          <t>Metro Market</t>
        </is>
      </c>
      <c r="D16" s="58" t="n"/>
      <c r="E16" s="56">
        <f>IF(B16="","",IFERROR(VLOOKUP(B16,'04 TANIMLAR'!$A$2:$C$9,3,FALSE()),""))</f>
        <v/>
      </c>
      <c r="F16" s="58" t="inlineStr">
        <is>
          <t>070426-693</t>
        </is>
      </c>
      <c r="G16" s="56" t="inlineStr">
        <is>
          <t>07.04.2026</t>
        </is>
      </c>
      <c r="H16" s="58" t="inlineStr">
        <is>
          <t>07.04.2028</t>
        </is>
      </c>
      <c r="I16" s="56" t="inlineStr">
        <is>
          <t>TEYİT</t>
        </is>
      </c>
      <c r="J16" s="56" t="inlineStr">
        <is>
          <t>TARİHSEL LOT KAYDI — giriş/alım tarihi satın alma kaydıyla eşleştirilecek</t>
        </is>
      </c>
    </row>
    <row r="17" ht="15" customHeight="1">
      <c r="A17" s="56" t="n"/>
      <c r="B17" s="58" t="inlineStr">
        <is>
          <t>Tuz</t>
        </is>
      </c>
      <c r="C17" s="56" t="inlineStr">
        <is>
          <t>Sizin Gıda</t>
        </is>
      </c>
      <c r="D17" s="58" t="n"/>
      <c r="E17" s="56">
        <f>IF(B17="","",IFERROR(VLOOKUP(B17,'04 TANIMLAR'!$A$2:$C$9,3,FALSE()),""))</f>
        <v/>
      </c>
      <c r="F17" s="58" t="inlineStr">
        <is>
          <t>20425</t>
        </is>
      </c>
      <c r="G17" s="56" t="inlineStr">
        <is>
          <t>23.07.2025</t>
        </is>
      </c>
      <c r="H17" s="58" t="inlineStr">
        <is>
          <t>23.07.2026</t>
        </is>
      </c>
      <c r="I17" s="56" t="inlineStr">
        <is>
          <t>TEYİT</t>
        </is>
      </c>
      <c r="J17" s="56" t="inlineStr">
        <is>
          <t>TARİHSEL LOT KAYDI — giriş/alım tarihi satın alma kaydıyla eşleştirilecek</t>
        </is>
      </c>
    </row>
    <row r="18" ht="15" customHeight="1">
      <c r="A18" s="56" t="n"/>
      <c r="B18" s="58" t="n"/>
      <c r="C18" s="56">
        <f>IF(B18="","",IFERROR(VLOOKUP(B18,'04 TANIMLAR'!$A$2:$C$9,2,FALSE()),""))</f>
        <v/>
      </c>
      <c r="D18" s="58" t="n"/>
      <c r="E18" s="56">
        <f>IF(B18="","",IFERROR(VLOOKUP(B18,'04 TANIMLAR'!$A$2:$C$9,3,FALSE()),""))</f>
        <v/>
      </c>
      <c r="F18" s="58" t="n"/>
      <c r="G18" s="56" t="n"/>
      <c r="H18" s="58" t="n"/>
      <c r="I18" s="56" t="n"/>
      <c r="J18" s="56" t="n"/>
    </row>
    <row r="19" ht="15" customHeight="1">
      <c r="A19" s="56" t="n"/>
      <c r="B19" s="58" t="n"/>
      <c r="C19" s="56">
        <f>IF(B19="","",IFERROR(VLOOKUP(B19,'04 TANIMLAR'!$A$2:$C$9,2,FALSE()),""))</f>
        <v/>
      </c>
      <c r="D19" s="58" t="n"/>
      <c r="E19" s="56">
        <f>IF(B19="","",IFERROR(VLOOKUP(B19,'04 TANIMLAR'!$A$2:$C$9,3,FALSE()),""))</f>
        <v/>
      </c>
      <c r="F19" s="58" t="n"/>
      <c r="G19" s="56" t="n"/>
      <c r="H19" s="58" t="n"/>
      <c r="I19" s="56" t="n"/>
      <c r="J19" s="56" t="n"/>
    </row>
    <row r="20" ht="15" customHeight="1">
      <c r="A20" s="56" t="n"/>
      <c r="B20" s="58" t="n"/>
      <c r="C20" s="56">
        <f>IF(B20="","",IFERROR(VLOOKUP(B20,'04 TANIMLAR'!$A$2:$C$9,2,FALSE()),""))</f>
        <v/>
      </c>
      <c r="D20" s="58" t="n"/>
      <c r="E20" s="56">
        <f>IF(B20="","",IFERROR(VLOOKUP(B20,'04 TANIMLAR'!$A$2:$C$9,3,FALSE()),""))</f>
        <v/>
      </c>
      <c r="F20" s="58" t="n"/>
      <c r="G20" s="56" t="n"/>
      <c r="H20" s="58" t="n"/>
      <c r="I20" s="56" t="n"/>
      <c r="J20" s="56" t="n"/>
    </row>
    <row r="21" ht="15" customHeight="1">
      <c r="A21" s="56" t="n"/>
      <c r="B21" s="58" t="n"/>
      <c r="C21" s="56">
        <f>IF(B21="","",IFERROR(VLOOKUP(B21,'04 TANIMLAR'!$A$2:$C$9,2,FALSE()),""))</f>
        <v/>
      </c>
      <c r="D21" s="58" t="n"/>
      <c r="E21" s="56">
        <f>IF(B21="","",IFERROR(VLOOKUP(B21,'04 TANIMLAR'!$A$2:$C$9,3,FALSE()),""))</f>
        <v/>
      </c>
      <c r="F21" s="58" t="n"/>
      <c r="G21" s="56" t="n"/>
      <c r="H21" s="58" t="n"/>
      <c r="I21" s="56" t="n"/>
      <c r="J21" s="56" t="n"/>
    </row>
    <row r="22" ht="15" customHeight="1">
      <c r="A22" s="56" t="n"/>
      <c r="B22" s="58" t="n"/>
      <c r="C22" s="56">
        <f>IF(B22="","",IFERROR(VLOOKUP(B22,'04 TANIMLAR'!$A$2:$C$9,2,FALSE()),""))</f>
        <v/>
      </c>
      <c r="D22" s="58" t="n"/>
      <c r="E22" s="56">
        <f>IF(B22="","",IFERROR(VLOOKUP(B22,'04 TANIMLAR'!$A$2:$C$9,3,FALSE()),""))</f>
        <v/>
      </c>
      <c r="F22" s="58" t="n"/>
      <c r="G22" s="56" t="n"/>
      <c r="H22" s="58" t="n"/>
      <c r="I22" s="56" t="n"/>
      <c r="J22" s="56" t="n"/>
    </row>
    <row r="23" ht="15" customHeight="1">
      <c r="A23" s="56" t="n"/>
      <c r="B23" s="58" t="n"/>
      <c r="C23" s="56">
        <f>IF(B23="","",IFERROR(VLOOKUP(B23,'04 TANIMLAR'!$A$2:$C$9,2,FALSE()),""))</f>
        <v/>
      </c>
      <c r="D23" s="58" t="n"/>
      <c r="E23" s="56">
        <f>IF(B23="","",IFERROR(VLOOKUP(B23,'04 TANIMLAR'!$A$2:$C$9,3,FALSE()),""))</f>
        <v/>
      </c>
      <c r="F23" s="58" t="n"/>
      <c r="G23" s="56" t="n"/>
      <c r="H23" s="58" t="n"/>
      <c r="I23" s="56" t="n"/>
      <c r="J23" s="56" t="n"/>
    </row>
    <row r="24" ht="15" customHeight="1">
      <c r="A24" s="56" t="n"/>
      <c r="B24" s="58" t="n"/>
      <c r="C24" s="56">
        <f>IF(B24="","",IFERROR(VLOOKUP(B24,'04 TANIMLAR'!$A$2:$C$9,2,FALSE()),""))</f>
        <v/>
      </c>
      <c r="D24" s="58" t="n"/>
      <c r="E24" s="56">
        <f>IF(B24="","",IFERROR(VLOOKUP(B24,'04 TANIMLAR'!$A$2:$C$9,3,FALSE()),""))</f>
        <v/>
      </c>
      <c r="F24" s="58" t="n"/>
      <c r="G24" s="56" t="n"/>
      <c r="H24" s="58" t="n"/>
      <c r="I24" s="56" t="n"/>
      <c r="J24" s="56" t="n"/>
    </row>
    <row r="25" ht="15" customHeight="1">
      <c r="A25" s="56" t="n"/>
      <c r="B25" s="58" t="n"/>
      <c r="C25" s="56">
        <f>IF(B25="","",IFERROR(VLOOKUP(B25,'04 TANIMLAR'!$A$2:$C$9,2,FALSE()),""))</f>
        <v/>
      </c>
      <c r="D25" s="58" t="n"/>
      <c r="E25" s="56">
        <f>IF(B25="","",IFERROR(VLOOKUP(B25,'04 TANIMLAR'!$A$2:$C$9,3,FALSE()),""))</f>
        <v/>
      </c>
      <c r="F25" s="58" t="n"/>
      <c r="G25" s="56" t="n"/>
      <c r="H25" s="58" t="n"/>
      <c r="I25" s="56" t="n"/>
      <c r="J25" s="56" t="n"/>
    </row>
    <row r="26" ht="15" customHeight="1">
      <c r="A26" s="56" t="n"/>
      <c r="B26" s="58" t="n"/>
      <c r="C26" s="56">
        <f>IF(B26="","",IFERROR(VLOOKUP(B26,'04 TANIMLAR'!$A$2:$C$9,2,FALSE()),""))</f>
        <v/>
      </c>
      <c r="D26" s="58" t="n"/>
      <c r="E26" s="56">
        <f>IF(B26="","",IFERROR(VLOOKUP(B26,'04 TANIMLAR'!$A$2:$C$9,3,FALSE()),""))</f>
        <v/>
      </c>
      <c r="F26" s="58" t="n"/>
      <c r="G26" s="56" t="n"/>
      <c r="H26" s="58" t="n"/>
      <c r="I26" s="56" t="n"/>
      <c r="J26" s="56" t="n"/>
    </row>
    <row r="27" ht="15" customHeight="1">
      <c r="A27" s="56" t="n"/>
      <c r="B27" s="58" t="n"/>
      <c r="C27" s="56">
        <f>IF(B27="","",IFERROR(VLOOKUP(B27,'04 TANIMLAR'!$A$2:$C$9,2,FALSE()),""))</f>
        <v/>
      </c>
      <c r="D27" s="58" t="n"/>
      <c r="E27" s="56">
        <f>IF(B27="","",IFERROR(VLOOKUP(B27,'04 TANIMLAR'!$A$2:$C$9,3,FALSE()),""))</f>
        <v/>
      </c>
      <c r="F27" s="58" t="n"/>
      <c r="G27" s="56" t="n"/>
      <c r="H27" s="58" t="n"/>
      <c r="I27" s="56" t="n"/>
      <c r="J27" s="56" t="n"/>
    </row>
    <row r="28" ht="15" customHeight="1">
      <c r="A28" s="56" t="n"/>
      <c r="B28" s="58" t="n"/>
      <c r="C28" s="56">
        <f>IF(B28="","",IFERROR(VLOOKUP(B28,'04 TANIMLAR'!$A$2:$C$9,2,FALSE()),""))</f>
        <v/>
      </c>
      <c r="D28" s="58" t="n"/>
      <c r="E28" s="56">
        <f>IF(B28="","",IFERROR(VLOOKUP(B28,'04 TANIMLAR'!$A$2:$C$9,3,FALSE()),""))</f>
        <v/>
      </c>
      <c r="F28" s="58" t="n"/>
      <c r="G28" s="56" t="n"/>
      <c r="H28" s="58" t="n"/>
      <c r="I28" s="56" t="n"/>
      <c r="J28" s="56" t="n"/>
    </row>
    <row r="29" ht="15" customHeight="1">
      <c r="A29" s="56" t="n"/>
      <c r="B29" s="58" t="n"/>
      <c r="C29" s="56">
        <f>IF(B29="","",IFERROR(VLOOKUP(B29,'04 TANIMLAR'!$A$2:$C$9,2,FALSE()),""))</f>
        <v/>
      </c>
      <c r="D29" s="58" t="n"/>
      <c r="E29" s="56">
        <f>IF(B29="","",IFERROR(VLOOKUP(B29,'04 TANIMLAR'!$A$2:$C$9,3,FALSE()),""))</f>
        <v/>
      </c>
      <c r="F29" s="58" t="n"/>
      <c r="G29" s="56" t="n"/>
      <c r="H29" s="58" t="n"/>
      <c r="I29" s="56" t="n"/>
      <c r="J29" s="56" t="n"/>
    </row>
    <row r="30" ht="15" customHeight="1">
      <c r="A30" s="56" t="n"/>
      <c r="B30" s="58" t="n"/>
      <c r="C30" s="56">
        <f>IF(B30="","",IFERROR(VLOOKUP(B30,'04 TANIMLAR'!$A$2:$C$9,2,FALSE()),""))</f>
        <v/>
      </c>
      <c r="D30" s="58" t="n"/>
      <c r="E30" s="56">
        <f>IF(B30="","",IFERROR(VLOOKUP(B30,'04 TANIMLAR'!$A$2:$C$9,3,FALSE()),""))</f>
        <v/>
      </c>
      <c r="F30" s="58" t="n"/>
      <c r="G30" s="56" t="n"/>
      <c r="H30" s="58" t="n"/>
      <c r="I30" s="56" t="n"/>
      <c r="J30" s="56" t="n"/>
    </row>
    <row r="31" ht="15" customHeight="1">
      <c r="A31" s="56" t="n"/>
      <c r="B31" s="58" t="n"/>
      <c r="C31" s="56">
        <f>IF(B31="","",IFERROR(VLOOKUP(B31,'04 TANIMLAR'!$A$2:$C$9,2,FALSE()),""))</f>
        <v/>
      </c>
      <c r="D31" s="58" t="n"/>
      <c r="E31" s="56">
        <f>IF(B31="","",IFERROR(VLOOKUP(B31,'04 TANIMLAR'!$A$2:$C$9,3,FALSE()),""))</f>
        <v/>
      </c>
      <c r="F31" s="58" t="n"/>
      <c r="G31" s="56" t="n"/>
      <c r="H31" s="58" t="n"/>
      <c r="I31" s="56" t="n"/>
      <c r="J31" s="56" t="n"/>
    </row>
    <row r="32" ht="15" customHeight="1">
      <c r="A32" s="56" t="n"/>
      <c r="B32" s="58" t="n"/>
      <c r="C32" s="56">
        <f>IF(B32="","",IFERROR(VLOOKUP(B32,'04 TANIMLAR'!$A$2:$C$9,2,FALSE()),""))</f>
        <v/>
      </c>
      <c r="D32" s="58" t="n"/>
      <c r="E32" s="56">
        <f>IF(B32="","",IFERROR(VLOOKUP(B32,'04 TANIMLAR'!$A$2:$C$9,3,FALSE()),""))</f>
        <v/>
      </c>
      <c r="F32" s="58" t="n"/>
      <c r="G32" s="56" t="n"/>
      <c r="H32" s="58" t="n"/>
      <c r="I32" s="56" t="n"/>
      <c r="J32" s="56" t="n"/>
    </row>
    <row r="33" ht="15" customHeight="1">
      <c r="A33" s="56" t="n"/>
      <c r="B33" s="58" t="n"/>
      <c r="C33" s="56">
        <f>IF(B33="","",IFERROR(VLOOKUP(B33,'04 TANIMLAR'!$A$2:$C$9,2,FALSE()),""))</f>
        <v/>
      </c>
      <c r="D33" s="58" t="n"/>
      <c r="E33" s="56">
        <f>IF(B33="","",IFERROR(VLOOKUP(B33,'04 TANIMLAR'!$A$2:$C$9,3,FALSE()),""))</f>
        <v/>
      </c>
      <c r="F33" s="58" t="n"/>
      <c r="G33" s="56" t="n"/>
      <c r="H33" s="58" t="n"/>
      <c r="I33" s="56" t="n"/>
      <c r="J33" s="56" t="n"/>
    </row>
    <row r="34" ht="15" customHeight="1">
      <c r="A34" s="56" t="n"/>
      <c r="B34" s="58" t="n"/>
      <c r="C34" s="56">
        <f>IF(B34="","",IFERROR(VLOOKUP(B34,'04 TANIMLAR'!$A$2:$C$9,2,FALSE()),""))</f>
        <v/>
      </c>
      <c r="D34" s="58" t="n"/>
      <c r="E34" s="56">
        <f>IF(B34="","",IFERROR(VLOOKUP(B34,'04 TANIMLAR'!$A$2:$C$9,3,FALSE()),""))</f>
        <v/>
      </c>
      <c r="F34" s="58" t="n"/>
      <c r="G34" s="56" t="n"/>
      <c r="H34" s="58" t="n"/>
      <c r="I34" s="56" t="n"/>
      <c r="J34" s="56" t="n"/>
    </row>
    <row r="35" ht="15" customHeight="1">
      <c r="A35" s="56" t="n"/>
      <c r="B35" s="58" t="n"/>
      <c r="C35" s="56">
        <f>IF(B35="","",IFERROR(VLOOKUP(B35,'04 TANIMLAR'!$A$2:$C$9,2,FALSE()),""))</f>
        <v/>
      </c>
      <c r="D35" s="58" t="n"/>
      <c r="E35" s="56">
        <f>IF(B35="","",IFERROR(VLOOKUP(B35,'04 TANIMLAR'!$A$2:$C$9,3,FALSE()),""))</f>
        <v/>
      </c>
      <c r="F35" s="58" t="n"/>
      <c r="G35" s="56" t="n"/>
      <c r="H35" s="58" t="n"/>
      <c r="I35" s="56" t="n"/>
      <c r="J35" s="56" t="n"/>
    </row>
    <row r="36" ht="15" customHeight="1">
      <c r="A36" s="56" t="n"/>
      <c r="B36" s="58" t="n"/>
      <c r="C36" s="56">
        <f>IF(B36="","",IFERROR(VLOOKUP(B36,'04 TANIMLAR'!$A$2:$C$9,2,FALSE()),""))</f>
        <v/>
      </c>
      <c r="D36" s="58" t="n"/>
      <c r="E36" s="56">
        <f>IF(B36="","",IFERROR(VLOOKUP(B36,'04 TANIMLAR'!$A$2:$C$9,3,FALSE()),""))</f>
        <v/>
      </c>
      <c r="F36" s="58" t="n"/>
      <c r="G36" s="56" t="n"/>
      <c r="H36" s="58" t="n"/>
      <c r="I36" s="56" t="n"/>
      <c r="J36" s="56" t="n"/>
    </row>
    <row r="37" ht="15" customHeight="1">
      <c r="A37" s="56" t="n"/>
      <c r="B37" s="58" t="n"/>
      <c r="C37" s="56">
        <f>IF(B37="","",IFERROR(VLOOKUP(B37,'04 TANIMLAR'!$A$2:$C$9,2,FALSE()),""))</f>
        <v/>
      </c>
      <c r="D37" s="58" t="n"/>
      <c r="E37" s="56">
        <f>IF(B37="","",IFERROR(VLOOKUP(B37,'04 TANIMLAR'!$A$2:$C$9,3,FALSE()),""))</f>
        <v/>
      </c>
      <c r="F37" s="58" t="n"/>
      <c r="G37" s="56" t="n"/>
      <c r="H37" s="58" t="n"/>
      <c r="I37" s="56" t="n"/>
      <c r="J37" s="56" t="n"/>
    </row>
    <row r="38" ht="15" customHeight="1">
      <c r="A38" s="56" t="n"/>
      <c r="B38" s="58" t="n"/>
      <c r="C38" s="56">
        <f>IF(B38="","",IFERROR(VLOOKUP(B38,'04 TANIMLAR'!$A$2:$C$9,2,FALSE()),""))</f>
        <v/>
      </c>
      <c r="D38" s="58" t="n"/>
      <c r="E38" s="56">
        <f>IF(B38="","",IFERROR(VLOOKUP(B38,'04 TANIMLAR'!$A$2:$C$9,3,FALSE()),""))</f>
        <v/>
      </c>
      <c r="F38" s="58" t="n"/>
      <c r="G38" s="56" t="n"/>
      <c r="H38" s="58" t="n"/>
      <c r="I38" s="56" t="n"/>
      <c r="J38" s="56" t="n"/>
    </row>
    <row r="39" ht="15" customHeight="1">
      <c r="A39" s="56" t="n"/>
      <c r="B39" s="58" t="n"/>
      <c r="C39" s="56">
        <f>IF(B39="","",IFERROR(VLOOKUP(B39,'04 TANIMLAR'!$A$2:$C$9,2,FALSE()),""))</f>
        <v/>
      </c>
      <c r="D39" s="58" t="n"/>
      <c r="E39" s="56">
        <f>IF(B39="","",IFERROR(VLOOKUP(B39,'04 TANIMLAR'!$A$2:$C$9,3,FALSE()),""))</f>
        <v/>
      </c>
      <c r="F39" s="58" t="n"/>
      <c r="G39" s="56" t="n"/>
      <c r="H39" s="58" t="n"/>
      <c r="I39" s="56" t="n"/>
      <c r="J39" s="56" t="n"/>
    </row>
    <row r="40" ht="15" customHeight="1">
      <c r="A40" s="56" t="n"/>
      <c r="B40" s="58" t="n"/>
      <c r="C40" s="56">
        <f>IF(B40="","",IFERROR(VLOOKUP(B40,'04 TANIMLAR'!$A$2:$C$9,2,FALSE()),""))</f>
        <v/>
      </c>
      <c r="D40" s="58" t="n"/>
      <c r="E40" s="56">
        <f>IF(B40="","",IFERROR(VLOOKUP(B40,'04 TANIMLAR'!$A$2:$C$9,3,FALSE()),""))</f>
        <v/>
      </c>
      <c r="F40" s="58" t="n"/>
      <c r="G40" s="56" t="n"/>
      <c r="H40" s="58" t="n"/>
      <c r="I40" s="56" t="n"/>
      <c r="J40" s="56" t="n"/>
    </row>
    <row r="41" ht="15" customHeight="1">
      <c r="A41" s="56" t="n"/>
      <c r="B41" s="58" t="n"/>
      <c r="C41" s="56">
        <f>IF(B41="","",IFERROR(VLOOKUP(B41,'04 TANIMLAR'!$A$2:$C$9,2,FALSE()),""))</f>
        <v/>
      </c>
      <c r="D41" s="58" t="n"/>
      <c r="E41" s="56">
        <f>IF(B41="","",IFERROR(VLOOKUP(B41,'04 TANIMLAR'!$A$2:$C$9,3,FALSE()),""))</f>
        <v/>
      </c>
      <c r="F41" s="58" t="n"/>
      <c r="G41" s="56" t="n"/>
      <c r="H41" s="58" t="n"/>
      <c r="I41" s="56" t="n"/>
      <c r="J41" s="56" t="n"/>
    </row>
    <row r="42" ht="15" customHeight="1">
      <c r="A42" s="56" t="n"/>
      <c r="B42" s="58" t="n"/>
      <c r="C42" s="56">
        <f>IF(B42="","",IFERROR(VLOOKUP(B42,'04 TANIMLAR'!$A$2:$C$9,2,FALSE()),""))</f>
        <v/>
      </c>
      <c r="D42" s="58" t="n"/>
      <c r="E42" s="56">
        <f>IF(B42="","",IFERROR(VLOOKUP(B42,'04 TANIMLAR'!$A$2:$C$9,3,FALSE()),""))</f>
        <v/>
      </c>
      <c r="F42" s="58" t="n"/>
      <c r="G42" s="56" t="n"/>
      <c r="H42" s="58" t="n"/>
      <c r="I42" s="56" t="n"/>
      <c r="J42" s="56" t="n"/>
    </row>
    <row r="43" ht="15" customHeight="1">
      <c r="A43" s="56" t="n"/>
      <c r="B43" s="58" t="n"/>
      <c r="C43" s="56">
        <f>IF(B43="","",IFERROR(VLOOKUP(B43,'04 TANIMLAR'!$A$2:$C$9,2,FALSE()),""))</f>
        <v/>
      </c>
      <c r="D43" s="58" t="n"/>
      <c r="E43" s="56">
        <f>IF(B43="","",IFERROR(VLOOKUP(B43,'04 TANIMLAR'!$A$2:$C$9,3,FALSE()),""))</f>
        <v/>
      </c>
      <c r="F43" s="58" t="n"/>
      <c r="G43" s="56" t="n"/>
      <c r="H43" s="58" t="n"/>
      <c r="I43" s="56" t="n"/>
      <c r="J43" s="56" t="n"/>
    </row>
    <row r="44" ht="15" customHeight="1">
      <c r="A44" s="56" t="n"/>
      <c r="B44" s="58" t="n"/>
      <c r="C44" s="56">
        <f>IF(B44="","",IFERROR(VLOOKUP(B44,'04 TANIMLAR'!$A$2:$C$9,2,FALSE()),""))</f>
        <v/>
      </c>
      <c r="D44" s="58" t="n"/>
      <c r="E44" s="56">
        <f>IF(B44="","",IFERROR(VLOOKUP(B44,'04 TANIMLAR'!$A$2:$C$9,3,FALSE()),""))</f>
        <v/>
      </c>
      <c r="F44" s="58" t="n"/>
      <c r="G44" s="56" t="n"/>
      <c r="H44" s="58" t="n"/>
      <c r="I44" s="56" t="n"/>
      <c r="J44" s="56" t="n"/>
    </row>
    <row r="45" ht="15" customHeight="1">
      <c r="A45" s="56" t="n"/>
      <c r="B45" s="58" t="n"/>
      <c r="C45" s="56">
        <f>IF(B45="","",IFERROR(VLOOKUP(B45,'04 TANIMLAR'!$A$2:$C$9,2,FALSE()),""))</f>
        <v/>
      </c>
      <c r="D45" s="58" t="n"/>
      <c r="E45" s="56">
        <f>IF(B45="","",IFERROR(VLOOKUP(B45,'04 TANIMLAR'!$A$2:$C$9,3,FALSE()),""))</f>
        <v/>
      </c>
      <c r="F45" s="58" t="n"/>
      <c r="G45" s="56" t="n"/>
      <c r="H45" s="58" t="n"/>
      <c r="I45" s="56" t="n"/>
      <c r="J45" s="56" t="n"/>
    </row>
    <row r="46" ht="15" customHeight="1">
      <c r="A46" s="56" t="n"/>
      <c r="B46" s="58" t="n"/>
      <c r="C46" s="56">
        <f>IF(B46="","",IFERROR(VLOOKUP(B46,'04 TANIMLAR'!$A$2:$C$9,2,FALSE()),""))</f>
        <v/>
      </c>
      <c r="D46" s="58" t="n"/>
      <c r="E46" s="56">
        <f>IF(B46="","",IFERROR(VLOOKUP(B46,'04 TANIMLAR'!$A$2:$C$9,3,FALSE()),""))</f>
        <v/>
      </c>
      <c r="F46" s="58" t="n"/>
      <c r="G46" s="56" t="n"/>
      <c r="H46" s="58" t="n"/>
      <c r="I46" s="56" t="n"/>
      <c r="J46" s="56" t="n"/>
    </row>
    <row r="47" ht="15" customHeight="1">
      <c r="A47" s="56" t="n"/>
      <c r="B47" s="58" t="n"/>
      <c r="C47" s="56">
        <f>IF(B47="","",IFERROR(VLOOKUP(B47,'04 TANIMLAR'!$A$2:$C$9,2,FALSE()),""))</f>
        <v/>
      </c>
      <c r="D47" s="58" t="n"/>
      <c r="E47" s="56">
        <f>IF(B47="","",IFERROR(VLOOKUP(B47,'04 TANIMLAR'!$A$2:$C$9,3,FALSE()),""))</f>
        <v/>
      </c>
      <c r="F47" s="58" t="n"/>
      <c r="G47" s="56" t="n"/>
      <c r="H47" s="58" t="n"/>
      <c r="I47" s="56" t="n"/>
      <c r="J47" s="56" t="n"/>
    </row>
    <row r="48" ht="15" customHeight="1">
      <c r="A48" s="56" t="n"/>
      <c r="B48" s="58" t="n"/>
      <c r="C48" s="56">
        <f>IF(B48="","",IFERROR(VLOOKUP(B48,'04 TANIMLAR'!$A$2:$C$9,2,FALSE()),""))</f>
        <v/>
      </c>
      <c r="D48" s="58" t="n"/>
      <c r="E48" s="56">
        <f>IF(B48="","",IFERROR(VLOOKUP(B48,'04 TANIMLAR'!$A$2:$C$9,3,FALSE()),""))</f>
        <v/>
      </c>
      <c r="F48" s="58" t="n"/>
      <c r="G48" s="56" t="n"/>
      <c r="H48" s="58" t="n"/>
      <c r="I48" s="56" t="n"/>
      <c r="J48" s="56" t="n"/>
    </row>
    <row r="49" ht="15" customHeight="1">
      <c r="A49" s="56" t="n"/>
      <c r="B49" s="58" t="n"/>
      <c r="C49" s="56">
        <f>IF(B49="","",IFERROR(VLOOKUP(B49,'04 TANIMLAR'!$A$2:$C$9,2,FALSE()),""))</f>
        <v/>
      </c>
      <c r="D49" s="58" t="n"/>
      <c r="E49" s="56">
        <f>IF(B49="","",IFERROR(VLOOKUP(B49,'04 TANIMLAR'!$A$2:$C$9,3,FALSE()),""))</f>
        <v/>
      </c>
      <c r="F49" s="58" t="n"/>
      <c r="G49" s="56" t="n"/>
      <c r="H49" s="58" t="n"/>
      <c r="I49" s="56" t="n"/>
      <c r="J49" s="56" t="n"/>
    </row>
    <row r="50" ht="15" customHeight="1">
      <c r="A50" s="56" t="n"/>
      <c r="B50" s="58" t="n"/>
      <c r="C50" s="56">
        <f>IF(B50="","",IFERROR(VLOOKUP(B50,'04 TANIMLAR'!$A$2:$C$9,2,FALSE()),""))</f>
        <v/>
      </c>
      <c r="D50" s="58" t="n"/>
      <c r="E50" s="56">
        <f>IF(B50="","",IFERROR(VLOOKUP(B50,'04 TANIMLAR'!$A$2:$C$9,3,FALSE()),""))</f>
        <v/>
      </c>
      <c r="F50" s="58" t="n"/>
      <c r="G50" s="56" t="n"/>
      <c r="H50" s="58" t="n"/>
      <c r="I50" s="56" t="n"/>
      <c r="J50" s="56" t="n"/>
    </row>
    <row r="51" ht="15" customHeight="1">
      <c r="A51" s="56" t="n"/>
      <c r="B51" s="58" t="n"/>
      <c r="C51" s="56">
        <f>IF(B51="","",IFERROR(VLOOKUP(B51,'04 TANIMLAR'!$A$2:$C$9,2,FALSE()),""))</f>
        <v/>
      </c>
      <c r="D51" s="58" t="n"/>
      <c r="E51" s="56">
        <f>IF(B51="","",IFERROR(VLOOKUP(B51,'04 TANIMLAR'!$A$2:$C$9,3,FALSE()),""))</f>
        <v/>
      </c>
      <c r="F51" s="58" t="n"/>
      <c r="G51" s="56" t="n"/>
      <c r="H51" s="58" t="n"/>
      <c r="I51" s="56" t="n"/>
      <c r="J51" s="56" t="n"/>
    </row>
    <row r="52" ht="15" customHeight="1">
      <c r="A52" s="56" t="n"/>
      <c r="B52" s="58" t="n"/>
      <c r="C52" s="56">
        <f>IF(B52="","",IFERROR(VLOOKUP(B52,'04 TANIMLAR'!$A$2:$C$9,2,FALSE()),""))</f>
        <v/>
      </c>
      <c r="D52" s="58" t="n"/>
      <c r="E52" s="56">
        <f>IF(B52="","",IFERROR(VLOOKUP(B52,'04 TANIMLAR'!$A$2:$C$9,3,FALSE()),""))</f>
        <v/>
      </c>
      <c r="F52" s="58" t="n"/>
      <c r="G52" s="56" t="n"/>
      <c r="H52" s="58" t="n"/>
      <c r="I52" s="56" t="n"/>
      <c r="J52" s="56" t="n"/>
    </row>
    <row r="53" ht="15" customHeight="1">
      <c r="A53" s="56" t="n"/>
      <c r="B53" s="58" t="n"/>
      <c r="C53" s="56">
        <f>IF(B53="","",IFERROR(VLOOKUP(B53,'04 TANIMLAR'!$A$2:$C$9,2,FALSE()),""))</f>
        <v/>
      </c>
      <c r="D53" s="58" t="n"/>
      <c r="E53" s="56">
        <f>IF(B53="","",IFERROR(VLOOKUP(B53,'04 TANIMLAR'!$A$2:$C$9,3,FALSE()),""))</f>
        <v/>
      </c>
      <c r="F53" s="58" t="n"/>
      <c r="G53" s="56" t="n"/>
      <c r="H53" s="58" t="n"/>
      <c r="I53" s="56" t="n"/>
      <c r="J53" s="56" t="n"/>
    </row>
    <row r="54" ht="15" customHeight="1">
      <c r="A54" s="56" t="n"/>
      <c r="B54" s="58" t="n"/>
      <c r="C54" s="56">
        <f>IF(B54="","",IFERROR(VLOOKUP(B54,'04 TANIMLAR'!$A$2:$C$9,2,FALSE()),""))</f>
        <v/>
      </c>
      <c r="D54" s="58" t="n"/>
      <c r="E54" s="56">
        <f>IF(B54="","",IFERROR(VLOOKUP(B54,'04 TANIMLAR'!$A$2:$C$9,3,FALSE()),""))</f>
        <v/>
      </c>
      <c r="F54" s="58" t="n"/>
      <c r="G54" s="56" t="n"/>
      <c r="H54" s="58" t="n"/>
      <c r="I54" s="56" t="n"/>
      <c r="J54" s="56" t="n"/>
    </row>
    <row r="55" ht="15" customHeight="1">
      <c r="A55" s="56" t="n"/>
      <c r="B55" s="58" t="n"/>
      <c r="C55" s="56">
        <f>IF(B55="","",IFERROR(VLOOKUP(B55,'04 TANIMLAR'!$A$2:$C$9,2,FALSE()),""))</f>
        <v/>
      </c>
      <c r="D55" s="58" t="n"/>
      <c r="E55" s="56">
        <f>IF(B55="","",IFERROR(VLOOKUP(B55,'04 TANIMLAR'!$A$2:$C$9,3,FALSE()),""))</f>
        <v/>
      </c>
      <c r="F55" s="58" t="n"/>
      <c r="G55" s="56" t="n"/>
      <c r="H55" s="58" t="n"/>
      <c r="I55" s="56" t="n"/>
      <c r="J55" s="56" t="n"/>
    </row>
    <row r="56" ht="15" customHeight="1">
      <c r="A56" s="56" t="n"/>
      <c r="B56" s="58" t="n"/>
      <c r="C56" s="56">
        <f>IF(B56="","",IFERROR(VLOOKUP(B56,'04 TANIMLAR'!$A$2:$C$9,2,FALSE()),""))</f>
        <v/>
      </c>
      <c r="D56" s="58" t="n"/>
      <c r="E56" s="56">
        <f>IF(B56="","",IFERROR(VLOOKUP(B56,'04 TANIMLAR'!$A$2:$C$9,3,FALSE()),""))</f>
        <v/>
      </c>
      <c r="F56" s="58" t="n"/>
      <c r="G56" s="56" t="n"/>
      <c r="H56" s="58" t="n"/>
      <c r="I56" s="56" t="n"/>
      <c r="J56" s="56" t="n"/>
    </row>
    <row r="57" ht="15" customHeight="1">
      <c r="A57" s="56" t="n"/>
      <c r="B57" s="58" t="n"/>
      <c r="C57" s="56">
        <f>IF(B57="","",IFERROR(VLOOKUP(B57,'04 TANIMLAR'!$A$2:$C$9,2,FALSE()),""))</f>
        <v/>
      </c>
      <c r="D57" s="58" t="n"/>
      <c r="E57" s="56">
        <f>IF(B57="","",IFERROR(VLOOKUP(B57,'04 TANIMLAR'!$A$2:$C$9,3,FALSE()),""))</f>
        <v/>
      </c>
      <c r="F57" s="58" t="n"/>
      <c r="G57" s="56" t="n"/>
      <c r="H57" s="58" t="n"/>
      <c r="I57" s="56" t="n"/>
      <c r="J57" s="56" t="n"/>
    </row>
    <row r="58" ht="15" customHeight="1">
      <c r="A58" s="56" t="n"/>
      <c r="B58" s="58" t="n"/>
      <c r="C58" s="56">
        <f>IF(B58="","",IFERROR(VLOOKUP(B58,'04 TANIMLAR'!$A$2:$C$9,2,FALSE()),""))</f>
        <v/>
      </c>
      <c r="D58" s="58" t="n"/>
      <c r="E58" s="56">
        <f>IF(B58="","",IFERROR(VLOOKUP(B58,'04 TANIMLAR'!$A$2:$C$9,3,FALSE()),""))</f>
        <v/>
      </c>
      <c r="F58" s="58" t="n"/>
      <c r="G58" s="56" t="n"/>
      <c r="H58" s="58" t="n"/>
      <c r="I58" s="56" t="n"/>
      <c r="J58" s="56" t="n"/>
    </row>
    <row r="59" ht="15" customHeight="1">
      <c r="A59" s="56" t="n"/>
      <c r="B59" s="58" t="n"/>
      <c r="C59" s="56">
        <f>IF(B59="","",IFERROR(VLOOKUP(B59,'04 TANIMLAR'!$A$2:$C$9,2,FALSE()),""))</f>
        <v/>
      </c>
      <c r="D59" s="58" t="n"/>
      <c r="E59" s="56">
        <f>IF(B59="","",IFERROR(VLOOKUP(B59,'04 TANIMLAR'!$A$2:$C$9,3,FALSE()),""))</f>
        <v/>
      </c>
      <c r="F59" s="58" t="n"/>
      <c r="G59" s="56" t="n"/>
      <c r="H59" s="58" t="n"/>
      <c r="I59" s="56" t="n"/>
      <c r="J59" s="56" t="n"/>
    </row>
    <row r="60" ht="15" customHeight="1">
      <c r="A60" s="56" t="n"/>
      <c r="B60" s="58" t="n"/>
      <c r="C60" s="56">
        <f>IF(B60="","",IFERROR(VLOOKUP(B60,'04 TANIMLAR'!$A$2:$C$9,2,FALSE()),""))</f>
        <v/>
      </c>
      <c r="D60" s="58" t="n"/>
      <c r="E60" s="56">
        <f>IF(B60="","",IFERROR(VLOOKUP(B60,'04 TANIMLAR'!$A$2:$C$9,3,FALSE()),""))</f>
        <v/>
      </c>
      <c r="F60" s="58" t="n"/>
      <c r="G60" s="56" t="n"/>
      <c r="H60" s="58" t="n"/>
      <c r="I60" s="56" t="n"/>
      <c r="J60" s="56" t="n"/>
    </row>
    <row r="61" ht="15" customHeight="1">
      <c r="A61" s="56" t="n"/>
      <c r="B61" s="58" t="n"/>
      <c r="C61" s="56">
        <f>IF(B61="","",IFERROR(VLOOKUP(B61,'04 TANIMLAR'!$A$2:$C$9,2,FALSE()),""))</f>
        <v/>
      </c>
      <c r="D61" s="58" t="n"/>
      <c r="E61" s="56">
        <f>IF(B61="","",IFERROR(VLOOKUP(B61,'04 TANIMLAR'!$A$2:$C$9,3,FALSE()),""))</f>
        <v/>
      </c>
      <c r="F61" s="58" t="n"/>
      <c r="G61" s="56" t="n"/>
      <c r="H61" s="58" t="n"/>
      <c r="I61" s="56" t="n"/>
      <c r="J61" s="56" t="n"/>
    </row>
    <row r="62" ht="15" customHeight="1">
      <c r="A62" s="56" t="n"/>
      <c r="B62" s="58" t="n"/>
      <c r="C62" s="56">
        <f>IF(B62="","",IFERROR(VLOOKUP(B62,'04 TANIMLAR'!$A$2:$C$9,2,FALSE()),""))</f>
        <v/>
      </c>
      <c r="D62" s="58" t="n"/>
      <c r="E62" s="56">
        <f>IF(B62="","",IFERROR(VLOOKUP(B62,'04 TANIMLAR'!$A$2:$C$9,3,FALSE()),""))</f>
        <v/>
      </c>
      <c r="F62" s="58" t="n"/>
      <c r="G62" s="56" t="n"/>
      <c r="H62" s="58" t="n"/>
      <c r="I62" s="56" t="n"/>
      <c r="J62" s="56" t="n"/>
    </row>
    <row r="63" ht="15" customHeight="1">
      <c r="A63" s="56" t="n"/>
      <c r="B63" s="58" t="n"/>
      <c r="C63" s="56">
        <f>IF(B63="","",IFERROR(VLOOKUP(B63,'04 TANIMLAR'!$A$2:$C$9,2,FALSE()),""))</f>
        <v/>
      </c>
      <c r="D63" s="58" t="n"/>
      <c r="E63" s="56">
        <f>IF(B63="","",IFERROR(VLOOKUP(B63,'04 TANIMLAR'!$A$2:$C$9,3,FALSE()),""))</f>
        <v/>
      </c>
      <c r="F63" s="58" t="n"/>
      <c r="G63" s="56" t="n"/>
      <c r="H63" s="58" t="n"/>
      <c r="I63" s="56" t="n"/>
      <c r="J63" s="56" t="n"/>
    </row>
    <row r="64" ht="15" customHeight="1">
      <c r="A64" s="56" t="n"/>
      <c r="B64" s="58" t="n"/>
      <c r="C64" s="56">
        <f>IF(B64="","",IFERROR(VLOOKUP(B64,'04 TANIMLAR'!$A$2:$C$9,2,FALSE()),""))</f>
        <v/>
      </c>
      <c r="D64" s="58" t="n"/>
      <c r="E64" s="56">
        <f>IF(B64="","",IFERROR(VLOOKUP(B64,'04 TANIMLAR'!$A$2:$C$9,3,FALSE()),""))</f>
        <v/>
      </c>
      <c r="F64" s="58" t="n"/>
      <c r="G64" s="56" t="n"/>
      <c r="H64" s="58" t="n"/>
      <c r="I64" s="56" t="n"/>
      <c r="J64" s="56" t="n"/>
    </row>
    <row r="65" ht="15" customHeight="1">
      <c r="A65" s="56" t="n"/>
      <c r="B65" s="58" t="n"/>
      <c r="C65" s="56">
        <f>IF(B65="","",IFERROR(VLOOKUP(B65,'04 TANIMLAR'!$A$2:$C$9,2,FALSE()),""))</f>
        <v/>
      </c>
      <c r="D65" s="58" t="n"/>
      <c r="E65" s="56">
        <f>IF(B65="","",IFERROR(VLOOKUP(B65,'04 TANIMLAR'!$A$2:$C$9,3,FALSE()),""))</f>
        <v/>
      </c>
      <c r="F65" s="58" t="n"/>
      <c r="G65" s="56" t="n"/>
      <c r="H65" s="58" t="n"/>
      <c r="I65" s="56" t="n"/>
      <c r="J65" s="56" t="n"/>
    </row>
    <row r="66" ht="15" customHeight="1">
      <c r="A66" s="56" t="n"/>
      <c r="B66" s="58" t="n"/>
      <c r="C66" s="56">
        <f>IF(B66="","",IFERROR(VLOOKUP(B66,'04 TANIMLAR'!$A$2:$C$9,2,FALSE()),""))</f>
        <v/>
      </c>
      <c r="D66" s="58" t="n"/>
      <c r="E66" s="56">
        <f>IF(B66="","",IFERROR(VLOOKUP(B66,'04 TANIMLAR'!$A$2:$C$9,3,FALSE()),""))</f>
        <v/>
      </c>
      <c r="F66" s="58" t="n"/>
      <c r="G66" s="56" t="n"/>
      <c r="H66" s="58" t="n"/>
      <c r="I66" s="56" t="n"/>
      <c r="J66" s="56" t="n"/>
    </row>
    <row r="67" ht="15" customHeight="1">
      <c r="A67" s="56" t="n"/>
      <c r="B67" s="58" t="n"/>
      <c r="C67" s="56">
        <f>IF(B67="","",IFERROR(VLOOKUP(B67,'04 TANIMLAR'!$A$2:$C$9,2,FALSE()),""))</f>
        <v/>
      </c>
      <c r="D67" s="58" t="n"/>
      <c r="E67" s="56">
        <f>IF(B67="","",IFERROR(VLOOKUP(B67,'04 TANIMLAR'!$A$2:$C$9,3,FALSE()),""))</f>
        <v/>
      </c>
      <c r="F67" s="58" t="n"/>
      <c r="G67" s="56" t="n"/>
      <c r="H67" s="58" t="n"/>
      <c r="I67" s="56" t="n"/>
      <c r="J67" s="56" t="n"/>
    </row>
    <row r="68" ht="15" customHeight="1">
      <c r="A68" s="56" t="n"/>
      <c r="B68" s="58" t="n"/>
      <c r="C68" s="56">
        <f>IF(B68="","",IFERROR(VLOOKUP(B68,'04 TANIMLAR'!$A$2:$C$9,2,FALSE()),""))</f>
        <v/>
      </c>
      <c r="D68" s="58" t="n"/>
      <c r="E68" s="56">
        <f>IF(B68="","",IFERROR(VLOOKUP(B68,'04 TANIMLAR'!$A$2:$C$9,3,FALSE()),""))</f>
        <v/>
      </c>
      <c r="F68" s="58" t="n"/>
      <c r="G68" s="56" t="n"/>
      <c r="H68" s="58" t="n"/>
      <c r="I68" s="56" t="n"/>
      <c r="J68" s="56" t="n"/>
    </row>
    <row r="69" ht="15" customHeight="1">
      <c r="A69" s="56" t="n"/>
      <c r="B69" s="58" t="n"/>
      <c r="C69" s="56">
        <f>IF(B69="","",IFERROR(VLOOKUP(B69,'04 TANIMLAR'!$A$2:$C$9,2,FALSE()),""))</f>
        <v/>
      </c>
      <c r="D69" s="58" t="n"/>
      <c r="E69" s="56">
        <f>IF(B69="","",IFERROR(VLOOKUP(B69,'04 TANIMLAR'!$A$2:$C$9,3,FALSE()),""))</f>
        <v/>
      </c>
      <c r="F69" s="58" t="n"/>
      <c r="G69" s="56" t="n"/>
      <c r="H69" s="58" t="n"/>
      <c r="I69" s="56" t="n"/>
      <c r="J69" s="56" t="n"/>
    </row>
    <row r="70" ht="15" customHeight="1">
      <c r="A70" s="56" t="n"/>
      <c r="B70" s="58" t="n"/>
      <c r="C70" s="56">
        <f>IF(B70="","",IFERROR(VLOOKUP(B70,'04 TANIMLAR'!$A$2:$C$9,2,FALSE()),""))</f>
        <v/>
      </c>
      <c r="D70" s="58" t="n"/>
      <c r="E70" s="56">
        <f>IF(B70="","",IFERROR(VLOOKUP(B70,'04 TANIMLAR'!$A$2:$C$9,3,FALSE()),""))</f>
        <v/>
      </c>
      <c r="F70" s="58" t="n"/>
      <c r="G70" s="56" t="n"/>
      <c r="H70" s="58" t="n"/>
      <c r="I70" s="56" t="n"/>
      <c r="J70" s="56" t="n"/>
    </row>
    <row r="71" ht="15" customHeight="1">
      <c r="A71" s="56" t="n"/>
      <c r="B71" s="58" t="n"/>
      <c r="C71" s="56">
        <f>IF(B71="","",IFERROR(VLOOKUP(B71,'04 TANIMLAR'!$A$2:$C$9,2,FALSE()),""))</f>
        <v/>
      </c>
      <c r="D71" s="58" t="n"/>
      <c r="E71" s="56">
        <f>IF(B71="","",IFERROR(VLOOKUP(B71,'04 TANIMLAR'!$A$2:$C$9,3,FALSE()),""))</f>
        <v/>
      </c>
      <c r="F71" s="58" t="n"/>
      <c r="G71" s="56" t="n"/>
      <c r="H71" s="58" t="n"/>
      <c r="I71" s="56" t="n"/>
      <c r="J71" s="56" t="n"/>
    </row>
    <row r="72" ht="15" customHeight="1">
      <c r="A72" s="56" t="n"/>
      <c r="B72" s="58" t="n"/>
      <c r="C72" s="56">
        <f>IF(B72="","",IFERROR(VLOOKUP(B72,'04 TANIMLAR'!$A$2:$C$9,2,FALSE()),""))</f>
        <v/>
      </c>
      <c r="D72" s="58" t="n"/>
      <c r="E72" s="56">
        <f>IF(B72="","",IFERROR(VLOOKUP(B72,'04 TANIMLAR'!$A$2:$C$9,3,FALSE()),""))</f>
        <v/>
      </c>
      <c r="F72" s="58" t="n"/>
      <c r="G72" s="56" t="n"/>
      <c r="H72" s="58" t="n"/>
      <c r="I72" s="56" t="n"/>
      <c r="J72" s="56" t="n"/>
    </row>
    <row r="73" ht="15" customHeight="1">
      <c r="A73" s="56" t="n"/>
      <c r="B73" s="58" t="n"/>
      <c r="C73" s="56">
        <f>IF(B73="","",IFERROR(VLOOKUP(B73,'04 TANIMLAR'!$A$2:$C$9,2,FALSE()),""))</f>
        <v/>
      </c>
      <c r="D73" s="58" t="n"/>
      <c r="E73" s="56">
        <f>IF(B73="","",IFERROR(VLOOKUP(B73,'04 TANIMLAR'!$A$2:$C$9,3,FALSE()),""))</f>
        <v/>
      </c>
      <c r="F73" s="58" t="n"/>
      <c r="G73" s="56" t="n"/>
      <c r="H73" s="58" t="n"/>
      <c r="I73" s="56" t="n"/>
      <c r="J73" s="56" t="n"/>
    </row>
    <row r="74" ht="15" customHeight="1">
      <c r="A74" s="56" t="n"/>
      <c r="B74" s="58" t="n"/>
      <c r="C74" s="56">
        <f>IF(B74="","",IFERROR(VLOOKUP(B74,'04 TANIMLAR'!$A$2:$C$9,2,FALSE()),""))</f>
        <v/>
      </c>
      <c r="D74" s="58" t="n"/>
      <c r="E74" s="56">
        <f>IF(B74="","",IFERROR(VLOOKUP(B74,'04 TANIMLAR'!$A$2:$C$9,3,FALSE()),""))</f>
        <v/>
      </c>
      <c r="F74" s="58" t="n"/>
      <c r="G74" s="56" t="n"/>
      <c r="H74" s="58" t="n"/>
      <c r="I74" s="56" t="n"/>
      <c r="J74" s="56" t="n"/>
    </row>
    <row r="75" ht="15" customHeight="1">
      <c r="A75" s="56" t="n"/>
      <c r="B75" s="58" t="n"/>
      <c r="C75" s="56">
        <f>IF(B75="","",IFERROR(VLOOKUP(B75,'04 TANIMLAR'!$A$2:$C$9,2,FALSE()),""))</f>
        <v/>
      </c>
      <c r="D75" s="58" t="n"/>
      <c r="E75" s="56">
        <f>IF(B75="","",IFERROR(VLOOKUP(B75,'04 TANIMLAR'!$A$2:$C$9,3,FALSE()),""))</f>
        <v/>
      </c>
      <c r="F75" s="58" t="n"/>
      <c r="G75" s="56" t="n"/>
      <c r="H75" s="58" t="n"/>
      <c r="I75" s="56" t="n"/>
      <c r="J75" s="56" t="n"/>
    </row>
    <row r="76" ht="15" customHeight="1">
      <c r="A76" s="56" t="n"/>
      <c r="B76" s="58" t="n"/>
      <c r="C76" s="56">
        <f>IF(B76="","",IFERROR(VLOOKUP(B76,'04 TANIMLAR'!$A$2:$C$9,2,FALSE()),""))</f>
        <v/>
      </c>
      <c r="D76" s="58" t="n"/>
      <c r="E76" s="56">
        <f>IF(B76="","",IFERROR(VLOOKUP(B76,'04 TANIMLAR'!$A$2:$C$9,3,FALSE()),""))</f>
        <v/>
      </c>
      <c r="F76" s="58" t="n"/>
      <c r="G76" s="56" t="n"/>
      <c r="H76" s="58" t="n"/>
      <c r="I76" s="56" t="n"/>
      <c r="J76" s="56" t="n"/>
    </row>
    <row r="77" ht="15" customHeight="1">
      <c r="A77" s="56" t="n"/>
      <c r="B77" s="58" t="n"/>
      <c r="C77" s="56">
        <f>IF(B77="","",IFERROR(VLOOKUP(B77,'04 TANIMLAR'!$A$2:$C$9,2,FALSE()),""))</f>
        <v/>
      </c>
      <c r="D77" s="58" t="n"/>
      <c r="E77" s="56">
        <f>IF(B77="","",IFERROR(VLOOKUP(B77,'04 TANIMLAR'!$A$2:$C$9,3,FALSE()),""))</f>
        <v/>
      </c>
      <c r="F77" s="58" t="n"/>
      <c r="G77" s="56" t="n"/>
      <c r="H77" s="58" t="n"/>
      <c r="I77" s="56" t="n"/>
      <c r="J77" s="56" t="n"/>
    </row>
    <row r="78" ht="15" customHeight="1">
      <c r="A78" s="56" t="n"/>
      <c r="B78" s="58" t="n"/>
      <c r="C78" s="56">
        <f>IF(B78="","",IFERROR(VLOOKUP(B78,'04 TANIMLAR'!$A$2:$C$9,2,FALSE()),""))</f>
        <v/>
      </c>
      <c r="D78" s="58" t="n"/>
      <c r="E78" s="56">
        <f>IF(B78="","",IFERROR(VLOOKUP(B78,'04 TANIMLAR'!$A$2:$C$9,3,FALSE()),""))</f>
        <v/>
      </c>
      <c r="F78" s="58" t="n"/>
      <c r="G78" s="56" t="n"/>
      <c r="H78" s="58" t="n"/>
      <c r="I78" s="56" t="n"/>
      <c r="J78" s="56" t="n"/>
    </row>
    <row r="79" ht="15" customHeight="1">
      <c r="A79" s="56" t="n"/>
      <c r="B79" s="58" t="n"/>
      <c r="C79" s="56">
        <f>IF(B79="","",IFERROR(VLOOKUP(B79,'04 TANIMLAR'!$A$2:$C$9,2,FALSE()),""))</f>
        <v/>
      </c>
      <c r="D79" s="58" t="n"/>
      <c r="E79" s="56">
        <f>IF(B79="","",IFERROR(VLOOKUP(B79,'04 TANIMLAR'!$A$2:$C$9,3,FALSE()),""))</f>
        <v/>
      </c>
      <c r="F79" s="58" t="n"/>
      <c r="G79" s="56" t="n"/>
      <c r="H79" s="58" t="n"/>
      <c r="I79" s="56" t="n"/>
      <c r="J79" s="56" t="n"/>
    </row>
    <row r="80" ht="15" customHeight="1">
      <c r="A80" s="56" t="n"/>
      <c r="B80" s="58" t="n"/>
      <c r="C80" s="56">
        <f>IF(B80="","",IFERROR(VLOOKUP(B80,'04 TANIMLAR'!$A$2:$C$9,2,FALSE()),""))</f>
        <v/>
      </c>
      <c r="D80" s="58" t="n"/>
      <c r="E80" s="56">
        <f>IF(B80="","",IFERROR(VLOOKUP(B80,'04 TANIMLAR'!$A$2:$C$9,3,FALSE()),""))</f>
        <v/>
      </c>
      <c r="F80" s="58" t="n"/>
      <c r="G80" s="56" t="n"/>
      <c r="H80" s="58" t="n"/>
      <c r="I80" s="56" t="n"/>
      <c r="J80" s="56" t="n"/>
    </row>
    <row r="81" ht="15" customHeight="1">
      <c r="A81" s="56" t="n"/>
      <c r="B81" s="58" t="n"/>
      <c r="C81" s="56">
        <f>IF(B81="","",IFERROR(VLOOKUP(B81,'04 TANIMLAR'!$A$2:$C$9,2,FALSE()),""))</f>
        <v/>
      </c>
      <c r="D81" s="58" t="n"/>
      <c r="E81" s="56">
        <f>IF(B81="","",IFERROR(VLOOKUP(B81,'04 TANIMLAR'!$A$2:$C$9,3,FALSE()),""))</f>
        <v/>
      </c>
      <c r="F81" s="58" t="n"/>
      <c r="G81" s="56" t="n"/>
      <c r="H81" s="58" t="n"/>
      <c r="I81" s="56" t="n"/>
      <c r="J81" s="56" t="n"/>
    </row>
    <row r="82" ht="15" customHeight="1">
      <c r="A82" s="56" t="n"/>
      <c r="B82" s="58" t="n"/>
      <c r="C82" s="56">
        <f>IF(B82="","",IFERROR(VLOOKUP(B82,'04 TANIMLAR'!$A$2:$C$9,2,FALSE()),""))</f>
        <v/>
      </c>
      <c r="D82" s="58" t="n"/>
      <c r="E82" s="56">
        <f>IF(B82="","",IFERROR(VLOOKUP(B82,'04 TANIMLAR'!$A$2:$C$9,3,FALSE()),""))</f>
        <v/>
      </c>
      <c r="F82" s="58" t="n"/>
      <c r="G82" s="56" t="n"/>
      <c r="H82" s="58" t="n"/>
      <c r="I82" s="56" t="n"/>
      <c r="J82" s="56" t="n"/>
    </row>
    <row r="83" ht="15" customHeight="1">
      <c r="A83" s="56" t="n"/>
      <c r="B83" s="58" t="n"/>
      <c r="C83" s="56">
        <f>IF(B83="","",IFERROR(VLOOKUP(B83,'04 TANIMLAR'!$A$2:$C$9,2,FALSE()),""))</f>
        <v/>
      </c>
      <c r="D83" s="58" t="n"/>
      <c r="E83" s="56">
        <f>IF(B83="","",IFERROR(VLOOKUP(B83,'04 TANIMLAR'!$A$2:$C$9,3,FALSE()),""))</f>
        <v/>
      </c>
      <c r="F83" s="58" t="n"/>
      <c r="G83" s="56" t="n"/>
      <c r="H83" s="58" t="n"/>
      <c r="I83" s="56" t="n"/>
      <c r="J83" s="56" t="n"/>
    </row>
    <row r="84" ht="15" customHeight="1">
      <c r="A84" s="56" t="n"/>
      <c r="B84" s="58" t="n"/>
      <c r="C84" s="56">
        <f>IF(B84="","",IFERROR(VLOOKUP(B84,'04 TANIMLAR'!$A$2:$C$9,2,FALSE()),""))</f>
        <v/>
      </c>
      <c r="D84" s="58" t="n"/>
      <c r="E84" s="56">
        <f>IF(B84="","",IFERROR(VLOOKUP(B84,'04 TANIMLAR'!$A$2:$C$9,3,FALSE()),""))</f>
        <v/>
      </c>
      <c r="F84" s="58" t="n"/>
      <c r="G84" s="56" t="n"/>
      <c r="H84" s="58" t="n"/>
      <c r="I84" s="56" t="n"/>
      <c r="J84" s="56" t="n"/>
    </row>
    <row r="85" ht="15" customHeight="1">
      <c r="A85" s="56" t="n"/>
      <c r="B85" s="58" t="n"/>
      <c r="C85" s="56">
        <f>IF(B85="","",IFERROR(VLOOKUP(B85,'04 TANIMLAR'!$A$2:$C$9,2,FALSE()),""))</f>
        <v/>
      </c>
      <c r="D85" s="58" t="n"/>
      <c r="E85" s="56">
        <f>IF(B85="","",IFERROR(VLOOKUP(B85,'04 TANIMLAR'!$A$2:$C$9,3,FALSE()),""))</f>
        <v/>
      </c>
      <c r="F85" s="58" t="n"/>
      <c r="G85" s="56" t="n"/>
      <c r="H85" s="58" t="n"/>
      <c r="I85" s="56" t="n"/>
      <c r="J85" s="56" t="n"/>
    </row>
    <row r="86" ht="15" customHeight="1">
      <c r="A86" s="56" t="n"/>
      <c r="B86" s="58" t="n"/>
      <c r="C86" s="56">
        <f>IF(B86="","",IFERROR(VLOOKUP(B86,'04 TANIMLAR'!$A$2:$C$9,2,FALSE()),""))</f>
        <v/>
      </c>
      <c r="D86" s="58" t="n"/>
      <c r="E86" s="56">
        <f>IF(B86="","",IFERROR(VLOOKUP(B86,'04 TANIMLAR'!$A$2:$C$9,3,FALSE()),""))</f>
        <v/>
      </c>
      <c r="F86" s="58" t="n"/>
      <c r="G86" s="56" t="n"/>
      <c r="H86" s="58" t="n"/>
      <c r="I86" s="56" t="n"/>
      <c r="J86" s="56" t="n"/>
    </row>
    <row r="87" ht="15" customHeight="1">
      <c r="A87" s="56" t="n"/>
      <c r="B87" s="58" t="n"/>
      <c r="C87" s="56">
        <f>IF(B87="","",IFERROR(VLOOKUP(B87,'04 TANIMLAR'!$A$2:$C$9,2,FALSE()),""))</f>
        <v/>
      </c>
      <c r="D87" s="58" t="n"/>
      <c r="E87" s="56">
        <f>IF(B87="","",IFERROR(VLOOKUP(B87,'04 TANIMLAR'!$A$2:$C$9,3,FALSE()),""))</f>
        <v/>
      </c>
      <c r="F87" s="58" t="n"/>
      <c r="G87" s="56" t="n"/>
      <c r="H87" s="58" t="n"/>
      <c r="I87" s="56" t="n"/>
      <c r="J87" s="56" t="n"/>
    </row>
    <row r="88" ht="15" customHeight="1">
      <c r="A88" s="56" t="n"/>
      <c r="B88" s="58" t="n"/>
      <c r="C88" s="56">
        <f>IF(B88="","",IFERROR(VLOOKUP(B88,'04 TANIMLAR'!$A$2:$C$9,2,FALSE()),""))</f>
        <v/>
      </c>
      <c r="D88" s="58" t="n"/>
      <c r="E88" s="56">
        <f>IF(B88="","",IFERROR(VLOOKUP(B88,'04 TANIMLAR'!$A$2:$C$9,3,FALSE()),""))</f>
        <v/>
      </c>
      <c r="F88" s="58" t="n"/>
      <c r="G88" s="56" t="n"/>
      <c r="H88" s="58" t="n"/>
      <c r="I88" s="56" t="n"/>
      <c r="J88" s="56" t="n"/>
    </row>
    <row r="89" ht="15" customHeight="1">
      <c r="A89" s="56" t="n"/>
      <c r="B89" s="58" t="n"/>
      <c r="C89" s="56">
        <f>IF(B89="","",IFERROR(VLOOKUP(B89,'04 TANIMLAR'!$A$2:$C$9,2,FALSE()),""))</f>
        <v/>
      </c>
      <c r="D89" s="58" t="n"/>
      <c r="E89" s="56">
        <f>IF(B89="","",IFERROR(VLOOKUP(B89,'04 TANIMLAR'!$A$2:$C$9,3,FALSE()),""))</f>
        <v/>
      </c>
      <c r="F89" s="58" t="n"/>
      <c r="G89" s="56" t="n"/>
      <c r="H89" s="58" t="n"/>
      <c r="I89" s="56" t="n"/>
      <c r="J89" s="56" t="n"/>
    </row>
    <row r="90" ht="15" customHeight="1">
      <c r="A90" s="56" t="n"/>
      <c r="B90" s="58" t="n"/>
      <c r="C90" s="56">
        <f>IF(B90="","",IFERROR(VLOOKUP(B90,'04 TANIMLAR'!$A$2:$C$9,2,FALSE()),""))</f>
        <v/>
      </c>
      <c r="D90" s="58" t="n"/>
      <c r="E90" s="56">
        <f>IF(B90="","",IFERROR(VLOOKUP(B90,'04 TANIMLAR'!$A$2:$C$9,3,FALSE()),""))</f>
        <v/>
      </c>
      <c r="F90" s="58" t="n"/>
      <c r="G90" s="56" t="n"/>
      <c r="H90" s="58" t="n"/>
      <c r="I90" s="56" t="n"/>
      <c r="J90" s="56" t="n"/>
    </row>
    <row r="91" ht="15" customHeight="1">
      <c r="A91" s="56" t="n"/>
      <c r="B91" s="58" t="n"/>
      <c r="C91" s="56">
        <f>IF(B91="","",IFERROR(VLOOKUP(B91,'04 TANIMLAR'!$A$2:$C$9,2,FALSE()),""))</f>
        <v/>
      </c>
      <c r="D91" s="58" t="n"/>
      <c r="E91" s="56">
        <f>IF(B91="","",IFERROR(VLOOKUP(B91,'04 TANIMLAR'!$A$2:$C$9,3,FALSE()),""))</f>
        <v/>
      </c>
      <c r="F91" s="58" t="n"/>
      <c r="G91" s="56" t="n"/>
      <c r="H91" s="58" t="n"/>
      <c r="I91" s="56" t="n"/>
      <c r="J91" s="56" t="n"/>
    </row>
    <row r="92" ht="15" customHeight="1">
      <c r="A92" s="56" t="n"/>
      <c r="B92" s="58" t="n"/>
      <c r="C92" s="56">
        <f>IF(B92="","",IFERROR(VLOOKUP(B92,'04 TANIMLAR'!$A$2:$C$9,2,FALSE()),""))</f>
        <v/>
      </c>
      <c r="D92" s="58" t="n"/>
      <c r="E92" s="56">
        <f>IF(B92="","",IFERROR(VLOOKUP(B92,'04 TANIMLAR'!$A$2:$C$9,3,FALSE()),""))</f>
        <v/>
      </c>
      <c r="F92" s="58" t="n"/>
      <c r="G92" s="56" t="n"/>
      <c r="H92" s="58" t="n"/>
      <c r="I92" s="56" t="n"/>
      <c r="J92" s="56" t="n"/>
    </row>
    <row r="93" ht="15" customHeight="1">
      <c r="A93" s="56" t="n"/>
      <c r="B93" s="58" t="n"/>
      <c r="C93" s="56">
        <f>IF(B93="","",IFERROR(VLOOKUP(B93,'04 TANIMLAR'!$A$2:$C$9,2,FALSE()),""))</f>
        <v/>
      </c>
      <c r="D93" s="58" t="n"/>
      <c r="E93" s="56">
        <f>IF(B93="","",IFERROR(VLOOKUP(B93,'04 TANIMLAR'!$A$2:$C$9,3,FALSE()),""))</f>
        <v/>
      </c>
      <c r="F93" s="58" t="n"/>
      <c r="G93" s="56" t="n"/>
      <c r="H93" s="58" t="n"/>
      <c r="I93" s="56" t="n"/>
      <c r="J93" s="56" t="n"/>
    </row>
    <row r="94" ht="15" customHeight="1">
      <c r="A94" s="56" t="n"/>
      <c r="B94" s="58" t="n"/>
      <c r="C94" s="56">
        <f>IF(B94="","",IFERROR(VLOOKUP(B94,'04 TANIMLAR'!$A$2:$C$9,2,FALSE()),""))</f>
        <v/>
      </c>
      <c r="D94" s="58" t="n"/>
      <c r="E94" s="56">
        <f>IF(B94="","",IFERROR(VLOOKUP(B94,'04 TANIMLAR'!$A$2:$C$9,3,FALSE()),""))</f>
        <v/>
      </c>
      <c r="F94" s="58" t="n"/>
      <c r="G94" s="56" t="n"/>
      <c r="H94" s="58" t="n"/>
      <c r="I94" s="56" t="n"/>
      <c r="J94" s="56" t="n"/>
    </row>
    <row r="95" ht="15" customHeight="1">
      <c r="A95" s="56" t="n"/>
      <c r="B95" s="58" t="n"/>
      <c r="C95" s="56">
        <f>IF(B95="","",IFERROR(VLOOKUP(B95,'04 TANIMLAR'!$A$2:$C$9,2,FALSE()),""))</f>
        <v/>
      </c>
      <c r="D95" s="58" t="n"/>
      <c r="E95" s="56">
        <f>IF(B95="","",IFERROR(VLOOKUP(B95,'04 TANIMLAR'!$A$2:$C$9,3,FALSE()),""))</f>
        <v/>
      </c>
      <c r="F95" s="58" t="n"/>
      <c r="G95" s="56" t="n"/>
      <c r="H95" s="58" t="n"/>
      <c r="I95" s="56" t="n"/>
      <c r="J95" s="56" t="n"/>
    </row>
    <row r="96" ht="15" customHeight="1">
      <c r="A96" s="56" t="n"/>
      <c r="B96" s="58" t="n"/>
      <c r="C96" s="56">
        <f>IF(B96="","",IFERROR(VLOOKUP(B96,'04 TANIMLAR'!$A$2:$C$9,2,FALSE()),""))</f>
        <v/>
      </c>
      <c r="D96" s="58" t="n"/>
      <c r="E96" s="56">
        <f>IF(B96="","",IFERROR(VLOOKUP(B96,'04 TANIMLAR'!$A$2:$C$9,3,FALSE()),""))</f>
        <v/>
      </c>
      <c r="F96" s="58" t="n"/>
      <c r="G96" s="56" t="n"/>
      <c r="H96" s="58" t="n"/>
      <c r="I96" s="56" t="n"/>
      <c r="J96" s="56" t="n"/>
    </row>
    <row r="97" ht="15" customHeight="1">
      <c r="A97" s="56" t="n"/>
      <c r="B97" s="58" t="n"/>
      <c r="C97" s="56">
        <f>IF(B97="","",IFERROR(VLOOKUP(B97,'04 TANIMLAR'!$A$2:$C$9,2,FALSE()),""))</f>
        <v/>
      </c>
      <c r="D97" s="58" t="n"/>
      <c r="E97" s="56">
        <f>IF(B97="","",IFERROR(VLOOKUP(B97,'04 TANIMLAR'!$A$2:$C$9,3,FALSE()),""))</f>
        <v/>
      </c>
      <c r="F97" s="58" t="n"/>
      <c r="G97" s="56" t="n"/>
      <c r="H97" s="58" t="n"/>
      <c r="I97" s="56" t="n"/>
      <c r="J97" s="56" t="n"/>
    </row>
    <row r="98" ht="15" customHeight="1">
      <c r="A98" s="56" t="n"/>
      <c r="B98" s="58" t="n"/>
      <c r="C98" s="56">
        <f>IF(B98="","",IFERROR(VLOOKUP(B98,'04 TANIMLAR'!$A$2:$C$9,2,FALSE()),""))</f>
        <v/>
      </c>
      <c r="D98" s="58" t="n"/>
      <c r="E98" s="56">
        <f>IF(B98="","",IFERROR(VLOOKUP(B98,'04 TANIMLAR'!$A$2:$C$9,3,FALSE()),""))</f>
        <v/>
      </c>
      <c r="F98" s="58" t="n"/>
      <c r="G98" s="56" t="n"/>
      <c r="H98" s="58" t="n"/>
      <c r="I98" s="56" t="n"/>
      <c r="J98" s="56" t="n"/>
    </row>
    <row r="99" ht="15" customHeight="1">
      <c r="A99" s="56" t="n"/>
      <c r="B99" s="58" t="n"/>
      <c r="C99" s="56">
        <f>IF(B99="","",IFERROR(VLOOKUP(B99,'04 TANIMLAR'!$A$2:$C$9,2,FALSE()),""))</f>
        <v/>
      </c>
      <c r="D99" s="58" t="n"/>
      <c r="E99" s="56">
        <f>IF(B99="","",IFERROR(VLOOKUP(B99,'04 TANIMLAR'!$A$2:$C$9,3,FALSE()),""))</f>
        <v/>
      </c>
      <c r="F99" s="58" t="n"/>
      <c r="G99" s="56" t="n"/>
      <c r="H99" s="58" t="n"/>
      <c r="I99" s="56" t="n"/>
      <c r="J99" s="56" t="n"/>
    </row>
    <row r="100" ht="15" customHeight="1">
      <c r="A100" s="56" t="n"/>
      <c r="B100" s="58" t="n"/>
      <c r="C100" s="56">
        <f>IF(B100="","",IFERROR(VLOOKUP(B100,'04 TANIMLAR'!$A$2:$C$9,2,FALSE()),""))</f>
        <v/>
      </c>
      <c r="D100" s="58" t="n"/>
      <c r="E100" s="56">
        <f>IF(B100="","",IFERROR(VLOOKUP(B100,'04 TANIMLAR'!$A$2:$C$9,3,FALSE()),""))</f>
        <v/>
      </c>
      <c r="F100" s="58" t="n"/>
      <c r="G100" s="56" t="n"/>
      <c r="H100" s="58" t="n"/>
      <c r="I100" s="56" t="n"/>
      <c r="J100" s="56" t="n"/>
    </row>
    <row r="101" ht="15" customHeight="1">
      <c r="A101" s="56" t="n"/>
      <c r="B101" s="58" t="n"/>
      <c r="C101" s="56">
        <f>IF(B101="","",IFERROR(VLOOKUP(B101,'04 TANIMLAR'!$A$2:$C$9,2,FALSE()),""))</f>
        <v/>
      </c>
      <c r="D101" s="58" t="n"/>
      <c r="E101" s="56">
        <f>IF(B101="","",IFERROR(VLOOKUP(B101,'04 TANIMLAR'!$A$2:$C$9,3,FALSE()),""))</f>
        <v/>
      </c>
      <c r="F101" s="58" t="n"/>
      <c r="G101" s="56" t="n"/>
      <c r="H101" s="58" t="n"/>
      <c r="I101" s="56" t="n"/>
      <c r="J101" s="56" t="n"/>
    </row>
    <row r="102" ht="15" customHeight="1">
      <c r="A102" s="56" t="n"/>
      <c r="B102" s="58" t="n"/>
      <c r="C102" s="56">
        <f>IF(B102="","",IFERROR(VLOOKUP(B102,'04 TANIMLAR'!$A$2:$C$9,2,FALSE()),""))</f>
        <v/>
      </c>
      <c r="D102" s="58" t="n"/>
      <c r="E102" s="56">
        <f>IF(B102="","",IFERROR(VLOOKUP(B102,'04 TANIMLAR'!$A$2:$C$9,3,FALSE()),""))</f>
        <v/>
      </c>
      <c r="F102" s="58" t="n"/>
      <c r="G102" s="56" t="n"/>
      <c r="H102" s="58" t="n"/>
      <c r="I102" s="56" t="n"/>
      <c r="J102" s="56" t="n"/>
    </row>
    <row r="103" ht="15" customHeight="1">
      <c r="A103" s="56" t="n"/>
      <c r="B103" s="58" t="n"/>
      <c r="C103" s="56">
        <f>IF(B103="","",IFERROR(VLOOKUP(B103,'04 TANIMLAR'!$A$2:$C$9,2,FALSE()),""))</f>
        <v/>
      </c>
      <c r="D103" s="58" t="n"/>
      <c r="E103" s="56">
        <f>IF(B103="","",IFERROR(VLOOKUP(B103,'04 TANIMLAR'!$A$2:$C$9,3,FALSE()),""))</f>
        <v/>
      </c>
      <c r="F103" s="58" t="n"/>
      <c r="G103" s="56" t="n"/>
      <c r="H103" s="58" t="n"/>
      <c r="I103" s="56" t="n"/>
      <c r="J103" s="56" t="n"/>
    </row>
    <row r="104" ht="15" customHeight="1">
      <c r="A104" s="56" t="n"/>
      <c r="B104" s="58" t="n"/>
      <c r="C104" s="56">
        <f>IF(B104="","",IFERROR(VLOOKUP(B104,'04 TANIMLAR'!$A$2:$C$9,2,FALSE()),""))</f>
        <v/>
      </c>
      <c r="D104" s="58" t="n"/>
      <c r="E104" s="56">
        <f>IF(B104="","",IFERROR(VLOOKUP(B104,'04 TANIMLAR'!$A$2:$C$9,3,FALSE()),""))</f>
        <v/>
      </c>
      <c r="F104" s="58" t="n"/>
      <c r="G104" s="56" t="n"/>
      <c r="H104" s="58" t="n"/>
      <c r="I104" s="56" t="n"/>
      <c r="J104" s="56" t="n"/>
    </row>
    <row r="105" ht="15" customHeight="1">
      <c r="A105" s="56" t="n"/>
      <c r="B105" s="58" t="n"/>
      <c r="C105" s="56">
        <f>IF(B105="","",IFERROR(VLOOKUP(B105,'04 TANIMLAR'!$A$2:$C$9,2,FALSE()),""))</f>
        <v/>
      </c>
      <c r="D105" s="58" t="n"/>
      <c r="E105" s="56">
        <f>IF(B105="","",IFERROR(VLOOKUP(B105,'04 TANIMLAR'!$A$2:$C$9,3,FALSE()),""))</f>
        <v/>
      </c>
      <c r="F105" s="58" t="n"/>
      <c r="G105" s="56" t="n"/>
      <c r="H105" s="58" t="n"/>
      <c r="I105" s="56" t="n"/>
      <c r="J105" s="56" t="n"/>
    </row>
    <row r="106" ht="15" customHeight="1">
      <c r="A106" s="56" t="n"/>
      <c r="B106" s="58" t="n"/>
      <c r="C106" s="56">
        <f>IF(B106="","",IFERROR(VLOOKUP(B106,'04 TANIMLAR'!$A$2:$C$9,2,FALSE()),""))</f>
        <v/>
      </c>
      <c r="D106" s="58" t="n"/>
      <c r="E106" s="56">
        <f>IF(B106="","",IFERROR(VLOOKUP(B106,'04 TANIMLAR'!$A$2:$C$9,3,FALSE()),""))</f>
        <v/>
      </c>
      <c r="F106" s="58" t="n"/>
      <c r="G106" s="56" t="n"/>
      <c r="H106" s="58" t="n"/>
      <c r="I106" s="56" t="n"/>
      <c r="J106" s="56" t="n"/>
    </row>
    <row r="107" ht="15" customHeight="1">
      <c r="A107" s="56" t="n"/>
      <c r="B107" s="58" t="n"/>
      <c r="C107" s="56">
        <f>IF(B107="","",IFERROR(VLOOKUP(B107,'04 TANIMLAR'!$A$2:$C$9,2,FALSE()),""))</f>
        <v/>
      </c>
      <c r="D107" s="58" t="n"/>
      <c r="E107" s="56">
        <f>IF(B107="","",IFERROR(VLOOKUP(B107,'04 TANIMLAR'!$A$2:$C$9,3,FALSE()),""))</f>
        <v/>
      </c>
      <c r="F107" s="58" t="n"/>
      <c r="G107" s="56" t="n"/>
      <c r="H107" s="58" t="n"/>
      <c r="I107" s="56" t="n"/>
      <c r="J107" s="56" t="n"/>
    </row>
    <row r="108" ht="15" customHeight="1">
      <c r="A108" s="56" t="n"/>
      <c r="B108" s="58" t="n"/>
      <c r="C108" s="56">
        <f>IF(B108="","",IFERROR(VLOOKUP(B108,'04 TANIMLAR'!$A$2:$C$9,2,FALSE()),""))</f>
        <v/>
      </c>
      <c r="D108" s="58" t="n"/>
      <c r="E108" s="56">
        <f>IF(B108="","",IFERROR(VLOOKUP(B108,'04 TANIMLAR'!$A$2:$C$9,3,FALSE()),""))</f>
        <v/>
      </c>
      <c r="F108" s="58" t="n"/>
      <c r="G108" s="56" t="n"/>
      <c r="H108" s="58" t="n"/>
      <c r="I108" s="56" t="n"/>
      <c r="J108" s="56" t="n"/>
    </row>
    <row r="109" ht="15" customHeight="1">
      <c r="A109" s="56" t="n"/>
      <c r="B109" s="58" t="n"/>
      <c r="C109" s="56">
        <f>IF(B109="","",IFERROR(VLOOKUP(B109,'04 TANIMLAR'!$A$2:$C$9,2,FALSE()),""))</f>
        <v/>
      </c>
      <c r="D109" s="58" t="n"/>
      <c r="E109" s="56">
        <f>IF(B109="","",IFERROR(VLOOKUP(B109,'04 TANIMLAR'!$A$2:$C$9,3,FALSE()),""))</f>
        <v/>
      </c>
      <c r="F109" s="58" t="n"/>
      <c r="G109" s="56" t="n"/>
      <c r="H109" s="58" t="n"/>
      <c r="I109" s="56" t="n"/>
      <c r="J109" s="56" t="n"/>
    </row>
    <row r="110" ht="15" customHeight="1">
      <c r="A110" s="56" t="n"/>
      <c r="B110" s="58" t="n"/>
      <c r="C110" s="56">
        <f>IF(B110="","",IFERROR(VLOOKUP(B110,'04 TANIMLAR'!$A$2:$C$9,2,FALSE()),""))</f>
        <v/>
      </c>
      <c r="D110" s="58" t="n"/>
      <c r="E110" s="56">
        <f>IF(B110="","",IFERROR(VLOOKUP(B110,'04 TANIMLAR'!$A$2:$C$9,3,FALSE()),""))</f>
        <v/>
      </c>
      <c r="F110" s="58" t="n"/>
      <c r="G110" s="56" t="n"/>
      <c r="H110" s="58" t="n"/>
      <c r="I110" s="56" t="n"/>
      <c r="J110" s="56" t="n"/>
    </row>
    <row r="111" ht="15" customHeight="1">
      <c r="A111" s="56" t="n"/>
      <c r="B111" s="58" t="n"/>
      <c r="C111" s="56">
        <f>IF(B111="","",IFERROR(VLOOKUP(B111,'04 TANIMLAR'!$A$2:$C$9,2,FALSE()),""))</f>
        <v/>
      </c>
      <c r="D111" s="58" t="n"/>
      <c r="E111" s="56">
        <f>IF(B111="","",IFERROR(VLOOKUP(B111,'04 TANIMLAR'!$A$2:$C$9,3,FALSE()),""))</f>
        <v/>
      </c>
      <c r="F111" s="58" t="n"/>
      <c r="G111" s="56" t="n"/>
      <c r="H111" s="58" t="n"/>
      <c r="I111" s="56" t="n"/>
      <c r="J111" s="56" t="n"/>
    </row>
    <row r="112" ht="15" customHeight="1">
      <c r="A112" s="56" t="n"/>
      <c r="B112" s="58" t="n"/>
      <c r="C112" s="56">
        <f>IF(B112="","",IFERROR(VLOOKUP(B112,'04 TANIMLAR'!$A$2:$C$9,2,FALSE()),""))</f>
        <v/>
      </c>
      <c r="D112" s="58" t="n"/>
      <c r="E112" s="56">
        <f>IF(B112="","",IFERROR(VLOOKUP(B112,'04 TANIMLAR'!$A$2:$C$9,3,FALSE()),""))</f>
        <v/>
      </c>
      <c r="F112" s="58" t="n"/>
      <c r="G112" s="56" t="n"/>
      <c r="H112" s="58" t="n"/>
      <c r="I112" s="56" t="n"/>
      <c r="J112" s="56" t="n"/>
    </row>
    <row r="113" ht="15" customHeight="1">
      <c r="A113" s="56" t="n"/>
      <c r="B113" s="58" t="n"/>
      <c r="C113" s="56">
        <f>IF(B113="","",IFERROR(VLOOKUP(B113,'04 TANIMLAR'!$A$2:$C$9,2,FALSE()),""))</f>
        <v/>
      </c>
      <c r="D113" s="58" t="n"/>
      <c r="E113" s="56">
        <f>IF(B113="","",IFERROR(VLOOKUP(B113,'04 TANIMLAR'!$A$2:$C$9,3,FALSE()),""))</f>
        <v/>
      </c>
      <c r="F113" s="58" t="n"/>
      <c r="G113" s="56" t="n"/>
      <c r="H113" s="58" t="n"/>
      <c r="I113" s="56" t="n"/>
      <c r="J113" s="56" t="n"/>
    </row>
    <row r="114" ht="15" customHeight="1">
      <c r="A114" s="56" t="n"/>
      <c r="B114" s="58" t="n"/>
      <c r="C114" s="56">
        <f>IF(B114="","",IFERROR(VLOOKUP(B114,'04 TANIMLAR'!$A$2:$C$9,2,FALSE()),""))</f>
        <v/>
      </c>
      <c r="D114" s="58" t="n"/>
      <c r="E114" s="56">
        <f>IF(B114="","",IFERROR(VLOOKUP(B114,'04 TANIMLAR'!$A$2:$C$9,3,FALSE()),""))</f>
        <v/>
      </c>
      <c r="F114" s="58" t="n"/>
      <c r="G114" s="56" t="n"/>
      <c r="H114" s="58" t="n"/>
      <c r="I114" s="56" t="n"/>
      <c r="J114" s="56" t="n"/>
    </row>
    <row r="115" ht="15" customHeight="1">
      <c r="A115" s="56" t="n"/>
      <c r="B115" s="58" t="n"/>
      <c r="C115" s="56">
        <f>IF(B115="","",IFERROR(VLOOKUP(B115,'04 TANIMLAR'!$A$2:$C$9,2,FALSE()),""))</f>
        <v/>
      </c>
      <c r="D115" s="58" t="n"/>
      <c r="E115" s="56">
        <f>IF(B115="","",IFERROR(VLOOKUP(B115,'04 TANIMLAR'!$A$2:$C$9,3,FALSE()),""))</f>
        <v/>
      </c>
      <c r="F115" s="58" t="n"/>
      <c r="G115" s="56" t="n"/>
      <c r="H115" s="58" t="n"/>
      <c r="I115" s="56" t="n"/>
      <c r="J115" s="56" t="n"/>
    </row>
    <row r="116" ht="15" customHeight="1">
      <c r="A116" s="56" t="n"/>
      <c r="B116" s="58" t="n"/>
      <c r="C116" s="56">
        <f>IF(B116="","",IFERROR(VLOOKUP(B116,'04 TANIMLAR'!$A$2:$C$9,2,FALSE()),""))</f>
        <v/>
      </c>
      <c r="D116" s="58" t="n"/>
      <c r="E116" s="56">
        <f>IF(B116="","",IFERROR(VLOOKUP(B116,'04 TANIMLAR'!$A$2:$C$9,3,FALSE()),""))</f>
        <v/>
      </c>
      <c r="F116" s="58" t="n"/>
      <c r="G116" s="56" t="n"/>
      <c r="H116" s="58" t="n"/>
      <c r="I116" s="56" t="n"/>
      <c r="J116" s="56" t="n"/>
    </row>
    <row r="117" ht="15" customHeight="1">
      <c r="A117" s="56" t="n"/>
      <c r="B117" s="58" t="n"/>
      <c r="C117" s="56">
        <f>IF(B117="","",IFERROR(VLOOKUP(B117,'04 TANIMLAR'!$A$2:$C$9,2,FALSE()),""))</f>
        <v/>
      </c>
      <c r="D117" s="58" t="n"/>
      <c r="E117" s="56">
        <f>IF(B117="","",IFERROR(VLOOKUP(B117,'04 TANIMLAR'!$A$2:$C$9,3,FALSE()),""))</f>
        <v/>
      </c>
      <c r="F117" s="58" t="n"/>
      <c r="G117" s="56" t="n"/>
      <c r="H117" s="58" t="n"/>
      <c r="I117" s="56" t="n"/>
      <c r="J117" s="56" t="n"/>
    </row>
    <row r="118" ht="15" customHeight="1">
      <c r="A118" s="56" t="n"/>
      <c r="B118" s="58" t="n"/>
      <c r="C118" s="56">
        <f>IF(B118="","",IFERROR(VLOOKUP(B118,'04 TANIMLAR'!$A$2:$C$9,2,FALSE()),""))</f>
        <v/>
      </c>
      <c r="D118" s="58" t="n"/>
      <c r="E118" s="56">
        <f>IF(B118="","",IFERROR(VLOOKUP(B118,'04 TANIMLAR'!$A$2:$C$9,3,FALSE()),""))</f>
        <v/>
      </c>
      <c r="F118" s="58" t="n"/>
      <c r="G118" s="56" t="n"/>
      <c r="H118" s="58" t="n"/>
      <c r="I118" s="56" t="n"/>
      <c r="J118" s="56" t="n"/>
    </row>
    <row r="119" ht="15" customHeight="1">
      <c r="A119" s="56" t="n"/>
      <c r="B119" s="58" t="n"/>
      <c r="C119" s="56">
        <f>IF(B119="","",IFERROR(VLOOKUP(B119,'04 TANIMLAR'!$A$2:$C$9,2,FALSE()),""))</f>
        <v/>
      </c>
      <c r="D119" s="58" t="n"/>
      <c r="E119" s="56">
        <f>IF(B119="","",IFERROR(VLOOKUP(B119,'04 TANIMLAR'!$A$2:$C$9,3,FALSE()),""))</f>
        <v/>
      </c>
      <c r="F119" s="58" t="n"/>
      <c r="G119" s="56" t="n"/>
      <c r="H119" s="58" t="n"/>
      <c r="I119" s="56" t="n"/>
      <c r="J119" s="56" t="n"/>
    </row>
    <row r="120" ht="15" customHeight="1">
      <c r="A120" s="56" t="n"/>
      <c r="B120" s="58" t="n"/>
      <c r="C120" s="56">
        <f>IF(B120="","",IFERROR(VLOOKUP(B120,'04 TANIMLAR'!$A$2:$C$9,2,FALSE()),""))</f>
        <v/>
      </c>
      <c r="D120" s="58" t="n"/>
      <c r="E120" s="56">
        <f>IF(B120="","",IFERROR(VLOOKUP(B120,'04 TANIMLAR'!$A$2:$C$9,3,FALSE()),""))</f>
        <v/>
      </c>
      <c r="F120" s="58" t="n"/>
      <c r="G120" s="56" t="n"/>
      <c r="H120" s="58" t="n"/>
      <c r="I120" s="56" t="n"/>
      <c r="J120" s="56" t="n"/>
    </row>
    <row r="121" ht="15" customHeight="1">
      <c r="A121" s="56" t="n"/>
      <c r="B121" s="58" t="n"/>
      <c r="C121" s="56">
        <f>IF(B121="","",IFERROR(VLOOKUP(B121,'04 TANIMLAR'!$A$2:$C$9,2,FALSE()),""))</f>
        <v/>
      </c>
      <c r="D121" s="58" t="n"/>
      <c r="E121" s="56">
        <f>IF(B121="","",IFERROR(VLOOKUP(B121,'04 TANIMLAR'!$A$2:$C$9,3,FALSE()),""))</f>
        <v/>
      </c>
      <c r="F121" s="58" t="n"/>
      <c r="G121" s="56" t="n"/>
      <c r="H121" s="58" t="n"/>
      <c r="I121" s="56" t="n"/>
      <c r="J121" s="56" t="n"/>
    </row>
    <row r="122" ht="15" customHeight="1">
      <c r="A122" s="56" t="n"/>
      <c r="B122" s="58" t="n"/>
      <c r="C122" s="56">
        <f>IF(B122="","",IFERROR(VLOOKUP(B122,'04 TANIMLAR'!$A$2:$C$9,2,FALSE()),""))</f>
        <v/>
      </c>
      <c r="D122" s="58" t="n"/>
      <c r="E122" s="56">
        <f>IF(B122="","",IFERROR(VLOOKUP(B122,'04 TANIMLAR'!$A$2:$C$9,3,FALSE()),""))</f>
        <v/>
      </c>
      <c r="F122" s="58" t="n"/>
      <c r="G122" s="56" t="n"/>
      <c r="H122" s="58" t="n"/>
      <c r="I122" s="56" t="n"/>
      <c r="J122" s="56" t="n"/>
    </row>
    <row r="123" ht="15" customHeight="1">
      <c r="A123" s="56" t="n"/>
      <c r="B123" s="58" t="n"/>
      <c r="C123" s="56">
        <f>IF(B123="","",IFERROR(VLOOKUP(B123,'04 TANIMLAR'!$A$2:$C$9,2,FALSE()),""))</f>
        <v/>
      </c>
      <c r="D123" s="58" t="n"/>
      <c r="E123" s="56">
        <f>IF(B123="","",IFERROR(VLOOKUP(B123,'04 TANIMLAR'!$A$2:$C$9,3,FALSE()),""))</f>
        <v/>
      </c>
      <c r="F123" s="58" t="n"/>
      <c r="G123" s="56" t="n"/>
      <c r="H123" s="58" t="n"/>
      <c r="I123" s="56" t="n"/>
      <c r="J123" s="56" t="n"/>
    </row>
    <row r="124" ht="15" customHeight="1">
      <c r="A124" s="56" t="n"/>
      <c r="B124" s="58" t="n"/>
      <c r="C124" s="56">
        <f>IF(B124="","",IFERROR(VLOOKUP(B124,'04 TANIMLAR'!$A$2:$C$9,2,FALSE()),""))</f>
        <v/>
      </c>
      <c r="D124" s="58" t="n"/>
      <c r="E124" s="56">
        <f>IF(B124="","",IFERROR(VLOOKUP(B124,'04 TANIMLAR'!$A$2:$C$9,3,FALSE()),""))</f>
        <v/>
      </c>
      <c r="F124" s="58" t="n"/>
      <c r="G124" s="56" t="n"/>
      <c r="H124" s="58" t="n"/>
      <c r="I124" s="56" t="n"/>
      <c r="J124" s="56" t="n"/>
    </row>
    <row r="125" ht="15" customHeight="1">
      <c r="A125" s="56" t="n"/>
      <c r="B125" s="58" t="n"/>
      <c r="C125" s="56">
        <f>IF(B125="","",IFERROR(VLOOKUP(B125,'04 TANIMLAR'!$A$2:$C$9,2,FALSE()),""))</f>
        <v/>
      </c>
      <c r="D125" s="58" t="n"/>
      <c r="E125" s="56">
        <f>IF(B125="","",IFERROR(VLOOKUP(B125,'04 TANIMLAR'!$A$2:$C$9,3,FALSE()),""))</f>
        <v/>
      </c>
      <c r="F125" s="58" t="n"/>
      <c r="G125" s="56" t="n"/>
      <c r="H125" s="58" t="n"/>
      <c r="I125" s="56" t="n"/>
      <c r="J125" s="56" t="n"/>
    </row>
    <row r="126" ht="15" customHeight="1">
      <c r="A126" s="56" t="n"/>
      <c r="B126" s="58" t="n"/>
      <c r="C126" s="56">
        <f>IF(B126="","",IFERROR(VLOOKUP(B126,'04 TANIMLAR'!$A$2:$C$9,2,FALSE()),""))</f>
        <v/>
      </c>
      <c r="D126" s="58" t="n"/>
      <c r="E126" s="56">
        <f>IF(B126="","",IFERROR(VLOOKUP(B126,'04 TANIMLAR'!$A$2:$C$9,3,FALSE()),""))</f>
        <v/>
      </c>
      <c r="F126" s="58" t="n"/>
      <c r="G126" s="56" t="n"/>
      <c r="H126" s="58" t="n"/>
      <c r="I126" s="56" t="n"/>
      <c r="J126" s="56" t="n"/>
    </row>
    <row r="127" ht="15" customHeight="1">
      <c r="A127" s="56" t="n"/>
      <c r="B127" s="58" t="n"/>
      <c r="C127" s="56">
        <f>IF(B127="","",IFERROR(VLOOKUP(B127,'04 TANIMLAR'!$A$2:$C$9,2,FALSE()),""))</f>
        <v/>
      </c>
      <c r="D127" s="58" t="n"/>
      <c r="E127" s="56">
        <f>IF(B127="","",IFERROR(VLOOKUP(B127,'04 TANIMLAR'!$A$2:$C$9,3,FALSE()),""))</f>
        <v/>
      </c>
      <c r="F127" s="58" t="n"/>
      <c r="G127" s="56" t="n"/>
      <c r="H127" s="58" t="n"/>
      <c r="I127" s="56" t="n"/>
      <c r="J127" s="56" t="n"/>
    </row>
    <row r="128" ht="15" customHeight="1">
      <c r="A128" s="56" t="n"/>
      <c r="B128" s="58" t="n"/>
      <c r="C128" s="56">
        <f>IF(B128="","",IFERROR(VLOOKUP(B128,'04 TANIMLAR'!$A$2:$C$9,2,FALSE()),""))</f>
        <v/>
      </c>
      <c r="D128" s="58" t="n"/>
      <c r="E128" s="56">
        <f>IF(B128="","",IFERROR(VLOOKUP(B128,'04 TANIMLAR'!$A$2:$C$9,3,FALSE()),""))</f>
        <v/>
      </c>
      <c r="F128" s="58" t="n"/>
      <c r="G128" s="56" t="n"/>
      <c r="H128" s="58" t="n"/>
      <c r="I128" s="56" t="n"/>
      <c r="J128" s="56" t="n"/>
    </row>
    <row r="129" ht="15" customHeight="1">
      <c r="A129" s="56" t="n"/>
      <c r="B129" s="58" t="n"/>
      <c r="C129" s="56">
        <f>IF(B129="","",IFERROR(VLOOKUP(B129,'04 TANIMLAR'!$A$2:$C$9,2,FALSE()),""))</f>
        <v/>
      </c>
      <c r="D129" s="58" t="n"/>
      <c r="E129" s="56">
        <f>IF(B129="","",IFERROR(VLOOKUP(B129,'04 TANIMLAR'!$A$2:$C$9,3,FALSE()),""))</f>
        <v/>
      </c>
      <c r="F129" s="58" t="n"/>
      <c r="G129" s="56" t="n"/>
      <c r="H129" s="58" t="n"/>
      <c r="I129" s="56" t="n"/>
      <c r="J129" s="56" t="n"/>
    </row>
    <row r="130" ht="15" customHeight="1">
      <c r="A130" s="56" t="n"/>
      <c r="B130" s="58" t="n"/>
      <c r="C130" s="56">
        <f>IF(B130="","",IFERROR(VLOOKUP(B130,'04 TANIMLAR'!$A$2:$C$9,2,FALSE()),""))</f>
        <v/>
      </c>
      <c r="D130" s="58" t="n"/>
      <c r="E130" s="56">
        <f>IF(B130="","",IFERROR(VLOOKUP(B130,'04 TANIMLAR'!$A$2:$C$9,3,FALSE()),""))</f>
        <v/>
      </c>
      <c r="F130" s="58" t="n"/>
      <c r="G130" s="56" t="n"/>
      <c r="H130" s="58" t="n"/>
      <c r="I130" s="56" t="n"/>
      <c r="J130" s="56" t="n"/>
    </row>
    <row r="131" ht="15" customHeight="1">
      <c r="A131" s="56" t="n"/>
      <c r="B131" s="58" t="n"/>
      <c r="C131" s="56">
        <f>IF(B131="","",IFERROR(VLOOKUP(B131,'04 TANIMLAR'!$A$2:$C$9,2,FALSE()),""))</f>
        <v/>
      </c>
      <c r="D131" s="58" t="n"/>
      <c r="E131" s="56">
        <f>IF(B131="","",IFERROR(VLOOKUP(B131,'04 TANIMLAR'!$A$2:$C$9,3,FALSE()),""))</f>
        <v/>
      </c>
      <c r="F131" s="58" t="n"/>
      <c r="G131" s="56" t="n"/>
      <c r="H131" s="58" t="n"/>
      <c r="I131" s="56" t="n"/>
      <c r="J131" s="56" t="n"/>
    </row>
    <row r="132" ht="15" customHeight="1">
      <c r="A132" s="56" t="n"/>
      <c r="B132" s="58" t="n"/>
      <c r="C132" s="56">
        <f>IF(B132="","",IFERROR(VLOOKUP(B132,'04 TANIMLAR'!$A$2:$C$9,2,FALSE()),""))</f>
        <v/>
      </c>
      <c r="D132" s="58" t="n"/>
      <c r="E132" s="56">
        <f>IF(B132="","",IFERROR(VLOOKUP(B132,'04 TANIMLAR'!$A$2:$C$9,3,FALSE()),""))</f>
        <v/>
      </c>
      <c r="F132" s="58" t="n"/>
      <c r="G132" s="56" t="n"/>
      <c r="H132" s="58" t="n"/>
      <c r="I132" s="56" t="n"/>
      <c r="J132" s="56" t="n"/>
    </row>
    <row r="133" ht="15" customHeight="1">
      <c r="A133" s="56" t="n"/>
      <c r="B133" s="58" t="n"/>
      <c r="C133" s="56">
        <f>IF(B133="","",IFERROR(VLOOKUP(B133,'04 TANIMLAR'!$A$2:$C$9,2,FALSE()),""))</f>
        <v/>
      </c>
      <c r="D133" s="58" t="n"/>
      <c r="E133" s="56">
        <f>IF(B133="","",IFERROR(VLOOKUP(B133,'04 TANIMLAR'!$A$2:$C$9,3,FALSE()),""))</f>
        <v/>
      </c>
      <c r="F133" s="58" t="n"/>
      <c r="G133" s="56" t="n"/>
      <c r="H133" s="58" t="n"/>
      <c r="I133" s="56" t="n"/>
      <c r="J133" s="56" t="n"/>
    </row>
    <row r="134" ht="15" customHeight="1">
      <c r="A134" s="56" t="n"/>
      <c r="B134" s="58" t="n"/>
      <c r="C134" s="56">
        <f>IF(B134="","",IFERROR(VLOOKUP(B134,'04 TANIMLAR'!$A$2:$C$9,2,FALSE()),""))</f>
        <v/>
      </c>
      <c r="D134" s="58" t="n"/>
      <c r="E134" s="56">
        <f>IF(B134="","",IFERROR(VLOOKUP(B134,'04 TANIMLAR'!$A$2:$C$9,3,FALSE()),""))</f>
        <v/>
      </c>
      <c r="F134" s="58" t="n"/>
      <c r="G134" s="56" t="n"/>
      <c r="H134" s="58" t="n"/>
      <c r="I134" s="56" t="n"/>
      <c r="J134" s="56" t="n"/>
    </row>
    <row r="135" ht="15" customHeight="1">
      <c r="A135" s="56" t="n"/>
      <c r="B135" s="58" t="n"/>
      <c r="C135" s="56">
        <f>IF(B135="","",IFERROR(VLOOKUP(B135,'04 TANIMLAR'!$A$2:$C$9,2,FALSE()),""))</f>
        <v/>
      </c>
      <c r="D135" s="58" t="n"/>
      <c r="E135" s="56">
        <f>IF(B135="","",IFERROR(VLOOKUP(B135,'04 TANIMLAR'!$A$2:$C$9,3,FALSE()),""))</f>
        <v/>
      </c>
      <c r="F135" s="58" t="n"/>
      <c r="G135" s="56" t="n"/>
      <c r="H135" s="58" t="n"/>
      <c r="I135" s="56" t="n"/>
      <c r="J135" s="56" t="n"/>
    </row>
    <row r="136" ht="15" customHeight="1">
      <c r="A136" s="56" t="n"/>
      <c r="B136" s="58" t="n"/>
      <c r="C136" s="56">
        <f>IF(B136="","",IFERROR(VLOOKUP(B136,'04 TANIMLAR'!$A$2:$C$9,2,FALSE()),""))</f>
        <v/>
      </c>
      <c r="D136" s="58" t="n"/>
      <c r="E136" s="56">
        <f>IF(B136="","",IFERROR(VLOOKUP(B136,'04 TANIMLAR'!$A$2:$C$9,3,FALSE()),""))</f>
        <v/>
      </c>
      <c r="F136" s="58" t="n"/>
      <c r="G136" s="56" t="n"/>
      <c r="H136" s="58" t="n"/>
      <c r="I136" s="56" t="n"/>
      <c r="J136" s="56" t="n"/>
    </row>
    <row r="137" ht="15" customHeight="1">
      <c r="A137" s="56" t="n"/>
      <c r="B137" s="58" t="n"/>
      <c r="C137" s="56">
        <f>IF(B137="","",IFERROR(VLOOKUP(B137,'04 TANIMLAR'!$A$2:$C$9,2,FALSE()),""))</f>
        <v/>
      </c>
      <c r="D137" s="58" t="n"/>
      <c r="E137" s="56">
        <f>IF(B137="","",IFERROR(VLOOKUP(B137,'04 TANIMLAR'!$A$2:$C$9,3,FALSE()),""))</f>
        <v/>
      </c>
      <c r="F137" s="58" t="n"/>
      <c r="G137" s="56" t="n"/>
      <c r="H137" s="58" t="n"/>
      <c r="I137" s="56" t="n"/>
      <c r="J137" s="56" t="n"/>
    </row>
    <row r="138" ht="15" customHeight="1">
      <c r="A138" s="56" t="n"/>
      <c r="B138" s="58" t="n"/>
      <c r="C138" s="56">
        <f>IF(B138="","",IFERROR(VLOOKUP(B138,'04 TANIMLAR'!$A$2:$C$9,2,FALSE()),""))</f>
        <v/>
      </c>
      <c r="D138" s="58" t="n"/>
      <c r="E138" s="56">
        <f>IF(B138="","",IFERROR(VLOOKUP(B138,'04 TANIMLAR'!$A$2:$C$9,3,FALSE()),""))</f>
        <v/>
      </c>
      <c r="F138" s="58" t="n"/>
      <c r="G138" s="56" t="n"/>
      <c r="H138" s="58" t="n"/>
      <c r="I138" s="56" t="n"/>
      <c r="J138" s="56" t="n"/>
    </row>
    <row r="139" ht="15" customHeight="1">
      <c r="A139" s="56" t="n"/>
      <c r="B139" s="58" t="n"/>
      <c r="C139" s="56">
        <f>IF(B139="","",IFERROR(VLOOKUP(B139,'04 TANIMLAR'!$A$2:$C$9,2,FALSE()),""))</f>
        <v/>
      </c>
      <c r="D139" s="58" t="n"/>
      <c r="E139" s="56">
        <f>IF(B139="","",IFERROR(VLOOKUP(B139,'04 TANIMLAR'!$A$2:$C$9,3,FALSE()),""))</f>
        <v/>
      </c>
      <c r="F139" s="58" t="n"/>
      <c r="G139" s="56" t="n"/>
      <c r="H139" s="58" t="n"/>
      <c r="I139" s="56" t="n"/>
      <c r="J139" s="56" t="n"/>
    </row>
    <row r="140" ht="15" customHeight="1">
      <c r="A140" s="56" t="n"/>
      <c r="B140" s="58" t="n"/>
      <c r="C140" s="56">
        <f>IF(B140="","",IFERROR(VLOOKUP(B140,'04 TANIMLAR'!$A$2:$C$9,2,FALSE()),""))</f>
        <v/>
      </c>
      <c r="D140" s="58" t="n"/>
      <c r="E140" s="56">
        <f>IF(B140="","",IFERROR(VLOOKUP(B140,'04 TANIMLAR'!$A$2:$C$9,3,FALSE()),""))</f>
        <v/>
      </c>
      <c r="F140" s="58" t="n"/>
      <c r="G140" s="56" t="n"/>
      <c r="H140" s="58" t="n"/>
      <c r="I140" s="56" t="n"/>
      <c r="J140" s="56" t="n"/>
    </row>
    <row r="141" ht="15" customHeight="1">
      <c r="A141" s="56" t="n"/>
      <c r="B141" s="58" t="n"/>
      <c r="C141" s="56">
        <f>IF(B141="","",IFERROR(VLOOKUP(B141,'04 TANIMLAR'!$A$2:$C$9,2,FALSE()),""))</f>
        <v/>
      </c>
      <c r="D141" s="58" t="n"/>
      <c r="E141" s="56">
        <f>IF(B141="","",IFERROR(VLOOKUP(B141,'04 TANIMLAR'!$A$2:$C$9,3,FALSE()),""))</f>
        <v/>
      </c>
      <c r="F141" s="58" t="n"/>
      <c r="G141" s="56" t="n"/>
      <c r="H141" s="58" t="n"/>
      <c r="I141" s="56" t="n"/>
      <c r="J141" s="56" t="n"/>
    </row>
    <row r="142" ht="15" customHeight="1">
      <c r="A142" s="56" t="n"/>
      <c r="B142" s="58" t="n"/>
      <c r="C142" s="56">
        <f>IF(B142="","",IFERROR(VLOOKUP(B142,'04 TANIMLAR'!$A$2:$C$9,2,FALSE()),""))</f>
        <v/>
      </c>
      <c r="D142" s="58" t="n"/>
      <c r="E142" s="56">
        <f>IF(B142="","",IFERROR(VLOOKUP(B142,'04 TANIMLAR'!$A$2:$C$9,3,FALSE()),""))</f>
        <v/>
      </c>
      <c r="F142" s="58" t="n"/>
      <c r="G142" s="56" t="n"/>
      <c r="H142" s="58" t="n"/>
      <c r="I142" s="56" t="n"/>
      <c r="J142" s="56" t="n"/>
    </row>
    <row r="143" ht="15" customHeight="1">
      <c r="A143" s="56" t="n"/>
      <c r="B143" s="58" t="n"/>
      <c r="C143" s="56">
        <f>IF(B143="","",IFERROR(VLOOKUP(B143,'04 TANIMLAR'!$A$2:$C$9,2,FALSE()),""))</f>
        <v/>
      </c>
      <c r="D143" s="58" t="n"/>
      <c r="E143" s="56">
        <f>IF(B143="","",IFERROR(VLOOKUP(B143,'04 TANIMLAR'!$A$2:$C$9,3,FALSE()),""))</f>
        <v/>
      </c>
      <c r="F143" s="58" t="n"/>
      <c r="G143" s="56" t="n"/>
      <c r="H143" s="58" t="n"/>
      <c r="I143" s="56" t="n"/>
      <c r="J143" s="56" t="n"/>
    </row>
    <row r="144" ht="15" customHeight="1">
      <c r="A144" s="56" t="n"/>
      <c r="B144" s="58" t="n"/>
      <c r="C144" s="56">
        <f>IF(B144="","",IFERROR(VLOOKUP(B144,'04 TANIMLAR'!$A$2:$C$9,2,FALSE()),""))</f>
        <v/>
      </c>
      <c r="D144" s="58" t="n"/>
      <c r="E144" s="56">
        <f>IF(B144="","",IFERROR(VLOOKUP(B144,'04 TANIMLAR'!$A$2:$C$9,3,FALSE()),""))</f>
        <v/>
      </c>
      <c r="F144" s="58" t="n"/>
      <c r="G144" s="56" t="n"/>
      <c r="H144" s="58" t="n"/>
      <c r="I144" s="56" t="n"/>
      <c r="J144" s="56" t="n"/>
    </row>
    <row r="145" ht="15" customHeight="1">
      <c r="A145" s="56" t="n"/>
      <c r="B145" s="58" t="n"/>
      <c r="C145" s="56">
        <f>IF(B145="","",IFERROR(VLOOKUP(B145,'04 TANIMLAR'!$A$2:$C$9,2,FALSE()),""))</f>
        <v/>
      </c>
      <c r="D145" s="58" t="n"/>
      <c r="E145" s="56">
        <f>IF(B145="","",IFERROR(VLOOKUP(B145,'04 TANIMLAR'!$A$2:$C$9,3,FALSE()),""))</f>
        <v/>
      </c>
      <c r="F145" s="58" t="n"/>
      <c r="G145" s="56" t="n"/>
      <c r="H145" s="58" t="n"/>
      <c r="I145" s="56" t="n"/>
      <c r="J145" s="56" t="n"/>
    </row>
    <row r="146" ht="15" customHeight="1">
      <c r="A146" s="56" t="n"/>
      <c r="B146" s="58" t="n"/>
      <c r="C146" s="56">
        <f>IF(B146="","",IFERROR(VLOOKUP(B146,'04 TANIMLAR'!$A$2:$C$9,2,FALSE()),""))</f>
        <v/>
      </c>
      <c r="D146" s="58" t="n"/>
      <c r="E146" s="56">
        <f>IF(B146="","",IFERROR(VLOOKUP(B146,'04 TANIMLAR'!$A$2:$C$9,3,FALSE()),""))</f>
        <v/>
      </c>
      <c r="F146" s="58" t="n"/>
      <c r="G146" s="56" t="n"/>
      <c r="H146" s="58" t="n"/>
      <c r="I146" s="56" t="n"/>
      <c r="J146" s="56" t="n"/>
    </row>
    <row r="147" ht="15" customHeight="1">
      <c r="A147" s="56" t="n"/>
      <c r="B147" s="58" t="n"/>
      <c r="C147" s="56">
        <f>IF(B147="","",IFERROR(VLOOKUP(B147,'04 TANIMLAR'!$A$2:$C$9,2,FALSE()),""))</f>
        <v/>
      </c>
      <c r="D147" s="58" t="n"/>
      <c r="E147" s="56">
        <f>IF(B147="","",IFERROR(VLOOKUP(B147,'04 TANIMLAR'!$A$2:$C$9,3,FALSE()),""))</f>
        <v/>
      </c>
      <c r="F147" s="58" t="n"/>
      <c r="G147" s="56" t="n"/>
      <c r="H147" s="58" t="n"/>
      <c r="I147" s="56" t="n"/>
      <c r="J147" s="56" t="n"/>
    </row>
    <row r="148" ht="15" customHeight="1">
      <c r="A148" s="56" t="n"/>
      <c r="B148" s="58" t="n"/>
      <c r="C148" s="56">
        <f>IF(B148="","",IFERROR(VLOOKUP(B148,'04 TANIMLAR'!$A$2:$C$9,2,FALSE()),""))</f>
        <v/>
      </c>
      <c r="D148" s="58" t="n"/>
      <c r="E148" s="56">
        <f>IF(B148="","",IFERROR(VLOOKUP(B148,'04 TANIMLAR'!$A$2:$C$9,3,FALSE()),""))</f>
        <v/>
      </c>
      <c r="F148" s="58" t="n"/>
      <c r="G148" s="56" t="n"/>
      <c r="H148" s="58" t="n"/>
      <c r="I148" s="56" t="n"/>
      <c r="J148" s="56" t="n"/>
    </row>
    <row r="149" ht="15" customHeight="1">
      <c r="A149" s="56" t="n"/>
      <c r="B149" s="58" t="n"/>
      <c r="C149" s="56">
        <f>IF(B149="","",IFERROR(VLOOKUP(B149,'04 TANIMLAR'!$A$2:$C$9,2,FALSE()),""))</f>
        <v/>
      </c>
      <c r="D149" s="58" t="n"/>
      <c r="E149" s="56">
        <f>IF(B149="","",IFERROR(VLOOKUP(B149,'04 TANIMLAR'!$A$2:$C$9,3,FALSE()),""))</f>
        <v/>
      </c>
      <c r="F149" s="58" t="n"/>
      <c r="G149" s="56" t="n"/>
      <c r="H149" s="58" t="n"/>
      <c r="I149" s="56" t="n"/>
      <c r="J149" s="56" t="n"/>
    </row>
    <row r="150" ht="15" customHeight="1">
      <c r="A150" s="56" t="n"/>
      <c r="B150" s="58" t="n"/>
      <c r="C150" s="56">
        <f>IF(B150="","",IFERROR(VLOOKUP(B150,'04 TANIMLAR'!$A$2:$C$9,2,FALSE()),""))</f>
        <v/>
      </c>
      <c r="D150" s="58" t="n"/>
      <c r="E150" s="56">
        <f>IF(B150="","",IFERROR(VLOOKUP(B150,'04 TANIMLAR'!$A$2:$C$9,3,FALSE()),""))</f>
        <v/>
      </c>
      <c r="F150" s="58" t="n"/>
      <c r="G150" s="56" t="n"/>
      <c r="H150" s="58" t="n"/>
      <c r="I150" s="56" t="n"/>
      <c r="J150" s="56" t="n"/>
    </row>
    <row r="151" ht="15" customHeight="1">
      <c r="A151" s="56" t="n"/>
      <c r="B151" s="58" t="n"/>
      <c r="C151" s="56">
        <f>IF(B151="","",IFERROR(VLOOKUP(B151,'04 TANIMLAR'!$A$2:$C$9,2,FALSE()),""))</f>
        <v/>
      </c>
      <c r="D151" s="58" t="n"/>
      <c r="E151" s="56">
        <f>IF(B151="","",IFERROR(VLOOKUP(B151,'04 TANIMLAR'!$A$2:$C$9,3,FALSE()),""))</f>
        <v/>
      </c>
      <c r="F151" s="58" t="n"/>
      <c r="G151" s="56" t="n"/>
      <c r="H151" s="58" t="n"/>
      <c r="I151" s="56" t="n"/>
      <c r="J151" s="56" t="n"/>
    </row>
    <row r="152" ht="15" customHeight="1">
      <c r="A152" s="56" t="n"/>
      <c r="B152" s="58" t="n"/>
      <c r="C152" s="56">
        <f>IF(B152="","",IFERROR(VLOOKUP(B152,'04 TANIMLAR'!$A$2:$C$9,2,FALSE()),""))</f>
        <v/>
      </c>
      <c r="D152" s="58" t="n"/>
      <c r="E152" s="56">
        <f>IF(B152="","",IFERROR(VLOOKUP(B152,'04 TANIMLAR'!$A$2:$C$9,3,FALSE()),""))</f>
        <v/>
      </c>
      <c r="F152" s="58" t="n"/>
      <c r="G152" s="56" t="n"/>
      <c r="H152" s="58" t="n"/>
      <c r="I152" s="56" t="n"/>
      <c r="J152" s="56" t="n"/>
    </row>
    <row r="153" ht="15" customHeight="1">
      <c r="A153" s="56" t="n"/>
      <c r="B153" s="58" t="n"/>
      <c r="C153" s="56">
        <f>IF(B153="","",IFERROR(VLOOKUP(B153,'04 TANIMLAR'!$A$2:$C$9,2,FALSE()),""))</f>
        <v/>
      </c>
      <c r="D153" s="58" t="n"/>
      <c r="E153" s="56">
        <f>IF(B153="","",IFERROR(VLOOKUP(B153,'04 TANIMLAR'!$A$2:$C$9,3,FALSE()),""))</f>
        <v/>
      </c>
      <c r="F153" s="58" t="n"/>
      <c r="G153" s="56" t="n"/>
      <c r="H153" s="58" t="n"/>
      <c r="I153" s="56" t="n"/>
      <c r="J153" s="56" t="n"/>
    </row>
    <row r="154" ht="15" customHeight="1">
      <c r="A154" s="56" t="n"/>
      <c r="B154" s="58" t="n"/>
      <c r="C154" s="56">
        <f>IF(B154="","",IFERROR(VLOOKUP(B154,'04 TANIMLAR'!$A$2:$C$9,2,FALSE()),""))</f>
        <v/>
      </c>
      <c r="D154" s="58" t="n"/>
      <c r="E154" s="56">
        <f>IF(B154="","",IFERROR(VLOOKUP(B154,'04 TANIMLAR'!$A$2:$C$9,3,FALSE()),""))</f>
        <v/>
      </c>
      <c r="F154" s="58" t="n"/>
      <c r="G154" s="56" t="n"/>
      <c r="H154" s="58" t="n"/>
      <c r="I154" s="56" t="n"/>
      <c r="J154" s="56" t="n"/>
    </row>
    <row r="155" ht="15" customHeight="1">
      <c r="A155" s="56" t="n"/>
      <c r="B155" s="58" t="n"/>
      <c r="C155" s="56">
        <f>IF(B155="","",IFERROR(VLOOKUP(B155,'04 TANIMLAR'!$A$2:$C$9,2,FALSE()),""))</f>
        <v/>
      </c>
      <c r="D155" s="58" t="n"/>
      <c r="E155" s="56">
        <f>IF(B155="","",IFERROR(VLOOKUP(B155,'04 TANIMLAR'!$A$2:$C$9,3,FALSE()),""))</f>
        <v/>
      </c>
      <c r="F155" s="58" t="n"/>
      <c r="G155" s="56" t="n"/>
      <c r="H155" s="58" t="n"/>
      <c r="I155" s="56" t="n"/>
      <c r="J155" s="56" t="n"/>
    </row>
    <row r="156" ht="15" customHeight="1">
      <c r="A156" s="56" t="n"/>
      <c r="B156" s="58" t="n"/>
      <c r="C156" s="56">
        <f>IF(B156="","",IFERROR(VLOOKUP(B156,'04 TANIMLAR'!$A$2:$C$9,2,FALSE()),""))</f>
        <v/>
      </c>
      <c r="D156" s="58" t="n"/>
      <c r="E156" s="56">
        <f>IF(B156="","",IFERROR(VLOOKUP(B156,'04 TANIMLAR'!$A$2:$C$9,3,FALSE()),""))</f>
        <v/>
      </c>
      <c r="F156" s="58" t="n"/>
      <c r="G156" s="56" t="n"/>
      <c r="H156" s="58" t="n"/>
      <c r="I156" s="56" t="n"/>
      <c r="J156" s="56" t="n"/>
    </row>
    <row r="157" ht="15" customHeight="1">
      <c r="A157" s="56" t="n"/>
      <c r="B157" s="58" t="n"/>
      <c r="C157" s="56">
        <f>IF(B157="","",IFERROR(VLOOKUP(B157,'04 TANIMLAR'!$A$2:$C$9,2,FALSE()),""))</f>
        <v/>
      </c>
      <c r="D157" s="58" t="n"/>
      <c r="E157" s="56">
        <f>IF(B157="","",IFERROR(VLOOKUP(B157,'04 TANIMLAR'!$A$2:$C$9,3,FALSE()),""))</f>
        <v/>
      </c>
      <c r="F157" s="58" t="n"/>
      <c r="G157" s="56" t="n"/>
      <c r="H157" s="58" t="n"/>
      <c r="I157" s="56" t="n"/>
      <c r="J157" s="56" t="n"/>
    </row>
    <row r="158" ht="15" customHeight="1">
      <c r="A158" s="56" t="n"/>
      <c r="B158" s="58" t="n"/>
      <c r="C158" s="56">
        <f>IF(B158="","",IFERROR(VLOOKUP(B158,'04 TANIMLAR'!$A$2:$C$9,2,FALSE()),""))</f>
        <v/>
      </c>
      <c r="D158" s="58" t="n"/>
      <c r="E158" s="56">
        <f>IF(B158="","",IFERROR(VLOOKUP(B158,'04 TANIMLAR'!$A$2:$C$9,3,FALSE()),""))</f>
        <v/>
      </c>
      <c r="F158" s="58" t="n"/>
      <c r="G158" s="56" t="n"/>
      <c r="H158" s="58" t="n"/>
      <c r="I158" s="56" t="n"/>
      <c r="J158" s="56" t="n"/>
    </row>
    <row r="159" ht="15" customHeight="1">
      <c r="A159" s="56" t="n"/>
      <c r="B159" s="58" t="n"/>
      <c r="C159" s="56">
        <f>IF(B159="","",IFERROR(VLOOKUP(B159,'04 TANIMLAR'!$A$2:$C$9,2,FALSE()),""))</f>
        <v/>
      </c>
      <c r="D159" s="58" t="n"/>
      <c r="E159" s="56">
        <f>IF(B159="","",IFERROR(VLOOKUP(B159,'04 TANIMLAR'!$A$2:$C$9,3,FALSE()),""))</f>
        <v/>
      </c>
      <c r="F159" s="58" t="n"/>
      <c r="G159" s="56" t="n"/>
      <c r="H159" s="58" t="n"/>
      <c r="I159" s="56" t="n"/>
      <c r="J159" s="56" t="n"/>
    </row>
    <row r="160" ht="15" customHeight="1">
      <c r="A160" s="56" t="n"/>
      <c r="B160" s="58" t="n"/>
      <c r="C160" s="56">
        <f>IF(B160="","",IFERROR(VLOOKUP(B160,'04 TANIMLAR'!$A$2:$C$9,2,FALSE()),""))</f>
        <v/>
      </c>
      <c r="D160" s="58" t="n"/>
      <c r="E160" s="56">
        <f>IF(B160="","",IFERROR(VLOOKUP(B160,'04 TANIMLAR'!$A$2:$C$9,3,FALSE()),""))</f>
        <v/>
      </c>
      <c r="F160" s="58" t="n"/>
      <c r="G160" s="56" t="n"/>
      <c r="H160" s="58" t="n"/>
      <c r="I160" s="56" t="n"/>
      <c r="J160" s="56" t="n"/>
    </row>
    <row r="161" ht="15" customHeight="1">
      <c r="A161" s="56" t="n"/>
      <c r="B161" s="58" t="n"/>
      <c r="C161" s="56">
        <f>IF(B161="","",IFERROR(VLOOKUP(B161,'04 TANIMLAR'!$A$2:$C$9,2,FALSE()),""))</f>
        <v/>
      </c>
      <c r="D161" s="58" t="n"/>
      <c r="E161" s="56">
        <f>IF(B161="","",IFERROR(VLOOKUP(B161,'04 TANIMLAR'!$A$2:$C$9,3,FALSE()),""))</f>
        <v/>
      </c>
      <c r="F161" s="58" t="n"/>
      <c r="G161" s="56" t="n"/>
      <c r="H161" s="58" t="n"/>
      <c r="I161" s="56" t="n"/>
      <c r="J161" s="56" t="n"/>
    </row>
    <row r="162" ht="15" customHeight="1">
      <c r="A162" s="56" t="n"/>
      <c r="B162" s="58" t="n"/>
      <c r="C162" s="56">
        <f>IF(B162="","",IFERROR(VLOOKUP(B162,'04 TANIMLAR'!$A$2:$C$9,2,FALSE()),""))</f>
        <v/>
      </c>
      <c r="D162" s="58" t="n"/>
      <c r="E162" s="56">
        <f>IF(B162="","",IFERROR(VLOOKUP(B162,'04 TANIMLAR'!$A$2:$C$9,3,FALSE()),""))</f>
        <v/>
      </c>
      <c r="F162" s="58" t="n"/>
      <c r="G162" s="56" t="n"/>
      <c r="H162" s="58" t="n"/>
      <c r="I162" s="56" t="n"/>
      <c r="J162" s="56" t="n"/>
    </row>
    <row r="163" ht="15" customHeight="1">
      <c r="A163" s="56" t="n"/>
      <c r="B163" s="58" t="n"/>
      <c r="C163" s="56">
        <f>IF(B163="","",IFERROR(VLOOKUP(B163,'04 TANIMLAR'!$A$2:$C$9,2,FALSE()),""))</f>
        <v/>
      </c>
      <c r="D163" s="58" t="n"/>
      <c r="E163" s="56">
        <f>IF(B163="","",IFERROR(VLOOKUP(B163,'04 TANIMLAR'!$A$2:$C$9,3,FALSE()),""))</f>
        <v/>
      </c>
      <c r="F163" s="58" t="n"/>
      <c r="G163" s="56" t="n"/>
      <c r="H163" s="58" t="n"/>
      <c r="I163" s="56" t="n"/>
      <c r="J163" s="56" t="n"/>
    </row>
    <row r="164" ht="15" customHeight="1">
      <c r="A164" s="56" t="n"/>
      <c r="B164" s="58" t="n"/>
      <c r="C164" s="56">
        <f>IF(B164="","",IFERROR(VLOOKUP(B164,'04 TANIMLAR'!$A$2:$C$9,2,FALSE()),""))</f>
        <v/>
      </c>
      <c r="D164" s="58" t="n"/>
      <c r="E164" s="56">
        <f>IF(B164="","",IFERROR(VLOOKUP(B164,'04 TANIMLAR'!$A$2:$C$9,3,FALSE()),""))</f>
        <v/>
      </c>
      <c r="F164" s="58" t="n"/>
      <c r="G164" s="56" t="n"/>
      <c r="H164" s="58" t="n"/>
      <c r="I164" s="56" t="n"/>
      <c r="J164" s="56" t="n"/>
    </row>
    <row r="165" ht="15" customHeight="1">
      <c r="A165" s="56" t="n"/>
      <c r="B165" s="58" t="n"/>
      <c r="C165" s="56">
        <f>IF(B165="","",IFERROR(VLOOKUP(B165,'04 TANIMLAR'!$A$2:$C$9,2,FALSE()),""))</f>
        <v/>
      </c>
      <c r="D165" s="58" t="n"/>
      <c r="E165" s="56">
        <f>IF(B165="","",IFERROR(VLOOKUP(B165,'04 TANIMLAR'!$A$2:$C$9,3,FALSE()),""))</f>
        <v/>
      </c>
      <c r="F165" s="58" t="n"/>
      <c r="G165" s="56" t="n"/>
      <c r="H165" s="58" t="n"/>
      <c r="I165" s="56" t="n"/>
      <c r="J165" s="56" t="n"/>
    </row>
    <row r="166" ht="15" customHeight="1">
      <c r="A166" s="56" t="n"/>
      <c r="B166" s="58" t="n"/>
      <c r="C166" s="56">
        <f>IF(B166="","",IFERROR(VLOOKUP(B166,'04 TANIMLAR'!$A$2:$C$9,2,FALSE()),""))</f>
        <v/>
      </c>
      <c r="D166" s="58" t="n"/>
      <c r="E166" s="56">
        <f>IF(B166="","",IFERROR(VLOOKUP(B166,'04 TANIMLAR'!$A$2:$C$9,3,FALSE()),""))</f>
        <v/>
      </c>
      <c r="F166" s="58" t="n"/>
      <c r="G166" s="56" t="n"/>
      <c r="H166" s="58" t="n"/>
      <c r="I166" s="56" t="n"/>
      <c r="J166" s="56" t="n"/>
    </row>
    <row r="167" ht="15" customHeight="1">
      <c r="A167" s="56" t="n"/>
      <c r="B167" s="58" t="n"/>
      <c r="C167" s="56">
        <f>IF(B167="","",IFERROR(VLOOKUP(B167,'04 TANIMLAR'!$A$2:$C$9,2,FALSE()),""))</f>
        <v/>
      </c>
      <c r="D167" s="58" t="n"/>
      <c r="E167" s="56">
        <f>IF(B167="","",IFERROR(VLOOKUP(B167,'04 TANIMLAR'!$A$2:$C$9,3,FALSE()),""))</f>
        <v/>
      </c>
      <c r="F167" s="58" t="n"/>
      <c r="G167" s="56" t="n"/>
      <c r="H167" s="58" t="n"/>
      <c r="I167" s="56" t="n"/>
      <c r="J167" s="56" t="n"/>
    </row>
    <row r="168" ht="15" customHeight="1">
      <c r="A168" s="56" t="n"/>
      <c r="B168" s="58" t="n"/>
      <c r="C168" s="56">
        <f>IF(B168="","",IFERROR(VLOOKUP(B168,'04 TANIMLAR'!$A$2:$C$9,2,FALSE()),""))</f>
        <v/>
      </c>
      <c r="D168" s="58" t="n"/>
      <c r="E168" s="56">
        <f>IF(B168="","",IFERROR(VLOOKUP(B168,'04 TANIMLAR'!$A$2:$C$9,3,FALSE()),""))</f>
        <v/>
      </c>
      <c r="F168" s="58" t="n"/>
      <c r="G168" s="56" t="n"/>
      <c r="H168" s="58" t="n"/>
      <c r="I168" s="56" t="n"/>
      <c r="J168" s="56" t="n"/>
    </row>
    <row r="169" ht="15" customHeight="1">
      <c r="A169" s="56" t="n"/>
      <c r="B169" s="58" t="n"/>
      <c r="C169" s="56">
        <f>IF(B169="","",IFERROR(VLOOKUP(B169,'04 TANIMLAR'!$A$2:$C$9,2,FALSE()),""))</f>
        <v/>
      </c>
      <c r="D169" s="58" t="n"/>
      <c r="E169" s="56">
        <f>IF(B169="","",IFERROR(VLOOKUP(B169,'04 TANIMLAR'!$A$2:$C$9,3,FALSE()),""))</f>
        <v/>
      </c>
      <c r="F169" s="58" t="n"/>
      <c r="G169" s="56" t="n"/>
      <c r="H169" s="58" t="n"/>
      <c r="I169" s="56" t="n"/>
      <c r="J169" s="56" t="n"/>
    </row>
    <row r="170" ht="15" customHeight="1">
      <c r="A170" s="56" t="n"/>
      <c r="B170" s="58" t="n"/>
      <c r="C170" s="56">
        <f>IF(B170="","",IFERROR(VLOOKUP(B170,'04 TANIMLAR'!$A$2:$C$9,2,FALSE()),""))</f>
        <v/>
      </c>
      <c r="D170" s="58" t="n"/>
      <c r="E170" s="56">
        <f>IF(B170="","",IFERROR(VLOOKUP(B170,'04 TANIMLAR'!$A$2:$C$9,3,FALSE()),""))</f>
        <v/>
      </c>
      <c r="F170" s="58" t="n"/>
      <c r="G170" s="56" t="n"/>
      <c r="H170" s="58" t="n"/>
      <c r="I170" s="56" t="n"/>
      <c r="J170" s="56" t="n"/>
    </row>
    <row r="171" ht="15" customHeight="1">
      <c r="A171" s="56" t="n"/>
      <c r="B171" s="58" t="n"/>
      <c r="C171" s="56">
        <f>IF(B171="","",IFERROR(VLOOKUP(B171,'04 TANIMLAR'!$A$2:$C$9,2,FALSE()),""))</f>
        <v/>
      </c>
      <c r="D171" s="58" t="n"/>
      <c r="E171" s="56">
        <f>IF(B171="","",IFERROR(VLOOKUP(B171,'04 TANIMLAR'!$A$2:$C$9,3,FALSE()),""))</f>
        <v/>
      </c>
      <c r="F171" s="58" t="n"/>
      <c r="G171" s="56" t="n"/>
      <c r="H171" s="58" t="n"/>
      <c r="I171" s="56" t="n"/>
      <c r="J171" s="56" t="n"/>
    </row>
    <row r="172" ht="15" customHeight="1">
      <c r="A172" s="56" t="n"/>
      <c r="B172" s="58" t="n"/>
      <c r="C172" s="56">
        <f>IF(B172="","",IFERROR(VLOOKUP(B172,'04 TANIMLAR'!$A$2:$C$9,2,FALSE()),""))</f>
        <v/>
      </c>
      <c r="D172" s="58" t="n"/>
      <c r="E172" s="56">
        <f>IF(B172="","",IFERROR(VLOOKUP(B172,'04 TANIMLAR'!$A$2:$C$9,3,FALSE()),""))</f>
        <v/>
      </c>
      <c r="F172" s="58" t="n"/>
      <c r="G172" s="56" t="n"/>
      <c r="H172" s="58" t="n"/>
      <c r="I172" s="56" t="n"/>
      <c r="J172" s="56" t="n"/>
    </row>
    <row r="173" ht="15" customHeight="1">
      <c r="A173" s="56" t="n"/>
      <c r="B173" s="58" t="n"/>
      <c r="C173" s="56">
        <f>IF(B173="","",IFERROR(VLOOKUP(B173,'04 TANIMLAR'!$A$2:$C$9,2,FALSE()),""))</f>
        <v/>
      </c>
      <c r="D173" s="58" t="n"/>
      <c r="E173" s="56">
        <f>IF(B173="","",IFERROR(VLOOKUP(B173,'04 TANIMLAR'!$A$2:$C$9,3,FALSE()),""))</f>
        <v/>
      </c>
      <c r="F173" s="58" t="n"/>
      <c r="G173" s="56" t="n"/>
      <c r="H173" s="58" t="n"/>
      <c r="I173" s="56" t="n"/>
      <c r="J173" s="56" t="n"/>
    </row>
    <row r="174" ht="15" customHeight="1">
      <c r="A174" s="56" t="n"/>
      <c r="B174" s="58" t="n"/>
      <c r="C174" s="56">
        <f>IF(B174="","",IFERROR(VLOOKUP(B174,'04 TANIMLAR'!$A$2:$C$9,2,FALSE()),""))</f>
        <v/>
      </c>
      <c r="D174" s="58" t="n"/>
      <c r="E174" s="56">
        <f>IF(B174="","",IFERROR(VLOOKUP(B174,'04 TANIMLAR'!$A$2:$C$9,3,FALSE()),""))</f>
        <v/>
      </c>
      <c r="F174" s="58" t="n"/>
      <c r="G174" s="56" t="n"/>
      <c r="H174" s="58" t="n"/>
      <c r="I174" s="56" t="n"/>
      <c r="J174" s="56" t="n"/>
    </row>
    <row r="175" ht="15" customHeight="1">
      <c r="A175" s="56" t="n"/>
      <c r="B175" s="58" t="n"/>
      <c r="C175" s="56">
        <f>IF(B175="","",IFERROR(VLOOKUP(B175,'04 TANIMLAR'!$A$2:$C$9,2,FALSE()),""))</f>
        <v/>
      </c>
      <c r="D175" s="58" t="n"/>
      <c r="E175" s="56">
        <f>IF(B175="","",IFERROR(VLOOKUP(B175,'04 TANIMLAR'!$A$2:$C$9,3,FALSE()),""))</f>
        <v/>
      </c>
      <c r="F175" s="58" t="n"/>
      <c r="G175" s="56" t="n"/>
      <c r="H175" s="58" t="n"/>
      <c r="I175" s="56" t="n"/>
      <c r="J175" s="56" t="n"/>
    </row>
    <row r="176" ht="15" customHeight="1">
      <c r="A176" s="56" t="n"/>
      <c r="B176" s="58" t="n"/>
      <c r="C176" s="56">
        <f>IF(B176="","",IFERROR(VLOOKUP(B176,'04 TANIMLAR'!$A$2:$C$9,2,FALSE()),""))</f>
        <v/>
      </c>
      <c r="D176" s="58" t="n"/>
      <c r="E176" s="56">
        <f>IF(B176="","",IFERROR(VLOOKUP(B176,'04 TANIMLAR'!$A$2:$C$9,3,FALSE()),""))</f>
        <v/>
      </c>
      <c r="F176" s="58" t="n"/>
      <c r="G176" s="56" t="n"/>
      <c r="H176" s="58" t="n"/>
      <c r="I176" s="56" t="n"/>
      <c r="J176" s="56" t="n"/>
    </row>
    <row r="177" ht="15" customHeight="1">
      <c r="A177" s="56" t="n"/>
      <c r="B177" s="58" t="n"/>
      <c r="C177" s="56">
        <f>IF(B177="","",IFERROR(VLOOKUP(B177,'04 TANIMLAR'!$A$2:$C$9,2,FALSE()),""))</f>
        <v/>
      </c>
      <c r="D177" s="58" t="n"/>
      <c r="E177" s="56">
        <f>IF(B177="","",IFERROR(VLOOKUP(B177,'04 TANIMLAR'!$A$2:$C$9,3,FALSE()),""))</f>
        <v/>
      </c>
      <c r="F177" s="58" t="n"/>
      <c r="G177" s="56" t="n"/>
      <c r="H177" s="58" t="n"/>
      <c r="I177" s="56" t="n"/>
      <c r="J177" s="56" t="n"/>
    </row>
    <row r="178" ht="15" customHeight="1">
      <c r="A178" s="56" t="n"/>
      <c r="B178" s="58" t="n"/>
      <c r="C178" s="56">
        <f>IF(B178="","",IFERROR(VLOOKUP(B178,'04 TANIMLAR'!$A$2:$C$9,2,FALSE()),""))</f>
        <v/>
      </c>
      <c r="D178" s="58" t="n"/>
      <c r="E178" s="56">
        <f>IF(B178="","",IFERROR(VLOOKUP(B178,'04 TANIMLAR'!$A$2:$C$9,3,FALSE()),""))</f>
        <v/>
      </c>
      <c r="F178" s="58" t="n"/>
      <c r="G178" s="56" t="n"/>
      <c r="H178" s="58" t="n"/>
      <c r="I178" s="56" t="n"/>
      <c r="J178" s="56" t="n"/>
    </row>
    <row r="179" ht="15" customHeight="1">
      <c r="A179" s="56" t="n"/>
      <c r="B179" s="58" t="n"/>
      <c r="C179" s="56">
        <f>IF(B179="","",IFERROR(VLOOKUP(B179,'04 TANIMLAR'!$A$2:$C$9,2,FALSE()),""))</f>
        <v/>
      </c>
      <c r="D179" s="58" t="n"/>
      <c r="E179" s="56">
        <f>IF(B179="","",IFERROR(VLOOKUP(B179,'04 TANIMLAR'!$A$2:$C$9,3,FALSE()),""))</f>
        <v/>
      </c>
      <c r="F179" s="58" t="n"/>
      <c r="G179" s="56" t="n"/>
      <c r="H179" s="58" t="n"/>
      <c r="I179" s="56" t="n"/>
      <c r="J179" s="56" t="n"/>
    </row>
    <row r="180" ht="15" customHeight="1">
      <c r="A180" s="56" t="n"/>
      <c r="B180" s="58" t="n"/>
      <c r="C180" s="56">
        <f>IF(B180="","",IFERROR(VLOOKUP(B180,'04 TANIMLAR'!$A$2:$C$9,2,FALSE()),""))</f>
        <v/>
      </c>
      <c r="D180" s="58" t="n"/>
      <c r="E180" s="56">
        <f>IF(B180="","",IFERROR(VLOOKUP(B180,'04 TANIMLAR'!$A$2:$C$9,3,FALSE()),""))</f>
        <v/>
      </c>
      <c r="F180" s="58" t="n"/>
      <c r="G180" s="56" t="n"/>
      <c r="H180" s="58" t="n"/>
      <c r="I180" s="56" t="n"/>
      <c r="J180" s="56" t="n"/>
    </row>
    <row r="181" ht="15" customHeight="1">
      <c r="A181" s="56" t="n"/>
      <c r="B181" s="58" t="n"/>
      <c r="C181" s="56">
        <f>IF(B181="","",IFERROR(VLOOKUP(B181,'04 TANIMLAR'!$A$2:$C$9,2,FALSE()),""))</f>
        <v/>
      </c>
      <c r="D181" s="58" t="n"/>
      <c r="E181" s="56">
        <f>IF(B181="","",IFERROR(VLOOKUP(B181,'04 TANIMLAR'!$A$2:$C$9,3,FALSE()),""))</f>
        <v/>
      </c>
      <c r="F181" s="58" t="n"/>
      <c r="G181" s="56" t="n"/>
      <c r="H181" s="58" t="n"/>
      <c r="I181" s="56" t="n"/>
      <c r="J181" s="56" t="n"/>
    </row>
    <row r="182" ht="15" customHeight="1">
      <c r="A182" s="56" t="n"/>
      <c r="B182" s="58" t="n"/>
      <c r="C182" s="56">
        <f>IF(B182="","",IFERROR(VLOOKUP(B182,'04 TANIMLAR'!$A$2:$C$9,2,FALSE()),""))</f>
        <v/>
      </c>
      <c r="D182" s="58" t="n"/>
      <c r="E182" s="56">
        <f>IF(B182="","",IFERROR(VLOOKUP(B182,'04 TANIMLAR'!$A$2:$C$9,3,FALSE()),""))</f>
        <v/>
      </c>
      <c r="F182" s="58" t="n"/>
      <c r="G182" s="56" t="n"/>
      <c r="H182" s="58" t="n"/>
      <c r="I182" s="56" t="n"/>
      <c r="J182" s="56" t="n"/>
    </row>
    <row r="183" ht="15" customHeight="1">
      <c r="A183" s="56" t="n"/>
      <c r="B183" s="58" t="n"/>
      <c r="C183" s="56">
        <f>IF(B183="","",IFERROR(VLOOKUP(B183,'04 TANIMLAR'!$A$2:$C$9,2,FALSE()),""))</f>
        <v/>
      </c>
      <c r="D183" s="58" t="n"/>
      <c r="E183" s="56">
        <f>IF(B183="","",IFERROR(VLOOKUP(B183,'04 TANIMLAR'!$A$2:$C$9,3,FALSE()),""))</f>
        <v/>
      </c>
      <c r="F183" s="58" t="n"/>
      <c r="G183" s="56" t="n"/>
      <c r="H183" s="58" t="n"/>
      <c r="I183" s="56" t="n"/>
      <c r="J183" s="56" t="n"/>
    </row>
    <row r="184" ht="15" customHeight="1">
      <c r="A184" s="56" t="n"/>
      <c r="B184" s="58" t="n"/>
      <c r="C184" s="56">
        <f>IF(B184="","",IFERROR(VLOOKUP(B184,'04 TANIMLAR'!$A$2:$C$9,2,FALSE()),""))</f>
        <v/>
      </c>
      <c r="D184" s="58" t="n"/>
      <c r="E184" s="56">
        <f>IF(B184="","",IFERROR(VLOOKUP(B184,'04 TANIMLAR'!$A$2:$C$9,3,FALSE()),""))</f>
        <v/>
      </c>
      <c r="F184" s="58" t="n"/>
      <c r="G184" s="56" t="n"/>
      <c r="H184" s="58" t="n"/>
      <c r="I184" s="56" t="n"/>
      <c r="J184" s="56" t="n"/>
    </row>
    <row r="185" ht="15" customHeight="1">
      <c r="A185" s="56" t="n"/>
      <c r="B185" s="58" t="n"/>
      <c r="C185" s="56">
        <f>IF(B185="","",IFERROR(VLOOKUP(B185,'04 TANIMLAR'!$A$2:$C$9,2,FALSE()),""))</f>
        <v/>
      </c>
      <c r="D185" s="58" t="n"/>
      <c r="E185" s="56">
        <f>IF(B185="","",IFERROR(VLOOKUP(B185,'04 TANIMLAR'!$A$2:$C$9,3,FALSE()),""))</f>
        <v/>
      </c>
      <c r="F185" s="58" t="n"/>
      <c r="G185" s="56" t="n"/>
      <c r="H185" s="58" t="n"/>
      <c r="I185" s="56" t="n"/>
      <c r="J185" s="56" t="n"/>
    </row>
    <row r="186" ht="15" customHeight="1">
      <c r="A186" s="56" t="n"/>
      <c r="B186" s="58" t="n"/>
      <c r="C186" s="56">
        <f>IF(B186="","",IFERROR(VLOOKUP(B186,'04 TANIMLAR'!$A$2:$C$9,2,FALSE()),""))</f>
        <v/>
      </c>
      <c r="D186" s="58" t="n"/>
      <c r="E186" s="56">
        <f>IF(B186="","",IFERROR(VLOOKUP(B186,'04 TANIMLAR'!$A$2:$C$9,3,FALSE()),""))</f>
        <v/>
      </c>
      <c r="F186" s="58" t="n"/>
      <c r="G186" s="56" t="n"/>
      <c r="H186" s="58" t="n"/>
      <c r="I186" s="56" t="n"/>
      <c r="J186" s="56" t="n"/>
    </row>
    <row r="187" ht="15" customHeight="1">
      <c r="A187" s="56" t="n"/>
      <c r="B187" s="58" t="n"/>
      <c r="C187" s="56">
        <f>IF(B187="","",IFERROR(VLOOKUP(B187,'04 TANIMLAR'!$A$2:$C$9,2,FALSE()),""))</f>
        <v/>
      </c>
      <c r="D187" s="58" t="n"/>
      <c r="E187" s="56">
        <f>IF(B187="","",IFERROR(VLOOKUP(B187,'04 TANIMLAR'!$A$2:$C$9,3,FALSE()),""))</f>
        <v/>
      </c>
      <c r="F187" s="58" t="n"/>
      <c r="G187" s="56" t="n"/>
      <c r="H187" s="58" t="n"/>
      <c r="I187" s="56" t="n"/>
      <c r="J187" s="56" t="n"/>
    </row>
    <row r="188" ht="15" customHeight="1">
      <c r="A188" s="56" t="n"/>
      <c r="B188" s="58" t="n"/>
      <c r="C188" s="56">
        <f>IF(B188="","",IFERROR(VLOOKUP(B188,'04 TANIMLAR'!$A$2:$C$9,2,FALSE()),""))</f>
        <v/>
      </c>
      <c r="D188" s="58" t="n"/>
      <c r="E188" s="56">
        <f>IF(B188="","",IFERROR(VLOOKUP(B188,'04 TANIMLAR'!$A$2:$C$9,3,FALSE()),""))</f>
        <v/>
      </c>
      <c r="F188" s="58" t="n"/>
      <c r="G188" s="56" t="n"/>
      <c r="H188" s="58" t="n"/>
      <c r="I188" s="56" t="n"/>
      <c r="J188" s="56" t="n"/>
    </row>
    <row r="189" ht="15" customHeight="1">
      <c r="A189" s="56" t="n"/>
      <c r="B189" s="58" t="n"/>
      <c r="C189" s="56">
        <f>IF(B189="","",IFERROR(VLOOKUP(B189,'04 TANIMLAR'!$A$2:$C$9,2,FALSE()),""))</f>
        <v/>
      </c>
      <c r="D189" s="58" t="n"/>
      <c r="E189" s="56">
        <f>IF(B189="","",IFERROR(VLOOKUP(B189,'04 TANIMLAR'!$A$2:$C$9,3,FALSE()),""))</f>
        <v/>
      </c>
      <c r="F189" s="58" t="n"/>
      <c r="G189" s="56" t="n"/>
      <c r="H189" s="58" t="n"/>
      <c r="I189" s="56" t="n"/>
      <c r="J189" s="56" t="n"/>
    </row>
    <row r="190" ht="15" customHeight="1">
      <c r="A190" s="56" t="n"/>
      <c r="B190" s="58" t="n"/>
      <c r="C190" s="56">
        <f>IF(B190="","",IFERROR(VLOOKUP(B190,'04 TANIMLAR'!$A$2:$C$9,2,FALSE()),""))</f>
        <v/>
      </c>
      <c r="D190" s="58" t="n"/>
      <c r="E190" s="56">
        <f>IF(B190="","",IFERROR(VLOOKUP(B190,'04 TANIMLAR'!$A$2:$C$9,3,FALSE()),""))</f>
        <v/>
      </c>
      <c r="F190" s="58" t="n"/>
      <c r="G190" s="56" t="n"/>
      <c r="H190" s="58" t="n"/>
      <c r="I190" s="56" t="n"/>
      <c r="J190" s="56" t="n"/>
    </row>
    <row r="191" ht="15" customHeight="1">
      <c r="A191" s="56" t="n"/>
      <c r="B191" s="58" t="n"/>
      <c r="C191" s="56">
        <f>IF(B191="","",IFERROR(VLOOKUP(B191,'04 TANIMLAR'!$A$2:$C$9,2,FALSE()),""))</f>
        <v/>
      </c>
      <c r="D191" s="58" t="n"/>
      <c r="E191" s="56">
        <f>IF(B191="","",IFERROR(VLOOKUP(B191,'04 TANIMLAR'!$A$2:$C$9,3,FALSE()),""))</f>
        <v/>
      </c>
      <c r="F191" s="58" t="n"/>
      <c r="G191" s="56" t="n"/>
      <c r="H191" s="58" t="n"/>
      <c r="I191" s="56" t="n"/>
      <c r="J191" s="56" t="n"/>
    </row>
    <row r="192" ht="15" customHeight="1">
      <c r="A192" s="56" t="n"/>
      <c r="B192" s="58" t="n"/>
      <c r="C192" s="56">
        <f>IF(B192="","",IFERROR(VLOOKUP(B192,'04 TANIMLAR'!$A$2:$C$9,2,FALSE()),""))</f>
        <v/>
      </c>
      <c r="D192" s="58" t="n"/>
      <c r="E192" s="56">
        <f>IF(B192="","",IFERROR(VLOOKUP(B192,'04 TANIMLAR'!$A$2:$C$9,3,FALSE()),""))</f>
        <v/>
      </c>
      <c r="F192" s="58" t="n"/>
      <c r="G192" s="56" t="n"/>
      <c r="H192" s="58" t="n"/>
      <c r="I192" s="56" t="n"/>
      <c r="J192" s="56" t="n"/>
    </row>
    <row r="193" ht="15" customHeight="1">
      <c r="A193" s="56" t="n"/>
      <c r="B193" s="58" t="n"/>
      <c r="C193" s="56">
        <f>IF(B193="","",IFERROR(VLOOKUP(B193,'04 TANIMLAR'!$A$2:$C$9,2,FALSE()),""))</f>
        <v/>
      </c>
      <c r="D193" s="58" t="n"/>
      <c r="E193" s="56">
        <f>IF(B193="","",IFERROR(VLOOKUP(B193,'04 TANIMLAR'!$A$2:$C$9,3,FALSE()),""))</f>
        <v/>
      </c>
      <c r="F193" s="58" t="n"/>
      <c r="G193" s="56" t="n"/>
      <c r="H193" s="58" t="n"/>
      <c r="I193" s="56" t="n"/>
      <c r="J193" s="56" t="n"/>
    </row>
    <row r="194" ht="15" customHeight="1">
      <c r="A194" s="56" t="n"/>
      <c r="B194" s="58" t="n"/>
      <c r="C194" s="56">
        <f>IF(B194="","",IFERROR(VLOOKUP(B194,'04 TANIMLAR'!$A$2:$C$9,2,FALSE()),""))</f>
        <v/>
      </c>
      <c r="D194" s="58" t="n"/>
      <c r="E194" s="56">
        <f>IF(B194="","",IFERROR(VLOOKUP(B194,'04 TANIMLAR'!$A$2:$C$9,3,FALSE()),""))</f>
        <v/>
      </c>
      <c r="F194" s="58" t="n"/>
      <c r="G194" s="56" t="n"/>
      <c r="H194" s="58" t="n"/>
      <c r="I194" s="56" t="n"/>
      <c r="J194" s="56" t="n"/>
    </row>
    <row r="195" ht="15" customHeight="1">
      <c r="A195" s="56" t="n"/>
      <c r="B195" s="58" t="n"/>
      <c r="C195" s="56">
        <f>IF(B195="","",IFERROR(VLOOKUP(B195,'04 TANIMLAR'!$A$2:$C$9,2,FALSE()),""))</f>
        <v/>
      </c>
      <c r="D195" s="58" t="n"/>
      <c r="E195" s="56">
        <f>IF(B195="","",IFERROR(VLOOKUP(B195,'04 TANIMLAR'!$A$2:$C$9,3,FALSE()),""))</f>
        <v/>
      </c>
      <c r="F195" s="58" t="n"/>
      <c r="G195" s="56" t="n"/>
      <c r="H195" s="58" t="n"/>
      <c r="I195" s="56" t="n"/>
      <c r="J195" s="56" t="n"/>
    </row>
    <row r="196" ht="15" customHeight="1">
      <c r="A196" s="56" t="n"/>
      <c r="B196" s="58" t="n"/>
      <c r="C196" s="56">
        <f>IF(B196="","",IFERROR(VLOOKUP(B196,'04 TANIMLAR'!$A$2:$C$9,2,FALSE()),""))</f>
        <v/>
      </c>
      <c r="D196" s="58" t="n"/>
      <c r="E196" s="56">
        <f>IF(B196="","",IFERROR(VLOOKUP(B196,'04 TANIMLAR'!$A$2:$C$9,3,FALSE()),""))</f>
        <v/>
      </c>
      <c r="F196" s="58" t="n"/>
      <c r="G196" s="56" t="n"/>
      <c r="H196" s="58" t="n"/>
      <c r="I196" s="56" t="n"/>
      <c r="J196" s="56" t="n"/>
    </row>
    <row r="197" ht="15" customHeight="1">
      <c r="A197" s="56" t="n"/>
      <c r="B197" s="58" t="n"/>
      <c r="C197" s="56">
        <f>IF(B197="","",IFERROR(VLOOKUP(B197,'04 TANIMLAR'!$A$2:$C$9,2,FALSE()),""))</f>
        <v/>
      </c>
      <c r="D197" s="58" t="n"/>
      <c r="E197" s="56">
        <f>IF(B197="","",IFERROR(VLOOKUP(B197,'04 TANIMLAR'!$A$2:$C$9,3,FALSE()),""))</f>
        <v/>
      </c>
      <c r="F197" s="58" t="n"/>
      <c r="G197" s="56" t="n"/>
      <c r="H197" s="58" t="n"/>
      <c r="I197" s="56" t="n"/>
      <c r="J197" s="56" t="n"/>
    </row>
    <row r="198" ht="15" customHeight="1">
      <c r="A198" s="56" t="n"/>
      <c r="B198" s="58" t="n"/>
      <c r="C198" s="56">
        <f>IF(B198="","",IFERROR(VLOOKUP(B198,'04 TANIMLAR'!$A$2:$C$9,2,FALSE()),""))</f>
        <v/>
      </c>
      <c r="D198" s="58" t="n"/>
      <c r="E198" s="56">
        <f>IF(B198="","",IFERROR(VLOOKUP(B198,'04 TANIMLAR'!$A$2:$C$9,3,FALSE()),""))</f>
        <v/>
      </c>
      <c r="F198" s="58" t="n"/>
      <c r="G198" s="56" t="n"/>
      <c r="H198" s="58" t="n"/>
      <c r="I198" s="56" t="n"/>
      <c r="J198" s="56" t="n"/>
    </row>
    <row r="199" ht="15" customHeight="1">
      <c r="A199" s="56" t="n"/>
      <c r="B199" s="58" t="n"/>
      <c r="C199" s="56">
        <f>IF(B199="","",IFERROR(VLOOKUP(B199,'04 TANIMLAR'!$A$2:$C$9,2,FALSE()),""))</f>
        <v/>
      </c>
      <c r="D199" s="58" t="n"/>
      <c r="E199" s="56">
        <f>IF(B199="","",IFERROR(VLOOKUP(B199,'04 TANIMLAR'!$A$2:$C$9,3,FALSE()),""))</f>
        <v/>
      </c>
      <c r="F199" s="58" t="n"/>
      <c r="G199" s="56" t="n"/>
      <c r="H199" s="58" t="n"/>
      <c r="I199" s="56" t="n"/>
      <c r="J199" s="56" t="n"/>
    </row>
    <row r="200" ht="15" customHeight="1">
      <c r="A200" s="56" t="n"/>
      <c r="B200" s="58" t="n"/>
      <c r="C200" s="56">
        <f>IF(B200="","",IFERROR(VLOOKUP(B200,'04 TANIMLAR'!$A$2:$C$9,2,FALSE()),""))</f>
        <v/>
      </c>
      <c r="D200" s="58" t="n"/>
      <c r="E200" s="56">
        <f>IF(B200="","",IFERROR(VLOOKUP(B200,'04 TANIMLAR'!$A$2:$C$9,3,FALSE()),""))</f>
        <v/>
      </c>
      <c r="F200" s="58" t="n"/>
      <c r="G200" s="56" t="n"/>
      <c r="H200" s="58" t="n"/>
      <c r="I200" s="56" t="n"/>
      <c r="J200" s="56" t="n"/>
    </row>
    <row r="201" ht="15" customHeight="1">
      <c r="A201" s="56" t="n"/>
      <c r="B201" s="58" t="n"/>
      <c r="C201" s="56">
        <f>IF(B201="","",IFERROR(VLOOKUP(B201,'04 TANIMLAR'!$A$2:$C$9,2,FALSE()),""))</f>
        <v/>
      </c>
      <c r="D201" s="58" t="n"/>
      <c r="E201" s="56">
        <f>IF(B201="","",IFERROR(VLOOKUP(B201,'04 TANIMLAR'!$A$2:$C$9,3,FALSE()),""))</f>
        <v/>
      </c>
      <c r="F201" s="58" t="n"/>
      <c r="G201" s="56" t="n"/>
      <c r="H201" s="58" t="n"/>
      <c r="I201" s="56" t="n"/>
      <c r="J201" s="56" t="n"/>
    </row>
    <row r="202" ht="15" customHeight="1">
      <c r="A202" s="56" t="n"/>
      <c r="B202" s="58" t="n"/>
      <c r="C202" s="56">
        <f>IF(B202="","",IFERROR(VLOOKUP(B202,'04 TANIMLAR'!$A$2:$C$9,2,FALSE()),""))</f>
        <v/>
      </c>
      <c r="D202" s="58" t="n"/>
      <c r="E202" s="56">
        <f>IF(B202="","",IFERROR(VLOOKUP(B202,'04 TANIMLAR'!$A$2:$C$9,3,FALSE()),""))</f>
        <v/>
      </c>
      <c r="F202" s="58" t="n"/>
      <c r="G202" s="56" t="n"/>
      <c r="H202" s="58" t="n"/>
      <c r="I202" s="56" t="n"/>
      <c r="J202" s="56" t="n"/>
    </row>
    <row r="203" ht="15" customHeight="1">
      <c r="A203" s="56" t="n"/>
      <c r="B203" s="58" t="n"/>
      <c r="C203" s="56">
        <f>IF(B203="","",IFERROR(VLOOKUP(B203,'04 TANIMLAR'!$A$2:$C$9,2,FALSE()),""))</f>
        <v/>
      </c>
      <c r="D203" s="58" t="n"/>
      <c r="E203" s="56">
        <f>IF(B203="","",IFERROR(VLOOKUP(B203,'04 TANIMLAR'!$A$2:$C$9,3,FALSE()),""))</f>
        <v/>
      </c>
      <c r="F203" s="58" t="n"/>
      <c r="G203" s="56" t="n"/>
      <c r="H203" s="58" t="n"/>
      <c r="I203" s="56" t="n"/>
      <c r="J203" s="56" t="n"/>
    </row>
    <row r="204" ht="15" customHeight="1">
      <c r="A204" s="56" t="n"/>
      <c r="B204" s="58" t="n"/>
      <c r="C204" s="56">
        <f>IF(B204="","",IFERROR(VLOOKUP(B204,'04 TANIMLAR'!$A$2:$C$9,2,FALSE()),""))</f>
        <v/>
      </c>
      <c r="D204" s="58" t="n"/>
      <c r="E204" s="56">
        <f>IF(B204="","",IFERROR(VLOOKUP(B204,'04 TANIMLAR'!$A$2:$C$9,3,FALSE()),""))</f>
        <v/>
      </c>
      <c r="F204" s="58" t="n"/>
      <c r="G204" s="56" t="n"/>
      <c r="H204" s="58" t="n"/>
      <c r="I204" s="56" t="n"/>
      <c r="J204" s="56" t="n"/>
    </row>
    <row r="205" ht="15" customHeight="1">
      <c r="A205" s="56" t="n"/>
      <c r="B205" s="58" t="n"/>
      <c r="C205" s="56">
        <f>IF(B205="","",IFERROR(VLOOKUP(B205,'04 TANIMLAR'!$A$2:$C$9,2,FALSE()),""))</f>
        <v/>
      </c>
      <c r="D205" s="58" t="n"/>
      <c r="E205" s="56">
        <f>IF(B205="","",IFERROR(VLOOKUP(B205,'04 TANIMLAR'!$A$2:$C$9,3,FALSE()),""))</f>
        <v/>
      </c>
      <c r="F205" s="58" t="n"/>
      <c r="G205" s="56" t="n"/>
      <c r="H205" s="58" t="n"/>
      <c r="I205" s="56" t="n"/>
      <c r="J205" s="56" t="n"/>
    </row>
    <row r="206" ht="15" customHeight="1">
      <c r="A206" s="56" t="n"/>
      <c r="B206" s="58" t="n"/>
      <c r="C206" s="56">
        <f>IF(B206="","",IFERROR(VLOOKUP(B206,'04 TANIMLAR'!$A$2:$C$9,2,FALSE()),""))</f>
        <v/>
      </c>
      <c r="D206" s="58" t="n"/>
      <c r="E206" s="56">
        <f>IF(B206="","",IFERROR(VLOOKUP(B206,'04 TANIMLAR'!$A$2:$C$9,3,FALSE()),""))</f>
        <v/>
      </c>
      <c r="F206" s="58" t="n"/>
      <c r="G206" s="56" t="n"/>
      <c r="H206" s="58" t="n"/>
      <c r="I206" s="56" t="n"/>
      <c r="J206" s="56" t="n"/>
    </row>
    <row r="207" ht="15" customHeight="1">
      <c r="A207" s="56" t="n"/>
      <c r="B207" s="58" t="n"/>
      <c r="C207" s="56">
        <f>IF(B207="","",IFERROR(VLOOKUP(B207,'04 TANIMLAR'!$A$2:$C$9,2,FALSE()),""))</f>
        <v/>
      </c>
      <c r="D207" s="58" t="n"/>
      <c r="E207" s="56">
        <f>IF(B207="","",IFERROR(VLOOKUP(B207,'04 TANIMLAR'!$A$2:$C$9,3,FALSE()),""))</f>
        <v/>
      </c>
      <c r="F207" s="58" t="n"/>
      <c r="G207" s="56" t="n"/>
      <c r="H207" s="58" t="n"/>
      <c r="I207" s="56" t="n"/>
      <c r="J207" s="56" t="n"/>
    </row>
    <row r="208" ht="15" customHeight="1">
      <c r="A208" s="56" t="n"/>
      <c r="B208" s="58" t="n"/>
      <c r="C208" s="56">
        <f>IF(B208="","",IFERROR(VLOOKUP(B208,'04 TANIMLAR'!$A$2:$C$9,2,FALSE()),""))</f>
        <v/>
      </c>
      <c r="D208" s="58" t="n"/>
      <c r="E208" s="56">
        <f>IF(B208="","",IFERROR(VLOOKUP(B208,'04 TANIMLAR'!$A$2:$C$9,3,FALSE()),""))</f>
        <v/>
      </c>
      <c r="F208" s="58" t="n"/>
      <c r="G208" s="56" t="n"/>
      <c r="H208" s="58" t="n"/>
      <c r="I208" s="56" t="n"/>
      <c r="J208" s="56" t="n"/>
    </row>
    <row r="209" ht="15" customHeight="1">
      <c r="A209" s="56" t="n"/>
      <c r="B209" s="58" t="n"/>
      <c r="C209" s="56">
        <f>IF(B209="","",IFERROR(VLOOKUP(B209,'04 TANIMLAR'!$A$2:$C$9,2,FALSE()),""))</f>
        <v/>
      </c>
      <c r="D209" s="58" t="n"/>
      <c r="E209" s="56">
        <f>IF(B209="","",IFERROR(VLOOKUP(B209,'04 TANIMLAR'!$A$2:$C$9,3,FALSE()),""))</f>
        <v/>
      </c>
      <c r="F209" s="58" t="n"/>
      <c r="G209" s="56" t="n"/>
      <c r="H209" s="58" t="n"/>
      <c r="I209" s="56" t="n"/>
      <c r="J209" s="56" t="n"/>
    </row>
    <row r="210" ht="15" customHeight="1">
      <c r="A210" s="56" t="n"/>
      <c r="B210" s="58" t="n"/>
      <c r="C210" s="56">
        <f>IF(B210="","",IFERROR(VLOOKUP(B210,'04 TANIMLAR'!$A$2:$C$9,2,FALSE()),""))</f>
        <v/>
      </c>
      <c r="D210" s="58" t="n"/>
      <c r="E210" s="56">
        <f>IF(B210="","",IFERROR(VLOOKUP(B210,'04 TANIMLAR'!$A$2:$C$9,3,FALSE()),""))</f>
        <v/>
      </c>
      <c r="F210" s="58" t="n"/>
      <c r="G210" s="56" t="n"/>
      <c r="H210" s="58" t="n"/>
      <c r="I210" s="56" t="n"/>
      <c r="J210" s="56" t="n"/>
    </row>
    <row r="211" ht="15" customHeight="1">
      <c r="A211" s="56" t="n"/>
      <c r="B211" s="58" t="n"/>
      <c r="C211" s="56">
        <f>IF(B211="","",IFERROR(VLOOKUP(B211,'04 TANIMLAR'!$A$2:$C$9,2,FALSE()),""))</f>
        <v/>
      </c>
      <c r="D211" s="58" t="n"/>
      <c r="E211" s="56">
        <f>IF(B211="","",IFERROR(VLOOKUP(B211,'04 TANIMLAR'!$A$2:$C$9,3,FALSE()),""))</f>
        <v/>
      </c>
      <c r="F211" s="58" t="n"/>
      <c r="G211" s="56" t="n"/>
      <c r="H211" s="58" t="n"/>
      <c r="I211" s="56" t="n"/>
      <c r="J211" s="56" t="n"/>
    </row>
    <row r="212" ht="15" customHeight="1">
      <c r="A212" s="56" t="n"/>
      <c r="B212" s="58" t="n"/>
      <c r="C212" s="56">
        <f>IF(B212="","",IFERROR(VLOOKUP(B212,'04 TANIMLAR'!$A$2:$C$9,2,FALSE()),""))</f>
        <v/>
      </c>
      <c r="D212" s="58" t="n"/>
      <c r="E212" s="56">
        <f>IF(B212="","",IFERROR(VLOOKUP(B212,'04 TANIMLAR'!$A$2:$C$9,3,FALSE()),""))</f>
        <v/>
      </c>
      <c r="F212" s="58" t="n"/>
      <c r="G212" s="56" t="n"/>
      <c r="H212" s="58" t="n"/>
      <c r="I212" s="56" t="n"/>
      <c r="J212" s="56" t="n"/>
    </row>
    <row r="213" ht="15" customHeight="1">
      <c r="A213" s="56" t="n"/>
      <c r="B213" s="58" t="n"/>
      <c r="C213" s="56">
        <f>IF(B213="","",IFERROR(VLOOKUP(B213,'04 TANIMLAR'!$A$2:$C$9,2,FALSE()),""))</f>
        <v/>
      </c>
      <c r="D213" s="58" t="n"/>
      <c r="E213" s="56">
        <f>IF(B213="","",IFERROR(VLOOKUP(B213,'04 TANIMLAR'!$A$2:$C$9,3,FALSE()),""))</f>
        <v/>
      </c>
      <c r="F213" s="58" t="n"/>
      <c r="G213" s="56" t="n"/>
      <c r="H213" s="58" t="n"/>
      <c r="I213" s="56" t="n"/>
      <c r="J213" s="56" t="n"/>
    </row>
    <row r="214" ht="15" customHeight="1">
      <c r="A214" s="56" t="n"/>
      <c r="B214" s="58" t="n"/>
      <c r="C214" s="56">
        <f>IF(B214="","",IFERROR(VLOOKUP(B214,'04 TANIMLAR'!$A$2:$C$9,2,FALSE()),""))</f>
        <v/>
      </c>
      <c r="D214" s="58" t="n"/>
      <c r="E214" s="56">
        <f>IF(B214="","",IFERROR(VLOOKUP(B214,'04 TANIMLAR'!$A$2:$C$9,3,FALSE()),""))</f>
        <v/>
      </c>
      <c r="F214" s="58" t="n"/>
      <c r="G214" s="56" t="n"/>
      <c r="H214" s="58" t="n"/>
      <c r="I214" s="56" t="n"/>
      <c r="J214" s="56" t="n"/>
    </row>
    <row r="215" ht="15" customHeight="1">
      <c r="A215" s="56" t="n"/>
      <c r="B215" s="58" t="n"/>
      <c r="C215" s="56">
        <f>IF(B215="","",IFERROR(VLOOKUP(B215,'04 TANIMLAR'!$A$2:$C$9,2,FALSE()),""))</f>
        <v/>
      </c>
      <c r="D215" s="58" t="n"/>
      <c r="E215" s="56">
        <f>IF(B215="","",IFERROR(VLOOKUP(B215,'04 TANIMLAR'!$A$2:$C$9,3,FALSE()),""))</f>
        <v/>
      </c>
      <c r="F215" s="58" t="n"/>
      <c r="G215" s="56" t="n"/>
      <c r="H215" s="58" t="n"/>
      <c r="I215" s="56" t="n"/>
      <c r="J215" s="56" t="n"/>
    </row>
    <row r="216" ht="15" customHeight="1">
      <c r="A216" s="56" t="n"/>
      <c r="B216" s="58" t="n"/>
      <c r="C216" s="56">
        <f>IF(B216="","",IFERROR(VLOOKUP(B216,'04 TANIMLAR'!$A$2:$C$9,2,FALSE()),""))</f>
        <v/>
      </c>
      <c r="D216" s="58" t="n"/>
      <c r="E216" s="56">
        <f>IF(B216="","",IFERROR(VLOOKUP(B216,'04 TANIMLAR'!$A$2:$C$9,3,FALSE()),""))</f>
        <v/>
      </c>
      <c r="F216" s="58" t="n"/>
      <c r="G216" s="56" t="n"/>
      <c r="H216" s="58" t="n"/>
      <c r="I216" s="56" t="n"/>
      <c r="J216" s="56" t="n"/>
    </row>
    <row r="217" ht="15" customHeight="1">
      <c r="A217" s="56" t="n"/>
      <c r="B217" s="58" t="n"/>
      <c r="C217" s="56">
        <f>IF(B217="","",IFERROR(VLOOKUP(B217,'04 TANIMLAR'!$A$2:$C$9,2,FALSE()),""))</f>
        <v/>
      </c>
      <c r="D217" s="58" t="n"/>
      <c r="E217" s="56">
        <f>IF(B217="","",IFERROR(VLOOKUP(B217,'04 TANIMLAR'!$A$2:$C$9,3,FALSE()),""))</f>
        <v/>
      </c>
      <c r="F217" s="58" t="n"/>
      <c r="G217" s="56" t="n"/>
      <c r="H217" s="58" t="n"/>
      <c r="I217" s="56" t="n"/>
      <c r="J217" s="56" t="n"/>
    </row>
    <row r="218" ht="15" customHeight="1">
      <c r="A218" s="56" t="n"/>
      <c r="B218" s="58" t="n"/>
      <c r="C218" s="56">
        <f>IF(B218="","",IFERROR(VLOOKUP(B218,'04 TANIMLAR'!$A$2:$C$9,2,FALSE()),""))</f>
        <v/>
      </c>
      <c r="D218" s="58" t="n"/>
      <c r="E218" s="56">
        <f>IF(B218="","",IFERROR(VLOOKUP(B218,'04 TANIMLAR'!$A$2:$C$9,3,FALSE()),""))</f>
        <v/>
      </c>
      <c r="F218" s="58" t="n"/>
      <c r="G218" s="56" t="n"/>
      <c r="H218" s="58" t="n"/>
      <c r="I218" s="56" t="n"/>
      <c r="J218" s="56" t="n"/>
    </row>
    <row r="219" ht="15" customHeight="1">
      <c r="A219" s="56" t="n"/>
      <c r="B219" s="58" t="n"/>
      <c r="C219" s="56">
        <f>IF(B219="","",IFERROR(VLOOKUP(B219,'04 TANIMLAR'!$A$2:$C$9,2,FALSE()),""))</f>
        <v/>
      </c>
      <c r="D219" s="58" t="n"/>
      <c r="E219" s="56">
        <f>IF(B219="","",IFERROR(VLOOKUP(B219,'04 TANIMLAR'!$A$2:$C$9,3,FALSE()),""))</f>
        <v/>
      </c>
      <c r="F219" s="58" t="n"/>
      <c r="G219" s="56" t="n"/>
      <c r="H219" s="58" t="n"/>
      <c r="I219" s="56" t="n"/>
      <c r="J219" s="56" t="n"/>
    </row>
    <row r="220" ht="15" customHeight="1">
      <c r="A220" s="56" t="n"/>
      <c r="B220" s="58" t="n"/>
      <c r="C220" s="56">
        <f>IF(B220="","",IFERROR(VLOOKUP(B220,'04 TANIMLAR'!$A$2:$C$9,2,FALSE()),""))</f>
        <v/>
      </c>
      <c r="D220" s="58" t="n"/>
      <c r="E220" s="56">
        <f>IF(B220="","",IFERROR(VLOOKUP(B220,'04 TANIMLAR'!$A$2:$C$9,3,FALSE()),""))</f>
        <v/>
      </c>
      <c r="F220" s="58" t="n"/>
      <c r="G220" s="56" t="n"/>
      <c r="H220" s="58" t="n"/>
      <c r="I220" s="56" t="n"/>
      <c r="J220" s="56" t="n"/>
    </row>
    <row r="221" ht="15" customHeight="1">
      <c r="A221" s="56" t="n"/>
      <c r="B221" s="58" t="n"/>
      <c r="C221" s="56">
        <f>IF(B221="","",IFERROR(VLOOKUP(B221,'04 TANIMLAR'!$A$2:$C$9,2,FALSE()),""))</f>
        <v/>
      </c>
      <c r="D221" s="58" t="n"/>
      <c r="E221" s="56">
        <f>IF(B221="","",IFERROR(VLOOKUP(B221,'04 TANIMLAR'!$A$2:$C$9,3,FALSE()),""))</f>
        <v/>
      </c>
      <c r="F221" s="58" t="n"/>
      <c r="G221" s="56" t="n"/>
      <c r="H221" s="58" t="n"/>
      <c r="I221" s="56" t="n"/>
      <c r="J221" s="56" t="n"/>
    </row>
    <row r="222" ht="15" customHeight="1">
      <c r="A222" s="56" t="n"/>
      <c r="B222" s="58" t="n"/>
      <c r="C222" s="56">
        <f>IF(B222="","",IFERROR(VLOOKUP(B222,'04 TANIMLAR'!$A$2:$C$9,2,FALSE()),""))</f>
        <v/>
      </c>
      <c r="D222" s="58" t="n"/>
      <c r="E222" s="56">
        <f>IF(B222="","",IFERROR(VLOOKUP(B222,'04 TANIMLAR'!$A$2:$C$9,3,FALSE()),""))</f>
        <v/>
      </c>
      <c r="F222" s="58" t="n"/>
      <c r="G222" s="56" t="n"/>
      <c r="H222" s="58" t="n"/>
      <c r="I222" s="56" t="n"/>
      <c r="J222" s="56" t="n"/>
    </row>
    <row r="223" ht="15" customHeight="1">
      <c r="A223" s="56" t="n"/>
      <c r="B223" s="58" t="n"/>
      <c r="C223" s="56">
        <f>IF(B223="","",IFERROR(VLOOKUP(B223,'04 TANIMLAR'!$A$2:$C$9,2,FALSE()),""))</f>
        <v/>
      </c>
      <c r="D223" s="58" t="n"/>
      <c r="E223" s="56">
        <f>IF(B223="","",IFERROR(VLOOKUP(B223,'04 TANIMLAR'!$A$2:$C$9,3,FALSE()),""))</f>
        <v/>
      </c>
      <c r="F223" s="58" t="n"/>
      <c r="G223" s="56" t="n"/>
      <c r="H223" s="58" t="n"/>
      <c r="I223" s="56" t="n"/>
      <c r="J223" s="56" t="n"/>
    </row>
    <row r="224" ht="15" customHeight="1">
      <c r="A224" s="56" t="n"/>
      <c r="B224" s="58" t="n"/>
      <c r="C224" s="56">
        <f>IF(B224="","",IFERROR(VLOOKUP(B224,'04 TANIMLAR'!$A$2:$C$9,2,FALSE()),""))</f>
        <v/>
      </c>
      <c r="D224" s="58" t="n"/>
      <c r="E224" s="56">
        <f>IF(B224="","",IFERROR(VLOOKUP(B224,'04 TANIMLAR'!$A$2:$C$9,3,FALSE()),""))</f>
        <v/>
      </c>
      <c r="F224" s="58" t="n"/>
      <c r="G224" s="56" t="n"/>
      <c r="H224" s="58" t="n"/>
      <c r="I224" s="56" t="n"/>
      <c r="J224" s="56" t="n"/>
    </row>
    <row r="225" ht="15" customHeight="1">
      <c r="A225" s="56" t="n"/>
      <c r="B225" s="58" t="n"/>
      <c r="C225" s="56">
        <f>IF(B225="","",IFERROR(VLOOKUP(B225,'04 TANIMLAR'!$A$2:$C$9,2,FALSE()),""))</f>
        <v/>
      </c>
      <c r="D225" s="58" t="n"/>
      <c r="E225" s="56">
        <f>IF(B225="","",IFERROR(VLOOKUP(B225,'04 TANIMLAR'!$A$2:$C$9,3,FALSE()),""))</f>
        <v/>
      </c>
      <c r="F225" s="58" t="n"/>
      <c r="G225" s="56" t="n"/>
      <c r="H225" s="58" t="n"/>
      <c r="I225" s="56" t="n"/>
      <c r="J225" s="56" t="n"/>
    </row>
    <row r="226" ht="15" customHeight="1">
      <c r="A226" s="56" t="n"/>
      <c r="B226" s="58" t="n"/>
      <c r="C226" s="56">
        <f>IF(B226="","",IFERROR(VLOOKUP(B226,'04 TANIMLAR'!$A$2:$C$9,2,FALSE()),""))</f>
        <v/>
      </c>
      <c r="D226" s="58" t="n"/>
      <c r="E226" s="56">
        <f>IF(B226="","",IFERROR(VLOOKUP(B226,'04 TANIMLAR'!$A$2:$C$9,3,FALSE()),""))</f>
        <v/>
      </c>
      <c r="F226" s="58" t="n"/>
      <c r="G226" s="56" t="n"/>
      <c r="H226" s="58" t="n"/>
      <c r="I226" s="56" t="n"/>
      <c r="J226" s="56" t="n"/>
    </row>
    <row r="227" ht="15" customHeight="1">
      <c r="A227" s="56" t="n"/>
      <c r="B227" s="58" t="n"/>
      <c r="C227" s="56">
        <f>IF(B227="","",IFERROR(VLOOKUP(B227,'04 TANIMLAR'!$A$2:$C$9,2,FALSE()),""))</f>
        <v/>
      </c>
      <c r="D227" s="58" t="n"/>
      <c r="E227" s="56">
        <f>IF(B227="","",IFERROR(VLOOKUP(B227,'04 TANIMLAR'!$A$2:$C$9,3,FALSE()),""))</f>
        <v/>
      </c>
      <c r="F227" s="58" t="n"/>
      <c r="G227" s="56" t="n"/>
      <c r="H227" s="58" t="n"/>
      <c r="I227" s="56" t="n"/>
      <c r="J227" s="56" t="n"/>
    </row>
    <row r="228" ht="15" customHeight="1">
      <c r="A228" s="56" t="n"/>
      <c r="B228" s="58" t="n"/>
      <c r="C228" s="56">
        <f>IF(B228="","",IFERROR(VLOOKUP(B228,'04 TANIMLAR'!$A$2:$C$9,2,FALSE()),""))</f>
        <v/>
      </c>
      <c r="D228" s="58" t="n"/>
      <c r="E228" s="56">
        <f>IF(B228="","",IFERROR(VLOOKUP(B228,'04 TANIMLAR'!$A$2:$C$9,3,FALSE()),""))</f>
        <v/>
      </c>
      <c r="F228" s="58" t="n"/>
      <c r="G228" s="56" t="n"/>
      <c r="H228" s="58" t="n"/>
      <c r="I228" s="56" t="n"/>
      <c r="J228" s="56" t="n"/>
    </row>
    <row r="229" ht="15" customHeight="1">
      <c r="A229" s="56" t="n"/>
      <c r="B229" s="58" t="n"/>
      <c r="C229" s="56">
        <f>IF(B229="","",IFERROR(VLOOKUP(B229,'04 TANIMLAR'!$A$2:$C$9,2,FALSE()),""))</f>
        <v/>
      </c>
      <c r="D229" s="58" t="n"/>
      <c r="E229" s="56">
        <f>IF(B229="","",IFERROR(VLOOKUP(B229,'04 TANIMLAR'!$A$2:$C$9,3,FALSE()),""))</f>
        <v/>
      </c>
      <c r="F229" s="58" t="n"/>
      <c r="G229" s="56" t="n"/>
      <c r="H229" s="58" t="n"/>
      <c r="I229" s="56" t="n"/>
      <c r="J229" s="56" t="n"/>
    </row>
    <row r="230" ht="15" customHeight="1">
      <c r="A230" s="56" t="n"/>
      <c r="B230" s="58" t="n"/>
      <c r="C230" s="56">
        <f>IF(B230="","",IFERROR(VLOOKUP(B230,'04 TANIMLAR'!$A$2:$C$9,2,FALSE()),""))</f>
        <v/>
      </c>
      <c r="D230" s="58" t="n"/>
      <c r="E230" s="56">
        <f>IF(B230="","",IFERROR(VLOOKUP(B230,'04 TANIMLAR'!$A$2:$C$9,3,FALSE()),""))</f>
        <v/>
      </c>
      <c r="F230" s="58" t="n"/>
      <c r="G230" s="56" t="n"/>
      <c r="H230" s="58" t="n"/>
      <c r="I230" s="56" t="n"/>
      <c r="J230" s="56" t="n"/>
    </row>
    <row r="231" ht="15" customHeight="1">
      <c r="A231" s="56" t="n"/>
      <c r="B231" s="58" t="n"/>
      <c r="C231" s="56">
        <f>IF(B231="","",IFERROR(VLOOKUP(B231,'04 TANIMLAR'!$A$2:$C$9,2,FALSE()),""))</f>
        <v/>
      </c>
      <c r="D231" s="58" t="n"/>
      <c r="E231" s="56">
        <f>IF(B231="","",IFERROR(VLOOKUP(B231,'04 TANIMLAR'!$A$2:$C$9,3,FALSE()),""))</f>
        <v/>
      </c>
      <c r="F231" s="58" t="n"/>
      <c r="G231" s="56" t="n"/>
      <c r="H231" s="58" t="n"/>
      <c r="I231" s="56" t="n"/>
      <c r="J231" s="56" t="n"/>
    </row>
    <row r="232" ht="15" customHeight="1">
      <c r="A232" s="56" t="n"/>
      <c r="B232" s="58" t="n"/>
      <c r="C232" s="56">
        <f>IF(B232="","",IFERROR(VLOOKUP(B232,'04 TANIMLAR'!$A$2:$C$9,2,FALSE()),""))</f>
        <v/>
      </c>
      <c r="D232" s="58" t="n"/>
      <c r="E232" s="56">
        <f>IF(B232="","",IFERROR(VLOOKUP(B232,'04 TANIMLAR'!$A$2:$C$9,3,FALSE()),""))</f>
        <v/>
      </c>
      <c r="F232" s="58" t="n"/>
      <c r="G232" s="56" t="n"/>
      <c r="H232" s="58" t="n"/>
      <c r="I232" s="56" t="n"/>
      <c r="J232" s="56" t="n"/>
    </row>
    <row r="233" ht="15" customHeight="1">
      <c r="A233" s="56" t="n"/>
      <c r="B233" s="58" t="n"/>
      <c r="C233" s="56">
        <f>IF(B233="","",IFERROR(VLOOKUP(B233,'04 TANIMLAR'!$A$2:$C$9,2,FALSE()),""))</f>
        <v/>
      </c>
      <c r="D233" s="58" t="n"/>
      <c r="E233" s="56">
        <f>IF(B233="","",IFERROR(VLOOKUP(B233,'04 TANIMLAR'!$A$2:$C$9,3,FALSE()),""))</f>
        <v/>
      </c>
      <c r="F233" s="58" t="n"/>
      <c r="G233" s="56" t="n"/>
      <c r="H233" s="58" t="n"/>
      <c r="I233" s="56" t="n"/>
      <c r="J233" s="56" t="n"/>
    </row>
    <row r="234" ht="15" customHeight="1">
      <c r="A234" s="56" t="n"/>
      <c r="B234" s="58" t="n"/>
      <c r="C234" s="56">
        <f>IF(B234="","",IFERROR(VLOOKUP(B234,'04 TANIMLAR'!$A$2:$C$9,2,FALSE()),""))</f>
        <v/>
      </c>
      <c r="D234" s="58" t="n"/>
      <c r="E234" s="56">
        <f>IF(B234="","",IFERROR(VLOOKUP(B234,'04 TANIMLAR'!$A$2:$C$9,3,FALSE()),""))</f>
        <v/>
      </c>
      <c r="F234" s="58" t="n"/>
      <c r="G234" s="56" t="n"/>
      <c r="H234" s="58" t="n"/>
      <c r="I234" s="56" t="n"/>
      <c r="J234" s="56" t="n"/>
    </row>
    <row r="235" ht="15" customHeight="1">
      <c r="A235" s="56" t="n"/>
      <c r="B235" s="58" t="n"/>
      <c r="C235" s="56">
        <f>IF(B235="","",IFERROR(VLOOKUP(B235,'04 TANIMLAR'!$A$2:$C$9,2,FALSE()),""))</f>
        <v/>
      </c>
      <c r="D235" s="58" t="n"/>
      <c r="E235" s="56">
        <f>IF(B235="","",IFERROR(VLOOKUP(B235,'04 TANIMLAR'!$A$2:$C$9,3,FALSE()),""))</f>
        <v/>
      </c>
      <c r="F235" s="58" t="n"/>
      <c r="G235" s="56" t="n"/>
      <c r="H235" s="58" t="n"/>
      <c r="I235" s="56" t="n"/>
      <c r="J235" s="56" t="n"/>
    </row>
    <row r="236" ht="15" customHeight="1">
      <c r="A236" s="56" t="n"/>
      <c r="B236" s="58" t="n"/>
      <c r="C236" s="56">
        <f>IF(B236="","",IFERROR(VLOOKUP(B236,'04 TANIMLAR'!$A$2:$C$9,2,FALSE()),""))</f>
        <v/>
      </c>
      <c r="D236" s="58" t="n"/>
      <c r="E236" s="56">
        <f>IF(B236="","",IFERROR(VLOOKUP(B236,'04 TANIMLAR'!$A$2:$C$9,3,FALSE()),""))</f>
        <v/>
      </c>
      <c r="F236" s="58" t="n"/>
      <c r="G236" s="56" t="n"/>
      <c r="H236" s="58" t="n"/>
      <c r="I236" s="56" t="n"/>
      <c r="J236" s="56" t="n"/>
    </row>
    <row r="237" ht="15" customHeight="1">
      <c r="A237" s="56" t="n"/>
      <c r="B237" s="58" t="n"/>
      <c r="C237" s="56">
        <f>IF(B237="","",IFERROR(VLOOKUP(B237,'04 TANIMLAR'!$A$2:$C$9,2,FALSE()),""))</f>
        <v/>
      </c>
      <c r="D237" s="58" t="n"/>
      <c r="E237" s="56">
        <f>IF(B237="","",IFERROR(VLOOKUP(B237,'04 TANIMLAR'!$A$2:$C$9,3,FALSE()),""))</f>
        <v/>
      </c>
      <c r="F237" s="58" t="n"/>
      <c r="G237" s="56" t="n"/>
      <c r="H237" s="58" t="n"/>
      <c r="I237" s="56" t="n"/>
      <c r="J237" s="56" t="n"/>
    </row>
    <row r="238" ht="15" customHeight="1">
      <c r="A238" s="56" t="n"/>
      <c r="B238" s="58" t="n"/>
      <c r="C238" s="56">
        <f>IF(B238="","",IFERROR(VLOOKUP(B238,'04 TANIMLAR'!$A$2:$C$9,2,FALSE()),""))</f>
        <v/>
      </c>
      <c r="D238" s="58" t="n"/>
      <c r="E238" s="56">
        <f>IF(B238="","",IFERROR(VLOOKUP(B238,'04 TANIMLAR'!$A$2:$C$9,3,FALSE()),""))</f>
        <v/>
      </c>
      <c r="F238" s="58" t="n"/>
      <c r="G238" s="56" t="n"/>
      <c r="H238" s="58" t="n"/>
      <c r="I238" s="56" t="n"/>
      <c r="J238" s="56" t="n"/>
    </row>
    <row r="239" ht="15" customHeight="1">
      <c r="A239" s="56" t="n"/>
      <c r="B239" s="58" t="n"/>
      <c r="C239" s="56">
        <f>IF(B239="","",IFERROR(VLOOKUP(B239,'04 TANIMLAR'!$A$2:$C$9,2,FALSE()),""))</f>
        <v/>
      </c>
      <c r="D239" s="58" t="n"/>
      <c r="E239" s="56">
        <f>IF(B239="","",IFERROR(VLOOKUP(B239,'04 TANIMLAR'!$A$2:$C$9,3,FALSE()),""))</f>
        <v/>
      </c>
      <c r="F239" s="58" t="n"/>
      <c r="G239" s="56" t="n"/>
      <c r="H239" s="58" t="n"/>
      <c r="I239" s="56" t="n"/>
      <c r="J239" s="56" t="n"/>
    </row>
    <row r="240" ht="15" customHeight="1">
      <c r="A240" s="56" t="n"/>
      <c r="B240" s="58" t="n"/>
      <c r="C240" s="56">
        <f>IF(B240="","",IFERROR(VLOOKUP(B240,'04 TANIMLAR'!$A$2:$C$9,2,FALSE()),""))</f>
        <v/>
      </c>
      <c r="D240" s="58" t="n"/>
      <c r="E240" s="56">
        <f>IF(B240="","",IFERROR(VLOOKUP(B240,'04 TANIMLAR'!$A$2:$C$9,3,FALSE()),""))</f>
        <v/>
      </c>
      <c r="F240" s="58" t="n"/>
      <c r="G240" s="56" t="n"/>
      <c r="H240" s="58" t="n"/>
      <c r="I240" s="56" t="n"/>
      <c r="J240" s="56" t="n"/>
    </row>
    <row r="241" ht="15" customHeight="1">
      <c r="A241" s="56" t="n"/>
      <c r="B241" s="58" t="n"/>
      <c r="C241" s="56">
        <f>IF(B241="","",IFERROR(VLOOKUP(B241,'04 TANIMLAR'!$A$2:$C$9,2,FALSE()),""))</f>
        <v/>
      </c>
      <c r="D241" s="58" t="n"/>
      <c r="E241" s="56">
        <f>IF(B241="","",IFERROR(VLOOKUP(B241,'04 TANIMLAR'!$A$2:$C$9,3,FALSE()),""))</f>
        <v/>
      </c>
      <c r="F241" s="58" t="n"/>
      <c r="G241" s="56" t="n"/>
      <c r="H241" s="58" t="n"/>
      <c r="I241" s="56" t="n"/>
      <c r="J241" s="56" t="n"/>
    </row>
    <row r="242" ht="15" customHeight="1">
      <c r="A242" s="56" t="n"/>
      <c r="B242" s="58" t="n"/>
      <c r="C242" s="56">
        <f>IF(B242="","",IFERROR(VLOOKUP(B242,'04 TANIMLAR'!$A$2:$C$9,2,FALSE()),""))</f>
        <v/>
      </c>
      <c r="D242" s="58" t="n"/>
      <c r="E242" s="56">
        <f>IF(B242="","",IFERROR(VLOOKUP(B242,'04 TANIMLAR'!$A$2:$C$9,3,FALSE()),""))</f>
        <v/>
      </c>
      <c r="F242" s="58" t="n"/>
      <c r="G242" s="56" t="n"/>
      <c r="H242" s="58" t="n"/>
      <c r="I242" s="56" t="n"/>
      <c r="J242" s="56" t="n"/>
    </row>
    <row r="243" ht="15" customHeight="1">
      <c r="A243" s="56" t="n"/>
      <c r="B243" s="58" t="n"/>
      <c r="C243" s="56">
        <f>IF(B243="","",IFERROR(VLOOKUP(B243,'04 TANIMLAR'!$A$2:$C$9,2,FALSE()),""))</f>
        <v/>
      </c>
      <c r="D243" s="58" t="n"/>
      <c r="E243" s="56">
        <f>IF(B243="","",IFERROR(VLOOKUP(B243,'04 TANIMLAR'!$A$2:$C$9,3,FALSE()),""))</f>
        <v/>
      </c>
      <c r="F243" s="58" t="n"/>
      <c r="G243" s="56" t="n"/>
      <c r="H243" s="58" t="n"/>
      <c r="I243" s="56" t="n"/>
      <c r="J243" s="56" t="n"/>
    </row>
    <row r="244" ht="15" customHeight="1">
      <c r="A244" s="56" t="n"/>
      <c r="B244" s="58" t="n"/>
      <c r="C244" s="56">
        <f>IF(B244="","",IFERROR(VLOOKUP(B244,'04 TANIMLAR'!$A$2:$C$9,2,FALSE()),""))</f>
        <v/>
      </c>
      <c r="D244" s="58" t="n"/>
      <c r="E244" s="56">
        <f>IF(B244="","",IFERROR(VLOOKUP(B244,'04 TANIMLAR'!$A$2:$C$9,3,FALSE()),""))</f>
        <v/>
      </c>
      <c r="F244" s="58" t="n"/>
      <c r="G244" s="56" t="n"/>
      <c r="H244" s="58" t="n"/>
      <c r="I244" s="56" t="n"/>
      <c r="J244" s="56" t="n"/>
    </row>
    <row r="245" ht="15" customHeight="1">
      <c r="A245" s="56" t="n"/>
      <c r="B245" s="58" t="n"/>
      <c r="C245" s="56">
        <f>IF(B245="","",IFERROR(VLOOKUP(B245,'04 TANIMLAR'!$A$2:$C$9,2,FALSE()),""))</f>
        <v/>
      </c>
      <c r="D245" s="58" t="n"/>
      <c r="E245" s="56">
        <f>IF(B245="","",IFERROR(VLOOKUP(B245,'04 TANIMLAR'!$A$2:$C$9,3,FALSE()),""))</f>
        <v/>
      </c>
      <c r="F245" s="58" t="n"/>
      <c r="G245" s="56" t="n"/>
      <c r="H245" s="58" t="n"/>
      <c r="I245" s="56" t="n"/>
      <c r="J245" s="56" t="n"/>
    </row>
    <row r="246" ht="15" customHeight="1">
      <c r="A246" s="56" t="n"/>
      <c r="B246" s="58" t="n"/>
      <c r="C246" s="56">
        <f>IF(B246="","",IFERROR(VLOOKUP(B246,'04 TANIMLAR'!$A$2:$C$9,2,FALSE()),""))</f>
        <v/>
      </c>
      <c r="D246" s="58" t="n"/>
      <c r="E246" s="56">
        <f>IF(B246="","",IFERROR(VLOOKUP(B246,'04 TANIMLAR'!$A$2:$C$9,3,FALSE()),""))</f>
        <v/>
      </c>
      <c r="F246" s="58" t="n"/>
      <c r="G246" s="56" t="n"/>
      <c r="H246" s="58" t="n"/>
      <c r="I246" s="56" t="n"/>
      <c r="J246" s="56" t="n"/>
    </row>
    <row r="247" ht="15" customHeight="1">
      <c r="A247" s="56" t="n"/>
      <c r="B247" s="58" t="n"/>
      <c r="C247" s="56">
        <f>IF(B247="","",IFERROR(VLOOKUP(B247,'04 TANIMLAR'!$A$2:$C$9,2,FALSE()),""))</f>
        <v/>
      </c>
      <c r="D247" s="58" t="n"/>
      <c r="E247" s="56">
        <f>IF(B247="","",IFERROR(VLOOKUP(B247,'04 TANIMLAR'!$A$2:$C$9,3,FALSE()),""))</f>
        <v/>
      </c>
      <c r="F247" s="58" t="n"/>
      <c r="G247" s="56" t="n"/>
      <c r="H247" s="58" t="n"/>
      <c r="I247" s="56" t="n"/>
      <c r="J247" s="56" t="n"/>
    </row>
    <row r="248" ht="15" customHeight="1">
      <c r="A248" s="56" t="n"/>
      <c r="B248" s="58" t="n"/>
      <c r="C248" s="56">
        <f>IF(B248="","",IFERROR(VLOOKUP(B248,'04 TANIMLAR'!$A$2:$C$9,2,FALSE()),""))</f>
        <v/>
      </c>
      <c r="D248" s="58" t="n"/>
      <c r="E248" s="56">
        <f>IF(B248="","",IFERROR(VLOOKUP(B248,'04 TANIMLAR'!$A$2:$C$9,3,FALSE()),""))</f>
        <v/>
      </c>
      <c r="F248" s="58" t="n"/>
      <c r="G248" s="56" t="n"/>
      <c r="H248" s="58" t="n"/>
      <c r="I248" s="56" t="n"/>
      <c r="J248" s="56" t="n"/>
    </row>
    <row r="249" ht="15" customHeight="1">
      <c r="A249" s="56" t="n"/>
      <c r="B249" s="58" t="n"/>
      <c r="C249" s="56">
        <f>IF(B249="","",IFERROR(VLOOKUP(B249,'04 TANIMLAR'!$A$2:$C$9,2,FALSE()),""))</f>
        <v/>
      </c>
      <c r="D249" s="58" t="n"/>
      <c r="E249" s="56">
        <f>IF(B249="","",IFERROR(VLOOKUP(B249,'04 TANIMLAR'!$A$2:$C$9,3,FALSE()),""))</f>
        <v/>
      </c>
      <c r="F249" s="58" t="n"/>
      <c r="G249" s="56" t="n"/>
      <c r="H249" s="58" t="n"/>
      <c r="I249" s="56" t="n"/>
      <c r="J249" s="56" t="n"/>
    </row>
    <row r="250" ht="15" customHeight="1">
      <c r="A250" s="56" t="n"/>
      <c r="B250" s="58" t="n"/>
      <c r="C250" s="56">
        <f>IF(B250="","",IFERROR(VLOOKUP(B250,'04 TANIMLAR'!$A$2:$C$9,2,FALSE()),""))</f>
        <v/>
      </c>
      <c r="D250" s="58" t="n"/>
      <c r="E250" s="56">
        <f>IF(B250="","",IFERROR(VLOOKUP(B250,'04 TANIMLAR'!$A$2:$C$9,3,FALSE()),""))</f>
        <v/>
      </c>
      <c r="F250" s="58" t="n"/>
      <c r="G250" s="56" t="n"/>
      <c r="H250" s="58" t="n"/>
      <c r="I250" s="56" t="n"/>
      <c r="J250" s="56" t="n"/>
    </row>
    <row r="251" ht="15" customHeight="1">
      <c r="A251" s="56" t="n"/>
      <c r="B251" s="58" t="n"/>
      <c r="C251" s="56">
        <f>IF(B251="","",IFERROR(VLOOKUP(B251,'04 TANIMLAR'!$A$2:$C$9,2,FALSE()),""))</f>
        <v/>
      </c>
      <c r="D251" s="58" t="n"/>
      <c r="E251" s="56">
        <f>IF(B251="","",IFERROR(VLOOKUP(B251,'04 TANIMLAR'!$A$2:$C$9,3,FALSE()),""))</f>
        <v/>
      </c>
      <c r="F251" s="58" t="n"/>
      <c r="G251" s="56" t="n"/>
      <c r="H251" s="58" t="n"/>
      <c r="I251" s="56" t="n"/>
      <c r="J251" s="56" t="n"/>
    </row>
    <row r="252" ht="15" customHeight="1">
      <c r="A252" s="56" t="n"/>
      <c r="B252" s="58" t="n"/>
      <c r="C252" s="56">
        <f>IF(B252="","",IFERROR(VLOOKUP(B252,'04 TANIMLAR'!$A$2:$C$9,2,FALSE()),""))</f>
        <v/>
      </c>
      <c r="D252" s="58" t="n"/>
      <c r="E252" s="56">
        <f>IF(B252="","",IFERROR(VLOOKUP(B252,'04 TANIMLAR'!$A$2:$C$9,3,FALSE()),""))</f>
        <v/>
      </c>
      <c r="F252" s="58" t="n"/>
      <c r="G252" s="56" t="n"/>
      <c r="H252" s="58" t="n"/>
      <c r="I252" s="56" t="n"/>
      <c r="J252" s="56" t="n"/>
    </row>
    <row r="253" ht="15" customHeight="1">
      <c r="A253" s="56" t="n"/>
      <c r="B253" s="58" t="n"/>
      <c r="C253" s="56">
        <f>IF(B253="","",IFERROR(VLOOKUP(B253,'04 TANIMLAR'!$A$2:$C$9,2,FALSE()),""))</f>
        <v/>
      </c>
      <c r="D253" s="58" t="n"/>
      <c r="E253" s="56">
        <f>IF(B253="","",IFERROR(VLOOKUP(B253,'04 TANIMLAR'!$A$2:$C$9,3,FALSE()),""))</f>
        <v/>
      </c>
      <c r="F253" s="58" t="n"/>
      <c r="G253" s="56" t="n"/>
      <c r="H253" s="58" t="n"/>
      <c r="I253" s="56" t="n"/>
      <c r="J253" s="56" t="n"/>
    </row>
    <row r="254" ht="15" customHeight="1">
      <c r="A254" s="56" t="n"/>
      <c r="B254" s="58" t="n"/>
      <c r="C254" s="56">
        <f>IF(B254="","",IFERROR(VLOOKUP(B254,'04 TANIMLAR'!$A$2:$C$9,2,FALSE()),""))</f>
        <v/>
      </c>
      <c r="D254" s="58" t="n"/>
      <c r="E254" s="56">
        <f>IF(B254="","",IFERROR(VLOOKUP(B254,'04 TANIMLAR'!$A$2:$C$9,3,FALSE()),""))</f>
        <v/>
      </c>
      <c r="F254" s="58" t="n"/>
      <c r="G254" s="56" t="n"/>
      <c r="H254" s="58" t="n"/>
      <c r="I254" s="56" t="n"/>
      <c r="J254" s="56" t="n"/>
    </row>
    <row r="255" ht="15" customHeight="1">
      <c r="A255" s="56" t="n"/>
      <c r="B255" s="58" t="n"/>
      <c r="C255" s="56">
        <f>IF(B255="","",IFERROR(VLOOKUP(B255,'04 TANIMLAR'!$A$2:$C$9,2,FALSE()),""))</f>
        <v/>
      </c>
      <c r="D255" s="58" t="n"/>
      <c r="E255" s="56">
        <f>IF(B255="","",IFERROR(VLOOKUP(B255,'04 TANIMLAR'!$A$2:$C$9,3,FALSE()),""))</f>
        <v/>
      </c>
      <c r="F255" s="58" t="n"/>
      <c r="G255" s="56" t="n"/>
      <c r="H255" s="58" t="n"/>
      <c r="I255" s="56" t="n"/>
      <c r="J255" s="56" t="n"/>
    </row>
    <row r="256" ht="15" customHeight="1">
      <c r="A256" s="56" t="n"/>
      <c r="B256" s="58" t="n"/>
      <c r="C256" s="56">
        <f>IF(B256="","",IFERROR(VLOOKUP(B256,'04 TANIMLAR'!$A$2:$C$9,2,FALSE()),""))</f>
        <v/>
      </c>
      <c r="D256" s="58" t="n"/>
      <c r="E256" s="56">
        <f>IF(B256="","",IFERROR(VLOOKUP(B256,'04 TANIMLAR'!$A$2:$C$9,3,FALSE()),""))</f>
        <v/>
      </c>
      <c r="F256" s="58" t="n"/>
      <c r="G256" s="56" t="n"/>
      <c r="H256" s="58" t="n"/>
      <c r="I256" s="56" t="n"/>
      <c r="J256" s="56" t="n"/>
    </row>
    <row r="257" ht="15" customHeight="1">
      <c r="A257" s="56" t="n"/>
      <c r="B257" s="58" t="n"/>
      <c r="C257" s="56">
        <f>IF(B257="","",IFERROR(VLOOKUP(B257,'04 TANIMLAR'!$A$2:$C$9,2,FALSE()),""))</f>
        <v/>
      </c>
      <c r="D257" s="58" t="n"/>
      <c r="E257" s="56">
        <f>IF(B257="","",IFERROR(VLOOKUP(B257,'04 TANIMLAR'!$A$2:$C$9,3,FALSE()),""))</f>
        <v/>
      </c>
      <c r="F257" s="58" t="n"/>
      <c r="G257" s="56" t="n"/>
      <c r="H257" s="58" t="n"/>
      <c r="I257" s="56" t="n"/>
      <c r="J257" s="56" t="n"/>
    </row>
    <row r="258" ht="15" customHeight="1">
      <c r="A258" s="56" t="n"/>
      <c r="B258" s="58" t="n"/>
      <c r="C258" s="56">
        <f>IF(B258="","",IFERROR(VLOOKUP(B258,'04 TANIMLAR'!$A$2:$C$9,2,FALSE()),""))</f>
        <v/>
      </c>
      <c r="D258" s="58" t="n"/>
      <c r="E258" s="56">
        <f>IF(B258="","",IFERROR(VLOOKUP(B258,'04 TANIMLAR'!$A$2:$C$9,3,FALSE()),""))</f>
        <v/>
      </c>
      <c r="F258" s="58" t="n"/>
      <c r="G258" s="56" t="n"/>
      <c r="H258" s="58" t="n"/>
      <c r="I258" s="56" t="n"/>
      <c r="J258" s="56" t="n"/>
    </row>
    <row r="259" ht="15" customHeight="1">
      <c r="A259" s="56" t="n"/>
      <c r="B259" s="58" t="n"/>
      <c r="C259" s="56">
        <f>IF(B259="","",IFERROR(VLOOKUP(B259,'04 TANIMLAR'!$A$2:$C$9,2,FALSE()),""))</f>
        <v/>
      </c>
      <c r="D259" s="58" t="n"/>
      <c r="E259" s="56">
        <f>IF(B259="","",IFERROR(VLOOKUP(B259,'04 TANIMLAR'!$A$2:$C$9,3,FALSE()),""))</f>
        <v/>
      </c>
      <c r="F259" s="58" t="n"/>
      <c r="G259" s="56" t="n"/>
      <c r="H259" s="58" t="n"/>
      <c r="I259" s="56" t="n"/>
      <c r="J259" s="56" t="n"/>
    </row>
    <row r="260" ht="15" customHeight="1">
      <c r="A260" s="56" t="n"/>
      <c r="B260" s="58" t="n"/>
      <c r="C260" s="56">
        <f>IF(B260="","",IFERROR(VLOOKUP(B260,'04 TANIMLAR'!$A$2:$C$9,2,FALSE()),""))</f>
        <v/>
      </c>
      <c r="D260" s="58" t="n"/>
      <c r="E260" s="56">
        <f>IF(B260="","",IFERROR(VLOOKUP(B260,'04 TANIMLAR'!$A$2:$C$9,3,FALSE()),""))</f>
        <v/>
      </c>
      <c r="F260" s="58" t="n"/>
      <c r="G260" s="56" t="n"/>
      <c r="H260" s="58" t="n"/>
      <c r="I260" s="56" t="n"/>
      <c r="J260" s="56" t="n"/>
    </row>
    <row r="261" ht="15" customHeight="1">
      <c r="A261" s="56" t="n"/>
      <c r="B261" s="58" t="n"/>
      <c r="C261" s="56">
        <f>IF(B261="","",IFERROR(VLOOKUP(B261,'04 TANIMLAR'!$A$2:$C$9,2,FALSE()),""))</f>
        <v/>
      </c>
      <c r="D261" s="58" t="n"/>
      <c r="E261" s="56">
        <f>IF(B261="","",IFERROR(VLOOKUP(B261,'04 TANIMLAR'!$A$2:$C$9,3,FALSE()),""))</f>
        <v/>
      </c>
      <c r="F261" s="58" t="n"/>
      <c r="G261" s="56" t="n"/>
      <c r="H261" s="58" t="n"/>
      <c r="I261" s="56" t="n"/>
      <c r="J261" s="56" t="n"/>
    </row>
    <row r="262" ht="15" customHeight="1">
      <c r="A262" s="56" t="n"/>
      <c r="B262" s="58" t="n"/>
      <c r="C262" s="56">
        <f>IF(B262="","",IFERROR(VLOOKUP(B262,'04 TANIMLAR'!$A$2:$C$9,2,FALSE()),""))</f>
        <v/>
      </c>
      <c r="D262" s="58" t="n"/>
      <c r="E262" s="56">
        <f>IF(B262="","",IFERROR(VLOOKUP(B262,'04 TANIMLAR'!$A$2:$C$9,3,FALSE()),""))</f>
        <v/>
      </c>
      <c r="F262" s="58" t="n"/>
      <c r="G262" s="56" t="n"/>
      <c r="H262" s="58" t="n"/>
      <c r="I262" s="56" t="n"/>
      <c r="J262" s="56" t="n"/>
    </row>
    <row r="263" ht="15" customHeight="1">
      <c r="A263" s="56" t="n"/>
      <c r="B263" s="58" t="n"/>
      <c r="C263" s="56">
        <f>IF(B263="","",IFERROR(VLOOKUP(B263,'04 TANIMLAR'!$A$2:$C$9,2,FALSE()),""))</f>
        <v/>
      </c>
      <c r="D263" s="58" t="n"/>
      <c r="E263" s="56">
        <f>IF(B263="","",IFERROR(VLOOKUP(B263,'04 TANIMLAR'!$A$2:$C$9,3,FALSE()),""))</f>
        <v/>
      </c>
      <c r="F263" s="58" t="n"/>
      <c r="G263" s="56" t="n"/>
      <c r="H263" s="58" t="n"/>
      <c r="I263" s="56" t="n"/>
      <c r="J263" s="56" t="n"/>
    </row>
    <row r="264" ht="15" customHeight="1">
      <c r="A264" s="56" t="n"/>
      <c r="B264" s="58" t="n"/>
      <c r="C264" s="56">
        <f>IF(B264="","",IFERROR(VLOOKUP(B264,'04 TANIMLAR'!$A$2:$C$9,2,FALSE()),""))</f>
        <v/>
      </c>
      <c r="D264" s="58" t="n"/>
      <c r="E264" s="56">
        <f>IF(B264="","",IFERROR(VLOOKUP(B264,'04 TANIMLAR'!$A$2:$C$9,3,FALSE()),""))</f>
        <v/>
      </c>
      <c r="F264" s="58" t="n"/>
      <c r="G264" s="56" t="n"/>
      <c r="H264" s="58" t="n"/>
      <c r="I264" s="56" t="n"/>
      <c r="J264" s="56" t="n"/>
    </row>
    <row r="265" ht="15" customHeight="1">
      <c r="A265" s="56" t="n"/>
      <c r="B265" s="58" t="n"/>
      <c r="C265" s="56">
        <f>IF(B265="","",IFERROR(VLOOKUP(B265,'04 TANIMLAR'!$A$2:$C$9,2,FALSE()),""))</f>
        <v/>
      </c>
      <c r="D265" s="58" t="n"/>
      <c r="E265" s="56">
        <f>IF(B265="","",IFERROR(VLOOKUP(B265,'04 TANIMLAR'!$A$2:$C$9,3,FALSE()),""))</f>
        <v/>
      </c>
      <c r="F265" s="58" t="n"/>
      <c r="G265" s="56" t="n"/>
      <c r="H265" s="58" t="n"/>
      <c r="I265" s="56" t="n"/>
      <c r="J265" s="56" t="n"/>
    </row>
    <row r="266" ht="15" customHeight="1">
      <c r="A266" s="56" t="n"/>
      <c r="B266" s="58" t="n"/>
      <c r="C266" s="56">
        <f>IF(B266="","",IFERROR(VLOOKUP(B266,'04 TANIMLAR'!$A$2:$C$9,2,FALSE()),""))</f>
        <v/>
      </c>
      <c r="D266" s="58" t="n"/>
      <c r="E266" s="56">
        <f>IF(B266="","",IFERROR(VLOOKUP(B266,'04 TANIMLAR'!$A$2:$C$9,3,FALSE()),""))</f>
        <v/>
      </c>
      <c r="F266" s="58" t="n"/>
      <c r="G266" s="56" t="n"/>
      <c r="H266" s="58" t="n"/>
      <c r="I266" s="56" t="n"/>
      <c r="J266" s="56" t="n"/>
    </row>
    <row r="267" ht="15" customHeight="1">
      <c r="A267" s="56" t="n"/>
      <c r="B267" s="58" t="n"/>
      <c r="C267" s="56">
        <f>IF(B267="","",IFERROR(VLOOKUP(B267,'04 TANIMLAR'!$A$2:$C$9,2,FALSE()),""))</f>
        <v/>
      </c>
      <c r="D267" s="58" t="n"/>
      <c r="E267" s="56">
        <f>IF(B267="","",IFERROR(VLOOKUP(B267,'04 TANIMLAR'!$A$2:$C$9,3,FALSE()),""))</f>
        <v/>
      </c>
      <c r="F267" s="58" t="n"/>
      <c r="G267" s="56" t="n"/>
      <c r="H267" s="58" t="n"/>
      <c r="I267" s="56" t="n"/>
      <c r="J267" s="56" t="n"/>
    </row>
    <row r="268" ht="15" customHeight="1">
      <c r="A268" s="56" t="n"/>
      <c r="B268" s="58" t="n"/>
      <c r="C268" s="56">
        <f>IF(B268="","",IFERROR(VLOOKUP(B268,'04 TANIMLAR'!$A$2:$C$9,2,FALSE()),""))</f>
        <v/>
      </c>
      <c r="D268" s="58" t="n"/>
      <c r="E268" s="56">
        <f>IF(B268="","",IFERROR(VLOOKUP(B268,'04 TANIMLAR'!$A$2:$C$9,3,FALSE()),""))</f>
        <v/>
      </c>
      <c r="F268" s="58" t="n"/>
      <c r="G268" s="56" t="n"/>
      <c r="H268" s="58" t="n"/>
      <c r="I268" s="56" t="n"/>
      <c r="J268" s="56" t="n"/>
    </row>
    <row r="269" ht="15" customHeight="1">
      <c r="A269" s="56" t="n"/>
      <c r="B269" s="58" t="n"/>
      <c r="C269" s="56">
        <f>IF(B269="","",IFERROR(VLOOKUP(B269,'04 TANIMLAR'!$A$2:$C$9,2,FALSE()),""))</f>
        <v/>
      </c>
      <c r="D269" s="58" t="n"/>
      <c r="E269" s="56">
        <f>IF(B269="","",IFERROR(VLOOKUP(B269,'04 TANIMLAR'!$A$2:$C$9,3,FALSE()),""))</f>
        <v/>
      </c>
      <c r="F269" s="58" t="n"/>
      <c r="G269" s="56" t="n"/>
      <c r="H269" s="58" t="n"/>
      <c r="I269" s="56" t="n"/>
      <c r="J269" s="56" t="n"/>
    </row>
    <row r="270" ht="15" customHeight="1">
      <c r="A270" s="56" t="n"/>
      <c r="B270" s="58" t="n"/>
      <c r="C270" s="56">
        <f>IF(B270="","",IFERROR(VLOOKUP(B270,'04 TANIMLAR'!$A$2:$C$9,2,FALSE()),""))</f>
        <v/>
      </c>
      <c r="D270" s="58" t="n"/>
      <c r="E270" s="56">
        <f>IF(B270="","",IFERROR(VLOOKUP(B270,'04 TANIMLAR'!$A$2:$C$9,3,FALSE()),""))</f>
        <v/>
      </c>
      <c r="F270" s="58" t="n"/>
      <c r="G270" s="56" t="n"/>
      <c r="H270" s="58" t="n"/>
      <c r="I270" s="56" t="n"/>
      <c r="J270" s="56" t="n"/>
    </row>
    <row r="271" ht="15" customHeight="1">
      <c r="A271" s="56" t="n"/>
      <c r="B271" s="58" t="n"/>
      <c r="C271" s="56">
        <f>IF(B271="","",IFERROR(VLOOKUP(B271,'04 TANIMLAR'!$A$2:$C$9,2,FALSE()),""))</f>
        <v/>
      </c>
      <c r="D271" s="58" t="n"/>
      <c r="E271" s="56">
        <f>IF(B271="","",IFERROR(VLOOKUP(B271,'04 TANIMLAR'!$A$2:$C$9,3,FALSE()),""))</f>
        <v/>
      </c>
      <c r="F271" s="58" t="n"/>
      <c r="G271" s="56" t="n"/>
      <c r="H271" s="58" t="n"/>
      <c r="I271" s="56" t="n"/>
      <c r="J271" s="56" t="n"/>
    </row>
    <row r="272" ht="15" customHeight="1">
      <c r="A272" s="56" t="n"/>
      <c r="B272" s="58" t="n"/>
      <c r="C272" s="56">
        <f>IF(B272="","",IFERROR(VLOOKUP(B272,'04 TANIMLAR'!$A$2:$C$9,2,FALSE()),""))</f>
        <v/>
      </c>
      <c r="D272" s="58" t="n"/>
      <c r="E272" s="56">
        <f>IF(B272="","",IFERROR(VLOOKUP(B272,'04 TANIMLAR'!$A$2:$C$9,3,FALSE()),""))</f>
        <v/>
      </c>
      <c r="F272" s="58" t="n"/>
      <c r="G272" s="56" t="n"/>
      <c r="H272" s="58" t="n"/>
      <c r="I272" s="56" t="n"/>
      <c r="J272" s="56" t="n"/>
    </row>
    <row r="273" ht="15" customHeight="1">
      <c r="A273" s="56" t="n"/>
      <c r="B273" s="58" t="n"/>
      <c r="C273" s="56">
        <f>IF(B273="","",IFERROR(VLOOKUP(B273,'04 TANIMLAR'!$A$2:$C$9,2,FALSE()),""))</f>
        <v/>
      </c>
      <c r="D273" s="58" t="n"/>
      <c r="E273" s="56">
        <f>IF(B273="","",IFERROR(VLOOKUP(B273,'04 TANIMLAR'!$A$2:$C$9,3,FALSE()),""))</f>
        <v/>
      </c>
      <c r="F273" s="58" t="n"/>
      <c r="G273" s="56" t="n"/>
      <c r="H273" s="58" t="n"/>
      <c r="I273" s="56" t="n"/>
      <c r="J273" s="56" t="n"/>
    </row>
    <row r="274" ht="15" customHeight="1">
      <c r="A274" s="56" t="n"/>
      <c r="B274" s="58" t="n"/>
      <c r="C274" s="56">
        <f>IF(B274="","",IFERROR(VLOOKUP(B274,'04 TANIMLAR'!$A$2:$C$9,2,FALSE()),""))</f>
        <v/>
      </c>
      <c r="D274" s="58" t="n"/>
      <c r="E274" s="56">
        <f>IF(B274="","",IFERROR(VLOOKUP(B274,'04 TANIMLAR'!$A$2:$C$9,3,FALSE()),""))</f>
        <v/>
      </c>
      <c r="F274" s="58" t="n"/>
      <c r="G274" s="56" t="n"/>
      <c r="H274" s="58" t="n"/>
      <c r="I274" s="56" t="n"/>
      <c r="J274" s="56" t="n"/>
    </row>
    <row r="275" ht="15" customHeight="1">
      <c r="A275" s="56" t="n"/>
      <c r="B275" s="58" t="n"/>
      <c r="C275" s="56">
        <f>IF(B275="","",IFERROR(VLOOKUP(B275,'04 TANIMLAR'!$A$2:$C$9,2,FALSE()),""))</f>
        <v/>
      </c>
      <c r="D275" s="58" t="n"/>
      <c r="E275" s="56">
        <f>IF(B275="","",IFERROR(VLOOKUP(B275,'04 TANIMLAR'!$A$2:$C$9,3,FALSE()),""))</f>
        <v/>
      </c>
      <c r="F275" s="58" t="n"/>
      <c r="G275" s="56" t="n"/>
      <c r="H275" s="58" t="n"/>
      <c r="I275" s="56" t="n"/>
      <c r="J275" s="56" t="n"/>
    </row>
    <row r="276" ht="15" customHeight="1">
      <c r="A276" s="56" t="n"/>
      <c r="B276" s="58" t="n"/>
      <c r="C276" s="56">
        <f>IF(B276="","",IFERROR(VLOOKUP(B276,'04 TANIMLAR'!$A$2:$C$9,2,FALSE()),""))</f>
        <v/>
      </c>
      <c r="D276" s="58" t="n"/>
      <c r="E276" s="56">
        <f>IF(B276="","",IFERROR(VLOOKUP(B276,'04 TANIMLAR'!$A$2:$C$9,3,FALSE()),""))</f>
        <v/>
      </c>
      <c r="F276" s="58" t="n"/>
      <c r="G276" s="56" t="n"/>
      <c r="H276" s="58" t="n"/>
      <c r="I276" s="56" t="n"/>
      <c r="J276" s="56" t="n"/>
    </row>
    <row r="277" ht="15" customHeight="1">
      <c r="A277" s="56" t="n"/>
      <c r="B277" s="58" t="n"/>
      <c r="C277" s="56">
        <f>IF(B277="","",IFERROR(VLOOKUP(B277,'04 TANIMLAR'!$A$2:$C$9,2,FALSE()),""))</f>
        <v/>
      </c>
      <c r="D277" s="58" t="n"/>
      <c r="E277" s="56">
        <f>IF(B277="","",IFERROR(VLOOKUP(B277,'04 TANIMLAR'!$A$2:$C$9,3,FALSE()),""))</f>
        <v/>
      </c>
      <c r="F277" s="58" t="n"/>
      <c r="G277" s="56" t="n"/>
      <c r="H277" s="58" t="n"/>
      <c r="I277" s="56" t="n"/>
      <c r="J277" s="56" t="n"/>
    </row>
    <row r="278" ht="15" customHeight="1">
      <c r="A278" s="56" t="n"/>
      <c r="B278" s="58" t="n"/>
      <c r="C278" s="56">
        <f>IF(B278="","",IFERROR(VLOOKUP(B278,'04 TANIMLAR'!$A$2:$C$9,2,FALSE()),""))</f>
        <v/>
      </c>
      <c r="D278" s="58" t="n"/>
      <c r="E278" s="56">
        <f>IF(B278="","",IFERROR(VLOOKUP(B278,'04 TANIMLAR'!$A$2:$C$9,3,FALSE()),""))</f>
        <v/>
      </c>
      <c r="F278" s="58" t="n"/>
      <c r="G278" s="56" t="n"/>
      <c r="H278" s="58" t="n"/>
      <c r="I278" s="56" t="n"/>
      <c r="J278" s="56" t="n"/>
    </row>
    <row r="279" ht="15" customHeight="1">
      <c r="A279" s="56" t="n"/>
      <c r="B279" s="58" t="n"/>
      <c r="C279" s="56">
        <f>IF(B279="","",IFERROR(VLOOKUP(B279,'04 TANIMLAR'!$A$2:$C$9,2,FALSE()),""))</f>
        <v/>
      </c>
      <c r="D279" s="58" t="n"/>
      <c r="E279" s="56">
        <f>IF(B279="","",IFERROR(VLOOKUP(B279,'04 TANIMLAR'!$A$2:$C$9,3,FALSE()),""))</f>
        <v/>
      </c>
      <c r="F279" s="58" t="n"/>
      <c r="G279" s="56" t="n"/>
      <c r="H279" s="58" t="n"/>
      <c r="I279" s="56" t="n"/>
      <c r="J279" s="56" t="n"/>
    </row>
    <row r="280" ht="15" customHeight="1">
      <c r="A280" s="56" t="n"/>
      <c r="B280" s="58" t="n"/>
      <c r="C280" s="56">
        <f>IF(B280="","",IFERROR(VLOOKUP(B280,'04 TANIMLAR'!$A$2:$C$9,2,FALSE()),""))</f>
        <v/>
      </c>
      <c r="D280" s="58" t="n"/>
      <c r="E280" s="56">
        <f>IF(B280="","",IFERROR(VLOOKUP(B280,'04 TANIMLAR'!$A$2:$C$9,3,FALSE()),""))</f>
        <v/>
      </c>
      <c r="F280" s="58" t="n"/>
      <c r="G280" s="56" t="n"/>
      <c r="H280" s="58" t="n"/>
      <c r="I280" s="56" t="n"/>
      <c r="J280" s="56" t="n"/>
    </row>
    <row r="281" ht="15" customHeight="1">
      <c r="A281" s="56" t="n"/>
      <c r="B281" s="58" t="n"/>
      <c r="C281" s="56">
        <f>IF(B281="","",IFERROR(VLOOKUP(B281,'04 TANIMLAR'!$A$2:$C$9,2,FALSE()),""))</f>
        <v/>
      </c>
      <c r="D281" s="58" t="n"/>
      <c r="E281" s="56">
        <f>IF(B281="","",IFERROR(VLOOKUP(B281,'04 TANIMLAR'!$A$2:$C$9,3,FALSE()),""))</f>
        <v/>
      </c>
      <c r="F281" s="58" t="n"/>
      <c r="G281" s="56" t="n"/>
      <c r="H281" s="58" t="n"/>
      <c r="I281" s="56" t="n"/>
      <c r="J281" s="56" t="n"/>
    </row>
    <row r="282" ht="15" customHeight="1">
      <c r="A282" s="56" t="n"/>
      <c r="B282" s="58" t="n"/>
      <c r="C282" s="56">
        <f>IF(B282="","",IFERROR(VLOOKUP(B282,'04 TANIMLAR'!$A$2:$C$9,2,FALSE()),""))</f>
        <v/>
      </c>
      <c r="D282" s="58" t="n"/>
      <c r="E282" s="56">
        <f>IF(B282="","",IFERROR(VLOOKUP(B282,'04 TANIMLAR'!$A$2:$C$9,3,FALSE()),""))</f>
        <v/>
      </c>
      <c r="F282" s="58" t="n"/>
      <c r="G282" s="56" t="n"/>
      <c r="H282" s="58" t="n"/>
      <c r="I282" s="56" t="n"/>
      <c r="J282" s="56" t="n"/>
    </row>
    <row r="283" ht="15" customHeight="1">
      <c r="A283" s="56" t="n"/>
      <c r="B283" s="58" t="n"/>
      <c r="C283" s="56">
        <f>IF(B283="","",IFERROR(VLOOKUP(B283,'04 TANIMLAR'!$A$2:$C$9,2,FALSE()),""))</f>
        <v/>
      </c>
      <c r="D283" s="58" t="n"/>
      <c r="E283" s="56">
        <f>IF(B283="","",IFERROR(VLOOKUP(B283,'04 TANIMLAR'!$A$2:$C$9,3,FALSE()),""))</f>
        <v/>
      </c>
      <c r="F283" s="58" t="n"/>
      <c r="G283" s="56" t="n"/>
      <c r="H283" s="58" t="n"/>
      <c r="I283" s="56" t="n"/>
      <c r="J283" s="56" t="n"/>
    </row>
    <row r="284" ht="15" customHeight="1">
      <c r="A284" s="56" t="n"/>
      <c r="B284" s="58" t="n"/>
      <c r="C284" s="56">
        <f>IF(B284="","",IFERROR(VLOOKUP(B284,'04 TANIMLAR'!$A$2:$C$9,2,FALSE()),""))</f>
        <v/>
      </c>
      <c r="D284" s="58" t="n"/>
      <c r="E284" s="56">
        <f>IF(B284="","",IFERROR(VLOOKUP(B284,'04 TANIMLAR'!$A$2:$C$9,3,FALSE()),""))</f>
        <v/>
      </c>
      <c r="F284" s="58" t="n"/>
      <c r="G284" s="56" t="n"/>
      <c r="H284" s="58" t="n"/>
      <c r="I284" s="56" t="n"/>
      <c r="J284" s="56" t="n"/>
    </row>
    <row r="285" ht="15" customHeight="1">
      <c r="A285" s="56" t="n"/>
      <c r="B285" s="58" t="n"/>
      <c r="C285" s="56">
        <f>IF(B285="","",IFERROR(VLOOKUP(B285,'04 TANIMLAR'!$A$2:$C$9,2,FALSE()),""))</f>
        <v/>
      </c>
      <c r="D285" s="58" t="n"/>
      <c r="E285" s="56">
        <f>IF(B285="","",IFERROR(VLOOKUP(B285,'04 TANIMLAR'!$A$2:$C$9,3,FALSE()),""))</f>
        <v/>
      </c>
      <c r="F285" s="58" t="n"/>
      <c r="G285" s="56" t="n"/>
      <c r="H285" s="58" t="n"/>
      <c r="I285" s="56" t="n"/>
      <c r="J285" s="56" t="n"/>
    </row>
    <row r="286" ht="15" customHeight="1">
      <c r="A286" s="56" t="n"/>
      <c r="B286" s="58" t="n"/>
      <c r="C286" s="56">
        <f>IF(B286="","",IFERROR(VLOOKUP(B286,'04 TANIMLAR'!$A$2:$C$9,2,FALSE()),""))</f>
        <v/>
      </c>
      <c r="D286" s="58" t="n"/>
      <c r="E286" s="56">
        <f>IF(B286="","",IFERROR(VLOOKUP(B286,'04 TANIMLAR'!$A$2:$C$9,3,FALSE()),""))</f>
        <v/>
      </c>
      <c r="F286" s="58" t="n"/>
      <c r="G286" s="56" t="n"/>
      <c r="H286" s="58" t="n"/>
      <c r="I286" s="56" t="n"/>
      <c r="J286" s="56" t="n"/>
    </row>
    <row r="287" ht="15" customHeight="1">
      <c r="A287" s="56" t="n"/>
      <c r="B287" s="58" t="n"/>
      <c r="C287" s="56">
        <f>IF(B287="","",IFERROR(VLOOKUP(B287,'04 TANIMLAR'!$A$2:$C$9,2,FALSE()),""))</f>
        <v/>
      </c>
      <c r="D287" s="58" t="n"/>
      <c r="E287" s="56">
        <f>IF(B287="","",IFERROR(VLOOKUP(B287,'04 TANIMLAR'!$A$2:$C$9,3,FALSE()),""))</f>
        <v/>
      </c>
      <c r="F287" s="58" t="n"/>
      <c r="G287" s="56" t="n"/>
      <c r="H287" s="58" t="n"/>
      <c r="I287" s="56" t="n"/>
      <c r="J287" s="56" t="n"/>
    </row>
    <row r="288" ht="15" customHeight="1">
      <c r="A288" s="56" t="n"/>
      <c r="B288" s="58" t="n"/>
      <c r="C288" s="56">
        <f>IF(B288="","",IFERROR(VLOOKUP(B288,'04 TANIMLAR'!$A$2:$C$9,2,FALSE()),""))</f>
        <v/>
      </c>
      <c r="D288" s="58" t="n"/>
      <c r="E288" s="56">
        <f>IF(B288="","",IFERROR(VLOOKUP(B288,'04 TANIMLAR'!$A$2:$C$9,3,FALSE()),""))</f>
        <v/>
      </c>
      <c r="F288" s="58" t="n"/>
      <c r="G288" s="56" t="n"/>
      <c r="H288" s="58" t="n"/>
      <c r="I288" s="56" t="n"/>
      <c r="J288" s="56" t="n"/>
    </row>
    <row r="289" ht="15" customHeight="1">
      <c r="A289" s="56" t="n"/>
      <c r="B289" s="58" t="n"/>
      <c r="C289" s="56">
        <f>IF(B289="","",IFERROR(VLOOKUP(B289,'04 TANIMLAR'!$A$2:$C$9,2,FALSE()),""))</f>
        <v/>
      </c>
      <c r="D289" s="58" t="n"/>
      <c r="E289" s="56">
        <f>IF(B289="","",IFERROR(VLOOKUP(B289,'04 TANIMLAR'!$A$2:$C$9,3,FALSE()),""))</f>
        <v/>
      </c>
      <c r="F289" s="58" t="n"/>
      <c r="G289" s="56" t="n"/>
      <c r="H289" s="58" t="n"/>
      <c r="I289" s="56" t="n"/>
      <c r="J289" s="56" t="n"/>
    </row>
    <row r="290" ht="15" customHeight="1">
      <c r="A290" s="56" t="n"/>
      <c r="B290" s="58" t="n"/>
      <c r="C290" s="56">
        <f>IF(B290="","",IFERROR(VLOOKUP(B290,'04 TANIMLAR'!$A$2:$C$9,2,FALSE()),""))</f>
        <v/>
      </c>
      <c r="D290" s="58" t="n"/>
      <c r="E290" s="56">
        <f>IF(B290="","",IFERROR(VLOOKUP(B290,'04 TANIMLAR'!$A$2:$C$9,3,FALSE()),""))</f>
        <v/>
      </c>
      <c r="F290" s="58" t="n"/>
      <c r="G290" s="56" t="n"/>
      <c r="H290" s="58" t="n"/>
      <c r="I290" s="56" t="n"/>
      <c r="J290" s="56" t="n"/>
    </row>
    <row r="291" ht="15" customHeight="1">
      <c r="A291" s="56" t="n"/>
      <c r="B291" s="58" t="n"/>
      <c r="C291" s="56">
        <f>IF(B291="","",IFERROR(VLOOKUP(B291,'04 TANIMLAR'!$A$2:$C$9,2,FALSE()),""))</f>
        <v/>
      </c>
      <c r="D291" s="58" t="n"/>
      <c r="E291" s="56">
        <f>IF(B291="","",IFERROR(VLOOKUP(B291,'04 TANIMLAR'!$A$2:$C$9,3,FALSE()),""))</f>
        <v/>
      </c>
      <c r="F291" s="58" t="n"/>
      <c r="G291" s="56" t="n"/>
      <c r="H291" s="58" t="n"/>
      <c r="I291" s="56" t="n"/>
      <c r="J291" s="56" t="n"/>
    </row>
    <row r="292" ht="15" customHeight="1">
      <c r="A292" s="56" t="n"/>
      <c r="B292" s="58" t="n"/>
      <c r="C292" s="56">
        <f>IF(B292="","",IFERROR(VLOOKUP(B292,'04 TANIMLAR'!$A$2:$C$9,2,FALSE()),""))</f>
        <v/>
      </c>
      <c r="D292" s="58" t="n"/>
      <c r="E292" s="56">
        <f>IF(B292="","",IFERROR(VLOOKUP(B292,'04 TANIMLAR'!$A$2:$C$9,3,FALSE()),""))</f>
        <v/>
      </c>
      <c r="F292" s="58" t="n"/>
      <c r="G292" s="56" t="n"/>
      <c r="H292" s="58" t="n"/>
      <c r="I292" s="56" t="n"/>
      <c r="J292" s="56" t="n"/>
    </row>
    <row r="293" ht="15" customHeight="1">
      <c r="A293" s="56" t="n"/>
      <c r="B293" s="58" t="n"/>
      <c r="C293" s="56">
        <f>IF(B293="","",IFERROR(VLOOKUP(B293,'04 TANIMLAR'!$A$2:$C$9,2,FALSE()),""))</f>
        <v/>
      </c>
      <c r="D293" s="58" t="n"/>
      <c r="E293" s="56">
        <f>IF(B293="","",IFERROR(VLOOKUP(B293,'04 TANIMLAR'!$A$2:$C$9,3,FALSE()),""))</f>
        <v/>
      </c>
      <c r="F293" s="58" t="n"/>
      <c r="G293" s="56" t="n"/>
      <c r="H293" s="58" t="n"/>
      <c r="I293" s="56" t="n"/>
      <c r="J293" s="56" t="n"/>
    </row>
    <row r="294" ht="15" customHeight="1">
      <c r="A294" s="56" t="n"/>
      <c r="B294" s="58" t="n"/>
      <c r="C294" s="56">
        <f>IF(B294="","",IFERROR(VLOOKUP(B294,'04 TANIMLAR'!$A$2:$C$9,2,FALSE()),""))</f>
        <v/>
      </c>
      <c r="D294" s="58" t="n"/>
      <c r="E294" s="56">
        <f>IF(B294="","",IFERROR(VLOOKUP(B294,'04 TANIMLAR'!$A$2:$C$9,3,FALSE()),""))</f>
        <v/>
      </c>
      <c r="F294" s="58" t="n"/>
      <c r="G294" s="56" t="n"/>
      <c r="H294" s="58" t="n"/>
      <c r="I294" s="56" t="n"/>
      <c r="J294" s="56" t="n"/>
    </row>
    <row r="295" ht="15" customHeight="1">
      <c r="A295" s="56" t="n"/>
      <c r="B295" s="58" t="n"/>
      <c r="C295" s="56">
        <f>IF(B295="","",IFERROR(VLOOKUP(B295,'04 TANIMLAR'!$A$2:$C$9,2,FALSE()),""))</f>
        <v/>
      </c>
      <c r="D295" s="58" t="n"/>
      <c r="E295" s="56">
        <f>IF(B295="","",IFERROR(VLOOKUP(B295,'04 TANIMLAR'!$A$2:$C$9,3,FALSE()),""))</f>
        <v/>
      </c>
      <c r="F295" s="58" t="n"/>
      <c r="G295" s="56" t="n"/>
      <c r="H295" s="58" t="n"/>
      <c r="I295" s="56" t="n"/>
      <c r="J295" s="56" t="n"/>
    </row>
    <row r="296" ht="15" customHeight="1">
      <c r="A296" s="56" t="n"/>
      <c r="B296" s="58" t="n"/>
      <c r="C296" s="56">
        <f>IF(B296="","",IFERROR(VLOOKUP(B296,'04 TANIMLAR'!$A$2:$C$9,2,FALSE()),""))</f>
        <v/>
      </c>
      <c r="D296" s="58" t="n"/>
      <c r="E296" s="56">
        <f>IF(B296="","",IFERROR(VLOOKUP(B296,'04 TANIMLAR'!$A$2:$C$9,3,FALSE()),""))</f>
        <v/>
      </c>
      <c r="F296" s="58" t="n"/>
      <c r="G296" s="56" t="n"/>
      <c r="H296" s="58" t="n"/>
      <c r="I296" s="56" t="n"/>
      <c r="J296" s="56" t="n"/>
    </row>
    <row r="297" ht="15" customHeight="1">
      <c r="A297" s="56" t="n"/>
      <c r="B297" s="58" t="n"/>
      <c r="C297" s="56">
        <f>IF(B297="","",IFERROR(VLOOKUP(B297,'04 TANIMLAR'!$A$2:$C$9,2,FALSE()),""))</f>
        <v/>
      </c>
      <c r="D297" s="58" t="n"/>
      <c r="E297" s="56">
        <f>IF(B297="","",IFERROR(VLOOKUP(B297,'04 TANIMLAR'!$A$2:$C$9,3,FALSE()),""))</f>
        <v/>
      </c>
      <c r="F297" s="58" t="n"/>
      <c r="G297" s="56" t="n"/>
      <c r="H297" s="58" t="n"/>
      <c r="I297" s="56" t="n"/>
      <c r="J297" s="56" t="n"/>
    </row>
    <row r="298" ht="15" customHeight="1">
      <c r="A298" s="56" t="n"/>
      <c r="B298" s="58" t="n"/>
      <c r="C298" s="56">
        <f>IF(B298="","",IFERROR(VLOOKUP(B298,'04 TANIMLAR'!$A$2:$C$9,2,FALSE()),""))</f>
        <v/>
      </c>
      <c r="D298" s="58" t="n"/>
      <c r="E298" s="56">
        <f>IF(B298="","",IFERROR(VLOOKUP(B298,'04 TANIMLAR'!$A$2:$C$9,3,FALSE()),""))</f>
        <v/>
      </c>
      <c r="F298" s="58" t="n"/>
      <c r="G298" s="56" t="n"/>
      <c r="H298" s="58" t="n"/>
      <c r="I298" s="56" t="n"/>
      <c r="J298" s="56" t="n"/>
    </row>
    <row r="299" ht="15" customHeight="1">
      <c r="A299" s="56" t="n"/>
      <c r="B299" s="58" t="n"/>
      <c r="C299" s="56">
        <f>IF(B299="","",IFERROR(VLOOKUP(B299,'04 TANIMLAR'!$A$2:$C$9,2,FALSE()),""))</f>
        <v/>
      </c>
      <c r="D299" s="58" t="n"/>
      <c r="E299" s="56">
        <f>IF(B299="","",IFERROR(VLOOKUP(B299,'04 TANIMLAR'!$A$2:$C$9,3,FALSE()),""))</f>
        <v/>
      </c>
      <c r="F299" s="58" t="n"/>
      <c r="G299" s="56" t="n"/>
      <c r="H299" s="58" t="n"/>
      <c r="I299" s="56" t="n"/>
      <c r="J299" s="56" t="n"/>
    </row>
    <row r="300" ht="15" customHeight="1">
      <c r="A300" s="56" t="n"/>
      <c r="B300" s="58" t="n"/>
      <c r="C300" s="56">
        <f>IF(B300="","",IFERROR(VLOOKUP(B300,'04 TANIMLAR'!$A$2:$C$9,2,FALSE()),""))</f>
        <v/>
      </c>
      <c r="D300" s="58" t="n"/>
      <c r="E300" s="56">
        <f>IF(B300="","",IFERROR(VLOOKUP(B300,'04 TANIMLAR'!$A$2:$C$9,3,FALSE()),""))</f>
        <v/>
      </c>
      <c r="F300" s="58" t="n"/>
      <c r="G300" s="56" t="n"/>
      <c r="H300" s="58" t="n"/>
      <c r="I300" s="56" t="n"/>
      <c r="J300" s="56" t="n"/>
    </row>
    <row r="301" ht="15" customHeight="1">
      <c r="A301" s="56" t="n"/>
      <c r="B301" s="58" t="n"/>
      <c r="C301" s="56">
        <f>IF(B301="","",IFERROR(VLOOKUP(B301,'04 TANIMLAR'!$A$2:$C$9,2,FALSE()),""))</f>
        <v/>
      </c>
      <c r="D301" s="58" t="n"/>
      <c r="E301" s="56">
        <f>IF(B301="","",IFERROR(VLOOKUP(B301,'04 TANIMLAR'!$A$2:$C$9,3,FALSE()),""))</f>
        <v/>
      </c>
      <c r="F301" s="58" t="n"/>
      <c r="G301" s="56" t="n"/>
      <c r="H301" s="58" t="n"/>
      <c r="I301" s="56" t="n"/>
      <c r="J301" s="56" t="n"/>
    </row>
    <row r="302" ht="15" customHeight="1">
      <c r="A302" s="56" t="n"/>
      <c r="B302" s="58" t="n"/>
      <c r="C302" s="56">
        <f>IF(B302="","",IFERROR(VLOOKUP(B302,'04 TANIMLAR'!$A$2:$C$9,2,FALSE()),""))</f>
        <v/>
      </c>
      <c r="D302" s="58" t="n"/>
      <c r="E302" s="56">
        <f>IF(B302="","",IFERROR(VLOOKUP(B302,'04 TANIMLAR'!$A$2:$C$9,3,FALSE()),""))</f>
        <v/>
      </c>
      <c r="F302" s="58" t="n"/>
      <c r="G302" s="56" t="n"/>
      <c r="H302" s="58" t="n"/>
      <c r="I302" s="56" t="n"/>
      <c r="J302" s="56" t="n"/>
    </row>
    <row r="303" ht="15" customHeight="1">
      <c r="A303" s="56" t="n"/>
      <c r="B303" s="58" t="n"/>
      <c r="C303" s="56">
        <f>IF(B303="","",IFERROR(VLOOKUP(B303,'04 TANIMLAR'!$A$2:$C$9,2,FALSE()),""))</f>
        <v/>
      </c>
      <c r="D303" s="58" t="n"/>
      <c r="E303" s="56">
        <f>IF(B303="","",IFERROR(VLOOKUP(B303,'04 TANIMLAR'!$A$2:$C$9,3,FALSE()),""))</f>
        <v/>
      </c>
      <c r="F303" s="58" t="n"/>
      <c r="G303" s="56" t="n"/>
      <c r="H303" s="58" t="n"/>
      <c r="I303" s="56" t="n"/>
      <c r="J303" s="56" t="n"/>
    </row>
    <row r="304" ht="15" customHeight="1">
      <c r="A304" s="56" t="n"/>
      <c r="B304" s="58" t="n"/>
      <c r="C304" s="56">
        <f>IF(B304="","",IFERROR(VLOOKUP(B304,'04 TANIMLAR'!$A$2:$C$9,2,FALSE()),""))</f>
        <v/>
      </c>
      <c r="D304" s="58" t="n"/>
      <c r="E304" s="56">
        <f>IF(B304="","",IFERROR(VLOOKUP(B304,'04 TANIMLAR'!$A$2:$C$9,3,FALSE()),""))</f>
        <v/>
      </c>
      <c r="F304" s="58" t="n"/>
      <c r="G304" s="56" t="n"/>
      <c r="H304" s="58" t="n"/>
      <c r="I304" s="56" t="n"/>
      <c r="J304" s="56" t="n"/>
    </row>
    <row r="305" ht="15" customHeight="1">
      <c r="A305" s="56" t="n"/>
      <c r="B305" s="58" t="n"/>
      <c r="C305" s="56">
        <f>IF(B305="","",IFERROR(VLOOKUP(B305,'04 TANIMLAR'!$A$2:$C$9,2,FALSE()),""))</f>
        <v/>
      </c>
      <c r="D305" s="58" t="n"/>
      <c r="E305" s="56">
        <f>IF(B305="","",IFERROR(VLOOKUP(B305,'04 TANIMLAR'!$A$2:$C$9,3,FALSE()),""))</f>
        <v/>
      </c>
      <c r="F305" s="58" t="n"/>
      <c r="G305" s="56" t="n"/>
      <c r="H305" s="58" t="n"/>
      <c r="I305" s="56" t="n"/>
      <c r="J305" s="56" t="n"/>
    </row>
    <row r="306" ht="15" customHeight="1">
      <c r="A306" s="56" t="n"/>
      <c r="B306" s="58" t="n"/>
      <c r="C306" s="56">
        <f>IF(B306="","",IFERROR(VLOOKUP(B306,'04 TANIMLAR'!$A$2:$C$9,2,FALSE()),""))</f>
        <v/>
      </c>
      <c r="D306" s="58" t="n"/>
      <c r="E306" s="56">
        <f>IF(B306="","",IFERROR(VLOOKUP(B306,'04 TANIMLAR'!$A$2:$C$9,3,FALSE()),""))</f>
        <v/>
      </c>
      <c r="F306" s="58" t="n"/>
      <c r="G306" s="56" t="n"/>
      <c r="H306" s="58" t="n"/>
      <c r="I306" s="56" t="n"/>
      <c r="J306" s="56" t="n"/>
    </row>
    <row r="307" ht="15" customHeight="1">
      <c r="A307" s="56" t="n"/>
      <c r="B307" s="58" t="n"/>
      <c r="C307" s="56">
        <f>IF(B307="","",IFERROR(VLOOKUP(B307,'04 TANIMLAR'!$A$2:$C$9,2,FALSE()),""))</f>
        <v/>
      </c>
      <c r="D307" s="58" t="n"/>
      <c r="E307" s="56">
        <f>IF(B307="","",IFERROR(VLOOKUP(B307,'04 TANIMLAR'!$A$2:$C$9,3,FALSE()),""))</f>
        <v/>
      </c>
      <c r="F307" s="58" t="n"/>
      <c r="G307" s="56" t="n"/>
      <c r="H307" s="58" t="n"/>
      <c r="I307" s="56" t="n"/>
      <c r="J307" s="56" t="n"/>
    </row>
    <row r="308" ht="15" customHeight="1">
      <c r="A308" s="56" t="n"/>
      <c r="B308" s="58" t="n"/>
      <c r="C308" s="56">
        <f>IF(B308="","",IFERROR(VLOOKUP(B308,'04 TANIMLAR'!$A$2:$C$9,2,FALSE()),""))</f>
        <v/>
      </c>
      <c r="D308" s="58" t="n"/>
      <c r="E308" s="56">
        <f>IF(B308="","",IFERROR(VLOOKUP(B308,'04 TANIMLAR'!$A$2:$C$9,3,FALSE()),""))</f>
        <v/>
      </c>
      <c r="F308" s="58" t="n"/>
      <c r="G308" s="56" t="n"/>
      <c r="H308" s="58" t="n"/>
      <c r="I308" s="56" t="n"/>
      <c r="J308" s="56" t="n"/>
    </row>
    <row r="309" ht="15" customHeight="1">
      <c r="A309" s="56" t="n"/>
      <c r="B309" s="58" t="n"/>
      <c r="C309" s="56">
        <f>IF(B309="","",IFERROR(VLOOKUP(B309,'04 TANIMLAR'!$A$2:$C$9,2,FALSE()),""))</f>
        <v/>
      </c>
      <c r="D309" s="58" t="n"/>
      <c r="E309" s="56">
        <f>IF(B309="","",IFERROR(VLOOKUP(B309,'04 TANIMLAR'!$A$2:$C$9,3,FALSE()),""))</f>
        <v/>
      </c>
      <c r="F309" s="58" t="n"/>
      <c r="G309" s="56" t="n"/>
      <c r="H309" s="58" t="n"/>
      <c r="I309" s="56" t="n"/>
      <c r="J309" s="56" t="n"/>
    </row>
    <row r="310" ht="15" customHeight="1">
      <c r="A310" s="56" t="n"/>
      <c r="B310" s="58" t="n"/>
      <c r="C310" s="56">
        <f>IF(B310="","",IFERROR(VLOOKUP(B310,'04 TANIMLAR'!$A$2:$C$9,2,FALSE()),""))</f>
        <v/>
      </c>
      <c r="D310" s="58" t="n"/>
      <c r="E310" s="56">
        <f>IF(B310="","",IFERROR(VLOOKUP(B310,'04 TANIMLAR'!$A$2:$C$9,3,FALSE()),""))</f>
        <v/>
      </c>
      <c r="F310" s="58" t="n"/>
      <c r="G310" s="56" t="n"/>
      <c r="H310" s="58" t="n"/>
      <c r="I310" s="56" t="n"/>
      <c r="J310" s="56" t="n"/>
    </row>
    <row r="311" ht="15" customHeight="1">
      <c r="A311" s="56" t="n"/>
      <c r="B311" s="58" t="n"/>
      <c r="C311" s="56">
        <f>IF(B311="","",IFERROR(VLOOKUP(B311,'04 TANIMLAR'!$A$2:$C$9,2,FALSE()),""))</f>
        <v/>
      </c>
      <c r="D311" s="58" t="n"/>
      <c r="E311" s="56">
        <f>IF(B311="","",IFERROR(VLOOKUP(B311,'04 TANIMLAR'!$A$2:$C$9,3,FALSE()),""))</f>
        <v/>
      </c>
      <c r="F311" s="58" t="n"/>
      <c r="G311" s="56" t="n"/>
      <c r="H311" s="58" t="n"/>
      <c r="I311" s="56" t="n"/>
      <c r="J311" s="56" t="n"/>
    </row>
    <row r="312" ht="15" customHeight="1">
      <c r="A312" s="56" t="n"/>
      <c r="B312" s="58" t="n"/>
      <c r="C312" s="56">
        <f>IF(B312="","",IFERROR(VLOOKUP(B312,'04 TANIMLAR'!$A$2:$C$9,2,FALSE()),""))</f>
        <v/>
      </c>
      <c r="D312" s="58" t="n"/>
      <c r="E312" s="56">
        <f>IF(B312="","",IFERROR(VLOOKUP(B312,'04 TANIMLAR'!$A$2:$C$9,3,FALSE()),""))</f>
        <v/>
      </c>
      <c r="F312" s="58" t="n"/>
      <c r="G312" s="56" t="n"/>
      <c r="H312" s="58" t="n"/>
      <c r="I312" s="56" t="n"/>
      <c r="J312" s="56" t="n"/>
    </row>
    <row r="313" ht="15" customHeight="1">
      <c r="A313" s="56" t="n"/>
      <c r="B313" s="58" t="n"/>
      <c r="C313" s="56">
        <f>IF(B313="","",IFERROR(VLOOKUP(B313,'04 TANIMLAR'!$A$2:$C$9,2,FALSE()),""))</f>
        <v/>
      </c>
      <c r="D313" s="58" t="n"/>
      <c r="E313" s="56">
        <f>IF(B313="","",IFERROR(VLOOKUP(B313,'04 TANIMLAR'!$A$2:$C$9,3,FALSE()),""))</f>
        <v/>
      </c>
      <c r="F313" s="58" t="n"/>
      <c r="G313" s="56" t="n"/>
      <c r="H313" s="58" t="n"/>
      <c r="I313" s="56" t="n"/>
      <c r="J313" s="56" t="n"/>
    </row>
    <row r="314" ht="15" customHeight="1">
      <c r="A314" s="56" t="n"/>
      <c r="B314" s="58" t="n"/>
      <c r="C314" s="56">
        <f>IF(B314="","",IFERROR(VLOOKUP(B314,'04 TANIMLAR'!$A$2:$C$9,2,FALSE()),""))</f>
        <v/>
      </c>
      <c r="D314" s="58" t="n"/>
      <c r="E314" s="56">
        <f>IF(B314="","",IFERROR(VLOOKUP(B314,'04 TANIMLAR'!$A$2:$C$9,3,FALSE()),""))</f>
        <v/>
      </c>
      <c r="F314" s="58" t="n"/>
      <c r="G314" s="56" t="n"/>
      <c r="H314" s="58" t="n"/>
      <c r="I314" s="56" t="n"/>
      <c r="J314" s="56" t="n"/>
    </row>
    <row r="315" ht="15" customHeight="1">
      <c r="A315" s="56" t="n"/>
      <c r="B315" s="58" t="n"/>
      <c r="C315" s="56">
        <f>IF(B315="","",IFERROR(VLOOKUP(B315,'04 TANIMLAR'!$A$2:$C$9,2,FALSE()),""))</f>
        <v/>
      </c>
      <c r="D315" s="58" t="n"/>
      <c r="E315" s="56">
        <f>IF(B315="","",IFERROR(VLOOKUP(B315,'04 TANIMLAR'!$A$2:$C$9,3,FALSE()),""))</f>
        <v/>
      </c>
      <c r="F315" s="58" t="n"/>
      <c r="G315" s="56" t="n"/>
      <c r="H315" s="58" t="n"/>
      <c r="I315" s="56" t="n"/>
      <c r="J315" s="56" t="n"/>
    </row>
    <row r="316" ht="15" customHeight="1">
      <c r="A316" s="56" t="n"/>
      <c r="B316" s="58" t="n"/>
      <c r="C316" s="56">
        <f>IF(B316="","",IFERROR(VLOOKUP(B316,'04 TANIMLAR'!$A$2:$C$9,2,FALSE()),""))</f>
        <v/>
      </c>
      <c r="D316" s="58" t="n"/>
      <c r="E316" s="56">
        <f>IF(B316="","",IFERROR(VLOOKUP(B316,'04 TANIMLAR'!$A$2:$C$9,3,FALSE()),""))</f>
        <v/>
      </c>
      <c r="F316" s="58" t="n"/>
      <c r="G316" s="56" t="n"/>
      <c r="H316" s="58" t="n"/>
      <c r="I316" s="56" t="n"/>
      <c r="J316" s="56" t="n"/>
    </row>
    <row r="317" ht="15" customHeight="1">
      <c r="A317" s="56" t="n"/>
      <c r="B317" s="58" t="n"/>
      <c r="C317" s="56">
        <f>IF(B317="","",IFERROR(VLOOKUP(B317,'04 TANIMLAR'!$A$2:$C$9,2,FALSE()),""))</f>
        <v/>
      </c>
      <c r="D317" s="58" t="n"/>
      <c r="E317" s="56">
        <f>IF(B317="","",IFERROR(VLOOKUP(B317,'04 TANIMLAR'!$A$2:$C$9,3,FALSE()),""))</f>
        <v/>
      </c>
      <c r="F317" s="58" t="n"/>
      <c r="G317" s="56" t="n"/>
      <c r="H317" s="58" t="n"/>
      <c r="I317" s="56" t="n"/>
      <c r="J317" s="56" t="n"/>
    </row>
    <row r="318" ht="15" customHeight="1">
      <c r="A318" s="56" t="n"/>
      <c r="B318" s="58" t="n"/>
      <c r="C318" s="56">
        <f>IF(B318="","",IFERROR(VLOOKUP(B318,'04 TANIMLAR'!$A$2:$C$9,2,FALSE()),""))</f>
        <v/>
      </c>
      <c r="D318" s="58" t="n"/>
      <c r="E318" s="56">
        <f>IF(B318="","",IFERROR(VLOOKUP(B318,'04 TANIMLAR'!$A$2:$C$9,3,FALSE()),""))</f>
        <v/>
      </c>
      <c r="F318" s="58" t="n"/>
      <c r="G318" s="56" t="n"/>
      <c r="H318" s="58" t="n"/>
      <c r="I318" s="56" t="n"/>
      <c r="J318" s="56" t="n"/>
    </row>
    <row r="319" ht="15" customHeight="1">
      <c r="A319" s="56" t="n"/>
      <c r="B319" s="58" t="n"/>
      <c r="C319" s="56">
        <f>IF(B319="","",IFERROR(VLOOKUP(B319,'04 TANIMLAR'!$A$2:$C$9,2,FALSE()),""))</f>
        <v/>
      </c>
      <c r="D319" s="58" t="n"/>
      <c r="E319" s="56">
        <f>IF(B319="","",IFERROR(VLOOKUP(B319,'04 TANIMLAR'!$A$2:$C$9,3,FALSE()),""))</f>
        <v/>
      </c>
      <c r="F319" s="58" t="n"/>
      <c r="G319" s="56" t="n"/>
      <c r="H319" s="58" t="n"/>
      <c r="I319" s="56" t="n"/>
      <c r="J319" s="56" t="n"/>
    </row>
    <row r="320" ht="15" customHeight="1">
      <c r="A320" s="56" t="n"/>
      <c r="B320" s="58" t="n"/>
      <c r="C320" s="56">
        <f>IF(B320="","",IFERROR(VLOOKUP(B320,'04 TANIMLAR'!$A$2:$C$9,2,FALSE()),""))</f>
        <v/>
      </c>
      <c r="D320" s="58" t="n"/>
      <c r="E320" s="56">
        <f>IF(B320="","",IFERROR(VLOOKUP(B320,'04 TANIMLAR'!$A$2:$C$9,3,FALSE()),""))</f>
        <v/>
      </c>
      <c r="F320" s="58" t="n"/>
      <c r="G320" s="56" t="n"/>
      <c r="H320" s="58" t="n"/>
      <c r="I320" s="56" t="n"/>
      <c r="J320" s="56" t="n"/>
    </row>
    <row r="321" ht="15" customHeight="1">
      <c r="A321" s="56" t="n"/>
      <c r="B321" s="58" t="n"/>
      <c r="C321" s="56">
        <f>IF(B321="","",IFERROR(VLOOKUP(B321,'04 TANIMLAR'!$A$2:$C$9,2,FALSE()),""))</f>
        <v/>
      </c>
      <c r="D321" s="58" t="n"/>
      <c r="E321" s="56">
        <f>IF(B321="","",IFERROR(VLOOKUP(B321,'04 TANIMLAR'!$A$2:$C$9,3,FALSE()),""))</f>
        <v/>
      </c>
      <c r="F321" s="58" t="n"/>
      <c r="G321" s="56" t="n"/>
      <c r="H321" s="58" t="n"/>
      <c r="I321" s="56" t="n"/>
      <c r="J321" s="56" t="n"/>
    </row>
    <row r="322" ht="15" customHeight="1">
      <c r="A322" s="56" t="n"/>
      <c r="B322" s="58" t="n"/>
      <c r="C322" s="56">
        <f>IF(B322="","",IFERROR(VLOOKUP(B322,'04 TANIMLAR'!$A$2:$C$9,2,FALSE()),""))</f>
        <v/>
      </c>
      <c r="D322" s="58" t="n"/>
      <c r="E322" s="56">
        <f>IF(B322="","",IFERROR(VLOOKUP(B322,'04 TANIMLAR'!$A$2:$C$9,3,FALSE()),""))</f>
        <v/>
      </c>
      <c r="F322" s="58" t="n"/>
      <c r="G322" s="56" t="n"/>
      <c r="H322" s="58" t="n"/>
      <c r="I322" s="56" t="n"/>
      <c r="J322" s="56" t="n"/>
    </row>
    <row r="323" ht="15" customHeight="1">
      <c r="A323" s="56" t="n"/>
      <c r="B323" s="58" t="n"/>
      <c r="C323" s="56">
        <f>IF(B323="","",IFERROR(VLOOKUP(B323,'04 TANIMLAR'!$A$2:$C$9,2,FALSE()),""))</f>
        <v/>
      </c>
      <c r="D323" s="58" t="n"/>
      <c r="E323" s="56">
        <f>IF(B323="","",IFERROR(VLOOKUP(B323,'04 TANIMLAR'!$A$2:$C$9,3,FALSE()),""))</f>
        <v/>
      </c>
      <c r="F323" s="58" t="n"/>
      <c r="G323" s="56" t="n"/>
      <c r="H323" s="58" t="n"/>
      <c r="I323" s="56" t="n"/>
      <c r="J323" s="56" t="n"/>
    </row>
    <row r="324" ht="15" customHeight="1">
      <c r="A324" s="56" t="n"/>
      <c r="B324" s="58" t="n"/>
      <c r="C324" s="56">
        <f>IF(B324="","",IFERROR(VLOOKUP(B324,'04 TANIMLAR'!$A$2:$C$9,2,FALSE()),""))</f>
        <v/>
      </c>
      <c r="D324" s="58" t="n"/>
      <c r="E324" s="56">
        <f>IF(B324="","",IFERROR(VLOOKUP(B324,'04 TANIMLAR'!$A$2:$C$9,3,FALSE()),""))</f>
        <v/>
      </c>
      <c r="F324" s="58" t="n"/>
      <c r="G324" s="56" t="n"/>
      <c r="H324" s="58" t="n"/>
      <c r="I324" s="56" t="n"/>
      <c r="J324" s="56" t="n"/>
    </row>
    <row r="325" ht="15" customHeight="1">
      <c r="A325" s="56" t="n"/>
      <c r="B325" s="58" t="n"/>
      <c r="C325" s="56">
        <f>IF(B325="","",IFERROR(VLOOKUP(B325,'04 TANIMLAR'!$A$2:$C$9,2,FALSE()),""))</f>
        <v/>
      </c>
      <c r="D325" s="58" t="n"/>
      <c r="E325" s="56">
        <f>IF(B325="","",IFERROR(VLOOKUP(B325,'04 TANIMLAR'!$A$2:$C$9,3,FALSE()),""))</f>
        <v/>
      </c>
      <c r="F325" s="58" t="n"/>
      <c r="G325" s="56" t="n"/>
      <c r="H325" s="58" t="n"/>
      <c r="I325" s="56" t="n"/>
      <c r="J325" s="56" t="n"/>
    </row>
    <row r="326" ht="15" customHeight="1">
      <c r="A326" s="56" t="n"/>
      <c r="B326" s="58" t="n"/>
      <c r="C326" s="56">
        <f>IF(B326="","",IFERROR(VLOOKUP(B326,'04 TANIMLAR'!$A$2:$C$9,2,FALSE()),""))</f>
        <v/>
      </c>
      <c r="D326" s="58" t="n"/>
      <c r="E326" s="56">
        <f>IF(B326="","",IFERROR(VLOOKUP(B326,'04 TANIMLAR'!$A$2:$C$9,3,FALSE()),""))</f>
        <v/>
      </c>
      <c r="F326" s="58" t="n"/>
      <c r="G326" s="56" t="n"/>
      <c r="H326" s="58" t="n"/>
      <c r="I326" s="56" t="n"/>
      <c r="J326" s="56" t="n"/>
    </row>
    <row r="327" ht="15" customHeight="1">
      <c r="A327" s="56" t="n"/>
      <c r="B327" s="58" t="n"/>
      <c r="C327" s="56">
        <f>IF(B327="","",IFERROR(VLOOKUP(B327,'04 TANIMLAR'!$A$2:$C$9,2,FALSE()),""))</f>
        <v/>
      </c>
      <c r="D327" s="58" t="n"/>
      <c r="E327" s="56">
        <f>IF(B327="","",IFERROR(VLOOKUP(B327,'04 TANIMLAR'!$A$2:$C$9,3,FALSE()),""))</f>
        <v/>
      </c>
      <c r="F327" s="58" t="n"/>
      <c r="G327" s="56" t="n"/>
      <c r="H327" s="58" t="n"/>
      <c r="I327" s="56" t="n"/>
      <c r="J327" s="56" t="n"/>
    </row>
    <row r="328" ht="15" customHeight="1">
      <c r="A328" s="56" t="n"/>
      <c r="B328" s="58" t="n"/>
      <c r="C328" s="56">
        <f>IF(B328="","",IFERROR(VLOOKUP(B328,'04 TANIMLAR'!$A$2:$C$9,2,FALSE()),""))</f>
        <v/>
      </c>
      <c r="D328" s="58" t="n"/>
      <c r="E328" s="56">
        <f>IF(B328="","",IFERROR(VLOOKUP(B328,'04 TANIMLAR'!$A$2:$C$9,3,FALSE()),""))</f>
        <v/>
      </c>
      <c r="F328" s="58" t="n"/>
      <c r="G328" s="56" t="n"/>
      <c r="H328" s="58" t="n"/>
      <c r="I328" s="56" t="n"/>
      <c r="J328" s="56" t="n"/>
    </row>
    <row r="329" ht="15" customHeight="1">
      <c r="A329" s="56" t="n"/>
      <c r="B329" s="58" t="n"/>
      <c r="C329" s="56">
        <f>IF(B329="","",IFERROR(VLOOKUP(B329,'04 TANIMLAR'!$A$2:$C$9,2,FALSE()),""))</f>
        <v/>
      </c>
      <c r="D329" s="58" t="n"/>
      <c r="E329" s="56">
        <f>IF(B329="","",IFERROR(VLOOKUP(B329,'04 TANIMLAR'!$A$2:$C$9,3,FALSE()),""))</f>
        <v/>
      </c>
      <c r="F329" s="58" t="n"/>
      <c r="G329" s="56" t="n"/>
      <c r="H329" s="58" t="n"/>
      <c r="I329" s="56" t="n"/>
      <c r="J329" s="56" t="n"/>
    </row>
    <row r="330" ht="15" customHeight="1">
      <c r="A330" s="56" t="n"/>
      <c r="B330" s="58" t="n"/>
      <c r="C330" s="56">
        <f>IF(B330="","",IFERROR(VLOOKUP(B330,'04 TANIMLAR'!$A$2:$C$9,2,FALSE()),""))</f>
        <v/>
      </c>
      <c r="D330" s="58" t="n"/>
      <c r="E330" s="56">
        <f>IF(B330="","",IFERROR(VLOOKUP(B330,'04 TANIMLAR'!$A$2:$C$9,3,FALSE()),""))</f>
        <v/>
      </c>
      <c r="F330" s="58" t="n"/>
      <c r="G330" s="56" t="n"/>
      <c r="H330" s="58" t="n"/>
      <c r="I330" s="56" t="n"/>
      <c r="J330" s="56" t="n"/>
    </row>
    <row r="331" ht="15" customHeight="1">
      <c r="A331" s="56" t="n"/>
      <c r="B331" s="58" t="n"/>
      <c r="C331" s="56">
        <f>IF(B331="","",IFERROR(VLOOKUP(B331,'04 TANIMLAR'!$A$2:$C$9,2,FALSE()),""))</f>
        <v/>
      </c>
      <c r="D331" s="58" t="n"/>
      <c r="E331" s="56">
        <f>IF(B331="","",IFERROR(VLOOKUP(B331,'04 TANIMLAR'!$A$2:$C$9,3,FALSE()),""))</f>
        <v/>
      </c>
      <c r="F331" s="58" t="n"/>
      <c r="G331" s="56" t="n"/>
      <c r="H331" s="58" t="n"/>
      <c r="I331" s="56" t="n"/>
      <c r="J331" s="56" t="n"/>
    </row>
    <row r="332" ht="15" customHeight="1">
      <c r="A332" s="56" t="n"/>
      <c r="B332" s="58" t="n"/>
      <c r="C332" s="56">
        <f>IF(B332="","",IFERROR(VLOOKUP(B332,'04 TANIMLAR'!$A$2:$C$9,2,FALSE()),""))</f>
        <v/>
      </c>
      <c r="D332" s="58" t="n"/>
      <c r="E332" s="56">
        <f>IF(B332="","",IFERROR(VLOOKUP(B332,'04 TANIMLAR'!$A$2:$C$9,3,FALSE()),""))</f>
        <v/>
      </c>
      <c r="F332" s="58" t="n"/>
      <c r="G332" s="56" t="n"/>
      <c r="H332" s="58" t="n"/>
      <c r="I332" s="56" t="n"/>
      <c r="J332" s="56" t="n"/>
    </row>
    <row r="333" ht="15" customHeight="1">
      <c r="A333" s="56" t="n"/>
      <c r="B333" s="58" t="n"/>
      <c r="C333" s="56">
        <f>IF(B333="","",IFERROR(VLOOKUP(B333,'04 TANIMLAR'!$A$2:$C$9,2,FALSE()),""))</f>
        <v/>
      </c>
      <c r="D333" s="58" t="n"/>
      <c r="E333" s="56">
        <f>IF(B333="","",IFERROR(VLOOKUP(B333,'04 TANIMLAR'!$A$2:$C$9,3,FALSE()),""))</f>
        <v/>
      </c>
      <c r="F333" s="58" t="n"/>
      <c r="G333" s="56" t="n"/>
      <c r="H333" s="58" t="n"/>
      <c r="I333" s="56" t="n"/>
      <c r="J333" s="56" t="n"/>
    </row>
    <row r="334" ht="15" customHeight="1">
      <c r="A334" s="56" t="n"/>
      <c r="B334" s="58" t="n"/>
      <c r="C334" s="56">
        <f>IF(B334="","",IFERROR(VLOOKUP(B334,'04 TANIMLAR'!$A$2:$C$9,2,FALSE()),""))</f>
        <v/>
      </c>
      <c r="D334" s="58" t="n"/>
      <c r="E334" s="56">
        <f>IF(B334="","",IFERROR(VLOOKUP(B334,'04 TANIMLAR'!$A$2:$C$9,3,FALSE()),""))</f>
        <v/>
      </c>
      <c r="F334" s="58" t="n"/>
      <c r="G334" s="56" t="n"/>
      <c r="H334" s="58" t="n"/>
      <c r="I334" s="56" t="n"/>
      <c r="J334" s="56" t="n"/>
    </row>
    <row r="335" ht="15" customHeight="1">
      <c r="A335" s="56" t="n"/>
      <c r="B335" s="58" t="n"/>
      <c r="C335" s="56">
        <f>IF(B335="","",IFERROR(VLOOKUP(B335,'04 TANIMLAR'!$A$2:$C$9,2,FALSE()),""))</f>
        <v/>
      </c>
      <c r="D335" s="58" t="n"/>
      <c r="E335" s="56">
        <f>IF(B335="","",IFERROR(VLOOKUP(B335,'04 TANIMLAR'!$A$2:$C$9,3,FALSE()),""))</f>
        <v/>
      </c>
      <c r="F335" s="58" t="n"/>
      <c r="G335" s="56" t="n"/>
      <c r="H335" s="58" t="n"/>
      <c r="I335" s="56" t="n"/>
      <c r="J335" s="56" t="n"/>
    </row>
    <row r="336" ht="15" customHeight="1">
      <c r="A336" s="56" t="n"/>
      <c r="B336" s="58" t="n"/>
      <c r="C336" s="56">
        <f>IF(B336="","",IFERROR(VLOOKUP(B336,'04 TANIMLAR'!$A$2:$C$9,2,FALSE()),""))</f>
        <v/>
      </c>
      <c r="D336" s="58" t="n"/>
      <c r="E336" s="56">
        <f>IF(B336="","",IFERROR(VLOOKUP(B336,'04 TANIMLAR'!$A$2:$C$9,3,FALSE()),""))</f>
        <v/>
      </c>
      <c r="F336" s="58" t="n"/>
      <c r="G336" s="56" t="n"/>
      <c r="H336" s="58" t="n"/>
      <c r="I336" s="56" t="n"/>
      <c r="J336" s="56" t="n"/>
    </row>
    <row r="337" ht="15" customHeight="1">
      <c r="A337" s="56" t="n"/>
      <c r="B337" s="58" t="n"/>
      <c r="C337" s="56">
        <f>IF(B337="","",IFERROR(VLOOKUP(B337,'04 TANIMLAR'!$A$2:$C$9,2,FALSE()),""))</f>
        <v/>
      </c>
      <c r="D337" s="58" t="n"/>
      <c r="E337" s="56">
        <f>IF(B337="","",IFERROR(VLOOKUP(B337,'04 TANIMLAR'!$A$2:$C$9,3,FALSE()),""))</f>
        <v/>
      </c>
      <c r="F337" s="58" t="n"/>
      <c r="G337" s="56" t="n"/>
      <c r="H337" s="58" t="n"/>
      <c r="I337" s="56" t="n"/>
      <c r="J337" s="56" t="n"/>
    </row>
    <row r="338" ht="15" customHeight="1">
      <c r="A338" s="56" t="n"/>
      <c r="B338" s="58" t="n"/>
      <c r="C338" s="56">
        <f>IF(B338="","",IFERROR(VLOOKUP(B338,'04 TANIMLAR'!$A$2:$C$9,2,FALSE()),""))</f>
        <v/>
      </c>
      <c r="D338" s="58" t="n"/>
      <c r="E338" s="56">
        <f>IF(B338="","",IFERROR(VLOOKUP(B338,'04 TANIMLAR'!$A$2:$C$9,3,FALSE()),""))</f>
        <v/>
      </c>
      <c r="F338" s="58" t="n"/>
      <c r="G338" s="56" t="n"/>
      <c r="H338" s="58" t="n"/>
      <c r="I338" s="56" t="n"/>
      <c r="J338" s="56" t="n"/>
    </row>
    <row r="339" ht="15" customHeight="1">
      <c r="A339" s="56" t="n"/>
      <c r="B339" s="58" t="n"/>
      <c r="C339" s="56">
        <f>IF(B339="","",IFERROR(VLOOKUP(B339,'04 TANIMLAR'!$A$2:$C$9,2,FALSE()),""))</f>
        <v/>
      </c>
      <c r="D339" s="58" t="n"/>
      <c r="E339" s="56">
        <f>IF(B339="","",IFERROR(VLOOKUP(B339,'04 TANIMLAR'!$A$2:$C$9,3,FALSE()),""))</f>
        <v/>
      </c>
      <c r="F339" s="58" t="n"/>
      <c r="G339" s="56" t="n"/>
      <c r="H339" s="58" t="n"/>
      <c r="I339" s="56" t="n"/>
      <c r="J339" s="56" t="n"/>
    </row>
    <row r="340" ht="15" customHeight="1">
      <c r="A340" s="56" t="n"/>
      <c r="B340" s="58" t="n"/>
      <c r="C340" s="56">
        <f>IF(B340="","",IFERROR(VLOOKUP(B340,'04 TANIMLAR'!$A$2:$C$9,2,FALSE()),""))</f>
        <v/>
      </c>
      <c r="D340" s="58" t="n"/>
      <c r="E340" s="56">
        <f>IF(B340="","",IFERROR(VLOOKUP(B340,'04 TANIMLAR'!$A$2:$C$9,3,FALSE()),""))</f>
        <v/>
      </c>
      <c r="F340" s="58" t="n"/>
      <c r="G340" s="56" t="n"/>
      <c r="H340" s="58" t="n"/>
      <c r="I340" s="56" t="n"/>
      <c r="J340" s="56" t="n"/>
    </row>
    <row r="341" ht="15" customHeight="1">
      <c r="A341" s="56" t="n"/>
      <c r="B341" s="58" t="n"/>
      <c r="C341" s="56">
        <f>IF(B341="","",IFERROR(VLOOKUP(B341,'04 TANIMLAR'!$A$2:$C$9,2,FALSE()),""))</f>
        <v/>
      </c>
      <c r="D341" s="58" t="n"/>
      <c r="E341" s="56">
        <f>IF(B341="","",IFERROR(VLOOKUP(B341,'04 TANIMLAR'!$A$2:$C$9,3,FALSE()),""))</f>
        <v/>
      </c>
      <c r="F341" s="58" t="n"/>
      <c r="G341" s="56" t="n"/>
      <c r="H341" s="58" t="n"/>
      <c r="I341" s="56" t="n"/>
      <c r="J341" s="56" t="n"/>
    </row>
    <row r="342" ht="15" customHeight="1">
      <c r="A342" s="56" t="n"/>
      <c r="B342" s="58" t="n"/>
      <c r="C342" s="56">
        <f>IF(B342="","",IFERROR(VLOOKUP(B342,'04 TANIMLAR'!$A$2:$C$9,2,FALSE()),""))</f>
        <v/>
      </c>
      <c r="D342" s="58" t="n"/>
      <c r="E342" s="56">
        <f>IF(B342="","",IFERROR(VLOOKUP(B342,'04 TANIMLAR'!$A$2:$C$9,3,FALSE()),""))</f>
        <v/>
      </c>
      <c r="F342" s="58" t="n"/>
      <c r="G342" s="56" t="n"/>
      <c r="H342" s="58" t="n"/>
      <c r="I342" s="56" t="n"/>
      <c r="J342" s="56" t="n"/>
    </row>
    <row r="343" ht="15" customHeight="1">
      <c r="A343" s="56" t="n"/>
      <c r="B343" s="58" t="n"/>
      <c r="C343" s="56">
        <f>IF(B343="","",IFERROR(VLOOKUP(B343,'04 TANIMLAR'!$A$2:$C$9,2,FALSE()),""))</f>
        <v/>
      </c>
      <c r="D343" s="58" t="n"/>
      <c r="E343" s="56">
        <f>IF(B343="","",IFERROR(VLOOKUP(B343,'04 TANIMLAR'!$A$2:$C$9,3,FALSE()),""))</f>
        <v/>
      </c>
      <c r="F343" s="58" t="n"/>
      <c r="G343" s="56" t="n"/>
      <c r="H343" s="58" t="n"/>
      <c r="I343" s="56" t="n"/>
      <c r="J343" s="56" t="n"/>
    </row>
    <row r="344" ht="15" customHeight="1">
      <c r="A344" s="56" t="n"/>
      <c r="B344" s="58" t="n"/>
      <c r="C344" s="56">
        <f>IF(B344="","",IFERROR(VLOOKUP(B344,'04 TANIMLAR'!$A$2:$C$9,2,FALSE()),""))</f>
        <v/>
      </c>
      <c r="D344" s="58" t="n"/>
      <c r="E344" s="56">
        <f>IF(B344="","",IFERROR(VLOOKUP(B344,'04 TANIMLAR'!$A$2:$C$9,3,FALSE()),""))</f>
        <v/>
      </c>
      <c r="F344" s="58" t="n"/>
      <c r="G344" s="56" t="n"/>
      <c r="H344" s="58" t="n"/>
      <c r="I344" s="56" t="n"/>
      <c r="J344" s="56" t="n"/>
    </row>
    <row r="345" ht="15" customHeight="1">
      <c r="A345" s="56" t="n"/>
      <c r="B345" s="58" t="n"/>
      <c r="C345" s="56">
        <f>IF(B345="","",IFERROR(VLOOKUP(B345,'04 TANIMLAR'!$A$2:$C$9,2,FALSE()),""))</f>
        <v/>
      </c>
      <c r="D345" s="58" t="n"/>
      <c r="E345" s="56">
        <f>IF(B345="","",IFERROR(VLOOKUP(B345,'04 TANIMLAR'!$A$2:$C$9,3,FALSE()),""))</f>
        <v/>
      </c>
      <c r="F345" s="58" t="n"/>
      <c r="G345" s="56" t="n"/>
      <c r="H345" s="58" t="n"/>
      <c r="I345" s="56" t="n"/>
      <c r="J345" s="56" t="n"/>
    </row>
    <row r="346" ht="15" customHeight="1">
      <c r="A346" s="56" t="n"/>
      <c r="B346" s="58" t="n"/>
      <c r="C346" s="56">
        <f>IF(B346="","",IFERROR(VLOOKUP(B346,'04 TANIMLAR'!$A$2:$C$9,2,FALSE()),""))</f>
        <v/>
      </c>
      <c r="D346" s="58" t="n"/>
      <c r="E346" s="56">
        <f>IF(B346="","",IFERROR(VLOOKUP(B346,'04 TANIMLAR'!$A$2:$C$9,3,FALSE()),""))</f>
        <v/>
      </c>
      <c r="F346" s="58" t="n"/>
      <c r="G346" s="56" t="n"/>
      <c r="H346" s="58" t="n"/>
      <c r="I346" s="56" t="n"/>
      <c r="J346" s="56" t="n"/>
    </row>
    <row r="347" ht="15" customHeight="1">
      <c r="A347" s="56" t="n"/>
      <c r="B347" s="58" t="n"/>
      <c r="C347" s="56">
        <f>IF(B347="","",IFERROR(VLOOKUP(B347,'04 TANIMLAR'!$A$2:$C$9,2,FALSE()),""))</f>
        <v/>
      </c>
      <c r="D347" s="58" t="n"/>
      <c r="E347" s="56">
        <f>IF(B347="","",IFERROR(VLOOKUP(B347,'04 TANIMLAR'!$A$2:$C$9,3,FALSE()),""))</f>
        <v/>
      </c>
      <c r="F347" s="58" t="n"/>
      <c r="G347" s="56" t="n"/>
      <c r="H347" s="58" t="n"/>
      <c r="I347" s="56" t="n"/>
      <c r="J347" s="56" t="n"/>
    </row>
    <row r="348" ht="15" customHeight="1">
      <c r="A348" s="56" t="n"/>
      <c r="B348" s="58" t="n"/>
      <c r="C348" s="56">
        <f>IF(B348="","",IFERROR(VLOOKUP(B348,'04 TANIMLAR'!$A$2:$C$9,2,FALSE()),""))</f>
        <v/>
      </c>
      <c r="D348" s="58" t="n"/>
      <c r="E348" s="56">
        <f>IF(B348="","",IFERROR(VLOOKUP(B348,'04 TANIMLAR'!$A$2:$C$9,3,FALSE()),""))</f>
        <v/>
      </c>
      <c r="F348" s="58" t="n"/>
      <c r="G348" s="56" t="n"/>
      <c r="H348" s="58" t="n"/>
      <c r="I348" s="56" t="n"/>
      <c r="J348" s="56" t="n"/>
    </row>
    <row r="349" ht="15" customHeight="1">
      <c r="A349" s="56" t="n"/>
      <c r="B349" s="58" t="n"/>
      <c r="C349" s="56">
        <f>IF(B349="","",IFERROR(VLOOKUP(B349,'04 TANIMLAR'!$A$2:$C$9,2,FALSE()),""))</f>
        <v/>
      </c>
      <c r="D349" s="58" t="n"/>
      <c r="E349" s="56">
        <f>IF(B349="","",IFERROR(VLOOKUP(B349,'04 TANIMLAR'!$A$2:$C$9,3,FALSE()),""))</f>
        <v/>
      </c>
      <c r="F349" s="58" t="n"/>
      <c r="G349" s="56" t="n"/>
      <c r="H349" s="58" t="n"/>
      <c r="I349" s="56" t="n"/>
      <c r="J349" s="56" t="n"/>
    </row>
    <row r="350" ht="15" customHeight="1">
      <c r="A350" s="56" t="n"/>
      <c r="B350" s="58" t="n"/>
      <c r="C350" s="56">
        <f>IF(B350="","",IFERROR(VLOOKUP(B350,'04 TANIMLAR'!$A$2:$C$9,2,FALSE()),""))</f>
        <v/>
      </c>
      <c r="D350" s="58" t="n"/>
      <c r="E350" s="56">
        <f>IF(B350="","",IFERROR(VLOOKUP(B350,'04 TANIMLAR'!$A$2:$C$9,3,FALSE()),""))</f>
        <v/>
      </c>
      <c r="F350" s="58" t="n"/>
      <c r="G350" s="56" t="n"/>
      <c r="H350" s="58" t="n"/>
      <c r="I350" s="56" t="n"/>
      <c r="J350" s="56" t="n"/>
    </row>
    <row r="351" ht="15" customHeight="1">
      <c r="A351" s="56" t="n"/>
      <c r="B351" s="58" t="n"/>
      <c r="C351" s="56">
        <f>IF(B351="","",IFERROR(VLOOKUP(B351,'04 TANIMLAR'!$A$2:$C$9,2,FALSE()),""))</f>
        <v/>
      </c>
      <c r="D351" s="58" t="n"/>
      <c r="E351" s="56">
        <f>IF(B351="","",IFERROR(VLOOKUP(B351,'04 TANIMLAR'!$A$2:$C$9,3,FALSE()),""))</f>
        <v/>
      </c>
      <c r="F351" s="58" t="n"/>
      <c r="G351" s="56" t="n"/>
      <c r="H351" s="58" t="n"/>
      <c r="I351" s="56" t="n"/>
      <c r="J351" s="56" t="n"/>
    </row>
    <row r="352" ht="15" customHeight="1">
      <c r="A352" s="56" t="n"/>
      <c r="B352" s="58" t="n"/>
      <c r="C352" s="56">
        <f>IF(B352="","",IFERROR(VLOOKUP(B352,'04 TANIMLAR'!$A$2:$C$9,2,FALSE()),""))</f>
        <v/>
      </c>
      <c r="D352" s="58" t="n"/>
      <c r="E352" s="56">
        <f>IF(B352="","",IFERROR(VLOOKUP(B352,'04 TANIMLAR'!$A$2:$C$9,3,FALSE()),""))</f>
        <v/>
      </c>
      <c r="F352" s="58" t="n"/>
      <c r="G352" s="56" t="n"/>
      <c r="H352" s="58" t="n"/>
      <c r="I352" s="56" t="n"/>
      <c r="J352" s="56" t="n"/>
    </row>
    <row r="353" ht="15" customHeight="1">
      <c r="A353" s="56" t="n"/>
      <c r="B353" s="58" t="n"/>
      <c r="C353" s="56">
        <f>IF(B353="","",IFERROR(VLOOKUP(B353,'04 TANIMLAR'!$A$2:$C$9,2,FALSE()),""))</f>
        <v/>
      </c>
      <c r="D353" s="58" t="n"/>
      <c r="E353" s="56">
        <f>IF(B353="","",IFERROR(VLOOKUP(B353,'04 TANIMLAR'!$A$2:$C$9,3,FALSE()),""))</f>
        <v/>
      </c>
      <c r="F353" s="58" t="n"/>
      <c r="G353" s="56" t="n"/>
      <c r="H353" s="58" t="n"/>
      <c r="I353" s="56" t="n"/>
      <c r="J353" s="56" t="n"/>
    </row>
    <row r="354" ht="15" customHeight="1">
      <c r="A354" s="56" t="n"/>
      <c r="B354" s="58" t="n"/>
      <c r="C354" s="56">
        <f>IF(B354="","",IFERROR(VLOOKUP(B354,'04 TANIMLAR'!$A$2:$C$9,2,FALSE()),""))</f>
        <v/>
      </c>
      <c r="D354" s="58" t="n"/>
      <c r="E354" s="56">
        <f>IF(B354="","",IFERROR(VLOOKUP(B354,'04 TANIMLAR'!$A$2:$C$9,3,FALSE()),""))</f>
        <v/>
      </c>
      <c r="F354" s="58" t="n"/>
      <c r="G354" s="56" t="n"/>
      <c r="H354" s="58" t="n"/>
      <c r="I354" s="56" t="n"/>
      <c r="J354" s="56" t="n"/>
    </row>
    <row r="355" ht="15" customHeight="1">
      <c r="A355" s="56" t="n"/>
      <c r="B355" s="58" t="n"/>
      <c r="C355" s="56">
        <f>IF(B355="","",IFERROR(VLOOKUP(B355,'04 TANIMLAR'!$A$2:$C$9,2,FALSE()),""))</f>
        <v/>
      </c>
      <c r="D355" s="58" t="n"/>
      <c r="E355" s="56">
        <f>IF(B355="","",IFERROR(VLOOKUP(B355,'04 TANIMLAR'!$A$2:$C$9,3,FALSE()),""))</f>
        <v/>
      </c>
      <c r="F355" s="58" t="n"/>
      <c r="G355" s="56" t="n"/>
      <c r="H355" s="58" t="n"/>
      <c r="I355" s="56" t="n"/>
      <c r="J355" s="56" t="n"/>
    </row>
    <row r="356" ht="15" customHeight="1">
      <c r="A356" s="56" t="n"/>
      <c r="B356" s="58" t="n"/>
      <c r="C356" s="56">
        <f>IF(B356="","",IFERROR(VLOOKUP(B356,'04 TANIMLAR'!$A$2:$C$9,2,FALSE()),""))</f>
        <v/>
      </c>
      <c r="D356" s="58" t="n"/>
      <c r="E356" s="56">
        <f>IF(B356="","",IFERROR(VLOOKUP(B356,'04 TANIMLAR'!$A$2:$C$9,3,FALSE()),""))</f>
        <v/>
      </c>
      <c r="F356" s="58" t="n"/>
      <c r="G356" s="56" t="n"/>
      <c r="H356" s="58" t="n"/>
      <c r="I356" s="56" t="n"/>
      <c r="J356" s="56" t="n"/>
    </row>
    <row r="357" ht="15" customHeight="1">
      <c r="A357" s="56" t="n"/>
      <c r="B357" s="58" t="n"/>
      <c r="C357" s="56">
        <f>IF(B357="","",IFERROR(VLOOKUP(B357,'04 TANIMLAR'!$A$2:$C$9,2,FALSE()),""))</f>
        <v/>
      </c>
      <c r="D357" s="58" t="n"/>
      <c r="E357" s="56">
        <f>IF(B357="","",IFERROR(VLOOKUP(B357,'04 TANIMLAR'!$A$2:$C$9,3,FALSE()),""))</f>
        <v/>
      </c>
      <c r="F357" s="58" t="n"/>
      <c r="G357" s="56" t="n"/>
      <c r="H357" s="58" t="n"/>
      <c r="I357" s="56" t="n"/>
      <c r="J357" s="56" t="n"/>
    </row>
    <row r="358" ht="15" customHeight="1">
      <c r="A358" s="56" t="n"/>
      <c r="B358" s="58" t="n"/>
      <c r="C358" s="56">
        <f>IF(B358="","",IFERROR(VLOOKUP(B358,'04 TANIMLAR'!$A$2:$C$9,2,FALSE()),""))</f>
        <v/>
      </c>
      <c r="D358" s="58" t="n"/>
      <c r="E358" s="56">
        <f>IF(B358="","",IFERROR(VLOOKUP(B358,'04 TANIMLAR'!$A$2:$C$9,3,FALSE()),""))</f>
        <v/>
      </c>
      <c r="F358" s="58" t="n"/>
      <c r="G358" s="56" t="n"/>
      <c r="H358" s="58" t="n"/>
      <c r="I358" s="56" t="n"/>
      <c r="J358" s="56" t="n"/>
    </row>
    <row r="359" ht="15" customHeight="1">
      <c r="A359" s="56" t="n"/>
      <c r="B359" s="58" t="n"/>
      <c r="C359" s="56">
        <f>IF(B359="","",IFERROR(VLOOKUP(B359,'04 TANIMLAR'!$A$2:$C$9,2,FALSE()),""))</f>
        <v/>
      </c>
      <c r="D359" s="58" t="n"/>
      <c r="E359" s="56">
        <f>IF(B359="","",IFERROR(VLOOKUP(B359,'04 TANIMLAR'!$A$2:$C$9,3,FALSE()),""))</f>
        <v/>
      </c>
      <c r="F359" s="58" t="n"/>
      <c r="G359" s="56" t="n"/>
      <c r="H359" s="58" t="n"/>
      <c r="I359" s="56" t="n"/>
      <c r="J359" s="56" t="n"/>
    </row>
    <row r="360" ht="15" customHeight="1">
      <c r="A360" s="56" t="n"/>
      <c r="B360" s="58" t="n"/>
      <c r="C360" s="56">
        <f>IF(B360="","",IFERROR(VLOOKUP(B360,'04 TANIMLAR'!$A$2:$C$9,2,FALSE()),""))</f>
        <v/>
      </c>
      <c r="D360" s="58" t="n"/>
      <c r="E360" s="56">
        <f>IF(B360="","",IFERROR(VLOOKUP(B360,'04 TANIMLAR'!$A$2:$C$9,3,FALSE()),""))</f>
        <v/>
      </c>
      <c r="F360" s="58" t="n"/>
      <c r="G360" s="56" t="n"/>
      <c r="H360" s="58" t="n"/>
      <c r="I360" s="56" t="n"/>
      <c r="J360" s="56" t="n"/>
    </row>
    <row r="361" ht="15" customHeight="1">
      <c r="A361" s="56" t="n"/>
      <c r="B361" s="58" t="n"/>
      <c r="C361" s="56">
        <f>IF(B361="","",IFERROR(VLOOKUP(B361,'04 TANIMLAR'!$A$2:$C$9,2,FALSE()),""))</f>
        <v/>
      </c>
      <c r="D361" s="58" t="n"/>
      <c r="E361" s="56">
        <f>IF(B361="","",IFERROR(VLOOKUP(B361,'04 TANIMLAR'!$A$2:$C$9,3,FALSE()),""))</f>
        <v/>
      </c>
      <c r="F361" s="58" t="n"/>
      <c r="G361" s="56" t="n"/>
      <c r="H361" s="58" t="n"/>
      <c r="I361" s="56" t="n"/>
      <c r="J361" s="56" t="n"/>
    </row>
    <row r="362" ht="15" customHeight="1">
      <c r="A362" s="56" t="n"/>
      <c r="B362" s="58" t="n"/>
      <c r="C362" s="56">
        <f>IF(B362="","",IFERROR(VLOOKUP(B362,'04 TANIMLAR'!$A$2:$C$9,2,FALSE()),""))</f>
        <v/>
      </c>
      <c r="D362" s="58" t="n"/>
      <c r="E362" s="56">
        <f>IF(B362="","",IFERROR(VLOOKUP(B362,'04 TANIMLAR'!$A$2:$C$9,3,FALSE()),""))</f>
        <v/>
      </c>
      <c r="F362" s="58" t="n"/>
      <c r="G362" s="56" t="n"/>
      <c r="H362" s="58" t="n"/>
      <c r="I362" s="56" t="n"/>
      <c r="J362" s="56" t="n"/>
    </row>
    <row r="363" ht="15" customHeight="1">
      <c r="A363" s="56" t="n"/>
      <c r="B363" s="58" t="n"/>
      <c r="C363" s="56">
        <f>IF(B363="","",IFERROR(VLOOKUP(B363,'04 TANIMLAR'!$A$2:$C$9,2,FALSE()),""))</f>
        <v/>
      </c>
      <c r="D363" s="58" t="n"/>
      <c r="E363" s="56">
        <f>IF(B363="","",IFERROR(VLOOKUP(B363,'04 TANIMLAR'!$A$2:$C$9,3,FALSE()),""))</f>
        <v/>
      </c>
      <c r="F363" s="58" t="n"/>
      <c r="G363" s="56" t="n"/>
      <c r="H363" s="58" t="n"/>
      <c r="I363" s="56" t="n"/>
      <c r="J363" s="56" t="n"/>
    </row>
    <row r="364" ht="15" customHeight="1">
      <c r="A364" s="56" t="n"/>
      <c r="B364" s="58" t="n"/>
      <c r="C364" s="56">
        <f>IF(B364="","",IFERROR(VLOOKUP(B364,'04 TANIMLAR'!$A$2:$C$9,2,FALSE()),""))</f>
        <v/>
      </c>
      <c r="D364" s="58" t="n"/>
      <c r="E364" s="56">
        <f>IF(B364="","",IFERROR(VLOOKUP(B364,'04 TANIMLAR'!$A$2:$C$9,3,FALSE()),""))</f>
        <v/>
      </c>
      <c r="F364" s="58" t="n"/>
      <c r="G364" s="56" t="n"/>
      <c r="H364" s="58" t="n"/>
      <c r="I364" s="56" t="n"/>
      <c r="J364" s="56" t="n"/>
    </row>
    <row r="365" ht="15" customHeight="1">
      <c r="A365" s="56" t="n"/>
      <c r="B365" s="58" t="n"/>
      <c r="C365" s="56">
        <f>IF(B365="","",IFERROR(VLOOKUP(B365,'04 TANIMLAR'!$A$2:$C$9,2,FALSE()),""))</f>
        <v/>
      </c>
      <c r="D365" s="58" t="n"/>
      <c r="E365" s="56">
        <f>IF(B365="","",IFERROR(VLOOKUP(B365,'04 TANIMLAR'!$A$2:$C$9,3,FALSE()),""))</f>
        <v/>
      </c>
      <c r="F365" s="58" t="n"/>
      <c r="G365" s="56" t="n"/>
      <c r="H365" s="58" t="n"/>
      <c r="I365" s="56" t="n"/>
      <c r="J365" s="56" t="n"/>
    </row>
    <row r="366" ht="15" customHeight="1">
      <c r="A366" s="56" t="n"/>
      <c r="B366" s="58" t="n"/>
      <c r="C366" s="56">
        <f>IF(B366="","",IFERROR(VLOOKUP(B366,'04 TANIMLAR'!$A$2:$C$9,2,FALSE()),""))</f>
        <v/>
      </c>
      <c r="D366" s="58" t="n"/>
      <c r="E366" s="56">
        <f>IF(B366="","",IFERROR(VLOOKUP(B366,'04 TANIMLAR'!$A$2:$C$9,3,FALSE()),""))</f>
        <v/>
      </c>
      <c r="F366" s="58" t="n"/>
      <c r="G366" s="56" t="n"/>
      <c r="H366" s="58" t="n"/>
      <c r="I366" s="56" t="n"/>
      <c r="J366" s="56" t="n"/>
    </row>
    <row r="367" ht="15" customHeight="1">
      <c r="A367" s="56" t="n"/>
      <c r="B367" s="58" t="n"/>
      <c r="C367" s="56">
        <f>IF(B367="","",IFERROR(VLOOKUP(B367,'04 TANIMLAR'!$A$2:$C$9,2,FALSE()),""))</f>
        <v/>
      </c>
      <c r="D367" s="58" t="n"/>
      <c r="E367" s="56">
        <f>IF(B367="","",IFERROR(VLOOKUP(B367,'04 TANIMLAR'!$A$2:$C$9,3,FALSE()),""))</f>
        <v/>
      </c>
      <c r="F367" s="58" t="n"/>
      <c r="G367" s="56" t="n"/>
      <c r="H367" s="58" t="n"/>
      <c r="I367" s="56" t="n"/>
      <c r="J367" s="56" t="n"/>
    </row>
    <row r="368" ht="15" customHeight="1">
      <c r="A368" s="56" t="n"/>
      <c r="B368" s="58" t="n"/>
      <c r="C368" s="56">
        <f>IF(B368="","",IFERROR(VLOOKUP(B368,'04 TANIMLAR'!$A$2:$C$9,2,FALSE()),""))</f>
        <v/>
      </c>
      <c r="D368" s="58" t="n"/>
      <c r="E368" s="56">
        <f>IF(B368="","",IFERROR(VLOOKUP(B368,'04 TANIMLAR'!$A$2:$C$9,3,FALSE()),""))</f>
        <v/>
      </c>
      <c r="F368" s="58" t="n"/>
      <c r="G368" s="56" t="n"/>
      <c r="H368" s="58" t="n"/>
      <c r="I368" s="56" t="n"/>
      <c r="J368" s="56" t="n"/>
    </row>
    <row r="369" ht="15" customHeight="1">
      <c r="A369" s="56" t="n"/>
      <c r="B369" s="58" t="n"/>
      <c r="C369" s="56">
        <f>IF(B369="","",IFERROR(VLOOKUP(B369,'04 TANIMLAR'!$A$2:$C$9,2,FALSE()),""))</f>
        <v/>
      </c>
      <c r="D369" s="58" t="n"/>
      <c r="E369" s="56">
        <f>IF(B369="","",IFERROR(VLOOKUP(B369,'04 TANIMLAR'!$A$2:$C$9,3,FALSE()),""))</f>
        <v/>
      </c>
      <c r="F369" s="58" t="n"/>
      <c r="G369" s="56" t="n"/>
      <c r="H369" s="58" t="n"/>
      <c r="I369" s="56" t="n"/>
      <c r="J369" s="56" t="n"/>
    </row>
    <row r="370" ht="15" customHeight="1">
      <c r="A370" s="56" t="n"/>
      <c r="B370" s="58" t="n"/>
      <c r="C370" s="56">
        <f>IF(B370="","",IFERROR(VLOOKUP(B370,'04 TANIMLAR'!$A$2:$C$9,2,FALSE()),""))</f>
        <v/>
      </c>
      <c r="D370" s="58" t="n"/>
      <c r="E370" s="56">
        <f>IF(B370="","",IFERROR(VLOOKUP(B370,'04 TANIMLAR'!$A$2:$C$9,3,FALSE()),""))</f>
        <v/>
      </c>
      <c r="F370" s="58" t="n"/>
      <c r="G370" s="56" t="n"/>
      <c r="H370" s="58" t="n"/>
      <c r="I370" s="56" t="n"/>
      <c r="J370" s="56" t="n"/>
    </row>
    <row r="371" ht="15" customHeight="1">
      <c r="A371" s="56" t="n"/>
      <c r="B371" s="58" t="n"/>
      <c r="C371" s="56">
        <f>IF(B371="","",IFERROR(VLOOKUP(B371,'04 TANIMLAR'!$A$2:$C$9,2,FALSE()),""))</f>
        <v/>
      </c>
      <c r="D371" s="58" t="n"/>
      <c r="E371" s="56">
        <f>IF(B371="","",IFERROR(VLOOKUP(B371,'04 TANIMLAR'!$A$2:$C$9,3,FALSE()),""))</f>
        <v/>
      </c>
      <c r="F371" s="58" t="n"/>
      <c r="G371" s="56" t="n"/>
      <c r="H371" s="58" t="n"/>
      <c r="I371" s="56" t="n"/>
      <c r="J371" s="56" t="n"/>
    </row>
    <row r="372" ht="15" customHeight="1">
      <c r="A372" s="56" t="n"/>
      <c r="B372" s="58" t="n"/>
      <c r="C372" s="56">
        <f>IF(B372="","",IFERROR(VLOOKUP(B372,'04 TANIMLAR'!$A$2:$C$9,2,FALSE()),""))</f>
        <v/>
      </c>
      <c r="D372" s="58" t="n"/>
      <c r="E372" s="56">
        <f>IF(B372="","",IFERROR(VLOOKUP(B372,'04 TANIMLAR'!$A$2:$C$9,3,FALSE()),""))</f>
        <v/>
      </c>
      <c r="F372" s="58" t="n"/>
      <c r="G372" s="56" t="n"/>
      <c r="H372" s="58" t="n"/>
      <c r="I372" s="56" t="n"/>
      <c r="J372" s="56" t="n"/>
    </row>
    <row r="373" ht="15" customHeight="1">
      <c r="A373" s="56" t="n"/>
      <c r="B373" s="58" t="n"/>
      <c r="C373" s="56">
        <f>IF(B373="","",IFERROR(VLOOKUP(B373,'04 TANIMLAR'!$A$2:$C$9,2,FALSE()),""))</f>
        <v/>
      </c>
      <c r="D373" s="58" t="n"/>
      <c r="E373" s="56">
        <f>IF(B373="","",IFERROR(VLOOKUP(B373,'04 TANIMLAR'!$A$2:$C$9,3,FALSE()),""))</f>
        <v/>
      </c>
      <c r="F373" s="58" t="n"/>
      <c r="G373" s="56" t="n"/>
      <c r="H373" s="58" t="n"/>
      <c r="I373" s="56" t="n"/>
      <c r="J373" s="56" t="n"/>
    </row>
    <row r="374" ht="15" customHeight="1">
      <c r="A374" s="56" t="n"/>
      <c r="B374" s="58" t="n"/>
      <c r="C374" s="56">
        <f>IF(B374="","",IFERROR(VLOOKUP(B374,'04 TANIMLAR'!$A$2:$C$9,2,FALSE()),""))</f>
        <v/>
      </c>
      <c r="D374" s="58" t="n"/>
      <c r="E374" s="56">
        <f>IF(B374="","",IFERROR(VLOOKUP(B374,'04 TANIMLAR'!$A$2:$C$9,3,FALSE()),""))</f>
        <v/>
      </c>
      <c r="F374" s="58" t="n"/>
      <c r="G374" s="56" t="n"/>
      <c r="H374" s="58" t="n"/>
      <c r="I374" s="56" t="n"/>
      <c r="J374" s="56" t="n"/>
    </row>
    <row r="375" ht="15" customHeight="1">
      <c r="A375" s="56" t="n"/>
      <c r="B375" s="58" t="n"/>
      <c r="C375" s="56">
        <f>IF(B375="","",IFERROR(VLOOKUP(B375,'04 TANIMLAR'!$A$2:$C$9,2,FALSE()),""))</f>
        <v/>
      </c>
      <c r="D375" s="58" t="n"/>
      <c r="E375" s="56">
        <f>IF(B375="","",IFERROR(VLOOKUP(B375,'04 TANIMLAR'!$A$2:$C$9,3,FALSE()),""))</f>
        <v/>
      </c>
      <c r="F375" s="58" t="n"/>
      <c r="G375" s="56" t="n"/>
      <c r="H375" s="58" t="n"/>
      <c r="I375" s="56" t="n"/>
      <c r="J375" s="56" t="n"/>
    </row>
    <row r="376" ht="15" customHeight="1">
      <c r="A376" s="56" t="n"/>
      <c r="B376" s="58" t="n"/>
      <c r="C376" s="56">
        <f>IF(B376="","",IFERROR(VLOOKUP(B376,'04 TANIMLAR'!$A$2:$C$9,2,FALSE()),""))</f>
        <v/>
      </c>
      <c r="D376" s="58" t="n"/>
      <c r="E376" s="56">
        <f>IF(B376="","",IFERROR(VLOOKUP(B376,'04 TANIMLAR'!$A$2:$C$9,3,FALSE()),""))</f>
        <v/>
      </c>
      <c r="F376" s="58" t="n"/>
      <c r="G376" s="56" t="n"/>
      <c r="H376" s="58" t="n"/>
      <c r="I376" s="56" t="n"/>
      <c r="J376" s="56" t="n"/>
    </row>
    <row r="377" ht="15" customHeight="1">
      <c r="A377" s="56" t="n"/>
      <c r="B377" s="58" t="n"/>
      <c r="C377" s="56">
        <f>IF(B377="","",IFERROR(VLOOKUP(B377,'04 TANIMLAR'!$A$2:$C$9,2,FALSE()),""))</f>
        <v/>
      </c>
      <c r="D377" s="58" t="n"/>
      <c r="E377" s="56">
        <f>IF(B377="","",IFERROR(VLOOKUP(B377,'04 TANIMLAR'!$A$2:$C$9,3,FALSE()),""))</f>
        <v/>
      </c>
      <c r="F377" s="58" t="n"/>
      <c r="G377" s="56" t="n"/>
      <c r="H377" s="58" t="n"/>
      <c r="I377" s="56" t="n"/>
      <c r="J377" s="56" t="n"/>
    </row>
    <row r="378" ht="15" customHeight="1">
      <c r="A378" s="56" t="n"/>
      <c r="B378" s="58" t="n"/>
      <c r="C378" s="56">
        <f>IF(B378="","",IFERROR(VLOOKUP(B378,'04 TANIMLAR'!$A$2:$C$9,2,FALSE()),""))</f>
        <v/>
      </c>
      <c r="D378" s="58" t="n"/>
      <c r="E378" s="56">
        <f>IF(B378="","",IFERROR(VLOOKUP(B378,'04 TANIMLAR'!$A$2:$C$9,3,FALSE()),""))</f>
        <v/>
      </c>
      <c r="F378" s="58" t="n"/>
      <c r="G378" s="56" t="n"/>
      <c r="H378" s="58" t="n"/>
      <c r="I378" s="56" t="n"/>
      <c r="J378" s="56" t="n"/>
    </row>
    <row r="379" ht="15" customHeight="1">
      <c r="A379" s="56" t="n"/>
      <c r="B379" s="58" t="n"/>
      <c r="C379" s="56">
        <f>IF(B379="","",IFERROR(VLOOKUP(B379,'04 TANIMLAR'!$A$2:$C$9,2,FALSE()),""))</f>
        <v/>
      </c>
      <c r="D379" s="58" t="n"/>
      <c r="E379" s="56">
        <f>IF(B379="","",IFERROR(VLOOKUP(B379,'04 TANIMLAR'!$A$2:$C$9,3,FALSE()),""))</f>
        <v/>
      </c>
      <c r="F379" s="58" t="n"/>
      <c r="G379" s="56" t="n"/>
      <c r="H379" s="58" t="n"/>
      <c r="I379" s="56" t="n"/>
      <c r="J379" s="56" t="n"/>
    </row>
    <row r="380" ht="15" customHeight="1">
      <c r="A380" s="56" t="n"/>
      <c r="B380" s="58" t="n"/>
      <c r="C380" s="56">
        <f>IF(B380="","",IFERROR(VLOOKUP(B380,'04 TANIMLAR'!$A$2:$C$9,2,FALSE()),""))</f>
        <v/>
      </c>
      <c r="D380" s="58" t="n"/>
      <c r="E380" s="56">
        <f>IF(B380="","",IFERROR(VLOOKUP(B380,'04 TANIMLAR'!$A$2:$C$9,3,FALSE()),""))</f>
        <v/>
      </c>
      <c r="F380" s="58" t="n"/>
      <c r="G380" s="56" t="n"/>
      <c r="H380" s="58" t="n"/>
      <c r="I380" s="56" t="n"/>
      <c r="J380" s="56" t="n"/>
    </row>
    <row r="381" ht="15" customHeight="1">
      <c r="A381" s="56" t="n"/>
      <c r="B381" s="58" t="n"/>
      <c r="C381" s="56">
        <f>IF(B381="","",IFERROR(VLOOKUP(B381,'04 TANIMLAR'!$A$2:$C$9,2,FALSE()),""))</f>
        <v/>
      </c>
      <c r="D381" s="58" t="n"/>
      <c r="E381" s="56">
        <f>IF(B381="","",IFERROR(VLOOKUP(B381,'04 TANIMLAR'!$A$2:$C$9,3,FALSE()),""))</f>
        <v/>
      </c>
      <c r="F381" s="58" t="n"/>
      <c r="G381" s="56" t="n"/>
      <c r="H381" s="58" t="n"/>
      <c r="I381" s="56" t="n"/>
      <c r="J381" s="56" t="n"/>
    </row>
    <row r="382" ht="15" customHeight="1">
      <c r="A382" s="56" t="n"/>
      <c r="B382" s="58" t="n"/>
      <c r="C382" s="56">
        <f>IF(B382="","",IFERROR(VLOOKUP(B382,'04 TANIMLAR'!$A$2:$C$9,2,FALSE()),""))</f>
        <v/>
      </c>
      <c r="D382" s="58" t="n"/>
      <c r="E382" s="56">
        <f>IF(B382="","",IFERROR(VLOOKUP(B382,'04 TANIMLAR'!$A$2:$C$9,3,FALSE()),""))</f>
        <v/>
      </c>
      <c r="F382" s="58" t="n"/>
      <c r="G382" s="56" t="n"/>
      <c r="H382" s="58" t="n"/>
      <c r="I382" s="56" t="n"/>
      <c r="J382" s="56" t="n"/>
    </row>
    <row r="383" ht="15" customHeight="1">
      <c r="A383" s="56" t="n"/>
      <c r="B383" s="58" t="n"/>
      <c r="C383" s="56">
        <f>IF(B383="","",IFERROR(VLOOKUP(B383,'04 TANIMLAR'!$A$2:$C$9,2,FALSE()),""))</f>
        <v/>
      </c>
      <c r="D383" s="58" t="n"/>
      <c r="E383" s="56">
        <f>IF(B383="","",IFERROR(VLOOKUP(B383,'04 TANIMLAR'!$A$2:$C$9,3,FALSE()),""))</f>
        <v/>
      </c>
      <c r="F383" s="58" t="n"/>
      <c r="G383" s="56" t="n"/>
      <c r="H383" s="58" t="n"/>
      <c r="I383" s="56" t="n"/>
      <c r="J383" s="56" t="n"/>
    </row>
    <row r="384" ht="15" customHeight="1">
      <c r="A384" s="56" t="n"/>
      <c r="B384" s="58" t="n"/>
      <c r="C384" s="56">
        <f>IF(B384="","",IFERROR(VLOOKUP(B384,'04 TANIMLAR'!$A$2:$C$9,2,FALSE()),""))</f>
        <v/>
      </c>
      <c r="D384" s="58" t="n"/>
      <c r="E384" s="56">
        <f>IF(B384="","",IFERROR(VLOOKUP(B384,'04 TANIMLAR'!$A$2:$C$9,3,FALSE()),""))</f>
        <v/>
      </c>
      <c r="F384" s="58" t="n"/>
      <c r="G384" s="56" t="n"/>
      <c r="H384" s="58" t="n"/>
      <c r="I384" s="56" t="n"/>
      <c r="J384" s="56" t="n"/>
    </row>
    <row r="385" ht="15" customHeight="1">
      <c r="A385" s="56" t="n"/>
      <c r="B385" s="58" t="n"/>
      <c r="C385" s="56">
        <f>IF(B385="","",IFERROR(VLOOKUP(B385,'04 TANIMLAR'!$A$2:$C$9,2,FALSE()),""))</f>
        <v/>
      </c>
      <c r="D385" s="58" t="n"/>
      <c r="E385" s="56">
        <f>IF(B385="","",IFERROR(VLOOKUP(B385,'04 TANIMLAR'!$A$2:$C$9,3,FALSE()),""))</f>
        <v/>
      </c>
      <c r="F385" s="58" t="n"/>
      <c r="G385" s="56" t="n"/>
      <c r="H385" s="58" t="n"/>
      <c r="I385" s="56" t="n"/>
      <c r="J385" s="56" t="n"/>
    </row>
    <row r="386" ht="15" customHeight="1">
      <c r="A386" s="56" t="n"/>
      <c r="B386" s="58" t="n"/>
      <c r="C386" s="56">
        <f>IF(B386="","",IFERROR(VLOOKUP(B386,'04 TANIMLAR'!$A$2:$C$9,2,FALSE()),""))</f>
        <v/>
      </c>
      <c r="D386" s="58" t="n"/>
      <c r="E386" s="56">
        <f>IF(B386="","",IFERROR(VLOOKUP(B386,'04 TANIMLAR'!$A$2:$C$9,3,FALSE()),""))</f>
        <v/>
      </c>
      <c r="F386" s="58" t="n"/>
      <c r="G386" s="56" t="n"/>
      <c r="H386" s="58" t="n"/>
      <c r="I386" s="56" t="n"/>
      <c r="J386" s="56" t="n"/>
    </row>
    <row r="387" ht="15" customHeight="1">
      <c r="A387" s="56" t="n"/>
      <c r="B387" s="58" t="n"/>
      <c r="C387" s="56">
        <f>IF(B387="","",IFERROR(VLOOKUP(B387,'04 TANIMLAR'!$A$2:$C$9,2,FALSE()),""))</f>
        <v/>
      </c>
      <c r="D387" s="58" t="n"/>
      <c r="E387" s="56">
        <f>IF(B387="","",IFERROR(VLOOKUP(B387,'04 TANIMLAR'!$A$2:$C$9,3,FALSE()),""))</f>
        <v/>
      </c>
      <c r="F387" s="58" t="n"/>
      <c r="G387" s="56" t="n"/>
      <c r="H387" s="58" t="n"/>
      <c r="I387" s="56" t="n"/>
      <c r="J387" s="56" t="n"/>
    </row>
    <row r="388" ht="15" customHeight="1">
      <c r="A388" s="56" t="n"/>
      <c r="B388" s="58" t="n"/>
      <c r="C388" s="56">
        <f>IF(B388="","",IFERROR(VLOOKUP(B388,'04 TANIMLAR'!$A$2:$C$9,2,FALSE()),""))</f>
        <v/>
      </c>
      <c r="D388" s="58" t="n"/>
      <c r="E388" s="56">
        <f>IF(B388="","",IFERROR(VLOOKUP(B388,'04 TANIMLAR'!$A$2:$C$9,3,FALSE()),""))</f>
        <v/>
      </c>
      <c r="F388" s="58" t="n"/>
      <c r="G388" s="56" t="n"/>
      <c r="H388" s="58" t="n"/>
      <c r="I388" s="56" t="n"/>
      <c r="J388" s="56" t="n"/>
    </row>
    <row r="389" ht="15" customHeight="1">
      <c r="A389" s="56" t="n"/>
      <c r="B389" s="58" t="n"/>
      <c r="C389" s="56">
        <f>IF(B389="","",IFERROR(VLOOKUP(B389,'04 TANIMLAR'!$A$2:$C$9,2,FALSE()),""))</f>
        <v/>
      </c>
      <c r="D389" s="58" t="n"/>
      <c r="E389" s="56">
        <f>IF(B389="","",IFERROR(VLOOKUP(B389,'04 TANIMLAR'!$A$2:$C$9,3,FALSE()),""))</f>
        <v/>
      </c>
      <c r="F389" s="58" t="n"/>
      <c r="G389" s="56" t="n"/>
      <c r="H389" s="58" t="n"/>
      <c r="I389" s="56" t="n"/>
      <c r="J389" s="56" t="n"/>
    </row>
    <row r="390" ht="15" customHeight="1">
      <c r="A390" s="56" t="n"/>
      <c r="B390" s="58" t="n"/>
      <c r="C390" s="56">
        <f>IF(B390="","",IFERROR(VLOOKUP(B390,'04 TANIMLAR'!$A$2:$C$9,2,FALSE()),""))</f>
        <v/>
      </c>
      <c r="D390" s="58" t="n"/>
      <c r="E390" s="56">
        <f>IF(B390="","",IFERROR(VLOOKUP(B390,'04 TANIMLAR'!$A$2:$C$9,3,FALSE()),""))</f>
        <v/>
      </c>
      <c r="F390" s="58" t="n"/>
      <c r="G390" s="56" t="n"/>
      <c r="H390" s="58" t="n"/>
      <c r="I390" s="56" t="n"/>
      <c r="J390" s="56" t="n"/>
    </row>
    <row r="391" ht="15" customHeight="1">
      <c r="A391" s="56" t="n"/>
      <c r="B391" s="58" t="n"/>
      <c r="C391" s="56">
        <f>IF(B391="","",IFERROR(VLOOKUP(B391,'04 TANIMLAR'!$A$2:$C$9,2,FALSE()),""))</f>
        <v/>
      </c>
      <c r="D391" s="58" t="n"/>
      <c r="E391" s="56">
        <f>IF(B391="","",IFERROR(VLOOKUP(B391,'04 TANIMLAR'!$A$2:$C$9,3,FALSE()),""))</f>
        <v/>
      </c>
      <c r="F391" s="58" t="n"/>
      <c r="G391" s="56" t="n"/>
      <c r="H391" s="58" t="n"/>
      <c r="I391" s="56" t="n"/>
      <c r="J391" s="56" t="n"/>
    </row>
    <row r="392" ht="15" customHeight="1">
      <c r="A392" s="56" t="n"/>
      <c r="B392" s="58" t="n"/>
      <c r="C392" s="56">
        <f>IF(B392="","",IFERROR(VLOOKUP(B392,'04 TANIMLAR'!$A$2:$C$9,2,FALSE()),""))</f>
        <v/>
      </c>
      <c r="D392" s="58" t="n"/>
      <c r="E392" s="56">
        <f>IF(B392="","",IFERROR(VLOOKUP(B392,'04 TANIMLAR'!$A$2:$C$9,3,FALSE()),""))</f>
        <v/>
      </c>
      <c r="F392" s="58" t="n"/>
      <c r="G392" s="56" t="n"/>
      <c r="H392" s="58" t="n"/>
      <c r="I392" s="56" t="n"/>
      <c r="J392" s="56" t="n"/>
    </row>
    <row r="393" ht="15" customHeight="1">
      <c r="A393" s="56" t="n"/>
      <c r="B393" s="58" t="n"/>
      <c r="C393" s="56">
        <f>IF(B393="","",IFERROR(VLOOKUP(B393,'04 TANIMLAR'!$A$2:$C$9,2,FALSE()),""))</f>
        <v/>
      </c>
      <c r="D393" s="58" t="n"/>
      <c r="E393" s="56">
        <f>IF(B393="","",IFERROR(VLOOKUP(B393,'04 TANIMLAR'!$A$2:$C$9,3,FALSE()),""))</f>
        <v/>
      </c>
      <c r="F393" s="58" t="n"/>
      <c r="G393" s="56" t="n"/>
      <c r="H393" s="58" t="n"/>
      <c r="I393" s="56" t="n"/>
      <c r="J393" s="56" t="n"/>
    </row>
    <row r="394" ht="15" customHeight="1">
      <c r="A394" s="56" t="n"/>
      <c r="B394" s="58" t="n"/>
      <c r="C394" s="56">
        <f>IF(B394="","",IFERROR(VLOOKUP(B394,'04 TANIMLAR'!$A$2:$C$9,2,FALSE()),""))</f>
        <v/>
      </c>
      <c r="D394" s="58" t="n"/>
      <c r="E394" s="56">
        <f>IF(B394="","",IFERROR(VLOOKUP(B394,'04 TANIMLAR'!$A$2:$C$9,3,FALSE()),""))</f>
        <v/>
      </c>
      <c r="F394" s="58" t="n"/>
      <c r="G394" s="56" t="n"/>
      <c r="H394" s="58" t="n"/>
      <c r="I394" s="56" t="n"/>
      <c r="J394" s="56" t="n"/>
    </row>
    <row r="395" ht="15" customHeight="1">
      <c r="A395" s="56" t="n"/>
      <c r="B395" s="58" t="n"/>
      <c r="C395" s="56">
        <f>IF(B395="","",IFERROR(VLOOKUP(B395,'04 TANIMLAR'!$A$2:$C$9,2,FALSE()),""))</f>
        <v/>
      </c>
      <c r="D395" s="58" t="n"/>
      <c r="E395" s="56">
        <f>IF(B395="","",IFERROR(VLOOKUP(B395,'04 TANIMLAR'!$A$2:$C$9,3,FALSE()),""))</f>
        <v/>
      </c>
      <c r="F395" s="58" t="n"/>
      <c r="G395" s="56" t="n"/>
      <c r="H395" s="58" t="n"/>
      <c r="I395" s="56" t="n"/>
      <c r="J395" s="56" t="n"/>
    </row>
    <row r="396" ht="15" customHeight="1">
      <c r="A396" s="56" t="n"/>
      <c r="B396" s="58" t="n"/>
      <c r="C396" s="56">
        <f>IF(B396="","",IFERROR(VLOOKUP(B396,'04 TANIMLAR'!$A$2:$C$9,2,FALSE()),""))</f>
        <v/>
      </c>
      <c r="D396" s="58" t="n"/>
      <c r="E396" s="56">
        <f>IF(B396="","",IFERROR(VLOOKUP(B396,'04 TANIMLAR'!$A$2:$C$9,3,FALSE()),""))</f>
        <v/>
      </c>
      <c r="F396" s="58" t="n"/>
      <c r="G396" s="56" t="n"/>
      <c r="H396" s="58" t="n"/>
      <c r="I396" s="56" t="n"/>
      <c r="J396" s="56" t="n"/>
    </row>
    <row r="397" ht="15" customHeight="1">
      <c r="A397" s="56" t="n"/>
      <c r="B397" s="58" t="n"/>
      <c r="C397" s="56">
        <f>IF(B397="","",IFERROR(VLOOKUP(B397,'04 TANIMLAR'!$A$2:$C$9,2,FALSE()),""))</f>
        <v/>
      </c>
      <c r="D397" s="58" t="n"/>
      <c r="E397" s="56">
        <f>IF(B397="","",IFERROR(VLOOKUP(B397,'04 TANIMLAR'!$A$2:$C$9,3,FALSE()),""))</f>
        <v/>
      </c>
      <c r="F397" s="58" t="n"/>
      <c r="G397" s="56" t="n"/>
      <c r="H397" s="58" t="n"/>
      <c r="I397" s="56" t="n"/>
      <c r="J397" s="56" t="n"/>
    </row>
    <row r="398" ht="15" customHeight="1">
      <c r="A398" s="56" t="n"/>
      <c r="B398" s="58" t="n"/>
      <c r="C398" s="56">
        <f>IF(B398="","",IFERROR(VLOOKUP(B398,'04 TANIMLAR'!$A$2:$C$9,2,FALSE()),""))</f>
        <v/>
      </c>
      <c r="D398" s="58" t="n"/>
      <c r="E398" s="56">
        <f>IF(B398="","",IFERROR(VLOOKUP(B398,'04 TANIMLAR'!$A$2:$C$9,3,FALSE()),""))</f>
        <v/>
      </c>
      <c r="F398" s="58" t="n"/>
      <c r="G398" s="56" t="n"/>
      <c r="H398" s="58" t="n"/>
      <c r="I398" s="56" t="n"/>
      <c r="J398" s="56" t="n"/>
    </row>
    <row r="399" ht="15" customHeight="1">
      <c r="A399" s="56" t="n"/>
      <c r="B399" s="58" t="n"/>
      <c r="C399" s="56">
        <f>IF(B399="","",IFERROR(VLOOKUP(B399,'04 TANIMLAR'!$A$2:$C$9,2,FALSE()),""))</f>
        <v/>
      </c>
      <c r="D399" s="58" t="n"/>
      <c r="E399" s="56">
        <f>IF(B399="","",IFERROR(VLOOKUP(B399,'04 TANIMLAR'!$A$2:$C$9,3,FALSE()),""))</f>
        <v/>
      </c>
      <c r="F399" s="58" t="n"/>
      <c r="G399" s="56" t="n"/>
      <c r="H399" s="58" t="n"/>
      <c r="I399" s="56" t="n"/>
      <c r="J399" s="56" t="n"/>
    </row>
    <row r="400" ht="15" customHeight="1">
      <c r="A400" s="56" t="n"/>
      <c r="B400" s="58" t="n"/>
      <c r="C400" s="56">
        <f>IF(B400="","",IFERROR(VLOOKUP(B400,'04 TANIMLAR'!$A$2:$C$9,2,FALSE()),""))</f>
        <v/>
      </c>
      <c r="D400" s="58" t="n"/>
      <c r="E400" s="56">
        <f>IF(B400="","",IFERROR(VLOOKUP(B400,'04 TANIMLAR'!$A$2:$C$9,3,FALSE()),""))</f>
        <v/>
      </c>
      <c r="F400" s="58" t="n"/>
      <c r="G400" s="56" t="n"/>
      <c r="H400" s="58" t="n"/>
      <c r="I400" s="56" t="n"/>
      <c r="J400" s="56" t="n"/>
    </row>
    <row r="401" ht="15" customHeight="1">
      <c r="A401" s="56" t="n"/>
      <c r="B401" s="58" t="n"/>
      <c r="C401" s="56">
        <f>IF(B401="","",IFERROR(VLOOKUP(B401,'04 TANIMLAR'!$A$2:$C$9,2,FALSE()),""))</f>
        <v/>
      </c>
      <c r="D401" s="58" t="n"/>
      <c r="E401" s="56">
        <f>IF(B401="","",IFERROR(VLOOKUP(B401,'04 TANIMLAR'!$A$2:$C$9,3,FALSE()),""))</f>
        <v/>
      </c>
      <c r="F401" s="58" t="n"/>
      <c r="G401" s="56" t="n"/>
      <c r="H401" s="58" t="n"/>
      <c r="I401" s="56" t="n"/>
      <c r="J401" s="56" t="n"/>
    </row>
    <row r="402" ht="15" customHeight="1">
      <c r="A402" s="56" t="n"/>
      <c r="B402" s="58" t="n"/>
      <c r="C402" s="56">
        <f>IF(B402="","",IFERROR(VLOOKUP(B402,'04 TANIMLAR'!$A$2:$C$9,2,FALSE()),""))</f>
        <v/>
      </c>
      <c r="D402" s="58" t="n"/>
      <c r="E402" s="56">
        <f>IF(B402="","",IFERROR(VLOOKUP(B402,'04 TANIMLAR'!$A$2:$C$9,3,FALSE()),""))</f>
        <v/>
      </c>
      <c r="F402" s="58" t="n"/>
      <c r="G402" s="56" t="n"/>
      <c r="H402" s="58" t="n"/>
      <c r="I402" s="56" t="n"/>
      <c r="J402" s="56" t="n"/>
    </row>
    <row r="403" ht="15" customHeight="1">
      <c r="A403" s="56" t="n"/>
      <c r="B403" s="58" t="n"/>
      <c r="C403" s="56">
        <f>IF(B403="","",IFERROR(VLOOKUP(B403,'04 TANIMLAR'!$A$2:$C$9,2,FALSE()),""))</f>
        <v/>
      </c>
      <c r="D403" s="58" t="n"/>
      <c r="E403" s="56">
        <f>IF(B403="","",IFERROR(VLOOKUP(B403,'04 TANIMLAR'!$A$2:$C$9,3,FALSE()),""))</f>
        <v/>
      </c>
      <c r="F403" s="58" t="n"/>
      <c r="G403" s="56" t="n"/>
      <c r="H403" s="58" t="n"/>
      <c r="I403" s="56" t="n"/>
      <c r="J403" s="56" t="n"/>
    </row>
    <row r="404" ht="15" customHeight="1">
      <c r="A404" s="56" t="n"/>
      <c r="B404" s="58" t="n"/>
      <c r="C404" s="56">
        <f>IF(B404="","",IFERROR(VLOOKUP(B404,'04 TANIMLAR'!$A$2:$C$9,2,FALSE()),""))</f>
        <v/>
      </c>
      <c r="D404" s="58" t="n"/>
      <c r="E404" s="56">
        <f>IF(B404="","",IFERROR(VLOOKUP(B404,'04 TANIMLAR'!$A$2:$C$9,3,FALSE()),""))</f>
        <v/>
      </c>
      <c r="F404" s="58" t="n"/>
      <c r="G404" s="56" t="n"/>
      <c r="H404" s="58" t="n"/>
      <c r="I404" s="56" t="n"/>
      <c r="J404" s="56" t="n"/>
    </row>
    <row r="405" ht="15" customHeight="1">
      <c r="A405" s="56" t="n"/>
      <c r="B405" s="58" t="n"/>
      <c r="C405" s="56">
        <f>IF(B405="","",IFERROR(VLOOKUP(B405,'04 TANIMLAR'!$A$2:$C$9,2,FALSE()),""))</f>
        <v/>
      </c>
      <c r="D405" s="58" t="n"/>
      <c r="E405" s="56">
        <f>IF(B405="","",IFERROR(VLOOKUP(B405,'04 TANIMLAR'!$A$2:$C$9,3,FALSE()),""))</f>
        <v/>
      </c>
      <c r="F405" s="58" t="n"/>
      <c r="G405" s="56" t="n"/>
      <c r="H405" s="58" t="n"/>
      <c r="I405" s="56" t="n"/>
      <c r="J405" s="56" t="n"/>
    </row>
    <row r="406" ht="15" customHeight="1">
      <c r="A406" s="56" t="n"/>
      <c r="B406" s="58" t="n"/>
      <c r="C406" s="56">
        <f>IF(B406="","",IFERROR(VLOOKUP(B406,'04 TANIMLAR'!$A$2:$C$9,2,FALSE()),""))</f>
        <v/>
      </c>
      <c r="D406" s="58" t="n"/>
      <c r="E406" s="56">
        <f>IF(B406="","",IFERROR(VLOOKUP(B406,'04 TANIMLAR'!$A$2:$C$9,3,FALSE()),""))</f>
        <v/>
      </c>
      <c r="F406" s="58" t="n"/>
      <c r="G406" s="56" t="n"/>
      <c r="H406" s="58" t="n"/>
      <c r="I406" s="56" t="n"/>
      <c r="J406" s="56" t="n"/>
    </row>
    <row r="407" ht="15" customHeight="1">
      <c r="A407" s="56" t="n"/>
      <c r="B407" s="58" t="n"/>
      <c r="C407" s="56">
        <f>IF(B407="","",IFERROR(VLOOKUP(B407,'04 TANIMLAR'!$A$2:$C$9,2,FALSE()),""))</f>
        <v/>
      </c>
      <c r="D407" s="58" t="n"/>
      <c r="E407" s="56">
        <f>IF(B407="","",IFERROR(VLOOKUP(B407,'04 TANIMLAR'!$A$2:$C$9,3,FALSE()),""))</f>
        <v/>
      </c>
      <c r="F407" s="58" t="n"/>
      <c r="G407" s="56" t="n"/>
      <c r="H407" s="58" t="n"/>
      <c r="I407" s="56" t="n"/>
      <c r="J407" s="56" t="n"/>
    </row>
    <row r="408" ht="15" customHeight="1">
      <c r="A408" s="56" t="n"/>
      <c r="B408" s="58" t="n"/>
      <c r="C408" s="56">
        <f>IF(B408="","",IFERROR(VLOOKUP(B408,'04 TANIMLAR'!$A$2:$C$9,2,FALSE()),""))</f>
        <v/>
      </c>
      <c r="D408" s="58" t="n"/>
      <c r="E408" s="56">
        <f>IF(B408="","",IFERROR(VLOOKUP(B408,'04 TANIMLAR'!$A$2:$C$9,3,FALSE()),""))</f>
        <v/>
      </c>
      <c r="F408" s="58" t="n"/>
      <c r="G408" s="56" t="n"/>
      <c r="H408" s="58" t="n"/>
      <c r="I408" s="56" t="n"/>
      <c r="J408" s="56" t="n"/>
    </row>
    <row r="409" ht="15" customHeight="1">
      <c r="A409" s="56" t="n"/>
      <c r="B409" s="58" t="n"/>
      <c r="C409" s="56">
        <f>IF(B409="","",IFERROR(VLOOKUP(B409,'04 TANIMLAR'!$A$2:$C$9,2,FALSE()),""))</f>
        <v/>
      </c>
      <c r="D409" s="58" t="n"/>
      <c r="E409" s="56">
        <f>IF(B409="","",IFERROR(VLOOKUP(B409,'04 TANIMLAR'!$A$2:$C$9,3,FALSE()),""))</f>
        <v/>
      </c>
      <c r="F409" s="58" t="n"/>
      <c r="G409" s="56" t="n"/>
      <c r="H409" s="58" t="n"/>
      <c r="I409" s="56" t="n"/>
      <c r="J409" s="56" t="n"/>
    </row>
    <row r="410" ht="15" customHeight="1">
      <c r="A410" s="56" t="n"/>
      <c r="B410" s="58" t="n"/>
      <c r="C410" s="56">
        <f>IF(B410="","",IFERROR(VLOOKUP(B410,'04 TANIMLAR'!$A$2:$C$9,2,FALSE()),""))</f>
        <v/>
      </c>
      <c r="D410" s="58" t="n"/>
      <c r="E410" s="56">
        <f>IF(B410="","",IFERROR(VLOOKUP(B410,'04 TANIMLAR'!$A$2:$C$9,3,FALSE()),""))</f>
        <v/>
      </c>
      <c r="F410" s="58" t="n"/>
      <c r="G410" s="56" t="n"/>
      <c r="H410" s="58" t="n"/>
      <c r="I410" s="56" t="n"/>
      <c r="J410" s="56" t="n"/>
    </row>
    <row r="411" ht="15" customHeight="1">
      <c r="A411" s="56" t="n"/>
      <c r="B411" s="58" t="n"/>
      <c r="C411" s="56">
        <f>IF(B411="","",IFERROR(VLOOKUP(B411,'04 TANIMLAR'!$A$2:$C$9,2,FALSE()),""))</f>
        <v/>
      </c>
      <c r="D411" s="58" t="n"/>
      <c r="E411" s="56">
        <f>IF(B411="","",IFERROR(VLOOKUP(B411,'04 TANIMLAR'!$A$2:$C$9,3,FALSE()),""))</f>
        <v/>
      </c>
      <c r="F411" s="58" t="n"/>
      <c r="G411" s="56" t="n"/>
      <c r="H411" s="58" t="n"/>
      <c r="I411" s="56" t="n"/>
      <c r="J411" s="56" t="n"/>
    </row>
    <row r="412" ht="15" customHeight="1">
      <c r="A412" s="56" t="n"/>
      <c r="B412" s="58" t="n"/>
      <c r="C412" s="56">
        <f>IF(B412="","",IFERROR(VLOOKUP(B412,'04 TANIMLAR'!$A$2:$C$9,2,FALSE()),""))</f>
        <v/>
      </c>
      <c r="D412" s="58" t="n"/>
      <c r="E412" s="56">
        <f>IF(B412="","",IFERROR(VLOOKUP(B412,'04 TANIMLAR'!$A$2:$C$9,3,FALSE()),""))</f>
        <v/>
      </c>
      <c r="F412" s="58" t="n"/>
      <c r="G412" s="56" t="n"/>
      <c r="H412" s="58" t="n"/>
      <c r="I412" s="56" t="n"/>
      <c r="J412" s="56" t="n"/>
    </row>
    <row r="413" ht="15" customHeight="1">
      <c r="A413" s="56" t="n"/>
      <c r="B413" s="58" t="n"/>
      <c r="C413" s="56">
        <f>IF(B413="","",IFERROR(VLOOKUP(B413,'04 TANIMLAR'!$A$2:$C$9,2,FALSE()),""))</f>
        <v/>
      </c>
      <c r="D413" s="58" t="n"/>
      <c r="E413" s="56">
        <f>IF(B413="","",IFERROR(VLOOKUP(B413,'04 TANIMLAR'!$A$2:$C$9,3,FALSE()),""))</f>
        <v/>
      </c>
      <c r="F413" s="58" t="n"/>
      <c r="G413" s="56" t="n"/>
      <c r="H413" s="58" t="n"/>
      <c r="I413" s="56" t="n"/>
      <c r="J413" s="56" t="n"/>
    </row>
    <row r="414" ht="15" customHeight="1">
      <c r="A414" s="56" t="n"/>
      <c r="B414" s="58" t="n"/>
      <c r="C414" s="56">
        <f>IF(B414="","",IFERROR(VLOOKUP(B414,'04 TANIMLAR'!$A$2:$C$9,2,FALSE()),""))</f>
        <v/>
      </c>
      <c r="D414" s="58" t="n"/>
      <c r="E414" s="56">
        <f>IF(B414="","",IFERROR(VLOOKUP(B414,'04 TANIMLAR'!$A$2:$C$9,3,FALSE()),""))</f>
        <v/>
      </c>
      <c r="F414" s="58" t="n"/>
      <c r="G414" s="56" t="n"/>
      <c r="H414" s="58" t="n"/>
      <c r="I414" s="56" t="n"/>
      <c r="J414" s="56" t="n"/>
    </row>
    <row r="415" ht="15" customHeight="1">
      <c r="A415" s="56" t="n"/>
      <c r="B415" s="58" t="n"/>
      <c r="C415" s="56">
        <f>IF(B415="","",IFERROR(VLOOKUP(B415,'04 TANIMLAR'!$A$2:$C$9,2,FALSE()),""))</f>
        <v/>
      </c>
      <c r="D415" s="58" t="n"/>
      <c r="E415" s="56">
        <f>IF(B415="","",IFERROR(VLOOKUP(B415,'04 TANIMLAR'!$A$2:$C$9,3,FALSE()),""))</f>
        <v/>
      </c>
      <c r="F415" s="58" t="n"/>
      <c r="G415" s="56" t="n"/>
      <c r="H415" s="58" t="n"/>
      <c r="I415" s="56" t="n"/>
      <c r="J415" s="56" t="n"/>
    </row>
    <row r="416" ht="15" customHeight="1">
      <c r="A416" s="56" t="n"/>
      <c r="B416" s="58" t="n"/>
      <c r="C416" s="56">
        <f>IF(B416="","",IFERROR(VLOOKUP(B416,'04 TANIMLAR'!$A$2:$C$9,2,FALSE()),""))</f>
        <v/>
      </c>
      <c r="D416" s="58" t="n"/>
      <c r="E416" s="56">
        <f>IF(B416="","",IFERROR(VLOOKUP(B416,'04 TANIMLAR'!$A$2:$C$9,3,FALSE()),""))</f>
        <v/>
      </c>
      <c r="F416" s="58" t="n"/>
      <c r="G416" s="56" t="n"/>
      <c r="H416" s="58" t="n"/>
      <c r="I416" s="56" t="n"/>
      <c r="J416" s="56" t="n"/>
    </row>
    <row r="417" ht="15" customHeight="1">
      <c r="A417" s="56" t="n"/>
      <c r="B417" s="58" t="n"/>
      <c r="C417" s="56">
        <f>IF(B417="","",IFERROR(VLOOKUP(B417,'04 TANIMLAR'!$A$2:$C$9,2,FALSE()),""))</f>
        <v/>
      </c>
      <c r="D417" s="58" t="n"/>
      <c r="E417" s="56">
        <f>IF(B417="","",IFERROR(VLOOKUP(B417,'04 TANIMLAR'!$A$2:$C$9,3,FALSE()),""))</f>
        <v/>
      </c>
      <c r="F417" s="58" t="n"/>
      <c r="G417" s="56" t="n"/>
      <c r="H417" s="58" t="n"/>
      <c r="I417" s="56" t="n"/>
      <c r="J417" s="56" t="n"/>
    </row>
    <row r="418" ht="15" customHeight="1">
      <c r="A418" s="56" t="n"/>
      <c r="B418" s="58" t="n"/>
      <c r="C418" s="56">
        <f>IF(B418="","",IFERROR(VLOOKUP(B418,'04 TANIMLAR'!$A$2:$C$9,2,FALSE()),""))</f>
        <v/>
      </c>
      <c r="D418" s="58" t="n"/>
      <c r="E418" s="56">
        <f>IF(B418="","",IFERROR(VLOOKUP(B418,'04 TANIMLAR'!$A$2:$C$9,3,FALSE()),""))</f>
        <v/>
      </c>
      <c r="F418" s="58" t="n"/>
      <c r="G418" s="56" t="n"/>
      <c r="H418" s="58" t="n"/>
      <c r="I418" s="56" t="n"/>
      <c r="J418" s="56" t="n"/>
    </row>
    <row r="419" ht="15" customHeight="1">
      <c r="A419" s="56" t="n"/>
      <c r="B419" s="58" t="n"/>
      <c r="C419" s="56">
        <f>IF(B419="","",IFERROR(VLOOKUP(B419,'04 TANIMLAR'!$A$2:$C$9,2,FALSE()),""))</f>
        <v/>
      </c>
      <c r="D419" s="58" t="n"/>
      <c r="E419" s="56">
        <f>IF(B419="","",IFERROR(VLOOKUP(B419,'04 TANIMLAR'!$A$2:$C$9,3,FALSE()),""))</f>
        <v/>
      </c>
      <c r="F419" s="58" t="n"/>
      <c r="G419" s="56" t="n"/>
      <c r="H419" s="58" t="n"/>
      <c r="I419" s="56" t="n"/>
      <c r="J419" s="56" t="n"/>
    </row>
    <row r="420" ht="15" customHeight="1">
      <c r="A420" s="56" t="n"/>
      <c r="B420" s="58" t="n"/>
      <c r="C420" s="56">
        <f>IF(B420="","",IFERROR(VLOOKUP(B420,'04 TANIMLAR'!$A$2:$C$9,2,FALSE()),""))</f>
        <v/>
      </c>
      <c r="D420" s="58" t="n"/>
      <c r="E420" s="56">
        <f>IF(B420="","",IFERROR(VLOOKUP(B420,'04 TANIMLAR'!$A$2:$C$9,3,FALSE()),""))</f>
        <v/>
      </c>
      <c r="F420" s="58" t="n"/>
      <c r="G420" s="56" t="n"/>
      <c r="H420" s="58" t="n"/>
      <c r="I420" s="56" t="n"/>
      <c r="J420" s="56" t="n"/>
    </row>
    <row r="421" ht="15" customHeight="1">
      <c r="A421" s="56" t="n"/>
      <c r="B421" s="58" t="n"/>
      <c r="C421" s="56">
        <f>IF(B421="","",IFERROR(VLOOKUP(B421,'04 TANIMLAR'!$A$2:$C$9,2,FALSE()),""))</f>
        <v/>
      </c>
      <c r="D421" s="58" t="n"/>
      <c r="E421" s="56">
        <f>IF(B421="","",IFERROR(VLOOKUP(B421,'04 TANIMLAR'!$A$2:$C$9,3,FALSE()),""))</f>
        <v/>
      </c>
      <c r="F421" s="58" t="n"/>
      <c r="G421" s="56" t="n"/>
      <c r="H421" s="58" t="n"/>
      <c r="I421" s="56" t="n"/>
      <c r="J421" s="56" t="n"/>
    </row>
    <row r="422" ht="15" customHeight="1">
      <c r="A422" s="56" t="n"/>
      <c r="B422" s="58" t="n"/>
      <c r="C422" s="56">
        <f>IF(B422="","",IFERROR(VLOOKUP(B422,'04 TANIMLAR'!$A$2:$C$9,2,FALSE()),""))</f>
        <v/>
      </c>
      <c r="D422" s="58" t="n"/>
      <c r="E422" s="56">
        <f>IF(B422="","",IFERROR(VLOOKUP(B422,'04 TANIMLAR'!$A$2:$C$9,3,FALSE()),""))</f>
        <v/>
      </c>
      <c r="F422" s="58" t="n"/>
      <c r="G422" s="56" t="n"/>
      <c r="H422" s="58" t="n"/>
      <c r="I422" s="56" t="n"/>
      <c r="J422" s="56" t="n"/>
    </row>
    <row r="423" ht="15" customHeight="1">
      <c r="A423" s="56" t="n"/>
      <c r="B423" s="58" t="n"/>
      <c r="C423" s="56">
        <f>IF(B423="","",IFERROR(VLOOKUP(B423,'04 TANIMLAR'!$A$2:$C$9,2,FALSE()),""))</f>
        <v/>
      </c>
      <c r="D423" s="58" t="n"/>
      <c r="E423" s="56">
        <f>IF(B423="","",IFERROR(VLOOKUP(B423,'04 TANIMLAR'!$A$2:$C$9,3,FALSE()),""))</f>
        <v/>
      </c>
      <c r="F423" s="58" t="n"/>
      <c r="G423" s="56" t="n"/>
      <c r="H423" s="58" t="n"/>
      <c r="I423" s="56" t="n"/>
      <c r="J423" s="56" t="n"/>
    </row>
    <row r="424" ht="15" customHeight="1">
      <c r="A424" s="56" t="n"/>
      <c r="B424" s="58" t="n"/>
      <c r="C424" s="56">
        <f>IF(B424="","",IFERROR(VLOOKUP(B424,'04 TANIMLAR'!$A$2:$C$9,2,FALSE()),""))</f>
        <v/>
      </c>
      <c r="D424" s="58" t="n"/>
      <c r="E424" s="56">
        <f>IF(B424="","",IFERROR(VLOOKUP(B424,'04 TANIMLAR'!$A$2:$C$9,3,FALSE()),""))</f>
        <v/>
      </c>
      <c r="F424" s="58" t="n"/>
      <c r="G424" s="56" t="n"/>
      <c r="H424" s="58" t="n"/>
      <c r="I424" s="56" t="n"/>
      <c r="J424" s="56" t="n"/>
    </row>
    <row r="425" ht="15" customHeight="1">
      <c r="A425" s="56" t="n"/>
      <c r="B425" s="58" t="n"/>
      <c r="C425" s="56">
        <f>IF(B425="","",IFERROR(VLOOKUP(B425,'04 TANIMLAR'!$A$2:$C$9,2,FALSE()),""))</f>
        <v/>
      </c>
      <c r="D425" s="58" t="n"/>
      <c r="E425" s="56">
        <f>IF(B425="","",IFERROR(VLOOKUP(B425,'04 TANIMLAR'!$A$2:$C$9,3,FALSE()),""))</f>
        <v/>
      </c>
      <c r="F425" s="58" t="n"/>
      <c r="G425" s="56" t="n"/>
      <c r="H425" s="58" t="n"/>
      <c r="I425" s="56" t="n"/>
      <c r="J425" s="56" t="n"/>
    </row>
    <row r="426" ht="15" customHeight="1">
      <c r="A426" s="56" t="n"/>
      <c r="B426" s="58" t="n"/>
      <c r="C426" s="56">
        <f>IF(B426="","",IFERROR(VLOOKUP(B426,'04 TANIMLAR'!$A$2:$C$9,2,FALSE()),""))</f>
        <v/>
      </c>
      <c r="D426" s="58" t="n"/>
      <c r="E426" s="56">
        <f>IF(B426="","",IFERROR(VLOOKUP(B426,'04 TANIMLAR'!$A$2:$C$9,3,FALSE()),""))</f>
        <v/>
      </c>
      <c r="F426" s="58" t="n"/>
      <c r="G426" s="56" t="n"/>
      <c r="H426" s="58" t="n"/>
      <c r="I426" s="56" t="n"/>
      <c r="J426" s="56" t="n"/>
    </row>
    <row r="427" ht="15" customHeight="1">
      <c r="A427" s="56" t="n"/>
      <c r="B427" s="58" t="n"/>
      <c r="C427" s="56">
        <f>IF(B427="","",IFERROR(VLOOKUP(B427,'04 TANIMLAR'!$A$2:$C$9,2,FALSE()),""))</f>
        <v/>
      </c>
      <c r="D427" s="58" t="n"/>
      <c r="E427" s="56">
        <f>IF(B427="","",IFERROR(VLOOKUP(B427,'04 TANIMLAR'!$A$2:$C$9,3,FALSE()),""))</f>
        <v/>
      </c>
      <c r="F427" s="58" t="n"/>
      <c r="G427" s="56" t="n"/>
      <c r="H427" s="58" t="n"/>
      <c r="I427" s="56" t="n"/>
      <c r="J427" s="56" t="n"/>
    </row>
    <row r="428" ht="15" customHeight="1">
      <c r="A428" s="56" t="n"/>
      <c r="B428" s="58" t="n"/>
      <c r="C428" s="56">
        <f>IF(B428="","",IFERROR(VLOOKUP(B428,'04 TANIMLAR'!$A$2:$C$9,2,FALSE()),""))</f>
        <v/>
      </c>
      <c r="D428" s="58" t="n"/>
      <c r="E428" s="56">
        <f>IF(B428="","",IFERROR(VLOOKUP(B428,'04 TANIMLAR'!$A$2:$C$9,3,FALSE()),""))</f>
        <v/>
      </c>
      <c r="F428" s="58" t="n"/>
      <c r="G428" s="56" t="n"/>
      <c r="H428" s="58" t="n"/>
      <c r="I428" s="56" t="n"/>
      <c r="J428" s="56" t="n"/>
    </row>
    <row r="429" ht="15" customHeight="1">
      <c r="A429" s="56" t="n"/>
      <c r="B429" s="58" t="n"/>
      <c r="C429" s="56">
        <f>IF(B429="","",IFERROR(VLOOKUP(B429,'04 TANIMLAR'!$A$2:$C$9,2,FALSE()),""))</f>
        <v/>
      </c>
      <c r="D429" s="58" t="n"/>
      <c r="E429" s="56">
        <f>IF(B429="","",IFERROR(VLOOKUP(B429,'04 TANIMLAR'!$A$2:$C$9,3,FALSE()),""))</f>
        <v/>
      </c>
      <c r="F429" s="58" t="n"/>
      <c r="G429" s="56" t="n"/>
      <c r="H429" s="58" t="n"/>
      <c r="I429" s="56" t="n"/>
      <c r="J429" s="56" t="n"/>
    </row>
    <row r="430" ht="15" customHeight="1">
      <c r="A430" s="56" t="n"/>
      <c r="B430" s="58" t="n"/>
      <c r="C430" s="56">
        <f>IF(B430="","",IFERROR(VLOOKUP(B430,'04 TANIMLAR'!$A$2:$C$9,2,FALSE()),""))</f>
        <v/>
      </c>
      <c r="D430" s="58" t="n"/>
      <c r="E430" s="56">
        <f>IF(B430="","",IFERROR(VLOOKUP(B430,'04 TANIMLAR'!$A$2:$C$9,3,FALSE()),""))</f>
        <v/>
      </c>
      <c r="F430" s="58" t="n"/>
      <c r="G430" s="56" t="n"/>
      <c r="H430" s="58" t="n"/>
      <c r="I430" s="56" t="n"/>
      <c r="J430" s="56" t="n"/>
    </row>
    <row r="431" ht="15" customHeight="1">
      <c r="A431" s="56" t="n"/>
      <c r="B431" s="58" t="n"/>
      <c r="C431" s="56">
        <f>IF(B431="","",IFERROR(VLOOKUP(B431,'04 TANIMLAR'!$A$2:$C$9,2,FALSE()),""))</f>
        <v/>
      </c>
      <c r="D431" s="58" t="n"/>
      <c r="E431" s="56">
        <f>IF(B431="","",IFERROR(VLOOKUP(B431,'04 TANIMLAR'!$A$2:$C$9,3,FALSE()),""))</f>
        <v/>
      </c>
      <c r="F431" s="58" t="n"/>
      <c r="G431" s="56" t="n"/>
      <c r="H431" s="58" t="n"/>
      <c r="I431" s="56" t="n"/>
      <c r="J431" s="56" t="n"/>
    </row>
    <row r="432" ht="15" customHeight="1">
      <c r="A432" s="56" t="n"/>
      <c r="B432" s="58" t="n"/>
      <c r="C432" s="56">
        <f>IF(B432="","",IFERROR(VLOOKUP(B432,'04 TANIMLAR'!$A$2:$C$9,2,FALSE()),""))</f>
        <v/>
      </c>
      <c r="D432" s="58" t="n"/>
      <c r="E432" s="56">
        <f>IF(B432="","",IFERROR(VLOOKUP(B432,'04 TANIMLAR'!$A$2:$C$9,3,FALSE()),""))</f>
        <v/>
      </c>
      <c r="F432" s="58" t="n"/>
      <c r="G432" s="56" t="n"/>
      <c r="H432" s="58" t="n"/>
      <c r="I432" s="56" t="n"/>
      <c r="J432" s="56" t="n"/>
    </row>
    <row r="433" ht="15" customHeight="1">
      <c r="A433" s="56" t="n"/>
      <c r="B433" s="58" t="n"/>
      <c r="C433" s="56">
        <f>IF(B433="","",IFERROR(VLOOKUP(B433,'04 TANIMLAR'!$A$2:$C$9,2,FALSE()),""))</f>
        <v/>
      </c>
      <c r="D433" s="58" t="n"/>
      <c r="E433" s="56">
        <f>IF(B433="","",IFERROR(VLOOKUP(B433,'04 TANIMLAR'!$A$2:$C$9,3,FALSE()),""))</f>
        <v/>
      </c>
      <c r="F433" s="58" t="n"/>
      <c r="G433" s="56" t="n"/>
      <c r="H433" s="58" t="n"/>
      <c r="I433" s="56" t="n"/>
      <c r="J433" s="56" t="n"/>
    </row>
    <row r="434" ht="15" customHeight="1">
      <c r="A434" s="56" t="n"/>
      <c r="B434" s="58" t="n"/>
      <c r="C434" s="56">
        <f>IF(B434="","",IFERROR(VLOOKUP(B434,'04 TANIMLAR'!$A$2:$C$9,2,FALSE()),""))</f>
        <v/>
      </c>
      <c r="D434" s="58" t="n"/>
      <c r="E434" s="56">
        <f>IF(B434="","",IFERROR(VLOOKUP(B434,'04 TANIMLAR'!$A$2:$C$9,3,FALSE()),""))</f>
        <v/>
      </c>
      <c r="F434" s="58" t="n"/>
      <c r="G434" s="56" t="n"/>
      <c r="H434" s="58" t="n"/>
      <c r="I434" s="56" t="n"/>
      <c r="J434" s="56" t="n"/>
    </row>
    <row r="435" ht="15" customHeight="1">
      <c r="A435" s="56" t="n"/>
      <c r="B435" s="58" t="n"/>
      <c r="C435" s="56">
        <f>IF(B435="","",IFERROR(VLOOKUP(B435,'04 TANIMLAR'!$A$2:$C$9,2,FALSE()),""))</f>
        <v/>
      </c>
      <c r="D435" s="58" t="n"/>
      <c r="E435" s="56">
        <f>IF(B435="","",IFERROR(VLOOKUP(B435,'04 TANIMLAR'!$A$2:$C$9,3,FALSE()),""))</f>
        <v/>
      </c>
      <c r="F435" s="58" t="n"/>
      <c r="G435" s="56" t="n"/>
      <c r="H435" s="58" t="n"/>
      <c r="I435" s="56" t="n"/>
      <c r="J435" s="56" t="n"/>
    </row>
    <row r="436" ht="15" customHeight="1">
      <c r="A436" s="56" t="n"/>
      <c r="B436" s="58" t="n"/>
      <c r="C436" s="56">
        <f>IF(B436="","",IFERROR(VLOOKUP(B436,'04 TANIMLAR'!$A$2:$C$9,2,FALSE()),""))</f>
        <v/>
      </c>
      <c r="D436" s="58" t="n"/>
      <c r="E436" s="56">
        <f>IF(B436="","",IFERROR(VLOOKUP(B436,'04 TANIMLAR'!$A$2:$C$9,3,FALSE()),""))</f>
        <v/>
      </c>
      <c r="F436" s="58" t="n"/>
      <c r="G436" s="56" t="n"/>
      <c r="H436" s="58" t="n"/>
      <c r="I436" s="56" t="n"/>
      <c r="J436" s="56" t="n"/>
    </row>
    <row r="437" ht="15" customHeight="1">
      <c r="A437" s="56" t="n"/>
      <c r="B437" s="58" t="n"/>
      <c r="C437" s="56">
        <f>IF(B437="","",IFERROR(VLOOKUP(B437,'04 TANIMLAR'!$A$2:$C$9,2,FALSE()),""))</f>
        <v/>
      </c>
      <c r="D437" s="58" t="n"/>
      <c r="E437" s="56">
        <f>IF(B437="","",IFERROR(VLOOKUP(B437,'04 TANIMLAR'!$A$2:$C$9,3,FALSE()),""))</f>
        <v/>
      </c>
      <c r="F437" s="58" t="n"/>
      <c r="G437" s="56" t="n"/>
      <c r="H437" s="58" t="n"/>
      <c r="I437" s="56" t="n"/>
      <c r="J437" s="56" t="n"/>
    </row>
    <row r="438" ht="15" customHeight="1">
      <c r="A438" s="56" t="n"/>
      <c r="B438" s="58" t="n"/>
      <c r="C438" s="56">
        <f>IF(B438="","",IFERROR(VLOOKUP(B438,'04 TANIMLAR'!$A$2:$C$9,2,FALSE()),""))</f>
        <v/>
      </c>
      <c r="D438" s="58" t="n"/>
      <c r="E438" s="56">
        <f>IF(B438="","",IFERROR(VLOOKUP(B438,'04 TANIMLAR'!$A$2:$C$9,3,FALSE()),""))</f>
        <v/>
      </c>
      <c r="F438" s="58" t="n"/>
      <c r="G438" s="56" t="n"/>
      <c r="H438" s="58" t="n"/>
      <c r="I438" s="56" t="n"/>
      <c r="J438" s="56" t="n"/>
    </row>
    <row r="439" ht="15" customHeight="1">
      <c r="A439" s="56" t="n"/>
      <c r="B439" s="58" t="n"/>
      <c r="C439" s="56">
        <f>IF(B439="","",IFERROR(VLOOKUP(B439,'04 TANIMLAR'!$A$2:$C$9,2,FALSE()),""))</f>
        <v/>
      </c>
      <c r="D439" s="58" t="n"/>
      <c r="E439" s="56">
        <f>IF(B439="","",IFERROR(VLOOKUP(B439,'04 TANIMLAR'!$A$2:$C$9,3,FALSE()),""))</f>
        <v/>
      </c>
      <c r="F439" s="58" t="n"/>
      <c r="G439" s="56" t="n"/>
      <c r="H439" s="58" t="n"/>
      <c r="I439" s="56" t="n"/>
      <c r="J439" s="56" t="n"/>
    </row>
    <row r="440" ht="15" customHeight="1">
      <c r="A440" s="56" t="n"/>
      <c r="B440" s="58" t="n"/>
      <c r="C440" s="56">
        <f>IF(B440="","",IFERROR(VLOOKUP(B440,'04 TANIMLAR'!$A$2:$C$9,2,FALSE()),""))</f>
        <v/>
      </c>
      <c r="D440" s="58" t="n"/>
      <c r="E440" s="56">
        <f>IF(B440="","",IFERROR(VLOOKUP(B440,'04 TANIMLAR'!$A$2:$C$9,3,FALSE()),""))</f>
        <v/>
      </c>
      <c r="F440" s="58" t="n"/>
      <c r="G440" s="56" t="n"/>
      <c r="H440" s="58" t="n"/>
      <c r="I440" s="56" t="n"/>
      <c r="J440" s="56" t="n"/>
    </row>
    <row r="441" ht="15" customHeight="1">
      <c r="A441" s="56" t="n"/>
      <c r="B441" s="58" t="n"/>
      <c r="C441" s="56">
        <f>IF(B441="","",IFERROR(VLOOKUP(B441,'04 TANIMLAR'!$A$2:$C$9,2,FALSE()),""))</f>
        <v/>
      </c>
      <c r="D441" s="58" t="n"/>
      <c r="E441" s="56">
        <f>IF(B441="","",IFERROR(VLOOKUP(B441,'04 TANIMLAR'!$A$2:$C$9,3,FALSE()),""))</f>
        <v/>
      </c>
      <c r="F441" s="58" t="n"/>
      <c r="G441" s="56" t="n"/>
      <c r="H441" s="58" t="n"/>
      <c r="I441" s="56" t="n"/>
      <c r="J441" s="56" t="n"/>
    </row>
    <row r="442" ht="15" customHeight="1">
      <c r="A442" s="56" t="n"/>
      <c r="B442" s="58" t="n"/>
      <c r="C442" s="56">
        <f>IF(B442="","",IFERROR(VLOOKUP(B442,'04 TANIMLAR'!$A$2:$C$9,2,FALSE()),""))</f>
        <v/>
      </c>
      <c r="D442" s="58" t="n"/>
      <c r="E442" s="56">
        <f>IF(B442="","",IFERROR(VLOOKUP(B442,'04 TANIMLAR'!$A$2:$C$9,3,FALSE()),""))</f>
        <v/>
      </c>
      <c r="F442" s="58" t="n"/>
      <c r="G442" s="56" t="n"/>
      <c r="H442" s="58" t="n"/>
      <c r="I442" s="56" t="n"/>
      <c r="J442" s="56" t="n"/>
    </row>
    <row r="443" ht="15" customHeight="1">
      <c r="A443" s="56" t="n"/>
      <c r="B443" s="58" t="n"/>
      <c r="C443" s="56">
        <f>IF(B443="","",IFERROR(VLOOKUP(B443,'04 TANIMLAR'!$A$2:$C$9,2,FALSE()),""))</f>
        <v/>
      </c>
      <c r="D443" s="58" t="n"/>
      <c r="E443" s="56">
        <f>IF(B443="","",IFERROR(VLOOKUP(B443,'04 TANIMLAR'!$A$2:$C$9,3,FALSE()),""))</f>
        <v/>
      </c>
      <c r="F443" s="58" t="n"/>
      <c r="G443" s="56" t="n"/>
      <c r="H443" s="58" t="n"/>
      <c r="I443" s="56" t="n"/>
      <c r="J443" s="56" t="n"/>
    </row>
    <row r="444" ht="15" customHeight="1">
      <c r="A444" s="56" t="n"/>
      <c r="B444" s="58" t="n"/>
      <c r="C444" s="56">
        <f>IF(B444="","",IFERROR(VLOOKUP(B444,'04 TANIMLAR'!$A$2:$C$9,2,FALSE()),""))</f>
        <v/>
      </c>
      <c r="D444" s="58" t="n"/>
      <c r="E444" s="56">
        <f>IF(B444="","",IFERROR(VLOOKUP(B444,'04 TANIMLAR'!$A$2:$C$9,3,FALSE()),""))</f>
        <v/>
      </c>
      <c r="F444" s="58" t="n"/>
      <c r="G444" s="56" t="n"/>
      <c r="H444" s="58" t="n"/>
      <c r="I444" s="56" t="n"/>
      <c r="J444" s="56" t="n"/>
    </row>
    <row r="445" ht="15" customHeight="1">
      <c r="A445" s="56" t="n"/>
      <c r="B445" s="58" t="n"/>
      <c r="C445" s="56">
        <f>IF(B445="","",IFERROR(VLOOKUP(B445,'04 TANIMLAR'!$A$2:$C$9,2,FALSE()),""))</f>
        <v/>
      </c>
      <c r="D445" s="58" t="n"/>
      <c r="E445" s="56">
        <f>IF(B445="","",IFERROR(VLOOKUP(B445,'04 TANIMLAR'!$A$2:$C$9,3,FALSE()),""))</f>
        <v/>
      </c>
      <c r="F445" s="58" t="n"/>
      <c r="G445" s="56" t="n"/>
      <c r="H445" s="58" t="n"/>
      <c r="I445" s="56" t="n"/>
      <c r="J445" s="56" t="n"/>
    </row>
    <row r="446" ht="15" customHeight="1">
      <c r="A446" s="56" t="n"/>
      <c r="B446" s="58" t="n"/>
      <c r="C446" s="56">
        <f>IF(B446="","",IFERROR(VLOOKUP(B446,'04 TANIMLAR'!$A$2:$C$9,2,FALSE()),""))</f>
        <v/>
      </c>
      <c r="D446" s="58" t="n"/>
      <c r="E446" s="56">
        <f>IF(B446="","",IFERROR(VLOOKUP(B446,'04 TANIMLAR'!$A$2:$C$9,3,FALSE()),""))</f>
        <v/>
      </c>
      <c r="F446" s="58" t="n"/>
      <c r="G446" s="56" t="n"/>
      <c r="H446" s="58" t="n"/>
      <c r="I446" s="56" t="n"/>
      <c r="J446" s="56" t="n"/>
    </row>
    <row r="447" ht="15" customHeight="1">
      <c r="A447" s="56" t="n"/>
      <c r="B447" s="58" t="n"/>
      <c r="C447" s="56">
        <f>IF(B447="","",IFERROR(VLOOKUP(B447,'04 TANIMLAR'!$A$2:$C$9,2,FALSE()),""))</f>
        <v/>
      </c>
      <c r="D447" s="58" t="n"/>
      <c r="E447" s="56">
        <f>IF(B447="","",IFERROR(VLOOKUP(B447,'04 TANIMLAR'!$A$2:$C$9,3,FALSE()),""))</f>
        <v/>
      </c>
      <c r="F447" s="58" t="n"/>
      <c r="G447" s="56" t="n"/>
      <c r="H447" s="58" t="n"/>
      <c r="I447" s="56" t="n"/>
      <c r="J447" s="56" t="n"/>
    </row>
    <row r="448" ht="15" customHeight="1">
      <c r="A448" s="56" t="n"/>
      <c r="B448" s="58" t="n"/>
      <c r="C448" s="56">
        <f>IF(B448="","",IFERROR(VLOOKUP(B448,'04 TANIMLAR'!$A$2:$C$9,2,FALSE()),""))</f>
        <v/>
      </c>
      <c r="D448" s="58" t="n"/>
      <c r="E448" s="56">
        <f>IF(B448="","",IFERROR(VLOOKUP(B448,'04 TANIMLAR'!$A$2:$C$9,3,FALSE()),""))</f>
        <v/>
      </c>
      <c r="F448" s="58" t="n"/>
      <c r="G448" s="56" t="n"/>
      <c r="H448" s="58" t="n"/>
      <c r="I448" s="56" t="n"/>
      <c r="J448" s="56" t="n"/>
    </row>
    <row r="449" ht="15" customHeight="1">
      <c r="A449" s="56" t="n"/>
      <c r="B449" s="58" t="n"/>
      <c r="C449" s="56">
        <f>IF(B449="","",IFERROR(VLOOKUP(B449,'04 TANIMLAR'!$A$2:$C$9,2,FALSE()),""))</f>
        <v/>
      </c>
      <c r="D449" s="58" t="n"/>
      <c r="E449" s="56">
        <f>IF(B449="","",IFERROR(VLOOKUP(B449,'04 TANIMLAR'!$A$2:$C$9,3,FALSE()),""))</f>
        <v/>
      </c>
      <c r="F449" s="58" t="n"/>
      <c r="G449" s="56" t="n"/>
      <c r="H449" s="58" t="n"/>
      <c r="I449" s="56" t="n"/>
      <c r="J449" s="56" t="n"/>
    </row>
    <row r="450" ht="15" customHeight="1">
      <c r="A450" s="56" t="n"/>
      <c r="B450" s="58" t="n"/>
      <c r="C450" s="56">
        <f>IF(B450="","",IFERROR(VLOOKUP(B450,'04 TANIMLAR'!$A$2:$C$9,2,FALSE()),""))</f>
        <v/>
      </c>
      <c r="D450" s="58" t="n"/>
      <c r="E450" s="56">
        <f>IF(B450="","",IFERROR(VLOOKUP(B450,'04 TANIMLAR'!$A$2:$C$9,3,FALSE()),""))</f>
        <v/>
      </c>
      <c r="F450" s="58" t="n"/>
      <c r="G450" s="56" t="n"/>
      <c r="H450" s="58" t="n"/>
      <c r="I450" s="56" t="n"/>
      <c r="J450" s="56" t="n"/>
    </row>
    <row r="451" ht="15" customHeight="1">
      <c r="A451" s="56" t="n"/>
      <c r="B451" s="58" t="n"/>
      <c r="C451" s="56">
        <f>IF(B451="","",IFERROR(VLOOKUP(B451,'04 TANIMLAR'!$A$2:$C$9,2,FALSE()),""))</f>
        <v/>
      </c>
      <c r="D451" s="58" t="n"/>
      <c r="E451" s="56">
        <f>IF(B451="","",IFERROR(VLOOKUP(B451,'04 TANIMLAR'!$A$2:$C$9,3,FALSE()),""))</f>
        <v/>
      </c>
      <c r="F451" s="58" t="n"/>
      <c r="G451" s="56" t="n"/>
      <c r="H451" s="58" t="n"/>
      <c r="I451" s="56" t="n"/>
      <c r="J451" s="56" t="n"/>
    </row>
    <row r="452" ht="15" customHeight="1">
      <c r="A452" s="56" t="n"/>
      <c r="B452" s="58" t="n"/>
      <c r="C452" s="56">
        <f>IF(B452="","",IFERROR(VLOOKUP(B452,'04 TANIMLAR'!$A$2:$C$9,2,FALSE()),""))</f>
        <v/>
      </c>
      <c r="D452" s="58" t="n"/>
      <c r="E452" s="56">
        <f>IF(B452="","",IFERROR(VLOOKUP(B452,'04 TANIMLAR'!$A$2:$C$9,3,FALSE()),""))</f>
        <v/>
      </c>
      <c r="F452" s="58" t="n"/>
      <c r="G452" s="56" t="n"/>
      <c r="H452" s="58" t="n"/>
      <c r="I452" s="56" t="n"/>
      <c r="J452" s="56" t="n"/>
    </row>
    <row r="453" ht="15" customHeight="1">
      <c r="A453" s="56" t="n"/>
      <c r="B453" s="58" t="n"/>
      <c r="C453" s="56">
        <f>IF(B453="","",IFERROR(VLOOKUP(B453,'04 TANIMLAR'!$A$2:$C$9,2,FALSE()),""))</f>
        <v/>
      </c>
      <c r="D453" s="58" t="n"/>
      <c r="E453" s="56">
        <f>IF(B453="","",IFERROR(VLOOKUP(B453,'04 TANIMLAR'!$A$2:$C$9,3,FALSE()),""))</f>
        <v/>
      </c>
      <c r="F453" s="58" t="n"/>
      <c r="G453" s="56" t="n"/>
      <c r="H453" s="58" t="n"/>
      <c r="I453" s="56" t="n"/>
      <c r="J453" s="56" t="n"/>
    </row>
    <row r="454" ht="15" customHeight="1">
      <c r="A454" s="56" t="n"/>
      <c r="B454" s="58" t="n"/>
      <c r="C454" s="56">
        <f>IF(B454="","",IFERROR(VLOOKUP(B454,'04 TANIMLAR'!$A$2:$C$9,2,FALSE()),""))</f>
        <v/>
      </c>
      <c r="D454" s="58" t="n"/>
      <c r="E454" s="56">
        <f>IF(B454="","",IFERROR(VLOOKUP(B454,'04 TANIMLAR'!$A$2:$C$9,3,FALSE()),""))</f>
        <v/>
      </c>
      <c r="F454" s="58" t="n"/>
      <c r="G454" s="56" t="n"/>
      <c r="H454" s="58" t="n"/>
      <c r="I454" s="56" t="n"/>
      <c r="J454" s="56" t="n"/>
    </row>
    <row r="455" ht="15" customHeight="1">
      <c r="A455" s="56" t="n"/>
      <c r="B455" s="58" t="n"/>
      <c r="C455" s="56">
        <f>IF(B455="","",IFERROR(VLOOKUP(B455,'04 TANIMLAR'!$A$2:$C$9,2,FALSE()),""))</f>
        <v/>
      </c>
      <c r="D455" s="58" t="n"/>
      <c r="E455" s="56">
        <f>IF(B455="","",IFERROR(VLOOKUP(B455,'04 TANIMLAR'!$A$2:$C$9,3,FALSE()),""))</f>
        <v/>
      </c>
      <c r="F455" s="58" t="n"/>
      <c r="G455" s="56" t="n"/>
      <c r="H455" s="58" t="n"/>
      <c r="I455" s="56" t="n"/>
      <c r="J455" s="56" t="n"/>
    </row>
    <row r="456" ht="15" customHeight="1">
      <c r="A456" s="56" t="n"/>
      <c r="B456" s="58" t="n"/>
      <c r="C456" s="56">
        <f>IF(B456="","",IFERROR(VLOOKUP(B456,'04 TANIMLAR'!$A$2:$C$9,2,FALSE()),""))</f>
        <v/>
      </c>
      <c r="D456" s="58" t="n"/>
      <c r="E456" s="56">
        <f>IF(B456="","",IFERROR(VLOOKUP(B456,'04 TANIMLAR'!$A$2:$C$9,3,FALSE()),""))</f>
        <v/>
      </c>
      <c r="F456" s="58" t="n"/>
      <c r="G456" s="56" t="n"/>
      <c r="H456" s="58" t="n"/>
      <c r="I456" s="56" t="n"/>
      <c r="J456" s="56" t="n"/>
    </row>
    <row r="457" ht="15" customHeight="1">
      <c r="A457" s="56" t="n"/>
      <c r="B457" s="58" t="n"/>
      <c r="C457" s="56">
        <f>IF(B457="","",IFERROR(VLOOKUP(B457,'04 TANIMLAR'!$A$2:$C$9,2,FALSE()),""))</f>
        <v/>
      </c>
      <c r="D457" s="58" t="n"/>
      <c r="E457" s="56">
        <f>IF(B457="","",IFERROR(VLOOKUP(B457,'04 TANIMLAR'!$A$2:$C$9,3,FALSE()),""))</f>
        <v/>
      </c>
      <c r="F457" s="58" t="n"/>
      <c r="G457" s="56" t="n"/>
      <c r="H457" s="58" t="n"/>
      <c r="I457" s="56" t="n"/>
      <c r="J457" s="56" t="n"/>
    </row>
    <row r="458" ht="15" customHeight="1">
      <c r="A458" s="56" t="n"/>
      <c r="B458" s="58" t="n"/>
      <c r="C458" s="56">
        <f>IF(B458="","",IFERROR(VLOOKUP(B458,'04 TANIMLAR'!$A$2:$C$9,2,FALSE()),""))</f>
        <v/>
      </c>
      <c r="D458" s="58" t="n"/>
      <c r="E458" s="56">
        <f>IF(B458="","",IFERROR(VLOOKUP(B458,'04 TANIMLAR'!$A$2:$C$9,3,FALSE()),""))</f>
        <v/>
      </c>
      <c r="F458" s="58" t="n"/>
      <c r="G458" s="56" t="n"/>
      <c r="H458" s="58" t="n"/>
      <c r="I458" s="56" t="n"/>
      <c r="J458" s="56" t="n"/>
    </row>
    <row r="459" ht="15" customHeight="1">
      <c r="A459" s="56" t="n"/>
      <c r="B459" s="58" t="n"/>
      <c r="C459" s="56">
        <f>IF(B459="","",IFERROR(VLOOKUP(B459,'04 TANIMLAR'!$A$2:$C$9,2,FALSE()),""))</f>
        <v/>
      </c>
      <c r="D459" s="58" t="n"/>
      <c r="E459" s="56">
        <f>IF(B459="","",IFERROR(VLOOKUP(B459,'04 TANIMLAR'!$A$2:$C$9,3,FALSE()),""))</f>
        <v/>
      </c>
      <c r="F459" s="58" t="n"/>
      <c r="G459" s="56" t="n"/>
      <c r="H459" s="58" t="n"/>
      <c r="I459" s="56" t="n"/>
      <c r="J459" s="56" t="n"/>
    </row>
    <row r="460" ht="15" customHeight="1">
      <c r="A460" s="56" t="n"/>
      <c r="B460" s="58" t="n"/>
      <c r="C460" s="56">
        <f>IF(B460="","",IFERROR(VLOOKUP(B460,'04 TANIMLAR'!$A$2:$C$9,2,FALSE()),""))</f>
        <v/>
      </c>
      <c r="D460" s="58" t="n"/>
      <c r="E460" s="56">
        <f>IF(B460="","",IFERROR(VLOOKUP(B460,'04 TANIMLAR'!$A$2:$C$9,3,FALSE()),""))</f>
        <v/>
      </c>
      <c r="F460" s="58" t="n"/>
      <c r="G460" s="56" t="n"/>
      <c r="H460" s="58" t="n"/>
      <c r="I460" s="56" t="n"/>
      <c r="J460" s="56" t="n"/>
    </row>
    <row r="461" ht="15" customHeight="1">
      <c r="A461" s="56" t="n"/>
      <c r="B461" s="58" t="n"/>
      <c r="C461" s="56">
        <f>IF(B461="","",IFERROR(VLOOKUP(B461,'04 TANIMLAR'!$A$2:$C$9,2,FALSE()),""))</f>
        <v/>
      </c>
      <c r="D461" s="58" t="n"/>
      <c r="E461" s="56">
        <f>IF(B461="","",IFERROR(VLOOKUP(B461,'04 TANIMLAR'!$A$2:$C$9,3,FALSE()),""))</f>
        <v/>
      </c>
      <c r="F461" s="58" t="n"/>
      <c r="G461" s="56" t="n"/>
      <c r="H461" s="58" t="n"/>
      <c r="I461" s="56" t="n"/>
      <c r="J461" s="56" t="n"/>
    </row>
    <row r="462" ht="15" customHeight="1">
      <c r="A462" s="56" t="n"/>
      <c r="B462" s="58" t="n"/>
      <c r="C462" s="56">
        <f>IF(B462="","",IFERROR(VLOOKUP(B462,'04 TANIMLAR'!$A$2:$C$9,2,FALSE()),""))</f>
        <v/>
      </c>
      <c r="D462" s="58" t="n"/>
      <c r="E462" s="56">
        <f>IF(B462="","",IFERROR(VLOOKUP(B462,'04 TANIMLAR'!$A$2:$C$9,3,FALSE()),""))</f>
        <v/>
      </c>
      <c r="F462" s="58" t="n"/>
      <c r="G462" s="56" t="n"/>
      <c r="H462" s="58" t="n"/>
      <c r="I462" s="56" t="n"/>
      <c r="J462" s="56" t="n"/>
    </row>
    <row r="463" ht="15" customHeight="1">
      <c r="A463" s="56" t="n"/>
      <c r="B463" s="58" t="n"/>
      <c r="C463" s="56">
        <f>IF(B463="","",IFERROR(VLOOKUP(B463,'04 TANIMLAR'!$A$2:$C$9,2,FALSE()),""))</f>
        <v/>
      </c>
      <c r="D463" s="58" t="n"/>
      <c r="E463" s="56">
        <f>IF(B463="","",IFERROR(VLOOKUP(B463,'04 TANIMLAR'!$A$2:$C$9,3,FALSE()),""))</f>
        <v/>
      </c>
      <c r="F463" s="58" t="n"/>
      <c r="G463" s="56" t="n"/>
      <c r="H463" s="58" t="n"/>
      <c r="I463" s="56" t="n"/>
      <c r="J463" s="56" t="n"/>
    </row>
    <row r="464" ht="15" customHeight="1">
      <c r="A464" s="56" t="n"/>
      <c r="B464" s="58" t="n"/>
      <c r="C464" s="56">
        <f>IF(B464="","",IFERROR(VLOOKUP(B464,'04 TANIMLAR'!$A$2:$C$9,2,FALSE()),""))</f>
        <v/>
      </c>
      <c r="D464" s="58" t="n"/>
      <c r="E464" s="56">
        <f>IF(B464="","",IFERROR(VLOOKUP(B464,'04 TANIMLAR'!$A$2:$C$9,3,FALSE()),""))</f>
        <v/>
      </c>
      <c r="F464" s="58" t="n"/>
      <c r="G464" s="56" t="n"/>
      <c r="H464" s="58" t="n"/>
      <c r="I464" s="56" t="n"/>
      <c r="J464" s="56" t="n"/>
    </row>
    <row r="465" ht="15" customHeight="1">
      <c r="A465" s="56" t="n"/>
      <c r="B465" s="58" t="n"/>
      <c r="C465" s="56">
        <f>IF(B465="","",IFERROR(VLOOKUP(B465,'04 TANIMLAR'!$A$2:$C$9,2,FALSE()),""))</f>
        <v/>
      </c>
      <c r="D465" s="58" t="n"/>
      <c r="E465" s="56">
        <f>IF(B465="","",IFERROR(VLOOKUP(B465,'04 TANIMLAR'!$A$2:$C$9,3,FALSE()),""))</f>
        <v/>
      </c>
      <c r="F465" s="58" t="n"/>
      <c r="G465" s="56" t="n"/>
      <c r="H465" s="58" t="n"/>
      <c r="I465" s="56" t="n"/>
      <c r="J465" s="56" t="n"/>
    </row>
    <row r="466" ht="15" customHeight="1">
      <c r="A466" s="56" t="n"/>
      <c r="B466" s="58" t="n"/>
      <c r="C466" s="56">
        <f>IF(B466="","",IFERROR(VLOOKUP(B466,'04 TANIMLAR'!$A$2:$C$9,2,FALSE()),""))</f>
        <v/>
      </c>
      <c r="D466" s="58" t="n"/>
      <c r="E466" s="56">
        <f>IF(B466="","",IFERROR(VLOOKUP(B466,'04 TANIMLAR'!$A$2:$C$9,3,FALSE()),""))</f>
        <v/>
      </c>
      <c r="F466" s="58" t="n"/>
      <c r="G466" s="56" t="n"/>
      <c r="H466" s="58" t="n"/>
      <c r="I466" s="56" t="n"/>
      <c r="J466" s="56" t="n"/>
    </row>
    <row r="467" ht="15" customHeight="1">
      <c r="A467" s="56" t="n"/>
      <c r="B467" s="58" t="n"/>
      <c r="C467" s="56">
        <f>IF(B467="","",IFERROR(VLOOKUP(B467,'04 TANIMLAR'!$A$2:$C$9,2,FALSE()),""))</f>
        <v/>
      </c>
      <c r="D467" s="58" t="n"/>
      <c r="E467" s="56">
        <f>IF(B467="","",IFERROR(VLOOKUP(B467,'04 TANIMLAR'!$A$2:$C$9,3,FALSE()),""))</f>
        <v/>
      </c>
      <c r="F467" s="58" t="n"/>
      <c r="G467" s="56" t="n"/>
      <c r="H467" s="58" t="n"/>
      <c r="I467" s="56" t="n"/>
      <c r="J467" s="56" t="n"/>
    </row>
    <row r="468" ht="15" customHeight="1">
      <c r="A468" s="56" t="n"/>
      <c r="B468" s="58" t="n"/>
      <c r="C468" s="56">
        <f>IF(B468="","",IFERROR(VLOOKUP(B468,'04 TANIMLAR'!$A$2:$C$9,2,FALSE()),""))</f>
        <v/>
      </c>
      <c r="D468" s="58" t="n"/>
      <c r="E468" s="56">
        <f>IF(B468="","",IFERROR(VLOOKUP(B468,'04 TANIMLAR'!$A$2:$C$9,3,FALSE()),""))</f>
        <v/>
      </c>
      <c r="F468" s="58" t="n"/>
      <c r="G468" s="56" t="n"/>
      <c r="H468" s="58" t="n"/>
      <c r="I468" s="56" t="n"/>
      <c r="J468" s="56" t="n"/>
    </row>
    <row r="469" ht="15" customHeight="1">
      <c r="A469" s="56" t="n"/>
      <c r="B469" s="58" t="n"/>
      <c r="C469" s="56">
        <f>IF(B469="","",IFERROR(VLOOKUP(B469,'04 TANIMLAR'!$A$2:$C$9,2,FALSE()),""))</f>
        <v/>
      </c>
      <c r="D469" s="58" t="n"/>
      <c r="E469" s="56">
        <f>IF(B469="","",IFERROR(VLOOKUP(B469,'04 TANIMLAR'!$A$2:$C$9,3,FALSE()),""))</f>
        <v/>
      </c>
      <c r="F469" s="58" t="n"/>
      <c r="G469" s="56" t="n"/>
      <c r="H469" s="58" t="n"/>
      <c r="I469" s="56" t="n"/>
      <c r="J469" s="56" t="n"/>
    </row>
    <row r="470" ht="15" customHeight="1">
      <c r="A470" s="56" t="n"/>
      <c r="B470" s="58" t="n"/>
      <c r="C470" s="56">
        <f>IF(B470="","",IFERROR(VLOOKUP(B470,'04 TANIMLAR'!$A$2:$C$9,2,FALSE()),""))</f>
        <v/>
      </c>
      <c r="D470" s="58" t="n"/>
      <c r="E470" s="56">
        <f>IF(B470="","",IFERROR(VLOOKUP(B470,'04 TANIMLAR'!$A$2:$C$9,3,FALSE()),""))</f>
        <v/>
      </c>
      <c r="F470" s="58" t="n"/>
      <c r="G470" s="56" t="n"/>
      <c r="H470" s="58" t="n"/>
      <c r="I470" s="56" t="n"/>
      <c r="J470" s="56" t="n"/>
    </row>
    <row r="471" ht="15" customHeight="1">
      <c r="A471" s="56" t="n"/>
      <c r="B471" s="58" t="n"/>
      <c r="C471" s="56">
        <f>IF(B471="","",IFERROR(VLOOKUP(B471,'04 TANIMLAR'!$A$2:$C$9,2,FALSE()),""))</f>
        <v/>
      </c>
      <c r="D471" s="58" t="n"/>
      <c r="E471" s="56">
        <f>IF(B471="","",IFERROR(VLOOKUP(B471,'04 TANIMLAR'!$A$2:$C$9,3,FALSE()),""))</f>
        <v/>
      </c>
      <c r="F471" s="58" t="n"/>
      <c r="G471" s="56" t="n"/>
      <c r="H471" s="58" t="n"/>
      <c r="I471" s="56" t="n"/>
      <c r="J471" s="56" t="n"/>
    </row>
    <row r="472" ht="15" customHeight="1">
      <c r="A472" s="56" t="n"/>
      <c r="B472" s="58" t="n"/>
      <c r="C472" s="56">
        <f>IF(B472="","",IFERROR(VLOOKUP(B472,'04 TANIMLAR'!$A$2:$C$9,2,FALSE()),""))</f>
        <v/>
      </c>
      <c r="D472" s="58" t="n"/>
      <c r="E472" s="56">
        <f>IF(B472="","",IFERROR(VLOOKUP(B472,'04 TANIMLAR'!$A$2:$C$9,3,FALSE()),""))</f>
        <v/>
      </c>
      <c r="F472" s="58" t="n"/>
      <c r="G472" s="56" t="n"/>
      <c r="H472" s="58" t="n"/>
      <c r="I472" s="56" t="n"/>
      <c r="J472" s="56" t="n"/>
    </row>
    <row r="473" ht="15" customHeight="1">
      <c r="A473" s="56" t="n"/>
      <c r="B473" s="58" t="n"/>
      <c r="C473" s="56">
        <f>IF(B473="","",IFERROR(VLOOKUP(B473,'04 TANIMLAR'!$A$2:$C$9,2,FALSE()),""))</f>
        <v/>
      </c>
      <c r="D473" s="58" t="n"/>
      <c r="E473" s="56">
        <f>IF(B473="","",IFERROR(VLOOKUP(B473,'04 TANIMLAR'!$A$2:$C$9,3,FALSE()),""))</f>
        <v/>
      </c>
      <c r="F473" s="58" t="n"/>
      <c r="G473" s="56" t="n"/>
      <c r="H473" s="58" t="n"/>
      <c r="I473" s="56" t="n"/>
      <c r="J473" s="56" t="n"/>
    </row>
    <row r="474" ht="15" customHeight="1">
      <c r="A474" s="56" t="n"/>
      <c r="B474" s="58" t="n"/>
      <c r="C474" s="56">
        <f>IF(B474="","",IFERROR(VLOOKUP(B474,'04 TANIMLAR'!$A$2:$C$9,2,FALSE()),""))</f>
        <v/>
      </c>
      <c r="D474" s="58" t="n"/>
      <c r="E474" s="56">
        <f>IF(B474="","",IFERROR(VLOOKUP(B474,'04 TANIMLAR'!$A$2:$C$9,3,FALSE()),""))</f>
        <v/>
      </c>
      <c r="F474" s="58" t="n"/>
      <c r="G474" s="56" t="n"/>
      <c r="H474" s="58" t="n"/>
      <c r="I474" s="56" t="n"/>
      <c r="J474" s="56" t="n"/>
    </row>
    <row r="475" ht="15" customHeight="1">
      <c r="A475" s="56" t="n"/>
      <c r="B475" s="58" t="n"/>
      <c r="C475" s="56">
        <f>IF(B475="","",IFERROR(VLOOKUP(B475,'04 TANIMLAR'!$A$2:$C$9,2,FALSE()),""))</f>
        <v/>
      </c>
      <c r="D475" s="58" t="n"/>
      <c r="E475" s="56">
        <f>IF(B475="","",IFERROR(VLOOKUP(B475,'04 TANIMLAR'!$A$2:$C$9,3,FALSE()),""))</f>
        <v/>
      </c>
      <c r="F475" s="58" t="n"/>
      <c r="G475" s="56" t="n"/>
      <c r="H475" s="58" t="n"/>
      <c r="I475" s="56" t="n"/>
      <c r="J475" s="56" t="n"/>
    </row>
    <row r="476" ht="15" customHeight="1">
      <c r="A476" s="56" t="n"/>
      <c r="B476" s="58" t="n"/>
      <c r="C476" s="56">
        <f>IF(B476="","",IFERROR(VLOOKUP(B476,'04 TANIMLAR'!$A$2:$C$9,2,FALSE()),""))</f>
        <v/>
      </c>
      <c r="D476" s="58" t="n"/>
      <c r="E476" s="56">
        <f>IF(B476="","",IFERROR(VLOOKUP(B476,'04 TANIMLAR'!$A$2:$C$9,3,FALSE()),""))</f>
        <v/>
      </c>
      <c r="F476" s="58" t="n"/>
      <c r="G476" s="56" t="n"/>
      <c r="H476" s="58" t="n"/>
      <c r="I476" s="56" t="n"/>
      <c r="J476" s="56" t="n"/>
    </row>
    <row r="477" ht="15" customHeight="1">
      <c r="A477" s="56" t="n"/>
      <c r="B477" s="58" t="n"/>
      <c r="C477" s="56">
        <f>IF(B477="","",IFERROR(VLOOKUP(B477,'04 TANIMLAR'!$A$2:$C$9,2,FALSE()),""))</f>
        <v/>
      </c>
      <c r="D477" s="58" t="n"/>
      <c r="E477" s="56">
        <f>IF(B477="","",IFERROR(VLOOKUP(B477,'04 TANIMLAR'!$A$2:$C$9,3,FALSE()),""))</f>
        <v/>
      </c>
      <c r="F477" s="58" t="n"/>
      <c r="G477" s="56" t="n"/>
      <c r="H477" s="58" t="n"/>
      <c r="I477" s="56" t="n"/>
      <c r="J477" s="56" t="n"/>
    </row>
    <row r="478" ht="15" customHeight="1">
      <c r="A478" s="56" t="n"/>
      <c r="B478" s="58" t="n"/>
      <c r="C478" s="56">
        <f>IF(B478="","",IFERROR(VLOOKUP(B478,'04 TANIMLAR'!$A$2:$C$9,2,FALSE()),""))</f>
        <v/>
      </c>
      <c r="D478" s="58" t="n"/>
      <c r="E478" s="56">
        <f>IF(B478="","",IFERROR(VLOOKUP(B478,'04 TANIMLAR'!$A$2:$C$9,3,FALSE()),""))</f>
        <v/>
      </c>
      <c r="F478" s="58" t="n"/>
      <c r="G478" s="56" t="n"/>
      <c r="H478" s="58" t="n"/>
      <c r="I478" s="56" t="n"/>
      <c r="J478" s="56" t="n"/>
    </row>
    <row r="479" ht="15" customHeight="1">
      <c r="A479" s="56" t="n"/>
      <c r="B479" s="58" t="n"/>
      <c r="C479" s="56">
        <f>IF(B479="","",IFERROR(VLOOKUP(B479,'04 TANIMLAR'!$A$2:$C$9,2,FALSE()),""))</f>
        <v/>
      </c>
      <c r="D479" s="58" t="n"/>
      <c r="E479" s="56">
        <f>IF(B479="","",IFERROR(VLOOKUP(B479,'04 TANIMLAR'!$A$2:$C$9,3,FALSE()),""))</f>
        <v/>
      </c>
      <c r="F479" s="58" t="n"/>
      <c r="G479" s="56" t="n"/>
      <c r="H479" s="58" t="n"/>
      <c r="I479" s="56" t="n"/>
      <c r="J479" s="56" t="n"/>
    </row>
    <row r="480" ht="15" customHeight="1">
      <c r="A480" s="56" t="n"/>
      <c r="B480" s="58" t="n"/>
      <c r="C480" s="56">
        <f>IF(B480="","",IFERROR(VLOOKUP(B480,'04 TANIMLAR'!$A$2:$C$9,2,FALSE()),""))</f>
        <v/>
      </c>
      <c r="D480" s="58" t="n"/>
      <c r="E480" s="56">
        <f>IF(B480="","",IFERROR(VLOOKUP(B480,'04 TANIMLAR'!$A$2:$C$9,3,FALSE()),""))</f>
        <v/>
      </c>
      <c r="F480" s="58" t="n"/>
      <c r="G480" s="56" t="n"/>
      <c r="H480" s="58" t="n"/>
      <c r="I480" s="56" t="n"/>
      <c r="J480" s="56" t="n"/>
    </row>
    <row r="481" ht="15" customHeight="1">
      <c r="A481" s="56" t="n"/>
      <c r="B481" s="58" t="n"/>
      <c r="C481" s="56">
        <f>IF(B481="","",IFERROR(VLOOKUP(B481,'04 TANIMLAR'!$A$2:$C$9,2,FALSE()),""))</f>
        <v/>
      </c>
      <c r="D481" s="58" t="n"/>
      <c r="E481" s="56">
        <f>IF(B481="","",IFERROR(VLOOKUP(B481,'04 TANIMLAR'!$A$2:$C$9,3,FALSE()),""))</f>
        <v/>
      </c>
      <c r="F481" s="58" t="n"/>
      <c r="G481" s="56" t="n"/>
      <c r="H481" s="58" t="n"/>
      <c r="I481" s="56" t="n"/>
      <c r="J481" s="56" t="n"/>
    </row>
    <row r="482" ht="15" customHeight="1">
      <c r="A482" s="56" t="n"/>
      <c r="B482" s="58" t="n"/>
      <c r="C482" s="56">
        <f>IF(B482="","",IFERROR(VLOOKUP(B482,'04 TANIMLAR'!$A$2:$C$9,2,FALSE()),""))</f>
        <v/>
      </c>
      <c r="D482" s="58" t="n"/>
      <c r="E482" s="56">
        <f>IF(B482="","",IFERROR(VLOOKUP(B482,'04 TANIMLAR'!$A$2:$C$9,3,FALSE()),""))</f>
        <v/>
      </c>
      <c r="F482" s="58" t="n"/>
      <c r="G482" s="56" t="n"/>
      <c r="H482" s="58" t="n"/>
      <c r="I482" s="56" t="n"/>
      <c r="J482" s="56" t="n"/>
    </row>
    <row r="483" ht="15" customHeight="1">
      <c r="A483" s="56" t="n"/>
      <c r="B483" s="58" t="n"/>
      <c r="C483" s="56">
        <f>IF(B483="","",IFERROR(VLOOKUP(B483,'04 TANIMLAR'!$A$2:$C$9,2,FALSE()),""))</f>
        <v/>
      </c>
      <c r="D483" s="58" t="n"/>
      <c r="E483" s="56">
        <f>IF(B483="","",IFERROR(VLOOKUP(B483,'04 TANIMLAR'!$A$2:$C$9,3,FALSE()),""))</f>
        <v/>
      </c>
      <c r="F483" s="58" t="n"/>
      <c r="G483" s="56" t="n"/>
      <c r="H483" s="58" t="n"/>
      <c r="I483" s="56" t="n"/>
      <c r="J483" s="56" t="n"/>
    </row>
    <row r="484" ht="15" customHeight="1">
      <c r="A484" s="56" t="n"/>
      <c r="B484" s="58" t="n"/>
      <c r="C484" s="56">
        <f>IF(B484="","",IFERROR(VLOOKUP(B484,'04 TANIMLAR'!$A$2:$C$9,2,FALSE()),""))</f>
        <v/>
      </c>
      <c r="D484" s="58" t="n"/>
      <c r="E484" s="56">
        <f>IF(B484="","",IFERROR(VLOOKUP(B484,'04 TANIMLAR'!$A$2:$C$9,3,FALSE()),""))</f>
        <v/>
      </c>
      <c r="F484" s="58" t="n"/>
      <c r="G484" s="56" t="n"/>
      <c r="H484" s="58" t="n"/>
      <c r="I484" s="56" t="n"/>
      <c r="J484" s="56" t="n"/>
    </row>
    <row r="485" ht="15" customHeight="1">
      <c r="A485" s="56" t="n"/>
      <c r="B485" s="58" t="n"/>
      <c r="C485" s="56">
        <f>IF(B485="","",IFERROR(VLOOKUP(B485,'04 TANIMLAR'!$A$2:$C$9,2,FALSE()),""))</f>
        <v/>
      </c>
      <c r="D485" s="58" t="n"/>
      <c r="E485" s="56">
        <f>IF(B485="","",IFERROR(VLOOKUP(B485,'04 TANIMLAR'!$A$2:$C$9,3,FALSE()),""))</f>
        <v/>
      </c>
      <c r="F485" s="58" t="n"/>
      <c r="G485" s="56" t="n"/>
      <c r="H485" s="58" t="n"/>
      <c r="I485" s="56" t="n"/>
      <c r="J485" s="56" t="n"/>
    </row>
    <row r="486" ht="15" customHeight="1">
      <c r="A486" s="56" t="n"/>
      <c r="B486" s="58" t="n"/>
      <c r="C486" s="56">
        <f>IF(B486="","",IFERROR(VLOOKUP(B486,'04 TANIMLAR'!$A$2:$C$9,2,FALSE()),""))</f>
        <v/>
      </c>
      <c r="D486" s="58" t="n"/>
      <c r="E486" s="56">
        <f>IF(B486="","",IFERROR(VLOOKUP(B486,'04 TANIMLAR'!$A$2:$C$9,3,FALSE()),""))</f>
        <v/>
      </c>
      <c r="F486" s="58" t="n"/>
      <c r="G486" s="56" t="n"/>
      <c r="H486" s="58" t="n"/>
      <c r="I486" s="56" t="n"/>
      <c r="J486" s="56" t="n"/>
    </row>
    <row r="487" ht="15" customHeight="1">
      <c r="A487" s="56" t="n"/>
      <c r="B487" s="58" t="n"/>
      <c r="C487" s="56">
        <f>IF(B487="","",IFERROR(VLOOKUP(B487,'04 TANIMLAR'!$A$2:$C$9,2,FALSE()),""))</f>
        <v/>
      </c>
      <c r="D487" s="58" t="n"/>
      <c r="E487" s="56">
        <f>IF(B487="","",IFERROR(VLOOKUP(B487,'04 TANIMLAR'!$A$2:$C$9,3,FALSE()),""))</f>
        <v/>
      </c>
      <c r="F487" s="58" t="n"/>
      <c r="G487" s="56" t="n"/>
      <c r="H487" s="58" t="n"/>
      <c r="I487" s="56" t="n"/>
      <c r="J487" s="56" t="n"/>
    </row>
    <row r="488" ht="15" customHeight="1">
      <c r="A488" s="56" t="n"/>
      <c r="B488" s="58" t="n"/>
      <c r="C488" s="56">
        <f>IF(B488="","",IFERROR(VLOOKUP(B488,'04 TANIMLAR'!$A$2:$C$9,2,FALSE()),""))</f>
        <v/>
      </c>
      <c r="D488" s="58" t="n"/>
      <c r="E488" s="56">
        <f>IF(B488="","",IFERROR(VLOOKUP(B488,'04 TANIMLAR'!$A$2:$C$9,3,FALSE()),""))</f>
        <v/>
      </c>
      <c r="F488" s="58" t="n"/>
      <c r="G488" s="56" t="n"/>
      <c r="H488" s="58" t="n"/>
      <c r="I488" s="56" t="n"/>
      <c r="J488" s="56" t="n"/>
    </row>
    <row r="489" ht="15" customHeight="1">
      <c r="A489" s="56" t="n"/>
      <c r="B489" s="58" t="n"/>
      <c r="C489" s="56">
        <f>IF(B489="","",IFERROR(VLOOKUP(B489,'04 TANIMLAR'!$A$2:$C$9,2,FALSE()),""))</f>
        <v/>
      </c>
      <c r="D489" s="58" t="n"/>
      <c r="E489" s="56">
        <f>IF(B489="","",IFERROR(VLOOKUP(B489,'04 TANIMLAR'!$A$2:$C$9,3,FALSE()),""))</f>
        <v/>
      </c>
      <c r="F489" s="58" t="n"/>
      <c r="G489" s="56" t="n"/>
      <c r="H489" s="58" t="n"/>
      <c r="I489" s="56" t="n"/>
      <c r="J489" s="56" t="n"/>
    </row>
    <row r="490" ht="15" customHeight="1">
      <c r="A490" s="56" t="n"/>
      <c r="B490" s="58" t="n"/>
      <c r="C490" s="56">
        <f>IF(B490="","",IFERROR(VLOOKUP(B490,'04 TANIMLAR'!$A$2:$C$9,2,FALSE()),""))</f>
        <v/>
      </c>
      <c r="D490" s="58" t="n"/>
      <c r="E490" s="56">
        <f>IF(B490="","",IFERROR(VLOOKUP(B490,'04 TANIMLAR'!$A$2:$C$9,3,FALSE()),""))</f>
        <v/>
      </c>
      <c r="F490" s="58" t="n"/>
      <c r="G490" s="56" t="n"/>
      <c r="H490" s="58" t="n"/>
      <c r="I490" s="56" t="n"/>
      <c r="J490" s="56" t="n"/>
    </row>
    <row r="491" ht="15" customHeight="1">
      <c r="A491" s="56" t="n"/>
      <c r="B491" s="58" t="n"/>
      <c r="C491" s="56">
        <f>IF(B491="","",IFERROR(VLOOKUP(B491,'04 TANIMLAR'!$A$2:$C$9,2,FALSE()),""))</f>
        <v/>
      </c>
      <c r="D491" s="58" t="n"/>
      <c r="E491" s="56">
        <f>IF(B491="","",IFERROR(VLOOKUP(B491,'04 TANIMLAR'!$A$2:$C$9,3,FALSE()),""))</f>
        <v/>
      </c>
      <c r="F491" s="58" t="n"/>
      <c r="G491" s="56" t="n"/>
      <c r="H491" s="58" t="n"/>
      <c r="I491" s="56" t="n"/>
      <c r="J491" s="56" t="n"/>
    </row>
    <row r="492" ht="15" customHeight="1">
      <c r="A492" s="56" t="n"/>
      <c r="B492" s="58" t="n"/>
      <c r="C492" s="56">
        <f>IF(B492="","",IFERROR(VLOOKUP(B492,'04 TANIMLAR'!$A$2:$C$9,2,FALSE()),""))</f>
        <v/>
      </c>
      <c r="D492" s="58" t="n"/>
      <c r="E492" s="56">
        <f>IF(B492="","",IFERROR(VLOOKUP(B492,'04 TANIMLAR'!$A$2:$C$9,3,FALSE()),""))</f>
        <v/>
      </c>
      <c r="F492" s="58" t="n"/>
      <c r="G492" s="56" t="n"/>
      <c r="H492" s="58" t="n"/>
      <c r="I492" s="56" t="n"/>
      <c r="J492" s="56" t="n"/>
    </row>
    <row r="493" ht="15" customHeight="1">
      <c r="A493" s="56" t="n"/>
      <c r="B493" s="58" t="n"/>
      <c r="C493" s="56">
        <f>IF(B493="","",IFERROR(VLOOKUP(B493,'04 TANIMLAR'!$A$2:$C$9,2,FALSE()),""))</f>
        <v/>
      </c>
      <c r="D493" s="58" t="n"/>
      <c r="E493" s="56">
        <f>IF(B493="","",IFERROR(VLOOKUP(B493,'04 TANIMLAR'!$A$2:$C$9,3,FALSE()),""))</f>
        <v/>
      </c>
      <c r="F493" s="58" t="n"/>
      <c r="G493" s="56" t="n"/>
      <c r="H493" s="58" t="n"/>
      <c r="I493" s="56" t="n"/>
      <c r="J493" s="56" t="n"/>
    </row>
    <row r="494" ht="15" customHeight="1">
      <c r="A494" s="56" t="n"/>
      <c r="B494" s="58" t="n"/>
      <c r="C494" s="56">
        <f>IF(B494="","",IFERROR(VLOOKUP(B494,'04 TANIMLAR'!$A$2:$C$9,2,FALSE()),""))</f>
        <v/>
      </c>
      <c r="D494" s="58" t="n"/>
      <c r="E494" s="56">
        <f>IF(B494="","",IFERROR(VLOOKUP(B494,'04 TANIMLAR'!$A$2:$C$9,3,FALSE()),""))</f>
        <v/>
      </c>
      <c r="F494" s="58" t="n"/>
      <c r="G494" s="56" t="n"/>
      <c r="H494" s="58" t="n"/>
      <c r="I494" s="56" t="n"/>
      <c r="J494" s="56" t="n"/>
    </row>
    <row r="495" ht="15" customHeight="1">
      <c r="A495" s="56" t="n"/>
      <c r="B495" s="58" t="n"/>
      <c r="C495" s="56">
        <f>IF(B495="","",IFERROR(VLOOKUP(B495,'04 TANIMLAR'!$A$2:$C$9,2,FALSE()),""))</f>
        <v/>
      </c>
      <c r="D495" s="58" t="n"/>
      <c r="E495" s="56">
        <f>IF(B495="","",IFERROR(VLOOKUP(B495,'04 TANIMLAR'!$A$2:$C$9,3,FALSE()),""))</f>
        <v/>
      </c>
      <c r="F495" s="58" t="n"/>
      <c r="G495" s="56" t="n"/>
      <c r="H495" s="58" t="n"/>
      <c r="I495" s="56" t="n"/>
      <c r="J495" s="56" t="n"/>
    </row>
    <row r="496" ht="15" customHeight="1">
      <c r="A496" s="56" t="n"/>
      <c r="B496" s="58" t="n"/>
      <c r="C496" s="56">
        <f>IF(B496="","",IFERROR(VLOOKUP(B496,'04 TANIMLAR'!$A$2:$C$9,2,FALSE()),""))</f>
        <v/>
      </c>
      <c r="D496" s="58" t="n"/>
      <c r="E496" s="56">
        <f>IF(B496="","",IFERROR(VLOOKUP(B496,'04 TANIMLAR'!$A$2:$C$9,3,FALSE()),""))</f>
        <v/>
      </c>
      <c r="F496" s="58" t="n"/>
      <c r="G496" s="56" t="n"/>
      <c r="H496" s="58" t="n"/>
      <c r="I496" s="56" t="n"/>
      <c r="J496" s="56" t="n"/>
    </row>
    <row r="497" ht="15" customHeight="1">
      <c r="A497" s="56" t="n"/>
      <c r="B497" s="58" t="n"/>
      <c r="C497" s="56">
        <f>IF(B497="","",IFERROR(VLOOKUP(B497,'04 TANIMLAR'!$A$2:$C$9,2,FALSE()),""))</f>
        <v/>
      </c>
      <c r="D497" s="58" t="n"/>
      <c r="E497" s="56">
        <f>IF(B497="","",IFERROR(VLOOKUP(B497,'04 TANIMLAR'!$A$2:$C$9,3,FALSE()),""))</f>
        <v/>
      </c>
      <c r="F497" s="58" t="n"/>
      <c r="G497" s="56" t="n"/>
      <c r="H497" s="58" t="n"/>
      <c r="I497" s="56" t="n"/>
      <c r="J497" s="56" t="n"/>
    </row>
    <row r="498" ht="15" customHeight="1">
      <c r="A498" s="56" t="n"/>
      <c r="B498" s="58" t="n"/>
      <c r="C498" s="56">
        <f>IF(B498="","",IFERROR(VLOOKUP(B498,'04 TANIMLAR'!$A$2:$C$9,2,FALSE()),""))</f>
        <v/>
      </c>
      <c r="D498" s="58" t="n"/>
      <c r="E498" s="56">
        <f>IF(B498="","",IFERROR(VLOOKUP(B498,'04 TANIMLAR'!$A$2:$C$9,3,FALSE()),""))</f>
        <v/>
      </c>
      <c r="F498" s="58" t="n"/>
      <c r="G498" s="56" t="n"/>
      <c r="H498" s="58" t="n"/>
      <c r="I498" s="56" t="n"/>
      <c r="J498" s="56" t="n"/>
    </row>
    <row r="499" ht="15" customHeight="1">
      <c r="A499" s="56" t="n"/>
      <c r="B499" s="58" t="n"/>
      <c r="C499" s="56">
        <f>IF(B499="","",IFERROR(VLOOKUP(B499,'04 TANIMLAR'!$A$2:$C$9,2,FALSE()),""))</f>
        <v/>
      </c>
      <c r="D499" s="58" t="n"/>
      <c r="E499" s="56">
        <f>IF(B499="","",IFERROR(VLOOKUP(B499,'04 TANIMLAR'!$A$2:$C$9,3,FALSE()),""))</f>
        <v/>
      </c>
      <c r="F499" s="58" t="n"/>
      <c r="G499" s="56" t="n"/>
      <c r="H499" s="58" t="n"/>
      <c r="I499" s="56" t="n"/>
      <c r="J499" s="56" t="n"/>
    </row>
    <row r="500" ht="15" customHeight="1">
      <c r="A500" s="56" t="n"/>
      <c r="B500" s="58" t="n"/>
      <c r="C500" s="56">
        <f>IF(B500="","",IFERROR(VLOOKUP(B500,'04 TANIMLAR'!$A$2:$C$9,2,FALSE()),""))</f>
        <v/>
      </c>
      <c r="D500" s="58" t="n"/>
      <c r="E500" s="56">
        <f>IF(B500="","",IFERROR(VLOOKUP(B500,'04 TANIMLAR'!$A$2:$C$9,3,FALSE()),""))</f>
        <v/>
      </c>
      <c r="F500" s="58" t="n"/>
      <c r="G500" s="56" t="n"/>
      <c r="H500" s="58" t="n"/>
      <c r="I500" s="56" t="n"/>
      <c r="J500" s="56" t="n"/>
    </row>
    <row r="501" ht="15" customHeight="1">
      <c r="A501" s="56" t="n"/>
      <c r="B501" s="58" t="n"/>
      <c r="C501" s="56">
        <f>IF(B501="","",IFERROR(VLOOKUP(B501,'04 TANIMLAR'!$A$2:$C$9,2,FALSE()),""))</f>
        <v/>
      </c>
      <c r="D501" s="58" t="n"/>
      <c r="E501" s="56">
        <f>IF(B501="","",IFERROR(VLOOKUP(B501,'04 TANIMLAR'!$A$2:$C$9,3,FALSE()),""))</f>
        <v/>
      </c>
      <c r="F501" s="58" t="n"/>
      <c r="G501" s="56" t="n"/>
      <c r="H501" s="58" t="n"/>
      <c r="I501" s="56" t="n"/>
      <c r="J501" s="56" t="n"/>
    </row>
  </sheetData>
  <autoFilter ref="A1:J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J25" sqref="J25"/>
    </sheetView>
  </sheetViews>
  <sheetFormatPr baseColWidth="10" defaultColWidth="8.83203125" defaultRowHeight="15"/>
  <cols>
    <col width="16" customWidth="1" style="39" min="1" max="1"/>
    <col width="10" customWidth="1" style="49" min="2" max="2"/>
    <col width="12" customWidth="1" style="54" min="3" max="3"/>
    <col width="14" customWidth="1" style="49" min="4" max="4"/>
    <col width="18" customWidth="1" style="54" min="5" max="5"/>
    <col width="16" customWidth="1" style="49" min="6" max="6"/>
    <col width="18" customWidth="1" style="54" min="7" max="7"/>
    <col width="45" customWidth="1" style="49" min="8" max="8"/>
    <col width="18" customWidth="1" min="22" max="22"/>
  </cols>
  <sheetData>
    <row r="1" ht="31.5" customHeight="1" thickBot="1">
      <c r="A1" s="34" t="inlineStr">
        <is>
          <t>Üretim Tarihi</t>
        </is>
      </c>
      <c r="B1" s="45" t="inlineStr">
        <is>
          <t>Parti</t>
        </is>
      </c>
      <c r="C1" s="50" t="inlineStr">
        <is>
          <t>kg/Parti</t>
        </is>
      </c>
      <c r="D1" s="45" t="inlineStr">
        <is>
          <t>Teorik kg</t>
        </is>
      </c>
      <c r="E1" s="50" t="inlineStr">
        <is>
          <t>Üretim Firesi kg</t>
        </is>
      </c>
      <c r="F1" s="45" t="inlineStr">
        <is>
          <t>Net Mamul kg</t>
        </is>
      </c>
      <c r="G1" s="50" t="inlineStr">
        <is>
          <t>Üretim Lot No</t>
        </is>
      </c>
      <c r="H1" s="45" t="inlineStr">
        <is>
          <t>Açıklama</t>
        </is>
      </c>
      <c r="V1" s="19" t="inlineStr">
        <is>
          <t>⌂ ANA SAYFA</t>
        </is>
      </c>
    </row>
    <row r="2" ht="15" customHeight="1">
      <c r="A2" s="35" t="inlineStr">
        <is>
          <t>14.01.2026</t>
        </is>
      </c>
      <c r="B2" s="46" t="n">
        <v>12</v>
      </c>
      <c r="C2" s="51" t="n">
        <v>20.412</v>
      </c>
      <c r="D2" s="46" t="n">
        <v>244.944</v>
      </c>
      <c r="E2" s="51" t="n">
        <v>4</v>
      </c>
      <c r="F2" s="46" t="n">
        <v>240.944</v>
      </c>
      <c r="G2" s="51" t="inlineStr">
        <is>
          <t>270114</t>
        </is>
      </c>
      <c r="H2" s="46" t="inlineStr">
        <is>
          <t>Ocak geçmiş kayıt; FR-GV-001 ile doğrulandı</t>
        </is>
      </c>
      <c r="V2" s="20" t="inlineStr">
        <is>
          <t>→ ÜRETİM</t>
        </is>
      </c>
    </row>
    <row r="3" ht="15" customHeight="1">
      <c r="A3" s="36" t="inlineStr">
        <is>
          <t>17.02.2026</t>
        </is>
      </c>
      <c r="B3" s="47" t="n">
        <v>11</v>
      </c>
      <c r="C3" s="52" t="n">
        <v>20.412</v>
      </c>
      <c r="D3" s="47" t="n">
        <v>224.532</v>
      </c>
      <c r="E3" s="52" t="n">
        <v>3</v>
      </c>
      <c r="F3" s="47" t="n">
        <v>221.532</v>
      </c>
      <c r="G3" s="52" t="inlineStr">
        <is>
          <t>270217</t>
        </is>
      </c>
      <c r="H3" s="47" t="inlineStr">
        <is>
          <t>Şubat geçmiş kayıt; FR-GV-001 ile doğrulandı</t>
        </is>
      </c>
      <c r="V3" s="21" t="inlineStr">
        <is>
          <t>→ LOT BAĞI</t>
        </is>
      </c>
    </row>
    <row r="4" ht="15" customHeight="1">
      <c r="A4" s="36" t="inlineStr">
        <is>
          <t>15.04.2026</t>
        </is>
      </c>
      <c r="B4" s="47" t="n">
        <v>13</v>
      </c>
      <c r="C4" s="52" t="n">
        <v>20.412</v>
      </c>
      <c r="D4" s="47" t="n">
        <v>265.356</v>
      </c>
      <c r="E4" s="52" t="n">
        <v>5</v>
      </c>
      <c r="F4" s="47" t="n">
        <v>260</v>
      </c>
      <c r="G4" s="52" t="inlineStr">
        <is>
          <t>270415</t>
        </is>
      </c>
      <c r="H4" s="47" t="inlineStr">
        <is>
          <t>Kullanıcı beyanı: 260 kg ürün</t>
        </is>
      </c>
    </row>
    <row r="5" ht="15" customHeight="1">
      <c r="A5" s="36" t="inlineStr">
        <is>
          <t>27.04.2026</t>
        </is>
      </c>
      <c r="B5" s="47" t="n">
        <v>13</v>
      </c>
      <c r="C5" s="52" t="n">
        <v>20.412</v>
      </c>
      <c r="D5" s="47" t="n">
        <v>265.356</v>
      </c>
      <c r="E5" s="52" t="n">
        <v>4</v>
      </c>
      <c r="F5" s="47" t="n">
        <v>261.356</v>
      </c>
      <c r="G5" s="52" t="inlineStr">
        <is>
          <t>270427</t>
        </is>
      </c>
      <c r="H5" s="47" t="inlineStr">
        <is>
          <t>Hesaplanan net</t>
        </is>
      </c>
    </row>
    <row r="6" ht="15" customHeight="1">
      <c r="A6" s="36" t="inlineStr">
        <is>
          <t>04.05.2026</t>
        </is>
      </c>
      <c r="B6" s="47" t="n">
        <v>13</v>
      </c>
      <c r="C6" s="52" t="n">
        <v>20.412</v>
      </c>
      <c r="D6" s="47" t="n">
        <v>265.356</v>
      </c>
      <c r="E6" s="52" t="n">
        <v>6</v>
      </c>
      <c r="F6" s="47" t="n">
        <v>259.356</v>
      </c>
      <c r="G6" s="52" t="inlineStr">
        <is>
          <t>270504</t>
        </is>
      </c>
      <c r="H6" s="47" t="inlineStr">
        <is>
          <t>Hesaplanan net</t>
        </is>
      </c>
    </row>
    <row r="7" ht="15" customHeight="1">
      <c r="A7" s="36" t="inlineStr">
        <is>
          <t>05.05.2026</t>
        </is>
      </c>
      <c r="B7" s="47" t="n">
        <v>13</v>
      </c>
      <c r="C7" s="52" t="n">
        <v>20.412</v>
      </c>
      <c r="D7" s="47" t="n">
        <v>265.356</v>
      </c>
      <c r="E7" s="52" t="n">
        <v>5</v>
      </c>
      <c r="F7" s="47" t="n">
        <v>260.356</v>
      </c>
      <c r="G7" s="52" t="inlineStr">
        <is>
          <t>270505</t>
        </is>
      </c>
      <c r="H7" s="47" t="inlineStr">
        <is>
          <t>Hesaplanan net</t>
        </is>
      </c>
    </row>
    <row r="8" ht="15" customHeight="1">
      <c r="A8" s="36" t="inlineStr">
        <is>
          <t>07.05.2026</t>
        </is>
      </c>
      <c r="B8" s="47" t="n">
        <v>13</v>
      </c>
      <c r="C8" s="52" t="n">
        <v>20.412</v>
      </c>
      <c r="D8" s="47" t="n">
        <v>265.356</v>
      </c>
      <c r="E8" s="52" t="n">
        <v>3</v>
      </c>
      <c r="F8" s="47" t="n">
        <v>262.356</v>
      </c>
      <c r="G8" s="52" t="inlineStr">
        <is>
          <t>270507</t>
        </is>
      </c>
      <c r="H8" s="47" t="inlineStr">
        <is>
          <t>Hesaplanan net</t>
        </is>
      </c>
    </row>
    <row r="9" ht="15" customHeight="1">
      <c r="A9" s="36" t="inlineStr">
        <is>
          <t>12.05.2026</t>
        </is>
      </c>
      <c r="B9" s="47" t="n">
        <v>13</v>
      </c>
      <c r="C9" s="52" t="n">
        <v>20.412</v>
      </c>
      <c r="D9" s="47" t="n">
        <v>265.356</v>
      </c>
      <c r="E9" s="52" t="n">
        <v>5</v>
      </c>
      <c r="F9" s="47" t="n">
        <v>260.356</v>
      </c>
      <c r="G9" s="52" t="inlineStr">
        <is>
          <t>270512</t>
        </is>
      </c>
      <c r="H9" s="47" t="inlineStr">
        <is>
          <t>Hesaplanan net</t>
        </is>
      </c>
    </row>
    <row r="10" ht="28.25" customHeight="1">
      <c r="A10" s="36" t="inlineStr">
        <is>
          <t>15.06.2026</t>
        </is>
      </c>
      <c r="B10" s="47" t="n">
        <v>6</v>
      </c>
      <c r="C10" s="52" t="n">
        <v>20.412</v>
      </c>
      <c r="D10" s="47" t="n">
        <v>122.472</v>
      </c>
      <c r="E10" s="52" t="n">
        <v>40</v>
      </c>
      <c r="F10" s="47" t="n">
        <v>82.47199999999999</v>
      </c>
      <c r="G10" s="52" t="inlineStr">
        <is>
          <t>270615</t>
        </is>
      </c>
      <c r="H10" s="47" t="inlineStr">
        <is>
          <t>Sıcak hava / tepsileme makinesi ürünü tepsiye alamadı</t>
        </is>
      </c>
    </row>
    <row r="11" ht="15" customHeight="1">
      <c r="A11" s="37" t="inlineStr">
        <is>
          <t>17.06.2026</t>
        </is>
      </c>
      <c r="B11" s="47" t="n">
        <v>7</v>
      </c>
      <c r="C11" s="52" t="n">
        <v>20.412</v>
      </c>
      <c r="D11" s="47" t="n">
        <v>142.884</v>
      </c>
      <c r="E11" s="52" t="n">
        <v>15</v>
      </c>
      <c r="F11" s="47" t="n">
        <v>127.884</v>
      </c>
      <c r="G11" s="52" t="inlineStr">
        <is>
          <t>270617</t>
        </is>
      </c>
      <c r="H11" s="47" t="inlineStr">
        <is>
          <t>Sıcak hava / tepsileme kaynaklı fire</t>
        </is>
      </c>
    </row>
    <row r="12" ht="15" customHeight="1">
      <c r="A12" s="37" t="inlineStr">
        <is>
          <t>23.06.2026</t>
        </is>
      </c>
      <c r="B12" s="47" t="n">
        <v>7</v>
      </c>
      <c r="C12" s="52" t="n">
        <v>20.412</v>
      </c>
      <c r="D12" s="47" t="n">
        <v>142.884</v>
      </c>
      <c r="E12" s="52" t="n">
        <v>10</v>
      </c>
      <c r="F12" s="47" t="n">
        <v>132.884</v>
      </c>
      <c r="G12" s="52" t="inlineStr">
        <is>
          <t>270623</t>
        </is>
      </c>
      <c r="H12" s="47" t="inlineStr">
        <is>
          <t>Sıcak hava / tepsileme kaynaklı fire</t>
        </is>
      </c>
    </row>
    <row r="13" ht="15" customHeight="1">
      <c r="A13" s="38" t="n"/>
      <c r="B13" s="48" t="n"/>
      <c r="C13" s="53">
        <f>IF(B13="","",20.412)</f>
        <v/>
      </c>
      <c r="D13" s="48">
        <f>IF(B13="","",B13*C13)</f>
        <v/>
      </c>
      <c r="E13" s="53" t="n"/>
      <c r="F13" s="48">
        <f>IF(D13="","",D13-IF(E13="",0,E13))</f>
        <v/>
      </c>
      <c r="G13" s="53">
        <f>IF(A13="","","27"&amp;MID(A13,4,2)&amp;LEFT(A13,2))</f>
        <v/>
      </c>
      <c r="H13" s="48" t="n"/>
    </row>
    <row r="14" ht="15" customHeight="1">
      <c r="A14" s="38" t="n"/>
      <c r="B14" s="48" t="n"/>
      <c r="C14" s="53">
        <f>IF(B14="","",20.412)</f>
        <v/>
      </c>
      <c r="D14" s="48">
        <f>IF(B14="","",B14*C14)</f>
        <v/>
      </c>
      <c r="E14" s="53" t="n"/>
      <c r="F14" s="48">
        <f>IF(D14="","",D14-IF(E14="",0,E14))</f>
        <v/>
      </c>
      <c r="G14" s="53">
        <f>IF(A14="","","27"&amp;MID(A14,4,2)&amp;LEFT(A14,2))</f>
        <v/>
      </c>
      <c r="H14" s="48" t="n"/>
    </row>
    <row r="15" ht="15" customHeight="1">
      <c r="A15" s="38" t="n"/>
      <c r="B15" s="48" t="n"/>
      <c r="C15" s="53">
        <f>IF(B15="","",20.412)</f>
        <v/>
      </c>
      <c r="D15" s="48">
        <f>IF(B15="","",B15*C15)</f>
        <v/>
      </c>
      <c r="E15" s="53" t="n"/>
      <c r="F15" s="48">
        <f>IF(D15="","",D15-IF(E15="",0,E15))</f>
        <v/>
      </c>
      <c r="G15" s="53">
        <f>IF(A15="","","27"&amp;MID(A15,4,2)&amp;LEFT(A15,2))</f>
        <v/>
      </c>
      <c r="H15" s="48" t="n"/>
    </row>
    <row r="16" ht="15" customHeight="1">
      <c r="A16" s="38" t="n"/>
      <c r="B16" s="48" t="n"/>
      <c r="C16" s="53">
        <f>IF(B16="","",20.412)</f>
        <v/>
      </c>
      <c r="D16" s="48">
        <f>IF(B16="","",B16*C16)</f>
        <v/>
      </c>
      <c r="E16" s="53" t="n"/>
      <c r="F16" s="48">
        <f>IF(D16="","",D16-IF(E16="",0,E16))</f>
        <v/>
      </c>
      <c r="G16" s="53">
        <f>IF(A16="","","27"&amp;MID(A16,4,2)&amp;LEFT(A16,2))</f>
        <v/>
      </c>
      <c r="H16" s="48" t="n"/>
    </row>
    <row r="17" ht="15" customHeight="1">
      <c r="A17" s="38" t="n"/>
      <c r="B17" s="48" t="n"/>
      <c r="C17" s="53">
        <f>IF(B17="","",20.412)</f>
        <v/>
      </c>
      <c r="D17" s="48">
        <f>IF(B17="","",B17*C17)</f>
        <v/>
      </c>
      <c r="E17" s="53" t="n"/>
      <c r="F17" s="48">
        <f>IF(D17="","",D17-IF(E17="",0,E17))</f>
        <v/>
      </c>
      <c r="G17" s="53">
        <f>IF(A17="","","27"&amp;MID(A17,4,2)&amp;LEFT(A17,2))</f>
        <v/>
      </c>
      <c r="H17" s="48" t="n"/>
    </row>
    <row r="18" ht="15" customHeight="1">
      <c r="A18" s="38" t="n"/>
      <c r="B18" s="48" t="n"/>
      <c r="C18" s="53">
        <f>IF(B18="","",20.412)</f>
        <v/>
      </c>
      <c r="D18" s="48">
        <f>IF(B18="","",B18*C18)</f>
        <v/>
      </c>
      <c r="E18" s="53" t="n"/>
      <c r="F18" s="48">
        <f>IF(D18="","",D18-IF(E18="",0,E18))</f>
        <v/>
      </c>
      <c r="G18" s="53">
        <f>IF(A18="","","27"&amp;MID(A18,4,2)&amp;LEFT(A18,2))</f>
        <v/>
      </c>
      <c r="H18" s="48" t="n"/>
    </row>
    <row r="19" ht="15" customHeight="1">
      <c r="A19" s="38" t="n"/>
      <c r="B19" s="48" t="n"/>
      <c r="C19" s="53">
        <f>IF(B19="","",20.412)</f>
        <v/>
      </c>
      <c r="D19" s="48">
        <f>IF(B19="","",B19*C19)</f>
        <v/>
      </c>
      <c r="E19" s="53" t="n"/>
      <c r="F19" s="48">
        <f>IF(D19="","",D19-IF(E19="",0,E19))</f>
        <v/>
      </c>
      <c r="G19" s="53">
        <f>IF(A19="","","27"&amp;MID(A19,4,2)&amp;LEFT(A19,2))</f>
        <v/>
      </c>
      <c r="H19" s="48" t="n"/>
    </row>
    <row r="20" ht="15" customHeight="1">
      <c r="A20" s="38" t="n"/>
      <c r="B20" s="48" t="n"/>
      <c r="C20" s="53">
        <f>IF(B20="","",20.412)</f>
        <v/>
      </c>
      <c r="D20" s="48">
        <f>IF(B20="","",B20*C20)</f>
        <v/>
      </c>
      <c r="E20" s="53" t="n"/>
      <c r="F20" s="48">
        <f>IF(D20="","",D20-IF(E20="",0,E20))</f>
        <v/>
      </c>
      <c r="G20" s="53">
        <f>IF(A20="","","27"&amp;MID(A20,4,2)&amp;LEFT(A20,2))</f>
        <v/>
      </c>
      <c r="H20" s="48" t="n"/>
    </row>
    <row r="21" ht="15" customHeight="1">
      <c r="A21" s="38" t="n"/>
      <c r="B21" s="48" t="n"/>
      <c r="C21" s="53">
        <f>IF(B21="","",20.412)</f>
        <v/>
      </c>
      <c r="D21" s="48">
        <f>IF(B21="","",B21*C21)</f>
        <v/>
      </c>
      <c r="E21" s="53" t="n"/>
      <c r="F21" s="48">
        <f>IF(D21="","",D21-IF(E21="",0,E21))</f>
        <v/>
      </c>
      <c r="G21" s="53">
        <f>IF(A21="","","27"&amp;MID(A21,4,2)&amp;LEFT(A21,2))</f>
        <v/>
      </c>
      <c r="H21" s="48" t="n"/>
    </row>
    <row r="22" ht="15" customHeight="1">
      <c r="A22" s="38" t="n"/>
      <c r="B22" s="48" t="n"/>
      <c r="C22" s="53">
        <f>IF(B22="","",20.412)</f>
        <v/>
      </c>
      <c r="D22" s="48">
        <f>IF(B22="","",B22*C22)</f>
        <v/>
      </c>
      <c r="E22" s="53" t="n"/>
      <c r="F22" s="48">
        <f>IF(D22="","",D22-IF(E22="",0,E22))</f>
        <v/>
      </c>
      <c r="G22" s="53">
        <f>IF(A22="","","27"&amp;MID(A22,4,2)&amp;LEFT(A22,2))</f>
        <v/>
      </c>
      <c r="H22" s="48" t="n"/>
    </row>
    <row r="23" ht="15" customHeight="1">
      <c r="A23" s="38" t="n"/>
      <c r="B23" s="48" t="n"/>
      <c r="C23" s="53">
        <f>IF(B23="","",20.412)</f>
        <v/>
      </c>
      <c r="D23" s="48">
        <f>IF(B23="","",B23*C23)</f>
        <v/>
      </c>
      <c r="E23" s="53" t="n"/>
      <c r="F23" s="48">
        <f>IF(D23="","",D23-IF(E23="",0,E23))</f>
        <v/>
      </c>
      <c r="G23" s="53">
        <f>IF(A23="","","27"&amp;MID(A23,4,2)&amp;LEFT(A23,2))</f>
        <v/>
      </c>
      <c r="H23" s="48" t="n"/>
    </row>
    <row r="24" ht="15" customHeight="1">
      <c r="A24" s="38" t="n"/>
      <c r="B24" s="48" t="n"/>
      <c r="C24" s="53">
        <f>IF(B24="","",20.412)</f>
        <v/>
      </c>
      <c r="D24" s="48">
        <f>IF(B24="","",B24*C24)</f>
        <v/>
      </c>
      <c r="E24" s="53" t="n"/>
      <c r="F24" s="48">
        <f>IF(D24="","",D24-IF(E24="",0,E24))</f>
        <v/>
      </c>
      <c r="G24" s="53">
        <f>IF(A24="","","27"&amp;MID(A24,4,2)&amp;LEFT(A24,2))</f>
        <v/>
      </c>
      <c r="H24" s="48" t="n"/>
    </row>
    <row r="25" ht="15" customHeight="1">
      <c r="A25" s="38" t="n"/>
      <c r="B25" s="48" t="n"/>
      <c r="C25" s="53">
        <f>IF(B25="","",20.412)</f>
        <v/>
      </c>
      <c r="D25" s="48">
        <f>IF(B25="","",B25*C25)</f>
        <v/>
      </c>
      <c r="E25" s="53" t="n"/>
      <c r="F25" s="48">
        <f>IF(D25="","",D25-IF(E25="",0,E25))</f>
        <v/>
      </c>
      <c r="G25" s="53">
        <f>IF(A25="","","27"&amp;MID(A25,4,2)&amp;LEFT(A25,2))</f>
        <v/>
      </c>
      <c r="H25" s="48" t="n"/>
    </row>
    <row r="26" ht="15" customHeight="1">
      <c r="A26" s="38" t="n"/>
      <c r="B26" s="48" t="n"/>
      <c r="C26" s="53">
        <f>IF(B26="","",20.412)</f>
        <v/>
      </c>
      <c r="D26" s="48">
        <f>IF(B26="","",B26*C26)</f>
        <v/>
      </c>
      <c r="E26" s="53" t="n"/>
      <c r="F26" s="48">
        <f>IF(D26="","",D26-IF(E26="",0,E26))</f>
        <v/>
      </c>
      <c r="G26" s="53">
        <f>IF(A26="","","27"&amp;MID(A26,4,2)&amp;LEFT(A26,2))</f>
        <v/>
      </c>
      <c r="H26" s="48" t="n"/>
    </row>
    <row r="27" ht="15" customHeight="1">
      <c r="A27" s="38" t="n"/>
      <c r="B27" s="48" t="n"/>
      <c r="C27" s="53">
        <f>IF(B27="","",20.412)</f>
        <v/>
      </c>
      <c r="D27" s="48">
        <f>IF(B27="","",B27*C27)</f>
        <v/>
      </c>
      <c r="E27" s="53" t="n"/>
      <c r="F27" s="48">
        <f>IF(D27="","",D27-IF(E27="",0,E27))</f>
        <v/>
      </c>
      <c r="G27" s="53">
        <f>IF(A27="","","27"&amp;MID(A27,4,2)&amp;LEFT(A27,2))</f>
        <v/>
      </c>
      <c r="H27" s="48" t="n"/>
    </row>
    <row r="28" ht="15" customHeight="1">
      <c r="A28" s="38" t="n"/>
      <c r="B28" s="48" t="n"/>
      <c r="C28" s="53">
        <f>IF(B28="","",20.412)</f>
        <v/>
      </c>
      <c r="D28" s="48">
        <f>IF(B28="","",B28*C28)</f>
        <v/>
      </c>
      <c r="E28" s="53" t="n"/>
      <c r="F28" s="48">
        <f>IF(D28="","",D28-IF(E28="",0,E28))</f>
        <v/>
      </c>
      <c r="G28" s="53">
        <f>IF(A28="","","27"&amp;MID(A28,4,2)&amp;LEFT(A28,2))</f>
        <v/>
      </c>
      <c r="H28" s="48" t="n"/>
    </row>
    <row r="29" ht="15" customHeight="1">
      <c r="A29" s="38" t="n"/>
      <c r="B29" s="48" t="n"/>
      <c r="C29" s="53">
        <f>IF(B29="","",20.412)</f>
        <v/>
      </c>
      <c r="D29" s="48">
        <f>IF(B29="","",B29*C29)</f>
        <v/>
      </c>
      <c r="E29" s="53" t="n"/>
      <c r="F29" s="48">
        <f>IF(D29="","",D29-IF(E29="",0,E29))</f>
        <v/>
      </c>
      <c r="G29" s="53">
        <f>IF(A29="","","27"&amp;MID(A29,4,2)&amp;LEFT(A29,2))</f>
        <v/>
      </c>
      <c r="H29" s="48" t="n"/>
    </row>
    <row r="30" ht="15" customHeight="1">
      <c r="A30" s="38" t="n"/>
      <c r="B30" s="48" t="n"/>
      <c r="C30" s="53">
        <f>IF(B30="","",20.412)</f>
        <v/>
      </c>
      <c r="D30" s="48">
        <f>IF(B30="","",B30*C30)</f>
        <v/>
      </c>
      <c r="E30" s="53" t="n"/>
      <c r="F30" s="48">
        <f>IF(D30="","",D30-IF(E30="",0,E30))</f>
        <v/>
      </c>
      <c r="G30" s="53">
        <f>IF(A30="","","27"&amp;MID(A30,4,2)&amp;LEFT(A30,2))</f>
        <v/>
      </c>
      <c r="H30" s="48" t="n"/>
    </row>
    <row r="31" ht="15" customHeight="1">
      <c r="A31" s="38" t="n"/>
      <c r="B31" s="48" t="n"/>
      <c r="C31" s="53">
        <f>IF(B31="","",20.412)</f>
        <v/>
      </c>
      <c r="D31" s="48">
        <f>IF(B31="","",B31*C31)</f>
        <v/>
      </c>
      <c r="E31" s="53" t="n"/>
      <c r="F31" s="48">
        <f>IF(D31="","",D31-IF(E31="",0,E31))</f>
        <v/>
      </c>
      <c r="G31" s="53">
        <f>IF(A31="","","27"&amp;MID(A31,4,2)&amp;LEFT(A31,2))</f>
        <v/>
      </c>
      <c r="H31" s="48" t="n"/>
    </row>
    <row r="32" ht="15" customHeight="1">
      <c r="A32" s="38" t="n"/>
      <c r="B32" s="48" t="n"/>
      <c r="C32" s="53">
        <f>IF(B32="","",20.412)</f>
        <v/>
      </c>
      <c r="D32" s="48">
        <f>IF(B32="","",B32*C32)</f>
        <v/>
      </c>
      <c r="E32" s="53" t="n"/>
      <c r="F32" s="48">
        <f>IF(D32="","",D32-IF(E32="",0,E32))</f>
        <v/>
      </c>
      <c r="G32" s="53">
        <f>IF(A32="","","27"&amp;MID(A32,4,2)&amp;LEFT(A32,2))</f>
        <v/>
      </c>
      <c r="H32" s="48" t="n"/>
    </row>
    <row r="33" ht="15" customHeight="1">
      <c r="A33" s="38" t="n"/>
      <c r="B33" s="48" t="n"/>
      <c r="C33" s="53">
        <f>IF(B33="","",20.412)</f>
        <v/>
      </c>
      <c r="D33" s="48">
        <f>IF(B33="","",B33*C33)</f>
        <v/>
      </c>
      <c r="E33" s="53" t="n"/>
      <c r="F33" s="48">
        <f>IF(D33="","",D33-IF(E33="",0,E33))</f>
        <v/>
      </c>
      <c r="G33" s="53">
        <f>IF(A33="","","27"&amp;MID(A33,4,2)&amp;LEFT(A33,2))</f>
        <v/>
      </c>
      <c r="H33" s="48" t="n"/>
    </row>
    <row r="34" ht="15" customHeight="1">
      <c r="A34" s="38" t="n"/>
      <c r="B34" s="48" t="n"/>
      <c r="C34" s="53">
        <f>IF(B34="","",20.412)</f>
        <v/>
      </c>
      <c r="D34" s="48">
        <f>IF(B34="","",B34*C34)</f>
        <v/>
      </c>
      <c r="E34" s="53" t="n"/>
      <c r="F34" s="48">
        <f>IF(D34="","",D34-IF(E34="",0,E34))</f>
        <v/>
      </c>
      <c r="G34" s="53">
        <f>IF(A34="","","27"&amp;MID(A34,4,2)&amp;LEFT(A34,2))</f>
        <v/>
      </c>
      <c r="H34" s="48" t="n"/>
    </row>
    <row r="35" ht="15" customHeight="1">
      <c r="A35" s="38" t="n"/>
      <c r="B35" s="48" t="n"/>
      <c r="C35" s="53">
        <f>IF(B35="","",20.412)</f>
        <v/>
      </c>
      <c r="D35" s="48">
        <f>IF(B35="","",B35*C35)</f>
        <v/>
      </c>
      <c r="E35" s="53" t="n"/>
      <c r="F35" s="48">
        <f>IF(D35="","",D35-IF(E35="",0,E35))</f>
        <v/>
      </c>
      <c r="G35" s="53">
        <f>IF(A35="","","27"&amp;MID(A35,4,2)&amp;LEFT(A35,2))</f>
        <v/>
      </c>
      <c r="H35" s="48" t="n"/>
    </row>
    <row r="36" ht="15" customHeight="1">
      <c r="A36" s="38" t="n"/>
      <c r="B36" s="48" t="n"/>
      <c r="C36" s="53">
        <f>IF(B36="","",20.412)</f>
        <v/>
      </c>
      <c r="D36" s="48">
        <f>IF(B36="","",B36*C36)</f>
        <v/>
      </c>
      <c r="E36" s="53" t="n"/>
      <c r="F36" s="48">
        <f>IF(D36="","",D36-IF(E36="",0,E36))</f>
        <v/>
      </c>
      <c r="G36" s="53">
        <f>IF(A36="","","27"&amp;MID(A36,4,2)&amp;LEFT(A36,2))</f>
        <v/>
      </c>
      <c r="H36" s="48" t="n"/>
    </row>
    <row r="37" ht="15" customHeight="1">
      <c r="A37" s="38" t="n"/>
      <c r="B37" s="48" t="n"/>
      <c r="C37" s="53">
        <f>IF(B37="","",20.412)</f>
        <v/>
      </c>
      <c r="D37" s="48">
        <f>IF(B37="","",B37*C37)</f>
        <v/>
      </c>
      <c r="E37" s="53" t="n"/>
      <c r="F37" s="48">
        <f>IF(D37="","",D37-IF(E37="",0,E37))</f>
        <v/>
      </c>
      <c r="G37" s="53">
        <f>IF(A37="","","27"&amp;MID(A37,4,2)&amp;LEFT(A37,2))</f>
        <v/>
      </c>
      <c r="H37" s="48" t="n"/>
    </row>
    <row r="38" ht="15" customHeight="1">
      <c r="A38" s="38" t="n"/>
      <c r="B38" s="48" t="n"/>
      <c r="C38" s="53">
        <f>IF(B38="","",20.412)</f>
        <v/>
      </c>
      <c r="D38" s="48">
        <f>IF(B38="","",B38*C38)</f>
        <v/>
      </c>
      <c r="E38" s="53" t="n"/>
      <c r="F38" s="48">
        <f>IF(D38="","",D38-IF(E38="",0,E38))</f>
        <v/>
      </c>
      <c r="G38" s="53">
        <f>IF(A38="","","27"&amp;MID(A38,4,2)&amp;LEFT(A38,2))</f>
        <v/>
      </c>
      <c r="H38" s="48" t="n"/>
    </row>
    <row r="39" ht="15" customHeight="1">
      <c r="A39" s="38" t="n"/>
      <c r="B39" s="48" t="n"/>
      <c r="C39" s="53">
        <f>IF(B39="","",20.412)</f>
        <v/>
      </c>
      <c r="D39" s="48">
        <f>IF(B39="","",B39*C39)</f>
        <v/>
      </c>
      <c r="E39" s="53" t="n"/>
      <c r="F39" s="48">
        <f>IF(D39="","",D39-IF(E39="",0,E39))</f>
        <v/>
      </c>
      <c r="G39" s="53">
        <f>IF(A39="","","27"&amp;MID(A39,4,2)&amp;LEFT(A39,2))</f>
        <v/>
      </c>
      <c r="H39" s="48" t="n"/>
    </row>
    <row r="40" ht="15" customHeight="1">
      <c r="A40" s="38" t="n"/>
      <c r="B40" s="48" t="n"/>
      <c r="C40" s="53">
        <f>IF(B40="","",20.412)</f>
        <v/>
      </c>
      <c r="D40" s="48">
        <f>IF(B40="","",B40*C40)</f>
        <v/>
      </c>
      <c r="E40" s="53" t="n"/>
      <c r="F40" s="48">
        <f>IF(D40="","",D40-IF(E40="",0,E40))</f>
        <v/>
      </c>
      <c r="G40" s="53">
        <f>IF(A40="","","27"&amp;MID(A40,4,2)&amp;LEFT(A40,2))</f>
        <v/>
      </c>
      <c r="H40" s="48" t="n"/>
    </row>
    <row r="41" ht="15" customHeight="1">
      <c r="A41" s="38" t="n"/>
      <c r="B41" s="48" t="n"/>
      <c r="C41" s="53">
        <f>IF(B41="","",20.412)</f>
        <v/>
      </c>
      <c r="D41" s="48">
        <f>IF(B41="","",B41*C41)</f>
        <v/>
      </c>
      <c r="E41" s="53" t="n"/>
      <c r="F41" s="48">
        <f>IF(D41="","",D41-IF(E41="",0,E41))</f>
        <v/>
      </c>
      <c r="G41" s="53">
        <f>IF(A41="","","27"&amp;MID(A41,4,2)&amp;LEFT(A41,2))</f>
        <v/>
      </c>
      <c r="H41" s="48" t="n"/>
    </row>
    <row r="42" ht="15" customHeight="1">
      <c r="A42" s="38" t="n"/>
      <c r="B42" s="48" t="n"/>
      <c r="C42" s="53">
        <f>IF(B42="","",20.412)</f>
        <v/>
      </c>
      <c r="D42" s="48">
        <f>IF(B42="","",B42*C42)</f>
        <v/>
      </c>
      <c r="E42" s="53" t="n"/>
      <c r="F42" s="48">
        <f>IF(D42="","",D42-IF(E42="",0,E42))</f>
        <v/>
      </c>
      <c r="G42" s="53">
        <f>IF(A42="","","27"&amp;MID(A42,4,2)&amp;LEFT(A42,2))</f>
        <v/>
      </c>
      <c r="H42" s="48" t="n"/>
    </row>
    <row r="43" ht="15" customHeight="1">
      <c r="A43" s="38" t="n"/>
      <c r="B43" s="48" t="n"/>
      <c r="C43" s="53">
        <f>IF(B43="","",20.412)</f>
        <v/>
      </c>
      <c r="D43" s="48">
        <f>IF(B43="","",B43*C43)</f>
        <v/>
      </c>
      <c r="E43" s="53" t="n"/>
      <c r="F43" s="48">
        <f>IF(D43="","",D43-IF(E43="",0,E43))</f>
        <v/>
      </c>
      <c r="G43" s="53">
        <f>IF(A43="","","27"&amp;MID(A43,4,2)&amp;LEFT(A43,2))</f>
        <v/>
      </c>
      <c r="H43" s="48" t="n"/>
    </row>
    <row r="44" ht="15" customHeight="1">
      <c r="A44" s="38" t="n"/>
      <c r="B44" s="48" t="n"/>
      <c r="C44" s="53">
        <f>IF(B44="","",20.412)</f>
        <v/>
      </c>
      <c r="D44" s="48">
        <f>IF(B44="","",B44*C44)</f>
        <v/>
      </c>
      <c r="E44" s="53" t="n"/>
      <c r="F44" s="48">
        <f>IF(D44="","",D44-IF(E44="",0,E44))</f>
        <v/>
      </c>
      <c r="G44" s="53">
        <f>IF(A44="","","27"&amp;MID(A44,4,2)&amp;LEFT(A44,2))</f>
        <v/>
      </c>
      <c r="H44" s="48" t="n"/>
    </row>
    <row r="45" ht="15" customHeight="1">
      <c r="A45" s="38" t="n"/>
      <c r="B45" s="48" t="n"/>
      <c r="C45" s="53">
        <f>IF(B45="","",20.412)</f>
        <v/>
      </c>
      <c r="D45" s="48">
        <f>IF(B45="","",B45*C45)</f>
        <v/>
      </c>
      <c r="E45" s="53" t="n"/>
      <c r="F45" s="48">
        <f>IF(D45="","",D45-IF(E45="",0,E45))</f>
        <v/>
      </c>
      <c r="G45" s="53">
        <f>IF(A45="","","27"&amp;MID(A45,4,2)&amp;LEFT(A45,2))</f>
        <v/>
      </c>
      <c r="H45" s="48" t="n"/>
    </row>
    <row r="46" ht="15" customHeight="1">
      <c r="A46" s="38" t="n"/>
      <c r="B46" s="48" t="n"/>
      <c r="C46" s="53">
        <f>IF(B46="","",20.412)</f>
        <v/>
      </c>
      <c r="D46" s="48">
        <f>IF(B46="","",B46*C46)</f>
        <v/>
      </c>
      <c r="E46" s="53" t="n"/>
      <c r="F46" s="48">
        <f>IF(D46="","",D46-IF(E46="",0,E46))</f>
        <v/>
      </c>
      <c r="G46" s="53">
        <f>IF(A46="","","27"&amp;MID(A46,4,2)&amp;LEFT(A46,2))</f>
        <v/>
      </c>
      <c r="H46" s="48" t="n"/>
    </row>
    <row r="47" ht="15" customHeight="1">
      <c r="A47" s="38" t="n"/>
      <c r="B47" s="48" t="n"/>
      <c r="C47" s="53">
        <f>IF(B47="","",20.412)</f>
        <v/>
      </c>
      <c r="D47" s="48">
        <f>IF(B47="","",B47*C47)</f>
        <v/>
      </c>
      <c r="E47" s="53" t="n"/>
      <c r="F47" s="48">
        <f>IF(D47="","",D47-IF(E47="",0,E47))</f>
        <v/>
      </c>
      <c r="G47" s="53">
        <f>IF(A47="","","27"&amp;MID(A47,4,2)&amp;LEFT(A47,2))</f>
        <v/>
      </c>
      <c r="H47" s="48" t="n"/>
    </row>
    <row r="48" ht="15" customHeight="1">
      <c r="A48" s="38" t="n"/>
      <c r="B48" s="48" t="n"/>
      <c r="C48" s="53">
        <f>IF(B48="","",20.412)</f>
        <v/>
      </c>
      <c r="D48" s="48">
        <f>IF(B48="","",B48*C48)</f>
        <v/>
      </c>
      <c r="E48" s="53" t="n"/>
      <c r="F48" s="48">
        <f>IF(D48="","",D48-IF(E48="",0,E48))</f>
        <v/>
      </c>
      <c r="G48" s="53">
        <f>IF(A48="","","27"&amp;MID(A48,4,2)&amp;LEFT(A48,2))</f>
        <v/>
      </c>
      <c r="H48" s="48" t="n"/>
    </row>
    <row r="49" ht="15" customHeight="1">
      <c r="A49" s="38" t="n"/>
      <c r="B49" s="48" t="n"/>
      <c r="C49" s="53">
        <f>IF(B49="","",20.412)</f>
        <v/>
      </c>
      <c r="D49" s="48">
        <f>IF(B49="","",B49*C49)</f>
        <v/>
      </c>
      <c r="E49" s="53" t="n"/>
      <c r="F49" s="48">
        <f>IF(D49="","",D49-IF(E49="",0,E49))</f>
        <v/>
      </c>
      <c r="G49" s="53">
        <f>IF(A49="","","27"&amp;MID(A49,4,2)&amp;LEFT(A49,2))</f>
        <v/>
      </c>
      <c r="H49" s="48" t="n"/>
    </row>
    <row r="50" ht="15" customHeight="1">
      <c r="A50" s="38" t="n"/>
      <c r="B50" s="48" t="n"/>
      <c r="C50" s="53">
        <f>IF(B50="","",20.412)</f>
        <v/>
      </c>
      <c r="D50" s="48">
        <f>IF(B50="","",B50*C50)</f>
        <v/>
      </c>
      <c r="E50" s="53" t="n"/>
      <c r="F50" s="48">
        <f>IF(D50="","",D50-IF(E50="",0,E50))</f>
        <v/>
      </c>
      <c r="G50" s="53">
        <f>IF(A50="","","27"&amp;MID(A50,4,2)&amp;LEFT(A50,2))</f>
        <v/>
      </c>
      <c r="H50" s="48" t="n"/>
    </row>
    <row r="51" ht="15" customHeight="1">
      <c r="A51" s="38" t="n"/>
      <c r="B51" s="48" t="n"/>
      <c r="C51" s="53">
        <f>IF(B51="","",20.412)</f>
        <v/>
      </c>
      <c r="D51" s="48">
        <f>IF(B51="","",B51*C51)</f>
        <v/>
      </c>
      <c r="E51" s="53" t="n"/>
      <c r="F51" s="48">
        <f>IF(D51="","",D51-IF(E51="",0,E51))</f>
        <v/>
      </c>
      <c r="G51" s="53">
        <f>IF(A51="","","27"&amp;MID(A51,4,2)&amp;LEFT(A51,2))</f>
        <v/>
      </c>
      <c r="H51" s="48" t="n"/>
    </row>
    <row r="52" ht="15" customHeight="1">
      <c r="A52" s="38" t="n"/>
      <c r="B52" s="48" t="n"/>
      <c r="C52" s="53">
        <f>IF(B52="","",20.412)</f>
        <v/>
      </c>
      <c r="D52" s="48">
        <f>IF(B52="","",B52*C52)</f>
        <v/>
      </c>
      <c r="E52" s="53" t="n"/>
      <c r="F52" s="48">
        <f>IF(D52="","",D52-IF(E52="",0,E52))</f>
        <v/>
      </c>
      <c r="G52" s="53">
        <f>IF(A52="","","27"&amp;MID(A52,4,2)&amp;LEFT(A52,2))</f>
        <v/>
      </c>
      <c r="H52" s="48" t="n"/>
    </row>
    <row r="53" ht="15" customHeight="1">
      <c r="A53" s="38" t="n"/>
      <c r="B53" s="48" t="n"/>
      <c r="C53" s="53">
        <f>IF(B53="","",20.412)</f>
        <v/>
      </c>
      <c r="D53" s="48">
        <f>IF(B53="","",B53*C53)</f>
        <v/>
      </c>
      <c r="E53" s="53" t="n"/>
      <c r="F53" s="48">
        <f>IF(D53="","",D53-IF(E53="",0,E53))</f>
        <v/>
      </c>
      <c r="G53" s="53">
        <f>IF(A53="","","27"&amp;MID(A53,4,2)&amp;LEFT(A53,2))</f>
        <v/>
      </c>
      <c r="H53" s="48" t="n"/>
    </row>
    <row r="54" ht="15" customHeight="1">
      <c r="A54" s="38" t="n"/>
      <c r="B54" s="48" t="n"/>
      <c r="C54" s="53">
        <f>IF(B54="","",20.412)</f>
        <v/>
      </c>
      <c r="D54" s="48">
        <f>IF(B54="","",B54*C54)</f>
        <v/>
      </c>
      <c r="E54" s="53" t="n"/>
      <c r="F54" s="48">
        <f>IF(D54="","",D54-IF(E54="",0,E54))</f>
        <v/>
      </c>
      <c r="G54" s="53">
        <f>IF(A54="","","27"&amp;MID(A54,4,2)&amp;LEFT(A54,2))</f>
        <v/>
      </c>
      <c r="H54" s="48" t="n"/>
    </row>
    <row r="55" ht="15" customHeight="1">
      <c r="A55" s="38" t="n"/>
      <c r="B55" s="48" t="n"/>
      <c r="C55" s="53">
        <f>IF(B55="","",20.412)</f>
        <v/>
      </c>
      <c r="D55" s="48">
        <f>IF(B55="","",B55*C55)</f>
        <v/>
      </c>
      <c r="E55" s="53" t="n"/>
      <c r="F55" s="48">
        <f>IF(D55="","",D55-IF(E55="",0,E55))</f>
        <v/>
      </c>
      <c r="G55" s="53">
        <f>IF(A55="","","27"&amp;MID(A55,4,2)&amp;LEFT(A55,2))</f>
        <v/>
      </c>
      <c r="H55" s="48" t="n"/>
    </row>
    <row r="56" ht="15" customHeight="1">
      <c r="A56" s="38" t="n"/>
      <c r="B56" s="48" t="n"/>
      <c r="C56" s="53">
        <f>IF(B56="","",20.412)</f>
        <v/>
      </c>
      <c r="D56" s="48">
        <f>IF(B56="","",B56*C56)</f>
        <v/>
      </c>
      <c r="E56" s="53" t="n"/>
      <c r="F56" s="48">
        <f>IF(D56="","",D56-IF(E56="",0,E56))</f>
        <v/>
      </c>
      <c r="G56" s="53">
        <f>IF(A56="","","27"&amp;MID(A56,4,2)&amp;LEFT(A56,2))</f>
        <v/>
      </c>
      <c r="H56" s="48" t="n"/>
    </row>
    <row r="57" ht="15" customHeight="1">
      <c r="A57" s="38" t="n"/>
      <c r="B57" s="48" t="n"/>
      <c r="C57" s="53">
        <f>IF(B57="","",20.412)</f>
        <v/>
      </c>
      <c r="D57" s="48">
        <f>IF(B57="","",B57*C57)</f>
        <v/>
      </c>
      <c r="E57" s="53" t="n"/>
      <c r="F57" s="48">
        <f>IF(D57="","",D57-IF(E57="",0,E57))</f>
        <v/>
      </c>
      <c r="G57" s="53">
        <f>IF(A57="","","27"&amp;MID(A57,4,2)&amp;LEFT(A57,2))</f>
        <v/>
      </c>
      <c r="H57" s="48" t="n"/>
    </row>
    <row r="58" ht="15" customHeight="1">
      <c r="A58" s="38" t="n"/>
      <c r="B58" s="48" t="n"/>
      <c r="C58" s="53">
        <f>IF(B58="","",20.412)</f>
        <v/>
      </c>
      <c r="D58" s="48">
        <f>IF(B58="","",B58*C58)</f>
        <v/>
      </c>
      <c r="E58" s="53" t="n"/>
      <c r="F58" s="48">
        <f>IF(D58="","",D58-IF(E58="",0,E58))</f>
        <v/>
      </c>
      <c r="G58" s="53">
        <f>IF(A58="","","27"&amp;MID(A58,4,2)&amp;LEFT(A58,2))</f>
        <v/>
      </c>
      <c r="H58" s="48" t="n"/>
    </row>
    <row r="59" ht="15" customHeight="1">
      <c r="A59" s="38" t="n"/>
      <c r="B59" s="48" t="n"/>
      <c r="C59" s="53">
        <f>IF(B59="","",20.412)</f>
        <v/>
      </c>
      <c r="D59" s="48">
        <f>IF(B59="","",B59*C59)</f>
        <v/>
      </c>
      <c r="E59" s="53" t="n"/>
      <c r="F59" s="48">
        <f>IF(D59="","",D59-IF(E59="",0,E59))</f>
        <v/>
      </c>
      <c r="G59" s="53">
        <f>IF(A59="","","27"&amp;MID(A59,4,2)&amp;LEFT(A59,2))</f>
        <v/>
      </c>
      <c r="H59" s="48" t="n"/>
    </row>
    <row r="60" ht="15" customHeight="1">
      <c r="A60" s="38" t="n"/>
      <c r="B60" s="48" t="n"/>
      <c r="C60" s="53">
        <f>IF(B60="","",20.412)</f>
        <v/>
      </c>
      <c r="D60" s="48">
        <f>IF(B60="","",B60*C60)</f>
        <v/>
      </c>
      <c r="E60" s="53" t="n"/>
      <c r="F60" s="48">
        <f>IF(D60="","",D60-IF(E60="",0,E60))</f>
        <v/>
      </c>
      <c r="G60" s="53">
        <f>IF(A60="","","27"&amp;MID(A60,4,2)&amp;LEFT(A60,2))</f>
        <v/>
      </c>
      <c r="H60" s="48" t="n"/>
    </row>
    <row r="61" ht="15" customHeight="1">
      <c r="A61" s="38" t="n"/>
      <c r="B61" s="48" t="n"/>
      <c r="C61" s="53">
        <f>IF(B61="","",20.412)</f>
        <v/>
      </c>
      <c r="D61" s="48">
        <f>IF(B61="","",B61*C61)</f>
        <v/>
      </c>
      <c r="E61" s="53" t="n"/>
      <c r="F61" s="48">
        <f>IF(D61="","",D61-IF(E61="",0,E61))</f>
        <v/>
      </c>
      <c r="G61" s="53">
        <f>IF(A61="","","27"&amp;MID(A61,4,2)&amp;LEFT(A61,2))</f>
        <v/>
      </c>
      <c r="H61" s="48" t="n"/>
    </row>
    <row r="62" ht="15" customHeight="1">
      <c r="A62" s="38" t="n"/>
      <c r="B62" s="48" t="n"/>
      <c r="C62" s="53">
        <f>IF(B62="","",20.412)</f>
        <v/>
      </c>
      <c r="D62" s="48">
        <f>IF(B62="","",B62*C62)</f>
        <v/>
      </c>
      <c r="E62" s="53" t="n"/>
      <c r="F62" s="48">
        <f>IF(D62="","",D62-IF(E62="",0,E62))</f>
        <v/>
      </c>
      <c r="G62" s="53">
        <f>IF(A62="","","27"&amp;MID(A62,4,2)&amp;LEFT(A62,2))</f>
        <v/>
      </c>
      <c r="H62" s="48" t="n"/>
    </row>
    <row r="63" ht="15" customHeight="1">
      <c r="A63" s="38" t="n"/>
      <c r="B63" s="48" t="n"/>
      <c r="C63" s="53">
        <f>IF(B63="","",20.412)</f>
        <v/>
      </c>
      <c r="D63" s="48">
        <f>IF(B63="","",B63*C63)</f>
        <v/>
      </c>
      <c r="E63" s="53" t="n"/>
      <c r="F63" s="48">
        <f>IF(D63="","",D63-IF(E63="",0,E63))</f>
        <v/>
      </c>
      <c r="G63" s="53">
        <f>IF(A63="","","27"&amp;MID(A63,4,2)&amp;LEFT(A63,2))</f>
        <v/>
      </c>
      <c r="H63" s="48" t="n"/>
    </row>
    <row r="64" ht="15" customHeight="1">
      <c r="A64" s="38" t="n"/>
      <c r="B64" s="48" t="n"/>
      <c r="C64" s="53">
        <f>IF(B64="","",20.412)</f>
        <v/>
      </c>
      <c r="D64" s="48">
        <f>IF(B64="","",B64*C64)</f>
        <v/>
      </c>
      <c r="E64" s="53" t="n"/>
      <c r="F64" s="48">
        <f>IF(D64="","",D64-IF(E64="",0,E64))</f>
        <v/>
      </c>
      <c r="G64" s="53">
        <f>IF(A64="","","27"&amp;MID(A64,4,2)&amp;LEFT(A64,2))</f>
        <v/>
      </c>
      <c r="H64" s="48" t="n"/>
    </row>
    <row r="65" ht="15" customHeight="1">
      <c r="A65" s="38" t="n"/>
      <c r="B65" s="48" t="n"/>
      <c r="C65" s="53">
        <f>IF(B65="","",20.412)</f>
        <v/>
      </c>
      <c r="D65" s="48">
        <f>IF(B65="","",B65*C65)</f>
        <v/>
      </c>
      <c r="E65" s="53" t="n"/>
      <c r="F65" s="48">
        <f>IF(D65="","",D65-IF(E65="",0,E65))</f>
        <v/>
      </c>
      <c r="G65" s="53">
        <f>IF(A65="","","27"&amp;MID(A65,4,2)&amp;LEFT(A65,2))</f>
        <v/>
      </c>
      <c r="H65" s="48" t="n"/>
    </row>
    <row r="66" ht="15" customHeight="1">
      <c r="A66" s="38" t="n"/>
      <c r="B66" s="48" t="n"/>
      <c r="C66" s="53">
        <f>IF(B66="","",20.412)</f>
        <v/>
      </c>
      <c r="D66" s="48">
        <f>IF(B66="","",B66*C66)</f>
        <v/>
      </c>
      <c r="E66" s="53" t="n"/>
      <c r="F66" s="48">
        <f>IF(D66="","",D66-IF(E66="",0,E66))</f>
        <v/>
      </c>
      <c r="G66" s="53">
        <f>IF(A66="","","27"&amp;MID(A66,4,2)&amp;LEFT(A66,2))</f>
        <v/>
      </c>
      <c r="H66" s="48" t="n"/>
    </row>
    <row r="67" ht="15" customHeight="1">
      <c r="A67" s="38" t="n"/>
      <c r="B67" s="48" t="n"/>
      <c r="C67" s="53">
        <f>IF(B67="","",20.412)</f>
        <v/>
      </c>
      <c r="D67" s="48">
        <f>IF(B67="","",B67*C67)</f>
        <v/>
      </c>
      <c r="E67" s="53" t="n"/>
      <c r="F67" s="48">
        <f>IF(D67="","",D67-IF(E67="",0,E67))</f>
        <v/>
      </c>
      <c r="G67" s="53">
        <f>IF(A67="","","27"&amp;MID(A67,4,2)&amp;LEFT(A67,2))</f>
        <v/>
      </c>
      <c r="H67" s="48" t="n"/>
    </row>
    <row r="68" ht="15" customHeight="1">
      <c r="A68" s="38" t="n"/>
      <c r="B68" s="48" t="n"/>
      <c r="C68" s="53">
        <f>IF(B68="","",20.412)</f>
        <v/>
      </c>
      <c r="D68" s="48">
        <f>IF(B68="","",B68*C68)</f>
        <v/>
      </c>
      <c r="E68" s="53" t="n"/>
      <c r="F68" s="48">
        <f>IF(D68="","",D68-IF(E68="",0,E68))</f>
        <v/>
      </c>
      <c r="G68" s="53">
        <f>IF(A68="","","27"&amp;MID(A68,4,2)&amp;LEFT(A68,2))</f>
        <v/>
      </c>
      <c r="H68" s="48" t="n"/>
    </row>
    <row r="69" ht="15" customHeight="1">
      <c r="A69" s="38" t="n"/>
      <c r="B69" s="48" t="n"/>
      <c r="C69" s="53">
        <f>IF(B69="","",20.412)</f>
        <v/>
      </c>
      <c r="D69" s="48">
        <f>IF(B69="","",B69*C69)</f>
        <v/>
      </c>
      <c r="E69" s="53" t="n"/>
      <c r="F69" s="48">
        <f>IF(D69="","",D69-IF(E69="",0,E69))</f>
        <v/>
      </c>
      <c r="G69" s="53">
        <f>IF(A69="","","27"&amp;MID(A69,4,2)&amp;LEFT(A69,2))</f>
        <v/>
      </c>
      <c r="H69" s="48" t="n"/>
    </row>
    <row r="70" ht="15" customHeight="1">
      <c r="A70" s="38" t="n"/>
      <c r="B70" s="48" t="n"/>
      <c r="C70" s="53">
        <f>IF(B70="","",20.412)</f>
        <v/>
      </c>
      <c r="D70" s="48">
        <f>IF(B70="","",B70*C70)</f>
        <v/>
      </c>
      <c r="E70" s="53" t="n"/>
      <c r="F70" s="48">
        <f>IF(D70="","",D70-IF(E70="",0,E70))</f>
        <v/>
      </c>
      <c r="G70" s="53">
        <f>IF(A70="","","27"&amp;MID(A70,4,2)&amp;LEFT(A70,2))</f>
        <v/>
      </c>
      <c r="H70" s="48" t="n"/>
    </row>
    <row r="71" ht="15" customHeight="1">
      <c r="A71" s="38" t="n"/>
      <c r="B71" s="48" t="n"/>
      <c r="C71" s="53">
        <f>IF(B71="","",20.412)</f>
        <v/>
      </c>
      <c r="D71" s="48">
        <f>IF(B71="","",B71*C71)</f>
        <v/>
      </c>
      <c r="E71" s="53" t="n"/>
      <c r="F71" s="48">
        <f>IF(D71="","",D71-IF(E71="",0,E71))</f>
        <v/>
      </c>
      <c r="G71" s="53">
        <f>IF(A71="","","27"&amp;MID(A71,4,2)&amp;LEFT(A71,2))</f>
        <v/>
      </c>
      <c r="H71" s="48" t="n"/>
    </row>
    <row r="72" ht="15" customHeight="1">
      <c r="A72" s="38" t="n"/>
      <c r="B72" s="48" t="n"/>
      <c r="C72" s="53">
        <f>IF(B72="","",20.412)</f>
        <v/>
      </c>
      <c r="D72" s="48">
        <f>IF(B72="","",B72*C72)</f>
        <v/>
      </c>
      <c r="E72" s="53" t="n"/>
      <c r="F72" s="48">
        <f>IF(D72="","",D72-IF(E72="",0,E72))</f>
        <v/>
      </c>
      <c r="G72" s="53">
        <f>IF(A72="","","27"&amp;MID(A72,4,2)&amp;LEFT(A72,2))</f>
        <v/>
      </c>
      <c r="H72" s="48" t="n"/>
    </row>
    <row r="73" ht="15" customHeight="1">
      <c r="A73" s="38" t="n"/>
      <c r="B73" s="48" t="n"/>
      <c r="C73" s="53">
        <f>IF(B73="","",20.412)</f>
        <v/>
      </c>
      <c r="D73" s="48">
        <f>IF(B73="","",B73*C73)</f>
        <v/>
      </c>
      <c r="E73" s="53" t="n"/>
      <c r="F73" s="48">
        <f>IF(D73="","",D73-IF(E73="",0,E73))</f>
        <v/>
      </c>
      <c r="G73" s="53">
        <f>IF(A73="","","27"&amp;MID(A73,4,2)&amp;LEFT(A73,2))</f>
        <v/>
      </c>
      <c r="H73" s="48" t="n"/>
    </row>
    <row r="74" ht="15" customHeight="1">
      <c r="A74" s="38" t="n"/>
      <c r="B74" s="48" t="n"/>
      <c r="C74" s="53">
        <f>IF(B74="","",20.412)</f>
        <v/>
      </c>
      <c r="D74" s="48">
        <f>IF(B74="","",B74*C74)</f>
        <v/>
      </c>
      <c r="E74" s="53" t="n"/>
      <c r="F74" s="48">
        <f>IF(D74="","",D74-IF(E74="",0,E74))</f>
        <v/>
      </c>
      <c r="G74" s="53">
        <f>IF(A74="","","27"&amp;MID(A74,4,2)&amp;LEFT(A74,2))</f>
        <v/>
      </c>
      <c r="H74" s="48" t="n"/>
    </row>
    <row r="75" ht="15" customHeight="1">
      <c r="A75" s="38" t="n"/>
      <c r="B75" s="48" t="n"/>
      <c r="C75" s="53">
        <f>IF(B75="","",20.412)</f>
        <v/>
      </c>
      <c r="D75" s="48">
        <f>IF(B75="","",B75*C75)</f>
        <v/>
      </c>
      <c r="E75" s="53" t="n"/>
      <c r="F75" s="48">
        <f>IF(D75="","",D75-IF(E75="",0,E75))</f>
        <v/>
      </c>
      <c r="G75" s="53">
        <f>IF(A75="","","27"&amp;MID(A75,4,2)&amp;LEFT(A75,2))</f>
        <v/>
      </c>
      <c r="H75" s="48" t="n"/>
    </row>
    <row r="76" ht="15" customHeight="1">
      <c r="A76" s="38" t="n"/>
      <c r="B76" s="48" t="n"/>
      <c r="C76" s="53">
        <f>IF(B76="","",20.412)</f>
        <v/>
      </c>
      <c r="D76" s="48">
        <f>IF(B76="","",B76*C76)</f>
        <v/>
      </c>
      <c r="E76" s="53" t="n"/>
      <c r="F76" s="48">
        <f>IF(D76="","",D76-IF(E76="",0,E76))</f>
        <v/>
      </c>
      <c r="G76" s="53">
        <f>IF(A76="","","27"&amp;MID(A76,4,2)&amp;LEFT(A76,2))</f>
        <v/>
      </c>
      <c r="H76" s="48" t="n"/>
    </row>
    <row r="77" ht="15" customHeight="1">
      <c r="A77" s="38" t="n"/>
      <c r="B77" s="48" t="n"/>
      <c r="C77" s="53">
        <f>IF(B77="","",20.412)</f>
        <v/>
      </c>
      <c r="D77" s="48">
        <f>IF(B77="","",B77*C77)</f>
        <v/>
      </c>
      <c r="E77" s="53" t="n"/>
      <c r="F77" s="48">
        <f>IF(D77="","",D77-IF(E77="",0,E77))</f>
        <v/>
      </c>
      <c r="G77" s="53">
        <f>IF(A77="","","27"&amp;MID(A77,4,2)&amp;LEFT(A77,2))</f>
        <v/>
      </c>
      <c r="H77" s="48" t="n"/>
    </row>
    <row r="78" ht="15" customHeight="1">
      <c r="A78" s="38" t="n"/>
      <c r="B78" s="48" t="n"/>
      <c r="C78" s="53">
        <f>IF(B78="","",20.412)</f>
        <v/>
      </c>
      <c r="D78" s="48">
        <f>IF(B78="","",B78*C78)</f>
        <v/>
      </c>
      <c r="E78" s="53" t="n"/>
      <c r="F78" s="48">
        <f>IF(D78="","",D78-IF(E78="",0,E78))</f>
        <v/>
      </c>
      <c r="G78" s="53">
        <f>IF(A78="","","27"&amp;MID(A78,4,2)&amp;LEFT(A78,2))</f>
        <v/>
      </c>
      <c r="H78" s="48" t="n"/>
    </row>
    <row r="79" ht="15" customHeight="1">
      <c r="A79" s="38" t="n"/>
      <c r="B79" s="48" t="n"/>
      <c r="C79" s="53">
        <f>IF(B79="","",20.412)</f>
        <v/>
      </c>
      <c r="D79" s="48">
        <f>IF(B79="","",B79*C79)</f>
        <v/>
      </c>
      <c r="E79" s="53" t="n"/>
      <c r="F79" s="48">
        <f>IF(D79="","",D79-IF(E79="",0,E79))</f>
        <v/>
      </c>
      <c r="G79" s="53">
        <f>IF(A79="","","27"&amp;MID(A79,4,2)&amp;LEFT(A79,2))</f>
        <v/>
      </c>
      <c r="H79" s="48" t="n"/>
    </row>
    <row r="80" ht="15" customHeight="1">
      <c r="A80" s="38" t="n"/>
      <c r="B80" s="48" t="n"/>
      <c r="C80" s="53">
        <f>IF(B80="","",20.412)</f>
        <v/>
      </c>
      <c r="D80" s="48">
        <f>IF(B80="","",B80*C80)</f>
        <v/>
      </c>
      <c r="E80" s="53" t="n"/>
      <c r="F80" s="48">
        <f>IF(D80="","",D80-IF(E80="",0,E80))</f>
        <v/>
      </c>
      <c r="G80" s="53">
        <f>IF(A80="","","27"&amp;MID(A80,4,2)&amp;LEFT(A80,2))</f>
        <v/>
      </c>
      <c r="H80" s="48" t="n"/>
    </row>
    <row r="81" ht="15" customHeight="1">
      <c r="A81" s="38" t="n"/>
      <c r="B81" s="48" t="n"/>
      <c r="C81" s="53">
        <f>IF(B81="","",20.412)</f>
        <v/>
      </c>
      <c r="D81" s="48">
        <f>IF(B81="","",B81*C81)</f>
        <v/>
      </c>
      <c r="E81" s="53" t="n"/>
      <c r="F81" s="48">
        <f>IF(D81="","",D81-IF(E81="",0,E81))</f>
        <v/>
      </c>
      <c r="G81" s="53">
        <f>IF(A81="","","27"&amp;MID(A81,4,2)&amp;LEFT(A81,2))</f>
        <v/>
      </c>
      <c r="H81" s="48" t="n"/>
    </row>
    <row r="82" ht="15" customHeight="1">
      <c r="A82" s="38" t="n"/>
      <c r="B82" s="48" t="n"/>
      <c r="C82" s="53">
        <f>IF(B82="","",20.412)</f>
        <v/>
      </c>
      <c r="D82" s="48">
        <f>IF(B82="","",B82*C82)</f>
        <v/>
      </c>
      <c r="E82" s="53" t="n"/>
      <c r="F82" s="48">
        <f>IF(D82="","",D82-IF(E82="",0,E82))</f>
        <v/>
      </c>
      <c r="G82" s="53">
        <f>IF(A82="","","27"&amp;MID(A82,4,2)&amp;LEFT(A82,2))</f>
        <v/>
      </c>
      <c r="H82" s="48" t="n"/>
    </row>
    <row r="83" ht="15" customHeight="1">
      <c r="A83" s="38" t="n"/>
      <c r="B83" s="48" t="n"/>
      <c r="C83" s="53">
        <f>IF(B83="","",20.412)</f>
        <v/>
      </c>
      <c r="D83" s="48">
        <f>IF(B83="","",B83*C83)</f>
        <v/>
      </c>
      <c r="E83" s="53" t="n"/>
      <c r="F83" s="48">
        <f>IF(D83="","",D83-IF(E83="",0,E83))</f>
        <v/>
      </c>
      <c r="G83" s="53">
        <f>IF(A83="","","27"&amp;MID(A83,4,2)&amp;LEFT(A83,2))</f>
        <v/>
      </c>
      <c r="H83" s="48" t="n"/>
    </row>
    <row r="84" ht="15" customHeight="1">
      <c r="A84" s="38" t="n"/>
      <c r="B84" s="48" t="n"/>
      <c r="C84" s="53">
        <f>IF(B84="","",20.412)</f>
        <v/>
      </c>
      <c r="D84" s="48">
        <f>IF(B84="","",B84*C84)</f>
        <v/>
      </c>
      <c r="E84" s="53" t="n"/>
      <c r="F84" s="48">
        <f>IF(D84="","",D84-IF(E84="",0,E84))</f>
        <v/>
      </c>
      <c r="G84" s="53">
        <f>IF(A84="","","27"&amp;MID(A84,4,2)&amp;LEFT(A84,2))</f>
        <v/>
      </c>
      <c r="H84" s="48" t="n"/>
    </row>
    <row r="85" ht="15" customHeight="1">
      <c r="A85" s="38" t="n"/>
      <c r="B85" s="48" t="n"/>
      <c r="C85" s="53">
        <f>IF(B85="","",20.412)</f>
        <v/>
      </c>
      <c r="D85" s="48">
        <f>IF(B85="","",B85*C85)</f>
        <v/>
      </c>
      <c r="E85" s="53" t="n"/>
      <c r="F85" s="48">
        <f>IF(D85="","",D85-IF(E85="",0,E85))</f>
        <v/>
      </c>
      <c r="G85" s="53">
        <f>IF(A85="","","27"&amp;MID(A85,4,2)&amp;LEFT(A85,2))</f>
        <v/>
      </c>
      <c r="H85" s="48" t="n"/>
    </row>
    <row r="86" ht="15" customHeight="1">
      <c r="A86" s="38" t="n"/>
      <c r="B86" s="48" t="n"/>
      <c r="C86" s="53">
        <f>IF(B86="","",20.412)</f>
        <v/>
      </c>
      <c r="D86" s="48">
        <f>IF(B86="","",B86*C86)</f>
        <v/>
      </c>
      <c r="E86" s="53" t="n"/>
      <c r="F86" s="48">
        <f>IF(D86="","",D86-IF(E86="",0,E86))</f>
        <v/>
      </c>
      <c r="G86" s="53">
        <f>IF(A86="","","27"&amp;MID(A86,4,2)&amp;LEFT(A86,2))</f>
        <v/>
      </c>
      <c r="H86" s="48" t="n"/>
    </row>
    <row r="87" ht="15" customHeight="1">
      <c r="A87" s="38" t="n"/>
      <c r="B87" s="48" t="n"/>
      <c r="C87" s="53">
        <f>IF(B87="","",20.412)</f>
        <v/>
      </c>
      <c r="D87" s="48">
        <f>IF(B87="","",B87*C87)</f>
        <v/>
      </c>
      <c r="E87" s="53" t="n"/>
      <c r="F87" s="48">
        <f>IF(D87="","",D87-IF(E87="",0,E87))</f>
        <v/>
      </c>
      <c r="G87" s="53">
        <f>IF(A87="","","27"&amp;MID(A87,4,2)&amp;LEFT(A87,2))</f>
        <v/>
      </c>
      <c r="H87" s="48" t="n"/>
    </row>
    <row r="88" ht="15" customHeight="1">
      <c r="A88" s="38" t="n"/>
      <c r="B88" s="48" t="n"/>
      <c r="C88" s="53">
        <f>IF(B88="","",20.412)</f>
        <v/>
      </c>
      <c r="D88" s="48">
        <f>IF(B88="","",B88*C88)</f>
        <v/>
      </c>
      <c r="E88" s="53" t="n"/>
      <c r="F88" s="48">
        <f>IF(D88="","",D88-IF(E88="",0,E88))</f>
        <v/>
      </c>
      <c r="G88" s="53">
        <f>IF(A88="","","27"&amp;MID(A88,4,2)&amp;LEFT(A88,2))</f>
        <v/>
      </c>
      <c r="H88" s="48" t="n"/>
    </row>
    <row r="89" ht="15" customHeight="1">
      <c r="A89" s="38" t="n"/>
      <c r="B89" s="48" t="n"/>
      <c r="C89" s="53">
        <f>IF(B89="","",20.412)</f>
        <v/>
      </c>
      <c r="D89" s="48">
        <f>IF(B89="","",B89*C89)</f>
        <v/>
      </c>
      <c r="E89" s="53" t="n"/>
      <c r="F89" s="48">
        <f>IF(D89="","",D89-IF(E89="",0,E89))</f>
        <v/>
      </c>
      <c r="G89" s="53">
        <f>IF(A89="","","27"&amp;MID(A89,4,2)&amp;LEFT(A89,2))</f>
        <v/>
      </c>
      <c r="H89" s="48" t="n"/>
    </row>
    <row r="90" ht="15" customHeight="1">
      <c r="A90" s="38" t="n"/>
      <c r="B90" s="48" t="n"/>
      <c r="C90" s="53">
        <f>IF(B90="","",20.412)</f>
        <v/>
      </c>
      <c r="D90" s="48">
        <f>IF(B90="","",B90*C90)</f>
        <v/>
      </c>
      <c r="E90" s="53" t="n"/>
      <c r="F90" s="48">
        <f>IF(D90="","",D90-IF(E90="",0,E90))</f>
        <v/>
      </c>
      <c r="G90" s="53">
        <f>IF(A90="","","27"&amp;MID(A90,4,2)&amp;LEFT(A90,2))</f>
        <v/>
      </c>
      <c r="H90" s="48" t="n"/>
    </row>
    <row r="91" ht="15" customHeight="1">
      <c r="A91" s="38" t="n"/>
      <c r="B91" s="48" t="n"/>
      <c r="C91" s="53">
        <f>IF(B91="","",20.412)</f>
        <v/>
      </c>
      <c r="D91" s="48">
        <f>IF(B91="","",B91*C91)</f>
        <v/>
      </c>
      <c r="E91" s="53" t="n"/>
      <c r="F91" s="48">
        <f>IF(D91="","",D91-IF(E91="",0,E91))</f>
        <v/>
      </c>
      <c r="G91" s="53">
        <f>IF(A91="","","27"&amp;MID(A91,4,2)&amp;LEFT(A91,2))</f>
        <v/>
      </c>
      <c r="H91" s="48" t="n"/>
    </row>
    <row r="92" ht="15" customHeight="1">
      <c r="A92" s="38" t="n"/>
      <c r="B92" s="48" t="n"/>
      <c r="C92" s="53">
        <f>IF(B92="","",20.412)</f>
        <v/>
      </c>
      <c r="D92" s="48">
        <f>IF(B92="","",B92*C92)</f>
        <v/>
      </c>
      <c r="E92" s="53" t="n"/>
      <c r="F92" s="48">
        <f>IF(D92="","",D92-IF(E92="",0,E92))</f>
        <v/>
      </c>
      <c r="G92" s="53">
        <f>IF(A92="","","27"&amp;MID(A92,4,2)&amp;LEFT(A92,2))</f>
        <v/>
      </c>
      <c r="H92" s="48" t="n"/>
    </row>
    <row r="93" ht="15" customHeight="1">
      <c r="A93" s="38" t="n"/>
      <c r="B93" s="48" t="n"/>
      <c r="C93" s="53">
        <f>IF(B93="","",20.412)</f>
        <v/>
      </c>
      <c r="D93" s="48">
        <f>IF(B93="","",B93*C93)</f>
        <v/>
      </c>
      <c r="E93" s="53" t="n"/>
      <c r="F93" s="48">
        <f>IF(D93="","",D93-IF(E93="",0,E93))</f>
        <v/>
      </c>
      <c r="G93" s="53">
        <f>IF(A93="","","27"&amp;MID(A93,4,2)&amp;LEFT(A93,2))</f>
        <v/>
      </c>
      <c r="H93" s="48" t="n"/>
    </row>
    <row r="94" ht="15" customHeight="1">
      <c r="A94" s="38" t="n"/>
      <c r="B94" s="48" t="n"/>
      <c r="C94" s="53">
        <f>IF(B94="","",20.412)</f>
        <v/>
      </c>
      <c r="D94" s="48">
        <f>IF(B94="","",B94*C94)</f>
        <v/>
      </c>
      <c r="E94" s="53" t="n"/>
      <c r="F94" s="48">
        <f>IF(D94="","",D94-IF(E94="",0,E94))</f>
        <v/>
      </c>
      <c r="G94" s="53">
        <f>IF(A94="","","27"&amp;MID(A94,4,2)&amp;LEFT(A94,2))</f>
        <v/>
      </c>
      <c r="H94" s="48" t="n"/>
    </row>
    <row r="95" ht="15" customHeight="1">
      <c r="A95" s="38" t="n"/>
      <c r="B95" s="48" t="n"/>
      <c r="C95" s="53">
        <f>IF(B95="","",20.412)</f>
        <v/>
      </c>
      <c r="D95" s="48">
        <f>IF(B95="","",B95*C95)</f>
        <v/>
      </c>
      <c r="E95" s="53" t="n"/>
      <c r="F95" s="48">
        <f>IF(D95="","",D95-IF(E95="",0,E95))</f>
        <v/>
      </c>
      <c r="G95" s="53">
        <f>IF(A95="","","27"&amp;MID(A95,4,2)&amp;LEFT(A95,2))</f>
        <v/>
      </c>
      <c r="H95" s="48" t="n"/>
    </row>
    <row r="96" ht="15" customHeight="1">
      <c r="A96" s="38" t="n"/>
      <c r="B96" s="48" t="n"/>
      <c r="C96" s="53">
        <f>IF(B96="","",20.412)</f>
        <v/>
      </c>
      <c r="D96" s="48">
        <f>IF(B96="","",B96*C96)</f>
        <v/>
      </c>
      <c r="E96" s="53" t="n"/>
      <c r="F96" s="48">
        <f>IF(D96="","",D96-IF(E96="",0,E96))</f>
        <v/>
      </c>
      <c r="G96" s="53">
        <f>IF(A96="","","27"&amp;MID(A96,4,2)&amp;LEFT(A96,2))</f>
        <v/>
      </c>
      <c r="H96" s="48" t="n"/>
    </row>
    <row r="97" ht="15" customHeight="1">
      <c r="A97" s="38" t="n"/>
      <c r="B97" s="48" t="n"/>
      <c r="C97" s="53">
        <f>IF(B97="","",20.412)</f>
        <v/>
      </c>
      <c r="D97" s="48">
        <f>IF(B97="","",B97*C97)</f>
        <v/>
      </c>
      <c r="E97" s="53" t="n"/>
      <c r="F97" s="48">
        <f>IF(D97="","",D97-IF(E97="",0,E97))</f>
        <v/>
      </c>
      <c r="G97" s="53">
        <f>IF(A97="","","27"&amp;MID(A97,4,2)&amp;LEFT(A97,2))</f>
        <v/>
      </c>
      <c r="H97" s="48" t="n"/>
    </row>
    <row r="98" ht="15" customHeight="1">
      <c r="A98" s="38" t="n"/>
      <c r="B98" s="48" t="n"/>
      <c r="C98" s="53">
        <f>IF(B98="","",20.412)</f>
        <v/>
      </c>
      <c r="D98" s="48">
        <f>IF(B98="","",B98*C98)</f>
        <v/>
      </c>
      <c r="E98" s="53" t="n"/>
      <c r="F98" s="48">
        <f>IF(D98="","",D98-IF(E98="",0,E98))</f>
        <v/>
      </c>
      <c r="G98" s="53">
        <f>IF(A98="","","27"&amp;MID(A98,4,2)&amp;LEFT(A98,2))</f>
        <v/>
      </c>
      <c r="H98" s="48" t="n"/>
    </row>
    <row r="99" ht="15" customHeight="1">
      <c r="A99" s="38" t="n"/>
      <c r="B99" s="48" t="n"/>
      <c r="C99" s="53">
        <f>IF(B99="","",20.412)</f>
        <v/>
      </c>
      <c r="D99" s="48">
        <f>IF(B99="","",B99*C99)</f>
        <v/>
      </c>
      <c r="E99" s="53" t="n"/>
      <c r="F99" s="48">
        <f>IF(D99="","",D99-IF(E99="",0,E99))</f>
        <v/>
      </c>
      <c r="G99" s="53">
        <f>IF(A99="","","27"&amp;MID(A99,4,2)&amp;LEFT(A99,2))</f>
        <v/>
      </c>
      <c r="H99" s="48" t="n"/>
    </row>
    <row r="100" ht="15" customHeight="1">
      <c r="A100" s="38" t="n"/>
      <c r="B100" s="48" t="n"/>
      <c r="C100" s="53">
        <f>IF(B100="","",20.412)</f>
        <v/>
      </c>
      <c r="D100" s="48">
        <f>IF(B100="","",B100*C100)</f>
        <v/>
      </c>
      <c r="E100" s="53" t="n"/>
      <c r="F100" s="48">
        <f>IF(D100="","",D100-IF(E100="",0,E100))</f>
        <v/>
      </c>
      <c r="G100" s="53">
        <f>IF(A100="","","27"&amp;MID(A100,4,2)&amp;LEFT(A100,2))</f>
        <v/>
      </c>
      <c r="H100" s="48" t="n"/>
    </row>
    <row r="101" ht="15" customHeight="1">
      <c r="A101" s="38" t="n"/>
      <c r="B101" s="48" t="n"/>
      <c r="C101" s="53">
        <f>IF(B101="","",20.412)</f>
        <v/>
      </c>
      <c r="D101" s="48">
        <f>IF(B101="","",B101*C101)</f>
        <v/>
      </c>
      <c r="E101" s="53" t="n"/>
      <c r="F101" s="48">
        <f>IF(D101="","",D101-IF(E101="",0,E101))</f>
        <v/>
      </c>
      <c r="G101" s="53">
        <f>IF(A101="","","27"&amp;MID(A101,4,2)&amp;LEFT(A101,2))</f>
        <v/>
      </c>
      <c r="H101" s="48" t="n"/>
    </row>
    <row r="102" ht="15" customHeight="1">
      <c r="A102" s="38" t="n"/>
      <c r="B102" s="48" t="n"/>
      <c r="C102" s="53">
        <f>IF(B102="","",20.412)</f>
        <v/>
      </c>
      <c r="D102" s="48">
        <f>IF(B102="","",B102*C102)</f>
        <v/>
      </c>
      <c r="E102" s="53" t="n"/>
      <c r="F102" s="48">
        <f>IF(D102="","",D102-IF(E102="",0,E102))</f>
        <v/>
      </c>
      <c r="G102" s="53">
        <f>IF(A102="","","27"&amp;MID(A102,4,2)&amp;LEFT(A102,2))</f>
        <v/>
      </c>
      <c r="H102" s="48" t="n"/>
    </row>
    <row r="103" ht="15" customHeight="1">
      <c r="A103" s="38" t="n"/>
      <c r="B103" s="48" t="n"/>
      <c r="C103" s="53">
        <f>IF(B103="","",20.412)</f>
        <v/>
      </c>
      <c r="D103" s="48">
        <f>IF(B103="","",B103*C103)</f>
        <v/>
      </c>
      <c r="E103" s="53" t="n"/>
      <c r="F103" s="48">
        <f>IF(D103="","",D103-IF(E103="",0,E103))</f>
        <v/>
      </c>
      <c r="G103" s="53">
        <f>IF(A103="","","27"&amp;MID(A103,4,2)&amp;LEFT(A103,2))</f>
        <v/>
      </c>
      <c r="H103" s="48" t="n"/>
    </row>
    <row r="104" ht="15" customHeight="1">
      <c r="A104" s="38" t="n"/>
      <c r="B104" s="48" t="n"/>
      <c r="C104" s="53">
        <f>IF(B104="","",20.412)</f>
        <v/>
      </c>
      <c r="D104" s="48">
        <f>IF(B104="","",B104*C104)</f>
        <v/>
      </c>
      <c r="E104" s="53" t="n"/>
      <c r="F104" s="48">
        <f>IF(D104="","",D104-IF(E104="",0,E104))</f>
        <v/>
      </c>
      <c r="G104" s="53">
        <f>IF(A104="","","27"&amp;MID(A104,4,2)&amp;LEFT(A104,2))</f>
        <v/>
      </c>
      <c r="H104" s="48" t="n"/>
    </row>
    <row r="105" ht="15" customHeight="1">
      <c r="A105" s="38" t="n"/>
      <c r="B105" s="48" t="n"/>
      <c r="C105" s="53">
        <f>IF(B105="","",20.412)</f>
        <v/>
      </c>
      <c r="D105" s="48">
        <f>IF(B105="","",B105*C105)</f>
        <v/>
      </c>
      <c r="E105" s="53" t="n"/>
      <c r="F105" s="48">
        <f>IF(D105="","",D105-IF(E105="",0,E105))</f>
        <v/>
      </c>
      <c r="G105" s="53">
        <f>IF(A105="","","27"&amp;MID(A105,4,2)&amp;LEFT(A105,2))</f>
        <v/>
      </c>
      <c r="H105" s="48" t="n"/>
    </row>
    <row r="106" ht="15" customHeight="1">
      <c r="A106" s="38" t="n"/>
      <c r="B106" s="48" t="n"/>
      <c r="C106" s="53">
        <f>IF(B106="","",20.412)</f>
        <v/>
      </c>
      <c r="D106" s="48">
        <f>IF(B106="","",B106*C106)</f>
        <v/>
      </c>
      <c r="E106" s="53" t="n"/>
      <c r="F106" s="48">
        <f>IF(D106="","",D106-IF(E106="",0,E106))</f>
        <v/>
      </c>
      <c r="G106" s="53">
        <f>IF(A106="","","27"&amp;MID(A106,4,2)&amp;LEFT(A106,2))</f>
        <v/>
      </c>
      <c r="H106" s="48" t="n"/>
    </row>
    <row r="107" ht="15" customHeight="1">
      <c r="A107" s="38" t="n"/>
      <c r="B107" s="48" t="n"/>
      <c r="C107" s="53">
        <f>IF(B107="","",20.412)</f>
        <v/>
      </c>
      <c r="D107" s="48">
        <f>IF(B107="","",B107*C107)</f>
        <v/>
      </c>
      <c r="E107" s="53" t="n"/>
      <c r="F107" s="48">
        <f>IF(D107="","",D107-IF(E107="",0,E107))</f>
        <v/>
      </c>
      <c r="G107" s="53">
        <f>IF(A107="","","27"&amp;MID(A107,4,2)&amp;LEFT(A107,2))</f>
        <v/>
      </c>
      <c r="H107" s="48" t="n"/>
    </row>
    <row r="108" ht="15" customHeight="1">
      <c r="A108" s="38" t="n"/>
      <c r="B108" s="48" t="n"/>
      <c r="C108" s="53">
        <f>IF(B108="","",20.412)</f>
        <v/>
      </c>
      <c r="D108" s="48">
        <f>IF(B108="","",B108*C108)</f>
        <v/>
      </c>
      <c r="E108" s="53" t="n"/>
      <c r="F108" s="48">
        <f>IF(D108="","",D108-IF(E108="",0,E108))</f>
        <v/>
      </c>
      <c r="G108" s="53">
        <f>IF(A108="","","27"&amp;MID(A108,4,2)&amp;LEFT(A108,2))</f>
        <v/>
      </c>
      <c r="H108" s="48" t="n"/>
    </row>
    <row r="109" ht="15" customHeight="1">
      <c r="A109" s="38" t="n"/>
      <c r="B109" s="48" t="n"/>
      <c r="C109" s="53">
        <f>IF(B109="","",20.412)</f>
        <v/>
      </c>
      <c r="D109" s="48">
        <f>IF(B109="","",B109*C109)</f>
        <v/>
      </c>
      <c r="E109" s="53" t="n"/>
      <c r="F109" s="48">
        <f>IF(D109="","",D109-IF(E109="",0,E109))</f>
        <v/>
      </c>
      <c r="G109" s="53">
        <f>IF(A109="","","27"&amp;MID(A109,4,2)&amp;LEFT(A109,2))</f>
        <v/>
      </c>
      <c r="H109" s="48" t="n"/>
    </row>
    <row r="110" ht="15" customHeight="1">
      <c r="A110" s="38" t="n"/>
      <c r="B110" s="48" t="n"/>
      <c r="C110" s="53">
        <f>IF(B110="","",20.412)</f>
        <v/>
      </c>
      <c r="D110" s="48">
        <f>IF(B110="","",B110*C110)</f>
        <v/>
      </c>
      <c r="E110" s="53" t="n"/>
      <c r="F110" s="48">
        <f>IF(D110="","",D110-IF(E110="",0,E110))</f>
        <v/>
      </c>
      <c r="G110" s="53">
        <f>IF(A110="","","27"&amp;MID(A110,4,2)&amp;LEFT(A110,2))</f>
        <v/>
      </c>
      <c r="H110" s="48" t="n"/>
    </row>
    <row r="111" ht="15" customHeight="1">
      <c r="A111" s="38" t="n"/>
      <c r="B111" s="48" t="n"/>
      <c r="C111" s="53">
        <f>IF(B111="","",20.412)</f>
        <v/>
      </c>
      <c r="D111" s="48">
        <f>IF(B111="","",B111*C111)</f>
        <v/>
      </c>
      <c r="E111" s="53" t="n"/>
      <c r="F111" s="48">
        <f>IF(D111="","",D111-IF(E111="",0,E111))</f>
        <v/>
      </c>
      <c r="G111" s="53">
        <f>IF(A111="","","27"&amp;MID(A111,4,2)&amp;LEFT(A111,2))</f>
        <v/>
      </c>
      <c r="H111" s="48" t="n"/>
    </row>
    <row r="112" ht="15" customHeight="1">
      <c r="A112" s="38" t="n"/>
      <c r="B112" s="48" t="n"/>
      <c r="C112" s="53">
        <f>IF(B112="","",20.412)</f>
        <v/>
      </c>
      <c r="D112" s="48">
        <f>IF(B112="","",B112*C112)</f>
        <v/>
      </c>
      <c r="E112" s="53" t="n"/>
      <c r="F112" s="48">
        <f>IF(D112="","",D112-IF(E112="",0,E112))</f>
        <v/>
      </c>
      <c r="G112" s="53">
        <f>IF(A112="","","27"&amp;MID(A112,4,2)&amp;LEFT(A112,2))</f>
        <v/>
      </c>
      <c r="H112" s="48" t="n"/>
    </row>
    <row r="113" ht="15" customHeight="1">
      <c r="A113" s="38" t="n"/>
      <c r="B113" s="48" t="n"/>
      <c r="C113" s="53">
        <f>IF(B113="","",20.412)</f>
        <v/>
      </c>
      <c r="D113" s="48">
        <f>IF(B113="","",B113*C113)</f>
        <v/>
      </c>
      <c r="E113" s="53" t="n"/>
      <c r="F113" s="48">
        <f>IF(D113="","",D113-IF(E113="",0,E113))</f>
        <v/>
      </c>
      <c r="G113" s="53">
        <f>IF(A113="","","27"&amp;MID(A113,4,2)&amp;LEFT(A113,2))</f>
        <v/>
      </c>
      <c r="H113" s="48" t="n"/>
    </row>
    <row r="114" ht="15" customHeight="1">
      <c r="A114" s="38" t="n"/>
      <c r="B114" s="48" t="n"/>
      <c r="C114" s="53">
        <f>IF(B114="","",20.412)</f>
        <v/>
      </c>
      <c r="D114" s="48">
        <f>IF(B114="","",B114*C114)</f>
        <v/>
      </c>
      <c r="E114" s="53" t="n"/>
      <c r="F114" s="48">
        <f>IF(D114="","",D114-IF(E114="",0,E114))</f>
        <v/>
      </c>
      <c r="G114" s="53">
        <f>IF(A114="","","27"&amp;MID(A114,4,2)&amp;LEFT(A114,2))</f>
        <v/>
      </c>
      <c r="H114" s="48" t="n"/>
    </row>
    <row r="115" ht="15" customHeight="1">
      <c r="A115" s="38" t="n"/>
      <c r="B115" s="48" t="n"/>
      <c r="C115" s="53">
        <f>IF(B115="","",20.412)</f>
        <v/>
      </c>
      <c r="D115" s="48">
        <f>IF(B115="","",B115*C115)</f>
        <v/>
      </c>
      <c r="E115" s="53" t="n"/>
      <c r="F115" s="48">
        <f>IF(D115="","",D115-IF(E115="",0,E115))</f>
        <v/>
      </c>
      <c r="G115" s="53">
        <f>IF(A115="","","27"&amp;MID(A115,4,2)&amp;LEFT(A115,2))</f>
        <v/>
      </c>
      <c r="H115" s="48" t="n"/>
    </row>
    <row r="116" ht="15" customHeight="1">
      <c r="A116" s="38" t="n"/>
      <c r="B116" s="48" t="n"/>
      <c r="C116" s="53">
        <f>IF(B116="","",20.412)</f>
        <v/>
      </c>
      <c r="D116" s="48">
        <f>IF(B116="","",B116*C116)</f>
        <v/>
      </c>
      <c r="E116" s="53" t="n"/>
      <c r="F116" s="48">
        <f>IF(D116="","",D116-IF(E116="",0,E116))</f>
        <v/>
      </c>
      <c r="G116" s="53">
        <f>IF(A116="","","27"&amp;MID(A116,4,2)&amp;LEFT(A116,2))</f>
        <v/>
      </c>
      <c r="H116" s="48" t="n"/>
    </row>
    <row r="117" ht="15" customHeight="1">
      <c r="A117" s="38" t="n"/>
      <c r="B117" s="48" t="n"/>
      <c r="C117" s="53">
        <f>IF(B117="","",20.412)</f>
        <v/>
      </c>
      <c r="D117" s="48">
        <f>IF(B117="","",B117*C117)</f>
        <v/>
      </c>
      <c r="E117" s="53" t="n"/>
      <c r="F117" s="48">
        <f>IF(D117="","",D117-IF(E117="",0,E117))</f>
        <v/>
      </c>
      <c r="G117" s="53">
        <f>IF(A117="","","27"&amp;MID(A117,4,2)&amp;LEFT(A117,2))</f>
        <v/>
      </c>
      <c r="H117" s="48" t="n"/>
    </row>
    <row r="118" ht="15" customHeight="1">
      <c r="A118" s="38" t="n"/>
      <c r="B118" s="48" t="n"/>
      <c r="C118" s="53">
        <f>IF(B118="","",20.412)</f>
        <v/>
      </c>
      <c r="D118" s="48">
        <f>IF(B118="","",B118*C118)</f>
        <v/>
      </c>
      <c r="E118" s="53" t="n"/>
      <c r="F118" s="48">
        <f>IF(D118="","",D118-IF(E118="",0,E118))</f>
        <v/>
      </c>
      <c r="G118" s="53">
        <f>IF(A118="","","27"&amp;MID(A118,4,2)&amp;LEFT(A118,2))</f>
        <v/>
      </c>
      <c r="H118" s="48" t="n"/>
    </row>
    <row r="119" ht="15" customHeight="1">
      <c r="A119" s="38" t="n"/>
      <c r="B119" s="48" t="n"/>
      <c r="C119" s="53">
        <f>IF(B119="","",20.412)</f>
        <v/>
      </c>
      <c r="D119" s="48">
        <f>IF(B119="","",B119*C119)</f>
        <v/>
      </c>
      <c r="E119" s="53" t="n"/>
      <c r="F119" s="48">
        <f>IF(D119="","",D119-IF(E119="",0,E119))</f>
        <v/>
      </c>
      <c r="G119" s="53">
        <f>IF(A119="","","27"&amp;MID(A119,4,2)&amp;LEFT(A119,2))</f>
        <v/>
      </c>
      <c r="H119" s="48" t="n"/>
    </row>
    <row r="120" ht="15" customHeight="1">
      <c r="A120" s="38" t="n"/>
      <c r="B120" s="48" t="n"/>
      <c r="C120" s="53">
        <f>IF(B120="","",20.412)</f>
        <v/>
      </c>
      <c r="D120" s="48">
        <f>IF(B120="","",B120*C120)</f>
        <v/>
      </c>
      <c r="E120" s="53" t="n"/>
      <c r="F120" s="48">
        <f>IF(D120="","",D120-IF(E120="",0,E120))</f>
        <v/>
      </c>
      <c r="G120" s="53">
        <f>IF(A120="","","27"&amp;MID(A120,4,2)&amp;LEFT(A120,2))</f>
        <v/>
      </c>
      <c r="H120" s="48" t="n"/>
    </row>
    <row r="121" ht="15" customHeight="1">
      <c r="A121" s="38" t="n"/>
      <c r="B121" s="48" t="n"/>
      <c r="C121" s="53">
        <f>IF(B121="","",20.412)</f>
        <v/>
      </c>
      <c r="D121" s="48">
        <f>IF(B121="","",B121*C121)</f>
        <v/>
      </c>
      <c r="E121" s="53" t="n"/>
      <c r="F121" s="48">
        <f>IF(D121="","",D121-IF(E121="",0,E121))</f>
        <v/>
      </c>
      <c r="G121" s="53">
        <f>IF(A121="","","27"&amp;MID(A121,4,2)&amp;LEFT(A121,2))</f>
        <v/>
      </c>
      <c r="H121" s="48" t="n"/>
    </row>
    <row r="122" ht="15" customHeight="1">
      <c r="A122" s="38" t="n"/>
      <c r="B122" s="48" t="n"/>
      <c r="C122" s="53">
        <f>IF(B122="","",20.412)</f>
        <v/>
      </c>
      <c r="D122" s="48">
        <f>IF(B122="","",B122*C122)</f>
        <v/>
      </c>
      <c r="E122" s="53" t="n"/>
      <c r="F122" s="48">
        <f>IF(D122="","",D122-IF(E122="",0,E122))</f>
        <v/>
      </c>
      <c r="G122" s="53">
        <f>IF(A122="","","27"&amp;MID(A122,4,2)&amp;LEFT(A122,2))</f>
        <v/>
      </c>
      <c r="H122" s="48" t="n"/>
    </row>
    <row r="123" ht="15" customHeight="1">
      <c r="A123" s="38" t="n"/>
      <c r="B123" s="48" t="n"/>
      <c r="C123" s="53">
        <f>IF(B123="","",20.412)</f>
        <v/>
      </c>
      <c r="D123" s="48">
        <f>IF(B123="","",B123*C123)</f>
        <v/>
      </c>
      <c r="E123" s="53" t="n"/>
      <c r="F123" s="48">
        <f>IF(D123="","",D123-IF(E123="",0,E123))</f>
        <v/>
      </c>
      <c r="G123" s="53">
        <f>IF(A123="","","27"&amp;MID(A123,4,2)&amp;LEFT(A123,2))</f>
        <v/>
      </c>
      <c r="H123" s="48" t="n"/>
    </row>
    <row r="124" ht="15" customHeight="1">
      <c r="A124" s="38" t="n"/>
      <c r="B124" s="48" t="n"/>
      <c r="C124" s="53">
        <f>IF(B124="","",20.412)</f>
        <v/>
      </c>
      <c r="D124" s="48">
        <f>IF(B124="","",B124*C124)</f>
        <v/>
      </c>
      <c r="E124" s="53" t="n"/>
      <c r="F124" s="48">
        <f>IF(D124="","",D124-IF(E124="",0,E124))</f>
        <v/>
      </c>
      <c r="G124" s="53">
        <f>IF(A124="","","27"&amp;MID(A124,4,2)&amp;LEFT(A124,2))</f>
        <v/>
      </c>
      <c r="H124" s="48" t="n"/>
    </row>
    <row r="125" ht="15" customHeight="1">
      <c r="A125" s="38" t="n"/>
      <c r="B125" s="48" t="n"/>
      <c r="C125" s="53">
        <f>IF(B125="","",20.412)</f>
        <v/>
      </c>
      <c r="D125" s="48">
        <f>IF(B125="","",B125*C125)</f>
        <v/>
      </c>
      <c r="E125" s="53" t="n"/>
      <c r="F125" s="48">
        <f>IF(D125="","",D125-IF(E125="",0,E125))</f>
        <v/>
      </c>
      <c r="G125" s="53">
        <f>IF(A125="","","27"&amp;MID(A125,4,2)&amp;LEFT(A125,2))</f>
        <v/>
      </c>
      <c r="H125" s="48" t="n"/>
    </row>
    <row r="126" ht="15" customHeight="1">
      <c r="A126" s="38" t="n"/>
      <c r="B126" s="48" t="n"/>
      <c r="C126" s="53">
        <f>IF(B126="","",20.412)</f>
        <v/>
      </c>
      <c r="D126" s="48">
        <f>IF(B126="","",B126*C126)</f>
        <v/>
      </c>
      <c r="E126" s="53" t="n"/>
      <c r="F126" s="48">
        <f>IF(D126="","",D126-IF(E126="",0,E126))</f>
        <v/>
      </c>
      <c r="G126" s="53">
        <f>IF(A126="","","27"&amp;MID(A126,4,2)&amp;LEFT(A126,2))</f>
        <v/>
      </c>
      <c r="H126" s="48" t="n"/>
    </row>
    <row r="127" ht="15" customHeight="1">
      <c r="A127" s="38" t="n"/>
      <c r="B127" s="48" t="n"/>
      <c r="C127" s="53">
        <f>IF(B127="","",20.412)</f>
        <v/>
      </c>
      <c r="D127" s="48">
        <f>IF(B127="","",B127*C127)</f>
        <v/>
      </c>
      <c r="E127" s="53" t="n"/>
      <c r="F127" s="48">
        <f>IF(D127="","",D127-IF(E127="",0,E127))</f>
        <v/>
      </c>
      <c r="G127" s="53">
        <f>IF(A127="","","27"&amp;MID(A127,4,2)&amp;LEFT(A127,2))</f>
        <v/>
      </c>
      <c r="H127" s="48" t="n"/>
    </row>
    <row r="128" ht="15" customHeight="1">
      <c r="A128" s="38" t="n"/>
      <c r="B128" s="48" t="n"/>
      <c r="C128" s="53">
        <f>IF(B128="","",20.412)</f>
        <v/>
      </c>
      <c r="D128" s="48">
        <f>IF(B128="","",B128*C128)</f>
        <v/>
      </c>
      <c r="E128" s="53" t="n"/>
      <c r="F128" s="48">
        <f>IF(D128="","",D128-IF(E128="",0,E128))</f>
        <v/>
      </c>
      <c r="G128" s="53">
        <f>IF(A128="","","27"&amp;MID(A128,4,2)&amp;LEFT(A128,2))</f>
        <v/>
      </c>
      <c r="H128" s="48" t="n"/>
    </row>
    <row r="129" ht="15" customHeight="1">
      <c r="A129" s="38" t="n"/>
      <c r="B129" s="48" t="n"/>
      <c r="C129" s="53">
        <f>IF(B129="","",20.412)</f>
        <v/>
      </c>
      <c r="D129" s="48">
        <f>IF(B129="","",B129*C129)</f>
        <v/>
      </c>
      <c r="E129" s="53" t="n"/>
      <c r="F129" s="48">
        <f>IF(D129="","",D129-IF(E129="",0,E129))</f>
        <v/>
      </c>
      <c r="G129" s="53">
        <f>IF(A129="","","27"&amp;MID(A129,4,2)&amp;LEFT(A129,2))</f>
        <v/>
      </c>
      <c r="H129" s="48" t="n"/>
    </row>
    <row r="130" ht="15" customHeight="1">
      <c r="A130" s="38" t="n"/>
      <c r="B130" s="48" t="n"/>
      <c r="C130" s="53">
        <f>IF(B130="","",20.412)</f>
        <v/>
      </c>
      <c r="D130" s="48">
        <f>IF(B130="","",B130*C130)</f>
        <v/>
      </c>
      <c r="E130" s="53" t="n"/>
      <c r="F130" s="48">
        <f>IF(D130="","",D130-IF(E130="",0,E130))</f>
        <v/>
      </c>
      <c r="G130" s="53">
        <f>IF(A130="","","27"&amp;MID(A130,4,2)&amp;LEFT(A130,2))</f>
        <v/>
      </c>
      <c r="H130" s="48" t="n"/>
    </row>
    <row r="131" ht="15" customHeight="1">
      <c r="A131" s="38" t="n"/>
      <c r="B131" s="48" t="n"/>
      <c r="C131" s="53">
        <f>IF(B131="","",20.412)</f>
        <v/>
      </c>
      <c r="D131" s="48">
        <f>IF(B131="","",B131*C131)</f>
        <v/>
      </c>
      <c r="E131" s="53" t="n"/>
      <c r="F131" s="48">
        <f>IF(D131="","",D131-IF(E131="",0,E131))</f>
        <v/>
      </c>
      <c r="G131" s="53">
        <f>IF(A131="","","27"&amp;MID(A131,4,2)&amp;LEFT(A131,2))</f>
        <v/>
      </c>
      <c r="H131" s="48" t="n"/>
    </row>
    <row r="132" ht="15" customHeight="1">
      <c r="A132" s="38" t="n"/>
      <c r="B132" s="48" t="n"/>
      <c r="C132" s="53">
        <f>IF(B132="","",20.412)</f>
        <v/>
      </c>
      <c r="D132" s="48">
        <f>IF(B132="","",B132*C132)</f>
        <v/>
      </c>
      <c r="E132" s="53" t="n"/>
      <c r="F132" s="48">
        <f>IF(D132="","",D132-IF(E132="",0,E132))</f>
        <v/>
      </c>
      <c r="G132" s="53">
        <f>IF(A132="","","27"&amp;MID(A132,4,2)&amp;LEFT(A132,2))</f>
        <v/>
      </c>
      <c r="H132" s="48" t="n"/>
    </row>
    <row r="133" ht="15" customHeight="1">
      <c r="A133" s="38" t="n"/>
      <c r="B133" s="48" t="n"/>
      <c r="C133" s="53">
        <f>IF(B133="","",20.412)</f>
        <v/>
      </c>
      <c r="D133" s="48">
        <f>IF(B133="","",B133*C133)</f>
        <v/>
      </c>
      <c r="E133" s="53" t="n"/>
      <c r="F133" s="48">
        <f>IF(D133="","",D133-IF(E133="",0,E133))</f>
        <v/>
      </c>
      <c r="G133" s="53">
        <f>IF(A133="","","27"&amp;MID(A133,4,2)&amp;LEFT(A133,2))</f>
        <v/>
      </c>
      <c r="H133" s="48" t="n"/>
    </row>
    <row r="134" ht="15" customHeight="1">
      <c r="A134" s="38" t="n"/>
      <c r="B134" s="48" t="n"/>
      <c r="C134" s="53">
        <f>IF(B134="","",20.412)</f>
        <v/>
      </c>
      <c r="D134" s="48">
        <f>IF(B134="","",B134*C134)</f>
        <v/>
      </c>
      <c r="E134" s="53" t="n"/>
      <c r="F134" s="48">
        <f>IF(D134="","",D134-IF(E134="",0,E134))</f>
        <v/>
      </c>
      <c r="G134" s="53">
        <f>IF(A134="","","27"&amp;MID(A134,4,2)&amp;LEFT(A134,2))</f>
        <v/>
      </c>
      <c r="H134" s="48" t="n"/>
    </row>
    <row r="135" ht="15" customHeight="1">
      <c r="A135" s="38" t="n"/>
      <c r="B135" s="48" t="n"/>
      <c r="C135" s="53">
        <f>IF(B135="","",20.412)</f>
        <v/>
      </c>
      <c r="D135" s="48">
        <f>IF(B135="","",B135*C135)</f>
        <v/>
      </c>
      <c r="E135" s="53" t="n"/>
      <c r="F135" s="48">
        <f>IF(D135="","",D135-IF(E135="",0,E135))</f>
        <v/>
      </c>
      <c r="G135" s="53">
        <f>IF(A135="","","27"&amp;MID(A135,4,2)&amp;LEFT(A135,2))</f>
        <v/>
      </c>
      <c r="H135" s="48" t="n"/>
    </row>
    <row r="136" ht="15" customHeight="1">
      <c r="A136" s="38" t="n"/>
      <c r="B136" s="48" t="n"/>
      <c r="C136" s="53">
        <f>IF(B136="","",20.412)</f>
        <v/>
      </c>
      <c r="D136" s="48">
        <f>IF(B136="","",B136*C136)</f>
        <v/>
      </c>
      <c r="E136" s="53" t="n"/>
      <c r="F136" s="48">
        <f>IF(D136="","",D136-IF(E136="",0,E136))</f>
        <v/>
      </c>
      <c r="G136" s="53">
        <f>IF(A136="","","27"&amp;MID(A136,4,2)&amp;LEFT(A136,2))</f>
        <v/>
      </c>
      <c r="H136" s="48" t="n"/>
    </row>
    <row r="137" ht="15" customHeight="1">
      <c r="A137" s="38" t="n"/>
      <c r="B137" s="48" t="n"/>
      <c r="C137" s="53">
        <f>IF(B137="","",20.412)</f>
        <v/>
      </c>
      <c r="D137" s="48">
        <f>IF(B137="","",B137*C137)</f>
        <v/>
      </c>
      <c r="E137" s="53" t="n"/>
      <c r="F137" s="48">
        <f>IF(D137="","",D137-IF(E137="",0,E137))</f>
        <v/>
      </c>
      <c r="G137" s="53">
        <f>IF(A137="","","27"&amp;MID(A137,4,2)&amp;LEFT(A137,2))</f>
        <v/>
      </c>
      <c r="H137" s="48" t="n"/>
    </row>
    <row r="138" ht="15" customHeight="1">
      <c r="A138" s="38" t="n"/>
      <c r="B138" s="48" t="n"/>
      <c r="C138" s="53">
        <f>IF(B138="","",20.412)</f>
        <v/>
      </c>
      <c r="D138" s="48">
        <f>IF(B138="","",B138*C138)</f>
        <v/>
      </c>
      <c r="E138" s="53" t="n"/>
      <c r="F138" s="48">
        <f>IF(D138="","",D138-IF(E138="",0,E138))</f>
        <v/>
      </c>
      <c r="G138" s="53">
        <f>IF(A138="","","27"&amp;MID(A138,4,2)&amp;LEFT(A138,2))</f>
        <v/>
      </c>
      <c r="H138" s="48" t="n"/>
    </row>
    <row r="139" ht="15" customHeight="1">
      <c r="A139" s="38" t="n"/>
      <c r="B139" s="48" t="n"/>
      <c r="C139" s="53">
        <f>IF(B139="","",20.412)</f>
        <v/>
      </c>
      <c r="D139" s="48">
        <f>IF(B139="","",B139*C139)</f>
        <v/>
      </c>
      <c r="E139" s="53" t="n"/>
      <c r="F139" s="48">
        <f>IF(D139="","",D139-IF(E139="",0,E139))</f>
        <v/>
      </c>
      <c r="G139" s="53">
        <f>IF(A139="","","27"&amp;MID(A139,4,2)&amp;LEFT(A139,2))</f>
        <v/>
      </c>
      <c r="H139" s="48" t="n"/>
    </row>
    <row r="140" ht="15" customHeight="1">
      <c r="A140" s="38" t="n"/>
      <c r="B140" s="48" t="n"/>
      <c r="C140" s="53">
        <f>IF(B140="","",20.412)</f>
        <v/>
      </c>
      <c r="D140" s="48">
        <f>IF(B140="","",B140*C140)</f>
        <v/>
      </c>
      <c r="E140" s="53" t="n"/>
      <c r="F140" s="48">
        <f>IF(D140="","",D140-IF(E140="",0,E140))</f>
        <v/>
      </c>
      <c r="G140" s="53">
        <f>IF(A140="","","27"&amp;MID(A140,4,2)&amp;LEFT(A140,2))</f>
        <v/>
      </c>
      <c r="H140" s="48" t="n"/>
    </row>
    <row r="141" ht="15" customHeight="1">
      <c r="A141" s="38" t="n"/>
      <c r="B141" s="48" t="n"/>
      <c r="C141" s="53">
        <f>IF(B141="","",20.412)</f>
        <v/>
      </c>
      <c r="D141" s="48">
        <f>IF(B141="","",B141*C141)</f>
        <v/>
      </c>
      <c r="E141" s="53" t="n"/>
      <c r="F141" s="48">
        <f>IF(D141="","",D141-IF(E141="",0,E141))</f>
        <v/>
      </c>
      <c r="G141" s="53">
        <f>IF(A141="","","27"&amp;MID(A141,4,2)&amp;LEFT(A141,2))</f>
        <v/>
      </c>
      <c r="H141" s="48" t="n"/>
    </row>
    <row r="142" ht="15" customHeight="1">
      <c r="A142" s="38" t="n"/>
      <c r="B142" s="48" t="n"/>
      <c r="C142" s="53">
        <f>IF(B142="","",20.412)</f>
        <v/>
      </c>
      <c r="D142" s="48">
        <f>IF(B142="","",B142*C142)</f>
        <v/>
      </c>
      <c r="E142" s="53" t="n"/>
      <c r="F142" s="48">
        <f>IF(D142="","",D142-IF(E142="",0,E142))</f>
        <v/>
      </c>
      <c r="G142" s="53">
        <f>IF(A142="","","27"&amp;MID(A142,4,2)&amp;LEFT(A142,2))</f>
        <v/>
      </c>
      <c r="H142" s="48" t="n"/>
    </row>
    <row r="143" ht="15" customHeight="1">
      <c r="A143" s="38" t="n"/>
      <c r="B143" s="48" t="n"/>
      <c r="C143" s="53">
        <f>IF(B143="","",20.412)</f>
        <v/>
      </c>
      <c r="D143" s="48">
        <f>IF(B143="","",B143*C143)</f>
        <v/>
      </c>
      <c r="E143" s="53" t="n"/>
      <c r="F143" s="48">
        <f>IF(D143="","",D143-IF(E143="",0,E143))</f>
        <v/>
      </c>
      <c r="G143" s="53">
        <f>IF(A143="","","27"&amp;MID(A143,4,2)&amp;LEFT(A143,2))</f>
        <v/>
      </c>
      <c r="H143" s="48" t="n"/>
    </row>
    <row r="144" ht="15" customHeight="1">
      <c r="A144" s="38" t="n"/>
      <c r="B144" s="48" t="n"/>
      <c r="C144" s="53">
        <f>IF(B144="","",20.412)</f>
        <v/>
      </c>
      <c r="D144" s="48">
        <f>IF(B144="","",B144*C144)</f>
        <v/>
      </c>
      <c r="E144" s="53" t="n"/>
      <c r="F144" s="48">
        <f>IF(D144="","",D144-IF(E144="",0,E144))</f>
        <v/>
      </c>
      <c r="G144" s="53">
        <f>IF(A144="","","27"&amp;MID(A144,4,2)&amp;LEFT(A144,2))</f>
        <v/>
      </c>
      <c r="H144" s="48" t="n"/>
    </row>
    <row r="145" ht="15" customHeight="1">
      <c r="A145" s="38" t="n"/>
      <c r="B145" s="48" t="n"/>
      <c r="C145" s="53">
        <f>IF(B145="","",20.412)</f>
        <v/>
      </c>
      <c r="D145" s="48">
        <f>IF(B145="","",B145*C145)</f>
        <v/>
      </c>
      <c r="E145" s="53" t="n"/>
      <c r="F145" s="48">
        <f>IF(D145="","",D145-IF(E145="",0,E145))</f>
        <v/>
      </c>
      <c r="G145" s="53">
        <f>IF(A145="","","27"&amp;MID(A145,4,2)&amp;LEFT(A145,2))</f>
        <v/>
      </c>
      <c r="H145" s="48" t="n"/>
    </row>
    <row r="146" ht="15" customHeight="1">
      <c r="A146" s="38" t="n"/>
      <c r="B146" s="48" t="n"/>
      <c r="C146" s="53">
        <f>IF(B146="","",20.412)</f>
        <v/>
      </c>
      <c r="D146" s="48">
        <f>IF(B146="","",B146*C146)</f>
        <v/>
      </c>
      <c r="E146" s="53" t="n"/>
      <c r="F146" s="48">
        <f>IF(D146="","",D146-IF(E146="",0,E146))</f>
        <v/>
      </c>
      <c r="G146" s="53">
        <f>IF(A146="","","27"&amp;MID(A146,4,2)&amp;LEFT(A146,2))</f>
        <v/>
      </c>
      <c r="H146" s="48" t="n"/>
    </row>
    <row r="147" ht="15" customHeight="1">
      <c r="A147" s="38" t="n"/>
      <c r="B147" s="48" t="n"/>
      <c r="C147" s="53">
        <f>IF(B147="","",20.412)</f>
        <v/>
      </c>
      <c r="D147" s="48">
        <f>IF(B147="","",B147*C147)</f>
        <v/>
      </c>
      <c r="E147" s="53" t="n"/>
      <c r="F147" s="48">
        <f>IF(D147="","",D147-IF(E147="",0,E147))</f>
        <v/>
      </c>
      <c r="G147" s="53">
        <f>IF(A147="","","27"&amp;MID(A147,4,2)&amp;LEFT(A147,2))</f>
        <v/>
      </c>
      <c r="H147" s="48" t="n"/>
    </row>
    <row r="148" ht="15" customHeight="1">
      <c r="A148" s="38" t="n"/>
      <c r="B148" s="48" t="n"/>
      <c r="C148" s="53">
        <f>IF(B148="","",20.412)</f>
        <v/>
      </c>
      <c r="D148" s="48">
        <f>IF(B148="","",B148*C148)</f>
        <v/>
      </c>
      <c r="E148" s="53" t="n"/>
      <c r="F148" s="48">
        <f>IF(D148="","",D148-IF(E148="",0,E148))</f>
        <v/>
      </c>
      <c r="G148" s="53">
        <f>IF(A148="","","27"&amp;MID(A148,4,2)&amp;LEFT(A148,2))</f>
        <v/>
      </c>
      <c r="H148" s="48" t="n"/>
    </row>
    <row r="149" ht="15" customHeight="1">
      <c r="A149" s="38" t="n"/>
      <c r="B149" s="48" t="n"/>
      <c r="C149" s="53">
        <f>IF(B149="","",20.412)</f>
        <v/>
      </c>
      <c r="D149" s="48">
        <f>IF(B149="","",B149*C149)</f>
        <v/>
      </c>
      <c r="E149" s="53" t="n"/>
      <c r="F149" s="48">
        <f>IF(D149="","",D149-IF(E149="",0,E149))</f>
        <v/>
      </c>
      <c r="G149" s="53">
        <f>IF(A149="","","27"&amp;MID(A149,4,2)&amp;LEFT(A149,2))</f>
        <v/>
      </c>
      <c r="H149" s="48" t="n"/>
    </row>
    <row r="150" ht="15" customHeight="1">
      <c r="A150" s="38" t="n"/>
      <c r="B150" s="48" t="n"/>
      <c r="C150" s="53">
        <f>IF(B150="","",20.412)</f>
        <v/>
      </c>
      <c r="D150" s="48">
        <f>IF(B150="","",B150*C150)</f>
        <v/>
      </c>
      <c r="E150" s="53" t="n"/>
      <c r="F150" s="48">
        <f>IF(D150="","",D150-IF(E150="",0,E150))</f>
        <v/>
      </c>
      <c r="G150" s="53">
        <f>IF(A150="","","27"&amp;MID(A150,4,2)&amp;LEFT(A150,2))</f>
        <v/>
      </c>
      <c r="H150" s="48" t="n"/>
    </row>
    <row r="151" ht="15" customHeight="1">
      <c r="A151" s="38" t="n"/>
      <c r="B151" s="48" t="n"/>
      <c r="C151" s="53">
        <f>IF(B151="","",20.412)</f>
        <v/>
      </c>
      <c r="D151" s="48">
        <f>IF(B151="","",B151*C151)</f>
        <v/>
      </c>
      <c r="E151" s="53" t="n"/>
      <c r="F151" s="48">
        <f>IF(D151="","",D151-IF(E151="",0,E151))</f>
        <v/>
      </c>
      <c r="G151" s="53">
        <f>IF(A151="","","27"&amp;MID(A151,4,2)&amp;LEFT(A151,2))</f>
        <v/>
      </c>
      <c r="H151" s="48" t="n"/>
    </row>
    <row r="152" ht="15" customHeight="1">
      <c r="A152" s="38" t="n"/>
      <c r="B152" s="48" t="n"/>
      <c r="C152" s="53">
        <f>IF(B152="","",20.412)</f>
        <v/>
      </c>
      <c r="D152" s="48">
        <f>IF(B152="","",B152*C152)</f>
        <v/>
      </c>
      <c r="E152" s="53" t="n"/>
      <c r="F152" s="48">
        <f>IF(D152="","",D152-IF(E152="",0,E152))</f>
        <v/>
      </c>
      <c r="G152" s="53">
        <f>IF(A152="","","27"&amp;MID(A152,4,2)&amp;LEFT(A152,2))</f>
        <v/>
      </c>
      <c r="H152" s="48" t="n"/>
    </row>
    <row r="153" ht="15" customHeight="1">
      <c r="A153" s="38" t="n"/>
      <c r="B153" s="48" t="n"/>
      <c r="C153" s="53">
        <f>IF(B153="","",20.412)</f>
        <v/>
      </c>
      <c r="D153" s="48">
        <f>IF(B153="","",B153*C153)</f>
        <v/>
      </c>
      <c r="E153" s="53" t="n"/>
      <c r="F153" s="48">
        <f>IF(D153="","",D153-IF(E153="",0,E153))</f>
        <v/>
      </c>
      <c r="G153" s="53">
        <f>IF(A153="","","27"&amp;MID(A153,4,2)&amp;LEFT(A153,2))</f>
        <v/>
      </c>
      <c r="H153" s="48" t="n"/>
    </row>
    <row r="154" ht="15" customHeight="1">
      <c r="A154" s="38" t="n"/>
      <c r="B154" s="48" t="n"/>
      <c r="C154" s="53">
        <f>IF(B154="","",20.412)</f>
        <v/>
      </c>
      <c r="D154" s="48">
        <f>IF(B154="","",B154*C154)</f>
        <v/>
      </c>
      <c r="E154" s="53" t="n"/>
      <c r="F154" s="48">
        <f>IF(D154="","",D154-IF(E154="",0,E154))</f>
        <v/>
      </c>
      <c r="G154" s="53">
        <f>IF(A154="","","27"&amp;MID(A154,4,2)&amp;LEFT(A154,2))</f>
        <v/>
      </c>
      <c r="H154" s="48" t="n"/>
    </row>
    <row r="155" ht="15" customHeight="1">
      <c r="A155" s="38" t="n"/>
      <c r="B155" s="48" t="n"/>
      <c r="C155" s="53">
        <f>IF(B155="","",20.412)</f>
        <v/>
      </c>
      <c r="D155" s="48">
        <f>IF(B155="","",B155*C155)</f>
        <v/>
      </c>
      <c r="E155" s="53" t="n"/>
      <c r="F155" s="48">
        <f>IF(D155="","",D155-IF(E155="",0,E155))</f>
        <v/>
      </c>
      <c r="G155" s="53">
        <f>IF(A155="","","27"&amp;MID(A155,4,2)&amp;LEFT(A155,2))</f>
        <v/>
      </c>
      <c r="H155" s="48" t="n"/>
    </row>
    <row r="156" ht="15" customHeight="1">
      <c r="A156" s="38" t="n"/>
      <c r="B156" s="48" t="n"/>
      <c r="C156" s="53">
        <f>IF(B156="","",20.412)</f>
        <v/>
      </c>
      <c r="D156" s="48">
        <f>IF(B156="","",B156*C156)</f>
        <v/>
      </c>
      <c r="E156" s="53" t="n"/>
      <c r="F156" s="48">
        <f>IF(D156="","",D156-IF(E156="",0,E156))</f>
        <v/>
      </c>
      <c r="G156" s="53">
        <f>IF(A156="","","27"&amp;MID(A156,4,2)&amp;LEFT(A156,2))</f>
        <v/>
      </c>
      <c r="H156" s="48" t="n"/>
    </row>
    <row r="157" ht="15" customHeight="1">
      <c r="A157" s="38" t="n"/>
      <c r="B157" s="48" t="n"/>
      <c r="C157" s="53">
        <f>IF(B157="","",20.412)</f>
        <v/>
      </c>
      <c r="D157" s="48">
        <f>IF(B157="","",B157*C157)</f>
        <v/>
      </c>
      <c r="E157" s="53" t="n"/>
      <c r="F157" s="48">
        <f>IF(D157="","",D157-IF(E157="",0,E157))</f>
        <v/>
      </c>
      <c r="G157" s="53">
        <f>IF(A157="","","27"&amp;MID(A157,4,2)&amp;LEFT(A157,2))</f>
        <v/>
      </c>
      <c r="H157" s="48" t="n"/>
    </row>
    <row r="158" ht="15" customHeight="1">
      <c r="A158" s="38" t="n"/>
      <c r="B158" s="48" t="n"/>
      <c r="C158" s="53">
        <f>IF(B158="","",20.412)</f>
        <v/>
      </c>
      <c r="D158" s="48">
        <f>IF(B158="","",B158*C158)</f>
        <v/>
      </c>
      <c r="E158" s="53" t="n"/>
      <c r="F158" s="48">
        <f>IF(D158="","",D158-IF(E158="",0,E158))</f>
        <v/>
      </c>
      <c r="G158" s="53">
        <f>IF(A158="","","27"&amp;MID(A158,4,2)&amp;LEFT(A158,2))</f>
        <v/>
      </c>
      <c r="H158" s="48" t="n"/>
    </row>
    <row r="159" ht="15" customHeight="1">
      <c r="A159" s="38" t="n"/>
      <c r="B159" s="48" t="n"/>
      <c r="C159" s="53">
        <f>IF(B159="","",20.412)</f>
        <v/>
      </c>
      <c r="D159" s="48">
        <f>IF(B159="","",B159*C159)</f>
        <v/>
      </c>
      <c r="E159" s="53" t="n"/>
      <c r="F159" s="48">
        <f>IF(D159="","",D159-IF(E159="",0,E159))</f>
        <v/>
      </c>
      <c r="G159" s="53">
        <f>IF(A159="","","27"&amp;MID(A159,4,2)&amp;LEFT(A159,2))</f>
        <v/>
      </c>
      <c r="H159" s="48" t="n"/>
    </row>
    <row r="160" ht="15" customHeight="1">
      <c r="A160" s="38" t="n"/>
      <c r="B160" s="48" t="n"/>
      <c r="C160" s="53">
        <f>IF(B160="","",20.412)</f>
        <v/>
      </c>
      <c r="D160" s="48">
        <f>IF(B160="","",B160*C160)</f>
        <v/>
      </c>
      <c r="E160" s="53" t="n"/>
      <c r="F160" s="48">
        <f>IF(D160="","",D160-IF(E160="",0,E160))</f>
        <v/>
      </c>
      <c r="G160" s="53">
        <f>IF(A160="","","27"&amp;MID(A160,4,2)&amp;LEFT(A160,2))</f>
        <v/>
      </c>
      <c r="H160" s="48" t="n"/>
    </row>
    <row r="161" ht="15" customHeight="1">
      <c r="A161" s="38" t="n"/>
      <c r="B161" s="48" t="n"/>
      <c r="C161" s="53">
        <f>IF(B161="","",20.412)</f>
        <v/>
      </c>
      <c r="D161" s="48">
        <f>IF(B161="","",B161*C161)</f>
        <v/>
      </c>
      <c r="E161" s="53" t="n"/>
      <c r="F161" s="48">
        <f>IF(D161="","",D161-IF(E161="",0,E161))</f>
        <v/>
      </c>
      <c r="G161" s="53">
        <f>IF(A161="","","27"&amp;MID(A161,4,2)&amp;LEFT(A161,2))</f>
        <v/>
      </c>
      <c r="H161" s="48" t="n"/>
    </row>
    <row r="162" ht="15" customHeight="1">
      <c r="A162" s="38" t="n"/>
      <c r="B162" s="48" t="n"/>
      <c r="C162" s="53">
        <f>IF(B162="","",20.412)</f>
        <v/>
      </c>
      <c r="D162" s="48">
        <f>IF(B162="","",B162*C162)</f>
        <v/>
      </c>
      <c r="E162" s="53" t="n"/>
      <c r="F162" s="48">
        <f>IF(D162="","",D162-IF(E162="",0,E162))</f>
        <v/>
      </c>
      <c r="G162" s="53">
        <f>IF(A162="","","27"&amp;MID(A162,4,2)&amp;LEFT(A162,2))</f>
        <v/>
      </c>
      <c r="H162" s="48" t="n"/>
    </row>
    <row r="163" ht="15" customHeight="1">
      <c r="A163" s="38" t="n"/>
      <c r="B163" s="48" t="n"/>
      <c r="C163" s="53">
        <f>IF(B163="","",20.412)</f>
        <v/>
      </c>
      <c r="D163" s="48">
        <f>IF(B163="","",B163*C163)</f>
        <v/>
      </c>
      <c r="E163" s="53" t="n"/>
      <c r="F163" s="48">
        <f>IF(D163="","",D163-IF(E163="",0,E163))</f>
        <v/>
      </c>
      <c r="G163" s="53">
        <f>IF(A163="","","27"&amp;MID(A163,4,2)&amp;LEFT(A163,2))</f>
        <v/>
      </c>
      <c r="H163" s="48" t="n"/>
    </row>
    <row r="164" ht="15" customHeight="1">
      <c r="A164" s="38" t="n"/>
      <c r="B164" s="48" t="n"/>
      <c r="C164" s="53">
        <f>IF(B164="","",20.412)</f>
        <v/>
      </c>
      <c r="D164" s="48">
        <f>IF(B164="","",B164*C164)</f>
        <v/>
      </c>
      <c r="E164" s="53" t="n"/>
      <c r="F164" s="48">
        <f>IF(D164="","",D164-IF(E164="",0,E164))</f>
        <v/>
      </c>
      <c r="G164" s="53">
        <f>IF(A164="","","27"&amp;MID(A164,4,2)&amp;LEFT(A164,2))</f>
        <v/>
      </c>
      <c r="H164" s="48" t="n"/>
    </row>
    <row r="165" ht="15" customHeight="1">
      <c r="A165" s="38" t="n"/>
      <c r="B165" s="48" t="n"/>
      <c r="C165" s="53">
        <f>IF(B165="","",20.412)</f>
        <v/>
      </c>
      <c r="D165" s="48">
        <f>IF(B165="","",B165*C165)</f>
        <v/>
      </c>
      <c r="E165" s="53" t="n"/>
      <c r="F165" s="48">
        <f>IF(D165="","",D165-IF(E165="",0,E165))</f>
        <v/>
      </c>
      <c r="G165" s="53">
        <f>IF(A165="","","27"&amp;MID(A165,4,2)&amp;LEFT(A165,2))</f>
        <v/>
      </c>
      <c r="H165" s="48" t="n"/>
    </row>
    <row r="166" ht="15" customHeight="1">
      <c r="A166" s="38" t="n"/>
      <c r="B166" s="48" t="n"/>
      <c r="C166" s="53">
        <f>IF(B166="","",20.412)</f>
        <v/>
      </c>
      <c r="D166" s="48">
        <f>IF(B166="","",B166*C166)</f>
        <v/>
      </c>
      <c r="E166" s="53" t="n"/>
      <c r="F166" s="48">
        <f>IF(D166="","",D166-IF(E166="",0,E166))</f>
        <v/>
      </c>
      <c r="G166" s="53">
        <f>IF(A166="","","27"&amp;MID(A166,4,2)&amp;LEFT(A166,2))</f>
        <v/>
      </c>
      <c r="H166" s="48" t="n"/>
    </row>
    <row r="167" ht="15" customHeight="1">
      <c r="A167" s="38" t="n"/>
      <c r="B167" s="48" t="n"/>
      <c r="C167" s="53">
        <f>IF(B167="","",20.412)</f>
        <v/>
      </c>
      <c r="D167" s="48">
        <f>IF(B167="","",B167*C167)</f>
        <v/>
      </c>
      <c r="E167" s="53" t="n"/>
      <c r="F167" s="48">
        <f>IF(D167="","",D167-IF(E167="",0,E167))</f>
        <v/>
      </c>
      <c r="G167" s="53">
        <f>IF(A167="","","27"&amp;MID(A167,4,2)&amp;LEFT(A167,2))</f>
        <v/>
      </c>
      <c r="H167" s="48" t="n"/>
    </row>
    <row r="168" ht="15" customHeight="1">
      <c r="A168" s="38" t="n"/>
      <c r="B168" s="48" t="n"/>
      <c r="C168" s="53">
        <f>IF(B168="","",20.412)</f>
        <v/>
      </c>
      <c r="D168" s="48">
        <f>IF(B168="","",B168*C168)</f>
        <v/>
      </c>
      <c r="E168" s="53" t="n"/>
      <c r="F168" s="48">
        <f>IF(D168="","",D168-IF(E168="",0,E168))</f>
        <v/>
      </c>
      <c r="G168" s="53">
        <f>IF(A168="","","27"&amp;MID(A168,4,2)&amp;LEFT(A168,2))</f>
        <v/>
      </c>
      <c r="H168" s="48" t="n"/>
    </row>
    <row r="169" ht="15" customHeight="1">
      <c r="A169" s="38" t="n"/>
      <c r="B169" s="48" t="n"/>
      <c r="C169" s="53">
        <f>IF(B169="","",20.412)</f>
        <v/>
      </c>
      <c r="D169" s="48">
        <f>IF(B169="","",B169*C169)</f>
        <v/>
      </c>
      <c r="E169" s="53" t="n"/>
      <c r="F169" s="48">
        <f>IF(D169="","",D169-IF(E169="",0,E169))</f>
        <v/>
      </c>
      <c r="G169" s="53">
        <f>IF(A169="","","27"&amp;MID(A169,4,2)&amp;LEFT(A169,2))</f>
        <v/>
      </c>
      <c r="H169" s="48" t="n"/>
    </row>
    <row r="170" ht="15" customHeight="1">
      <c r="A170" s="38" t="n"/>
      <c r="B170" s="48" t="n"/>
      <c r="C170" s="53">
        <f>IF(B170="","",20.412)</f>
        <v/>
      </c>
      <c r="D170" s="48">
        <f>IF(B170="","",B170*C170)</f>
        <v/>
      </c>
      <c r="E170" s="53" t="n"/>
      <c r="F170" s="48">
        <f>IF(D170="","",D170-IF(E170="",0,E170))</f>
        <v/>
      </c>
      <c r="G170" s="53">
        <f>IF(A170="","","27"&amp;MID(A170,4,2)&amp;LEFT(A170,2))</f>
        <v/>
      </c>
      <c r="H170" s="48" t="n"/>
    </row>
    <row r="171" ht="15" customHeight="1">
      <c r="A171" s="38" t="n"/>
      <c r="B171" s="48" t="n"/>
      <c r="C171" s="53">
        <f>IF(B171="","",20.412)</f>
        <v/>
      </c>
      <c r="D171" s="48">
        <f>IF(B171="","",B171*C171)</f>
        <v/>
      </c>
      <c r="E171" s="53" t="n"/>
      <c r="F171" s="48">
        <f>IF(D171="","",D171-IF(E171="",0,E171))</f>
        <v/>
      </c>
      <c r="G171" s="53">
        <f>IF(A171="","","27"&amp;MID(A171,4,2)&amp;LEFT(A171,2))</f>
        <v/>
      </c>
      <c r="H171" s="48" t="n"/>
    </row>
    <row r="172" ht="15" customHeight="1">
      <c r="A172" s="38" t="n"/>
      <c r="B172" s="48" t="n"/>
      <c r="C172" s="53">
        <f>IF(B172="","",20.412)</f>
        <v/>
      </c>
      <c r="D172" s="48">
        <f>IF(B172="","",B172*C172)</f>
        <v/>
      </c>
      <c r="E172" s="53" t="n"/>
      <c r="F172" s="48">
        <f>IF(D172="","",D172-IF(E172="",0,E172))</f>
        <v/>
      </c>
      <c r="G172" s="53">
        <f>IF(A172="","","27"&amp;MID(A172,4,2)&amp;LEFT(A172,2))</f>
        <v/>
      </c>
      <c r="H172" s="48" t="n"/>
    </row>
    <row r="173" ht="15" customHeight="1">
      <c r="A173" s="38" t="n"/>
      <c r="B173" s="48" t="n"/>
      <c r="C173" s="53">
        <f>IF(B173="","",20.412)</f>
        <v/>
      </c>
      <c r="D173" s="48">
        <f>IF(B173="","",B173*C173)</f>
        <v/>
      </c>
      <c r="E173" s="53" t="n"/>
      <c r="F173" s="48">
        <f>IF(D173="","",D173-IF(E173="",0,E173))</f>
        <v/>
      </c>
      <c r="G173" s="53">
        <f>IF(A173="","","27"&amp;MID(A173,4,2)&amp;LEFT(A173,2))</f>
        <v/>
      </c>
      <c r="H173" s="48" t="n"/>
    </row>
    <row r="174" ht="15" customHeight="1">
      <c r="A174" s="38" t="n"/>
      <c r="B174" s="48" t="n"/>
      <c r="C174" s="53">
        <f>IF(B174="","",20.412)</f>
        <v/>
      </c>
      <c r="D174" s="48">
        <f>IF(B174="","",B174*C174)</f>
        <v/>
      </c>
      <c r="E174" s="53" t="n"/>
      <c r="F174" s="48">
        <f>IF(D174="","",D174-IF(E174="",0,E174))</f>
        <v/>
      </c>
      <c r="G174" s="53">
        <f>IF(A174="","","27"&amp;MID(A174,4,2)&amp;LEFT(A174,2))</f>
        <v/>
      </c>
      <c r="H174" s="48" t="n"/>
    </row>
    <row r="175" ht="15" customHeight="1">
      <c r="A175" s="38" t="n"/>
      <c r="B175" s="48" t="n"/>
      <c r="C175" s="53">
        <f>IF(B175="","",20.412)</f>
        <v/>
      </c>
      <c r="D175" s="48">
        <f>IF(B175="","",B175*C175)</f>
        <v/>
      </c>
      <c r="E175" s="53" t="n"/>
      <c r="F175" s="48">
        <f>IF(D175="","",D175-IF(E175="",0,E175))</f>
        <v/>
      </c>
      <c r="G175" s="53">
        <f>IF(A175="","","27"&amp;MID(A175,4,2)&amp;LEFT(A175,2))</f>
        <v/>
      </c>
      <c r="H175" s="48" t="n"/>
    </row>
    <row r="176" ht="15" customHeight="1">
      <c r="A176" s="38" t="n"/>
      <c r="B176" s="48" t="n"/>
      <c r="C176" s="53">
        <f>IF(B176="","",20.412)</f>
        <v/>
      </c>
      <c r="D176" s="48">
        <f>IF(B176="","",B176*C176)</f>
        <v/>
      </c>
      <c r="E176" s="53" t="n"/>
      <c r="F176" s="48">
        <f>IF(D176="","",D176-IF(E176="",0,E176))</f>
        <v/>
      </c>
      <c r="G176" s="53">
        <f>IF(A176="","","27"&amp;MID(A176,4,2)&amp;LEFT(A176,2))</f>
        <v/>
      </c>
      <c r="H176" s="48" t="n"/>
    </row>
    <row r="177" ht="15" customHeight="1">
      <c r="A177" s="38" t="n"/>
      <c r="B177" s="48" t="n"/>
      <c r="C177" s="53">
        <f>IF(B177="","",20.412)</f>
        <v/>
      </c>
      <c r="D177" s="48">
        <f>IF(B177="","",B177*C177)</f>
        <v/>
      </c>
      <c r="E177" s="53" t="n"/>
      <c r="F177" s="48">
        <f>IF(D177="","",D177-IF(E177="",0,E177))</f>
        <v/>
      </c>
      <c r="G177" s="53">
        <f>IF(A177="","","27"&amp;MID(A177,4,2)&amp;LEFT(A177,2))</f>
        <v/>
      </c>
      <c r="H177" s="48" t="n"/>
    </row>
    <row r="178" ht="15" customHeight="1">
      <c r="A178" s="38" t="n"/>
      <c r="B178" s="48" t="n"/>
      <c r="C178" s="53">
        <f>IF(B178="","",20.412)</f>
        <v/>
      </c>
      <c r="D178" s="48">
        <f>IF(B178="","",B178*C178)</f>
        <v/>
      </c>
      <c r="E178" s="53" t="n"/>
      <c r="F178" s="48">
        <f>IF(D178="","",D178-IF(E178="",0,E178))</f>
        <v/>
      </c>
      <c r="G178" s="53">
        <f>IF(A178="","","27"&amp;MID(A178,4,2)&amp;LEFT(A178,2))</f>
        <v/>
      </c>
      <c r="H178" s="48" t="n"/>
    </row>
    <row r="179" ht="15" customHeight="1">
      <c r="A179" s="38" t="n"/>
      <c r="B179" s="48" t="n"/>
      <c r="C179" s="53">
        <f>IF(B179="","",20.412)</f>
        <v/>
      </c>
      <c r="D179" s="48">
        <f>IF(B179="","",B179*C179)</f>
        <v/>
      </c>
      <c r="E179" s="53" t="n"/>
      <c r="F179" s="48">
        <f>IF(D179="","",D179-IF(E179="",0,E179))</f>
        <v/>
      </c>
      <c r="G179" s="53">
        <f>IF(A179="","","27"&amp;MID(A179,4,2)&amp;LEFT(A179,2))</f>
        <v/>
      </c>
      <c r="H179" s="48" t="n"/>
    </row>
    <row r="180" ht="15" customHeight="1">
      <c r="A180" s="38" t="n"/>
      <c r="B180" s="48" t="n"/>
      <c r="C180" s="53">
        <f>IF(B180="","",20.412)</f>
        <v/>
      </c>
      <c r="D180" s="48">
        <f>IF(B180="","",B180*C180)</f>
        <v/>
      </c>
      <c r="E180" s="53" t="n"/>
      <c r="F180" s="48">
        <f>IF(D180="","",D180-IF(E180="",0,E180))</f>
        <v/>
      </c>
      <c r="G180" s="53">
        <f>IF(A180="","","27"&amp;MID(A180,4,2)&amp;LEFT(A180,2))</f>
        <v/>
      </c>
      <c r="H180" s="48" t="n"/>
    </row>
    <row r="181" ht="15" customHeight="1">
      <c r="A181" s="38" t="n"/>
      <c r="B181" s="48" t="n"/>
      <c r="C181" s="53">
        <f>IF(B181="","",20.412)</f>
        <v/>
      </c>
      <c r="D181" s="48">
        <f>IF(B181="","",B181*C181)</f>
        <v/>
      </c>
      <c r="E181" s="53" t="n"/>
      <c r="F181" s="48">
        <f>IF(D181="","",D181-IF(E181="",0,E181))</f>
        <v/>
      </c>
      <c r="G181" s="53">
        <f>IF(A181="","","27"&amp;MID(A181,4,2)&amp;LEFT(A181,2))</f>
        <v/>
      </c>
      <c r="H181" s="48" t="n"/>
    </row>
    <row r="182" ht="15" customHeight="1">
      <c r="A182" s="38" t="n"/>
      <c r="B182" s="48" t="n"/>
      <c r="C182" s="53">
        <f>IF(B182="","",20.412)</f>
        <v/>
      </c>
      <c r="D182" s="48">
        <f>IF(B182="","",B182*C182)</f>
        <v/>
      </c>
      <c r="E182" s="53" t="n"/>
      <c r="F182" s="48">
        <f>IF(D182="","",D182-IF(E182="",0,E182))</f>
        <v/>
      </c>
      <c r="G182" s="53">
        <f>IF(A182="","","27"&amp;MID(A182,4,2)&amp;LEFT(A182,2))</f>
        <v/>
      </c>
      <c r="H182" s="48" t="n"/>
    </row>
    <row r="183" ht="15" customHeight="1">
      <c r="A183" s="38" t="n"/>
      <c r="B183" s="48" t="n"/>
      <c r="C183" s="53">
        <f>IF(B183="","",20.412)</f>
        <v/>
      </c>
      <c r="D183" s="48">
        <f>IF(B183="","",B183*C183)</f>
        <v/>
      </c>
      <c r="E183" s="53" t="n"/>
      <c r="F183" s="48">
        <f>IF(D183="","",D183-IF(E183="",0,E183))</f>
        <v/>
      </c>
      <c r="G183" s="53">
        <f>IF(A183="","","27"&amp;MID(A183,4,2)&amp;LEFT(A183,2))</f>
        <v/>
      </c>
      <c r="H183" s="48" t="n"/>
    </row>
    <row r="184" ht="15" customHeight="1">
      <c r="A184" s="38" t="n"/>
      <c r="B184" s="48" t="n"/>
      <c r="C184" s="53">
        <f>IF(B184="","",20.412)</f>
        <v/>
      </c>
      <c r="D184" s="48">
        <f>IF(B184="","",B184*C184)</f>
        <v/>
      </c>
      <c r="E184" s="53" t="n"/>
      <c r="F184" s="48">
        <f>IF(D184="","",D184-IF(E184="",0,E184))</f>
        <v/>
      </c>
      <c r="G184" s="53">
        <f>IF(A184="","","27"&amp;MID(A184,4,2)&amp;LEFT(A184,2))</f>
        <v/>
      </c>
      <c r="H184" s="48" t="n"/>
    </row>
    <row r="185" ht="15" customHeight="1">
      <c r="A185" s="38" t="n"/>
      <c r="B185" s="48" t="n"/>
      <c r="C185" s="53">
        <f>IF(B185="","",20.412)</f>
        <v/>
      </c>
      <c r="D185" s="48">
        <f>IF(B185="","",B185*C185)</f>
        <v/>
      </c>
      <c r="E185" s="53" t="n"/>
      <c r="F185" s="48">
        <f>IF(D185="","",D185-IF(E185="",0,E185))</f>
        <v/>
      </c>
      <c r="G185" s="53">
        <f>IF(A185="","","27"&amp;MID(A185,4,2)&amp;LEFT(A185,2))</f>
        <v/>
      </c>
      <c r="H185" s="48" t="n"/>
    </row>
    <row r="186" ht="15" customHeight="1">
      <c r="A186" s="38" t="n"/>
      <c r="B186" s="48" t="n"/>
      <c r="C186" s="53">
        <f>IF(B186="","",20.412)</f>
        <v/>
      </c>
      <c r="D186" s="48">
        <f>IF(B186="","",B186*C186)</f>
        <v/>
      </c>
      <c r="E186" s="53" t="n"/>
      <c r="F186" s="48">
        <f>IF(D186="","",D186-IF(E186="",0,E186))</f>
        <v/>
      </c>
      <c r="G186" s="53">
        <f>IF(A186="","","27"&amp;MID(A186,4,2)&amp;LEFT(A186,2))</f>
        <v/>
      </c>
      <c r="H186" s="48" t="n"/>
    </row>
    <row r="187" ht="15" customHeight="1">
      <c r="A187" s="38" t="n"/>
      <c r="B187" s="48" t="n"/>
      <c r="C187" s="53">
        <f>IF(B187="","",20.412)</f>
        <v/>
      </c>
      <c r="D187" s="48">
        <f>IF(B187="","",B187*C187)</f>
        <v/>
      </c>
      <c r="E187" s="53" t="n"/>
      <c r="F187" s="48">
        <f>IF(D187="","",D187-IF(E187="",0,E187))</f>
        <v/>
      </c>
      <c r="G187" s="53">
        <f>IF(A187="","","27"&amp;MID(A187,4,2)&amp;LEFT(A187,2))</f>
        <v/>
      </c>
      <c r="H187" s="48" t="n"/>
    </row>
    <row r="188" ht="15" customHeight="1">
      <c r="A188" s="38" t="n"/>
      <c r="B188" s="48" t="n"/>
      <c r="C188" s="53">
        <f>IF(B188="","",20.412)</f>
        <v/>
      </c>
      <c r="D188" s="48">
        <f>IF(B188="","",B188*C188)</f>
        <v/>
      </c>
      <c r="E188" s="53" t="n"/>
      <c r="F188" s="48">
        <f>IF(D188="","",D188-IF(E188="",0,E188))</f>
        <v/>
      </c>
      <c r="G188" s="53">
        <f>IF(A188="","","27"&amp;MID(A188,4,2)&amp;LEFT(A188,2))</f>
        <v/>
      </c>
      <c r="H188" s="48" t="n"/>
    </row>
    <row r="189" ht="15" customHeight="1">
      <c r="A189" s="38" t="n"/>
      <c r="B189" s="48" t="n"/>
      <c r="C189" s="53">
        <f>IF(B189="","",20.412)</f>
        <v/>
      </c>
      <c r="D189" s="48">
        <f>IF(B189="","",B189*C189)</f>
        <v/>
      </c>
      <c r="E189" s="53" t="n"/>
      <c r="F189" s="48">
        <f>IF(D189="","",D189-IF(E189="",0,E189))</f>
        <v/>
      </c>
      <c r="G189" s="53">
        <f>IF(A189="","","27"&amp;MID(A189,4,2)&amp;LEFT(A189,2))</f>
        <v/>
      </c>
      <c r="H189" s="48" t="n"/>
    </row>
    <row r="190" ht="15" customHeight="1">
      <c r="A190" s="38" t="n"/>
      <c r="B190" s="48" t="n"/>
      <c r="C190" s="53">
        <f>IF(B190="","",20.412)</f>
        <v/>
      </c>
      <c r="D190" s="48">
        <f>IF(B190="","",B190*C190)</f>
        <v/>
      </c>
      <c r="E190" s="53" t="n"/>
      <c r="F190" s="48">
        <f>IF(D190="","",D190-IF(E190="",0,E190))</f>
        <v/>
      </c>
      <c r="G190" s="53">
        <f>IF(A190="","","27"&amp;MID(A190,4,2)&amp;LEFT(A190,2))</f>
        <v/>
      </c>
      <c r="H190" s="48" t="n"/>
    </row>
    <row r="191" ht="15" customHeight="1">
      <c r="A191" s="38" t="n"/>
      <c r="B191" s="48" t="n"/>
      <c r="C191" s="53">
        <f>IF(B191="","",20.412)</f>
        <v/>
      </c>
      <c r="D191" s="48">
        <f>IF(B191="","",B191*C191)</f>
        <v/>
      </c>
      <c r="E191" s="53" t="n"/>
      <c r="F191" s="48">
        <f>IF(D191="","",D191-IF(E191="",0,E191))</f>
        <v/>
      </c>
      <c r="G191" s="53">
        <f>IF(A191="","","27"&amp;MID(A191,4,2)&amp;LEFT(A191,2))</f>
        <v/>
      </c>
      <c r="H191" s="48" t="n"/>
    </row>
    <row r="192" ht="15" customHeight="1">
      <c r="A192" s="38" t="n"/>
      <c r="B192" s="48" t="n"/>
      <c r="C192" s="53">
        <f>IF(B192="","",20.412)</f>
        <v/>
      </c>
      <c r="D192" s="48">
        <f>IF(B192="","",B192*C192)</f>
        <v/>
      </c>
      <c r="E192" s="53" t="n"/>
      <c r="F192" s="48">
        <f>IF(D192="","",D192-IF(E192="",0,E192))</f>
        <v/>
      </c>
      <c r="G192" s="53">
        <f>IF(A192="","","27"&amp;MID(A192,4,2)&amp;LEFT(A192,2))</f>
        <v/>
      </c>
      <c r="H192" s="48" t="n"/>
    </row>
    <row r="193" ht="15" customHeight="1">
      <c r="A193" s="38" t="n"/>
      <c r="B193" s="48" t="n"/>
      <c r="C193" s="53">
        <f>IF(B193="","",20.412)</f>
        <v/>
      </c>
      <c r="D193" s="48">
        <f>IF(B193="","",B193*C193)</f>
        <v/>
      </c>
      <c r="E193" s="53" t="n"/>
      <c r="F193" s="48">
        <f>IF(D193="","",D193-IF(E193="",0,E193))</f>
        <v/>
      </c>
      <c r="G193" s="53">
        <f>IF(A193="","","27"&amp;MID(A193,4,2)&amp;LEFT(A193,2))</f>
        <v/>
      </c>
      <c r="H193" s="48" t="n"/>
    </row>
    <row r="194" ht="15" customHeight="1">
      <c r="A194" s="38" t="n"/>
      <c r="B194" s="48" t="n"/>
      <c r="C194" s="53">
        <f>IF(B194="","",20.412)</f>
        <v/>
      </c>
      <c r="D194" s="48">
        <f>IF(B194="","",B194*C194)</f>
        <v/>
      </c>
      <c r="E194" s="53" t="n"/>
      <c r="F194" s="48">
        <f>IF(D194="","",D194-IF(E194="",0,E194))</f>
        <v/>
      </c>
      <c r="G194" s="53">
        <f>IF(A194="","","27"&amp;MID(A194,4,2)&amp;LEFT(A194,2))</f>
        <v/>
      </c>
      <c r="H194" s="48" t="n"/>
    </row>
    <row r="195" ht="15" customHeight="1">
      <c r="A195" s="38" t="n"/>
      <c r="B195" s="48" t="n"/>
      <c r="C195" s="53">
        <f>IF(B195="","",20.412)</f>
        <v/>
      </c>
      <c r="D195" s="48">
        <f>IF(B195="","",B195*C195)</f>
        <v/>
      </c>
      <c r="E195" s="53" t="n"/>
      <c r="F195" s="48">
        <f>IF(D195="","",D195-IF(E195="",0,E195))</f>
        <v/>
      </c>
      <c r="G195" s="53">
        <f>IF(A195="","","27"&amp;MID(A195,4,2)&amp;LEFT(A195,2))</f>
        <v/>
      </c>
      <c r="H195" s="48" t="n"/>
    </row>
    <row r="196" ht="15" customHeight="1">
      <c r="A196" s="38" t="n"/>
      <c r="B196" s="48" t="n"/>
      <c r="C196" s="53">
        <f>IF(B196="","",20.412)</f>
        <v/>
      </c>
      <c r="D196" s="48">
        <f>IF(B196="","",B196*C196)</f>
        <v/>
      </c>
      <c r="E196" s="53" t="n"/>
      <c r="F196" s="48">
        <f>IF(D196="","",D196-IF(E196="",0,E196))</f>
        <v/>
      </c>
      <c r="G196" s="53">
        <f>IF(A196="","","27"&amp;MID(A196,4,2)&amp;LEFT(A196,2))</f>
        <v/>
      </c>
      <c r="H196" s="48" t="n"/>
    </row>
    <row r="197" ht="15" customHeight="1">
      <c r="A197" s="38" t="n"/>
      <c r="B197" s="48" t="n"/>
      <c r="C197" s="53">
        <f>IF(B197="","",20.412)</f>
        <v/>
      </c>
      <c r="D197" s="48">
        <f>IF(B197="","",B197*C197)</f>
        <v/>
      </c>
      <c r="E197" s="53" t="n"/>
      <c r="F197" s="48">
        <f>IF(D197="","",D197-IF(E197="",0,E197))</f>
        <v/>
      </c>
      <c r="G197" s="53">
        <f>IF(A197="","","27"&amp;MID(A197,4,2)&amp;LEFT(A197,2))</f>
        <v/>
      </c>
      <c r="H197" s="48" t="n"/>
    </row>
    <row r="198" ht="15" customHeight="1">
      <c r="A198" s="38" t="n"/>
      <c r="B198" s="48" t="n"/>
      <c r="C198" s="53">
        <f>IF(B198="","",20.412)</f>
        <v/>
      </c>
      <c r="D198" s="48">
        <f>IF(B198="","",B198*C198)</f>
        <v/>
      </c>
      <c r="E198" s="53" t="n"/>
      <c r="F198" s="48">
        <f>IF(D198="","",D198-IF(E198="",0,E198))</f>
        <v/>
      </c>
      <c r="G198" s="53">
        <f>IF(A198="","","27"&amp;MID(A198,4,2)&amp;LEFT(A198,2))</f>
        <v/>
      </c>
      <c r="H198" s="48" t="n"/>
    </row>
    <row r="199" ht="15" customHeight="1">
      <c r="A199" s="38" t="n"/>
      <c r="B199" s="48" t="n"/>
      <c r="C199" s="53">
        <f>IF(B199="","",20.412)</f>
        <v/>
      </c>
      <c r="D199" s="48">
        <f>IF(B199="","",B199*C199)</f>
        <v/>
      </c>
      <c r="E199" s="53" t="n"/>
      <c r="F199" s="48">
        <f>IF(D199="","",D199-IF(E199="",0,E199))</f>
        <v/>
      </c>
      <c r="G199" s="53">
        <f>IF(A199="","","27"&amp;MID(A199,4,2)&amp;LEFT(A199,2))</f>
        <v/>
      </c>
      <c r="H199" s="48" t="n"/>
    </row>
    <row r="200" ht="15" customHeight="1">
      <c r="A200" s="38" t="n"/>
      <c r="B200" s="48" t="n"/>
      <c r="C200" s="53">
        <f>IF(B200="","",20.412)</f>
        <v/>
      </c>
      <c r="D200" s="48">
        <f>IF(B200="","",B200*C200)</f>
        <v/>
      </c>
      <c r="E200" s="53" t="n"/>
      <c r="F200" s="48">
        <f>IF(D200="","",D200-IF(E200="",0,E200))</f>
        <v/>
      </c>
      <c r="G200" s="53">
        <f>IF(A200="","","27"&amp;MID(A200,4,2)&amp;LEFT(A200,2))</f>
        <v/>
      </c>
      <c r="H200" s="48" t="n"/>
    </row>
    <row r="201" ht="15" customHeight="1">
      <c r="A201" s="38" t="n"/>
      <c r="B201" s="48" t="n"/>
      <c r="C201" s="53">
        <f>IF(B201="","",20.412)</f>
        <v/>
      </c>
      <c r="D201" s="48">
        <f>IF(B201="","",B201*C201)</f>
        <v/>
      </c>
      <c r="E201" s="53" t="n"/>
      <c r="F201" s="48">
        <f>IF(D201="","",D201-IF(E201="",0,E201))</f>
        <v/>
      </c>
      <c r="G201" s="53">
        <f>IF(A201="","","27"&amp;MID(A201,4,2)&amp;LEFT(A201,2))</f>
        <v/>
      </c>
      <c r="H201" s="48" t="n"/>
    </row>
    <row r="202" ht="15" customHeight="1">
      <c r="A202" s="38" t="n"/>
      <c r="B202" s="48" t="n"/>
      <c r="C202" s="53">
        <f>IF(B202="","",20.412)</f>
        <v/>
      </c>
      <c r="D202" s="48">
        <f>IF(B202="","",B202*C202)</f>
        <v/>
      </c>
      <c r="E202" s="53" t="n"/>
      <c r="F202" s="48">
        <f>IF(D202="","",D202-IF(E202="",0,E202))</f>
        <v/>
      </c>
      <c r="G202" s="53">
        <f>IF(A202="","","27"&amp;MID(A202,4,2)&amp;LEFT(A202,2))</f>
        <v/>
      </c>
      <c r="H202" s="48" t="n"/>
    </row>
    <row r="203" ht="15" customHeight="1">
      <c r="A203" s="38" t="n"/>
      <c r="B203" s="48" t="n"/>
      <c r="C203" s="53">
        <f>IF(B203="","",20.412)</f>
        <v/>
      </c>
      <c r="D203" s="48">
        <f>IF(B203="","",B203*C203)</f>
        <v/>
      </c>
      <c r="E203" s="53" t="n"/>
      <c r="F203" s="48">
        <f>IF(D203="","",D203-IF(E203="",0,E203))</f>
        <v/>
      </c>
      <c r="G203" s="53">
        <f>IF(A203="","","27"&amp;MID(A203,4,2)&amp;LEFT(A203,2))</f>
        <v/>
      </c>
      <c r="H203" s="48" t="n"/>
    </row>
    <row r="204" ht="15" customHeight="1">
      <c r="A204" s="38" t="n"/>
      <c r="B204" s="48" t="n"/>
      <c r="C204" s="53">
        <f>IF(B204="","",20.412)</f>
        <v/>
      </c>
      <c r="D204" s="48">
        <f>IF(B204="","",B204*C204)</f>
        <v/>
      </c>
      <c r="E204" s="53" t="n"/>
      <c r="F204" s="48">
        <f>IF(D204="","",D204-IF(E204="",0,E204))</f>
        <v/>
      </c>
      <c r="G204" s="53">
        <f>IF(A204="","","27"&amp;MID(A204,4,2)&amp;LEFT(A204,2))</f>
        <v/>
      </c>
      <c r="H204" s="48" t="n"/>
    </row>
    <row r="205" ht="15" customHeight="1">
      <c r="A205" s="38" t="n"/>
      <c r="B205" s="48" t="n"/>
      <c r="C205" s="53">
        <f>IF(B205="","",20.412)</f>
        <v/>
      </c>
      <c r="D205" s="48">
        <f>IF(B205="","",B205*C205)</f>
        <v/>
      </c>
      <c r="E205" s="53" t="n"/>
      <c r="F205" s="48">
        <f>IF(D205="","",D205-IF(E205="",0,E205))</f>
        <v/>
      </c>
      <c r="G205" s="53">
        <f>IF(A205="","","27"&amp;MID(A205,4,2)&amp;LEFT(A205,2))</f>
        <v/>
      </c>
      <c r="H205" s="48" t="n"/>
    </row>
    <row r="206" ht="15" customHeight="1">
      <c r="A206" s="38" t="n"/>
      <c r="B206" s="48" t="n"/>
      <c r="C206" s="53">
        <f>IF(B206="","",20.412)</f>
        <v/>
      </c>
      <c r="D206" s="48">
        <f>IF(B206="","",B206*C206)</f>
        <v/>
      </c>
      <c r="E206" s="53" t="n"/>
      <c r="F206" s="48">
        <f>IF(D206="","",D206-IF(E206="",0,E206))</f>
        <v/>
      </c>
      <c r="G206" s="53">
        <f>IF(A206="","","27"&amp;MID(A206,4,2)&amp;LEFT(A206,2))</f>
        <v/>
      </c>
      <c r="H206" s="48" t="n"/>
    </row>
    <row r="207" ht="15" customHeight="1">
      <c r="A207" s="38" t="n"/>
      <c r="B207" s="48" t="n"/>
      <c r="C207" s="53">
        <f>IF(B207="","",20.412)</f>
        <v/>
      </c>
      <c r="D207" s="48">
        <f>IF(B207="","",B207*C207)</f>
        <v/>
      </c>
      <c r="E207" s="53" t="n"/>
      <c r="F207" s="48">
        <f>IF(D207="","",D207-IF(E207="",0,E207))</f>
        <v/>
      </c>
      <c r="G207" s="53">
        <f>IF(A207="","","27"&amp;MID(A207,4,2)&amp;LEFT(A207,2))</f>
        <v/>
      </c>
      <c r="H207" s="48" t="n"/>
    </row>
    <row r="208" ht="15" customHeight="1">
      <c r="A208" s="38" t="n"/>
      <c r="B208" s="48" t="n"/>
      <c r="C208" s="53">
        <f>IF(B208="","",20.412)</f>
        <v/>
      </c>
      <c r="D208" s="48">
        <f>IF(B208="","",B208*C208)</f>
        <v/>
      </c>
      <c r="E208" s="53" t="n"/>
      <c r="F208" s="48">
        <f>IF(D208="","",D208-IF(E208="",0,E208))</f>
        <v/>
      </c>
      <c r="G208" s="53">
        <f>IF(A208="","","27"&amp;MID(A208,4,2)&amp;LEFT(A208,2))</f>
        <v/>
      </c>
      <c r="H208" s="48" t="n"/>
    </row>
    <row r="209" ht="15" customHeight="1">
      <c r="A209" s="38" t="n"/>
      <c r="B209" s="48" t="n"/>
      <c r="C209" s="53">
        <f>IF(B209="","",20.412)</f>
        <v/>
      </c>
      <c r="D209" s="48">
        <f>IF(B209="","",B209*C209)</f>
        <v/>
      </c>
      <c r="E209" s="53" t="n"/>
      <c r="F209" s="48">
        <f>IF(D209="","",D209-IF(E209="",0,E209))</f>
        <v/>
      </c>
      <c r="G209" s="53">
        <f>IF(A209="","","27"&amp;MID(A209,4,2)&amp;LEFT(A209,2))</f>
        <v/>
      </c>
      <c r="H209" s="48" t="n"/>
    </row>
    <row r="210" ht="15" customHeight="1">
      <c r="A210" s="38" t="n"/>
      <c r="B210" s="48" t="n"/>
      <c r="C210" s="53">
        <f>IF(B210="","",20.412)</f>
        <v/>
      </c>
      <c r="D210" s="48">
        <f>IF(B210="","",B210*C210)</f>
        <v/>
      </c>
      <c r="E210" s="53" t="n"/>
      <c r="F210" s="48">
        <f>IF(D210="","",D210-IF(E210="",0,E210))</f>
        <v/>
      </c>
      <c r="G210" s="53">
        <f>IF(A210="","","27"&amp;MID(A210,4,2)&amp;LEFT(A210,2))</f>
        <v/>
      </c>
      <c r="H210" s="48" t="n"/>
    </row>
    <row r="211" ht="15" customHeight="1">
      <c r="A211" s="38" t="n"/>
      <c r="B211" s="48" t="n"/>
      <c r="C211" s="53">
        <f>IF(B211="","",20.412)</f>
        <v/>
      </c>
      <c r="D211" s="48">
        <f>IF(B211="","",B211*C211)</f>
        <v/>
      </c>
      <c r="E211" s="53" t="n"/>
      <c r="F211" s="48">
        <f>IF(D211="","",D211-IF(E211="",0,E211))</f>
        <v/>
      </c>
      <c r="G211" s="53">
        <f>IF(A211="","","27"&amp;MID(A211,4,2)&amp;LEFT(A211,2))</f>
        <v/>
      </c>
      <c r="H211" s="48" t="n"/>
    </row>
    <row r="212" ht="15" customHeight="1">
      <c r="A212" s="38" t="n"/>
      <c r="B212" s="48" t="n"/>
      <c r="C212" s="53">
        <f>IF(B212="","",20.412)</f>
        <v/>
      </c>
      <c r="D212" s="48">
        <f>IF(B212="","",B212*C212)</f>
        <v/>
      </c>
      <c r="E212" s="53" t="n"/>
      <c r="F212" s="48">
        <f>IF(D212="","",D212-IF(E212="",0,E212))</f>
        <v/>
      </c>
      <c r="G212" s="53">
        <f>IF(A212="","","27"&amp;MID(A212,4,2)&amp;LEFT(A212,2))</f>
        <v/>
      </c>
      <c r="H212" s="48" t="n"/>
    </row>
    <row r="213" ht="15" customHeight="1">
      <c r="A213" s="38" t="n"/>
      <c r="B213" s="48" t="n"/>
      <c r="C213" s="53">
        <f>IF(B213="","",20.412)</f>
        <v/>
      </c>
      <c r="D213" s="48">
        <f>IF(B213="","",B213*C213)</f>
        <v/>
      </c>
      <c r="E213" s="53" t="n"/>
      <c r="F213" s="48">
        <f>IF(D213="","",D213-IF(E213="",0,E213))</f>
        <v/>
      </c>
      <c r="G213" s="53">
        <f>IF(A213="","","27"&amp;MID(A213,4,2)&amp;LEFT(A213,2))</f>
        <v/>
      </c>
      <c r="H213" s="48" t="n"/>
    </row>
    <row r="214" ht="15" customHeight="1">
      <c r="A214" s="38" t="n"/>
      <c r="B214" s="48" t="n"/>
      <c r="C214" s="53">
        <f>IF(B214="","",20.412)</f>
        <v/>
      </c>
      <c r="D214" s="48">
        <f>IF(B214="","",B214*C214)</f>
        <v/>
      </c>
      <c r="E214" s="53" t="n"/>
      <c r="F214" s="48">
        <f>IF(D214="","",D214-IF(E214="",0,E214))</f>
        <v/>
      </c>
      <c r="G214" s="53">
        <f>IF(A214="","","27"&amp;MID(A214,4,2)&amp;LEFT(A214,2))</f>
        <v/>
      </c>
      <c r="H214" s="48" t="n"/>
    </row>
    <row r="215" ht="15" customHeight="1">
      <c r="A215" s="38" t="n"/>
      <c r="B215" s="48" t="n"/>
      <c r="C215" s="53">
        <f>IF(B215="","",20.412)</f>
        <v/>
      </c>
      <c r="D215" s="48">
        <f>IF(B215="","",B215*C215)</f>
        <v/>
      </c>
      <c r="E215" s="53" t="n"/>
      <c r="F215" s="48">
        <f>IF(D215="","",D215-IF(E215="",0,E215))</f>
        <v/>
      </c>
      <c r="G215" s="53">
        <f>IF(A215="","","27"&amp;MID(A215,4,2)&amp;LEFT(A215,2))</f>
        <v/>
      </c>
      <c r="H215" s="48" t="n"/>
    </row>
    <row r="216" ht="15" customHeight="1">
      <c r="A216" s="38" t="n"/>
      <c r="B216" s="48" t="n"/>
      <c r="C216" s="53">
        <f>IF(B216="","",20.412)</f>
        <v/>
      </c>
      <c r="D216" s="48">
        <f>IF(B216="","",B216*C216)</f>
        <v/>
      </c>
      <c r="E216" s="53" t="n"/>
      <c r="F216" s="48">
        <f>IF(D216="","",D216-IF(E216="",0,E216))</f>
        <v/>
      </c>
      <c r="G216" s="53">
        <f>IF(A216="","","27"&amp;MID(A216,4,2)&amp;LEFT(A216,2))</f>
        <v/>
      </c>
      <c r="H216" s="48" t="n"/>
    </row>
    <row r="217" ht="15" customHeight="1">
      <c r="A217" s="38" t="n"/>
      <c r="B217" s="48" t="n"/>
      <c r="C217" s="53">
        <f>IF(B217="","",20.412)</f>
        <v/>
      </c>
      <c r="D217" s="48">
        <f>IF(B217="","",B217*C217)</f>
        <v/>
      </c>
      <c r="E217" s="53" t="n"/>
      <c r="F217" s="48">
        <f>IF(D217="","",D217-IF(E217="",0,E217))</f>
        <v/>
      </c>
      <c r="G217" s="53">
        <f>IF(A217="","","27"&amp;MID(A217,4,2)&amp;LEFT(A217,2))</f>
        <v/>
      </c>
      <c r="H217" s="48" t="n"/>
    </row>
    <row r="218" ht="15" customHeight="1">
      <c r="A218" s="38" t="n"/>
      <c r="B218" s="48" t="n"/>
      <c r="C218" s="53">
        <f>IF(B218="","",20.412)</f>
        <v/>
      </c>
      <c r="D218" s="48">
        <f>IF(B218="","",B218*C218)</f>
        <v/>
      </c>
      <c r="E218" s="53" t="n"/>
      <c r="F218" s="48">
        <f>IF(D218="","",D218-IF(E218="",0,E218))</f>
        <v/>
      </c>
      <c r="G218" s="53">
        <f>IF(A218="","","27"&amp;MID(A218,4,2)&amp;LEFT(A218,2))</f>
        <v/>
      </c>
      <c r="H218" s="48" t="n"/>
    </row>
    <row r="219" ht="15" customHeight="1">
      <c r="A219" s="38" t="n"/>
      <c r="B219" s="48" t="n"/>
      <c r="C219" s="53">
        <f>IF(B219="","",20.412)</f>
        <v/>
      </c>
      <c r="D219" s="48">
        <f>IF(B219="","",B219*C219)</f>
        <v/>
      </c>
      <c r="E219" s="53" t="n"/>
      <c r="F219" s="48">
        <f>IF(D219="","",D219-IF(E219="",0,E219))</f>
        <v/>
      </c>
      <c r="G219" s="53">
        <f>IF(A219="","","27"&amp;MID(A219,4,2)&amp;LEFT(A219,2))</f>
        <v/>
      </c>
      <c r="H219" s="48" t="n"/>
    </row>
    <row r="220" ht="15" customHeight="1">
      <c r="A220" s="38" t="n"/>
      <c r="B220" s="48" t="n"/>
      <c r="C220" s="53">
        <f>IF(B220="","",20.412)</f>
        <v/>
      </c>
      <c r="D220" s="48">
        <f>IF(B220="","",B220*C220)</f>
        <v/>
      </c>
      <c r="E220" s="53" t="n"/>
      <c r="F220" s="48">
        <f>IF(D220="","",D220-IF(E220="",0,E220))</f>
        <v/>
      </c>
      <c r="G220" s="53">
        <f>IF(A220="","","27"&amp;MID(A220,4,2)&amp;LEFT(A220,2))</f>
        <v/>
      </c>
      <c r="H220" s="48" t="n"/>
    </row>
    <row r="221" ht="15" customHeight="1">
      <c r="A221" s="38" t="n"/>
      <c r="B221" s="48" t="n"/>
      <c r="C221" s="53">
        <f>IF(B221="","",20.412)</f>
        <v/>
      </c>
      <c r="D221" s="48">
        <f>IF(B221="","",B221*C221)</f>
        <v/>
      </c>
      <c r="E221" s="53" t="n"/>
      <c r="F221" s="48">
        <f>IF(D221="","",D221-IF(E221="",0,E221))</f>
        <v/>
      </c>
      <c r="G221" s="53">
        <f>IF(A221="","","27"&amp;MID(A221,4,2)&amp;LEFT(A221,2))</f>
        <v/>
      </c>
      <c r="H221" s="48" t="n"/>
    </row>
    <row r="222" ht="15" customHeight="1">
      <c r="A222" s="38" t="n"/>
      <c r="B222" s="48" t="n"/>
      <c r="C222" s="53">
        <f>IF(B222="","",20.412)</f>
        <v/>
      </c>
      <c r="D222" s="48">
        <f>IF(B222="","",B222*C222)</f>
        <v/>
      </c>
      <c r="E222" s="53" t="n"/>
      <c r="F222" s="48">
        <f>IF(D222="","",D222-IF(E222="",0,E222))</f>
        <v/>
      </c>
      <c r="G222" s="53">
        <f>IF(A222="","","27"&amp;MID(A222,4,2)&amp;LEFT(A222,2))</f>
        <v/>
      </c>
      <c r="H222" s="48" t="n"/>
    </row>
    <row r="223" ht="15" customHeight="1">
      <c r="A223" s="38" t="n"/>
      <c r="B223" s="48" t="n"/>
      <c r="C223" s="53">
        <f>IF(B223="","",20.412)</f>
        <v/>
      </c>
      <c r="D223" s="48">
        <f>IF(B223="","",B223*C223)</f>
        <v/>
      </c>
      <c r="E223" s="53" t="n"/>
      <c r="F223" s="48">
        <f>IF(D223="","",D223-IF(E223="",0,E223))</f>
        <v/>
      </c>
      <c r="G223" s="53">
        <f>IF(A223="","","27"&amp;MID(A223,4,2)&amp;LEFT(A223,2))</f>
        <v/>
      </c>
      <c r="H223" s="48" t="n"/>
    </row>
    <row r="224" ht="15" customHeight="1">
      <c r="A224" s="38" t="n"/>
      <c r="B224" s="48" t="n"/>
      <c r="C224" s="53">
        <f>IF(B224="","",20.412)</f>
        <v/>
      </c>
      <c r="D224" s="48">
        <f>IF(B224="","",B224*C224)</f>
        <v/>
      </c>
      <c r="E224" s="53" t="n"/>
      <c r="F224" s="48">
        <f>IF(D224="","",D224-IF(E224="",0,E224))</f>
        <v/>
      </c>
      <c r="G224" s="53">
        <f>IF(A224="","","27"&amp;MID(A224,4,2)&amp;LEFT(A224,2))</f>
        <v/>
      </c>
      <c r="H224" s="48" t="n"/>
    </row>
    <row r="225" ht="15" customHeight="1">
      <c r="A225" s="38" t="n"/>
      <c r="B225" s="48" t="n"/>
      <c r="C225" s="53">
        <f>IF(B225="","",20.412)</f>
        <v/>
      </c>
      <c r="D225" s="48">
        <f>IF(B225="","",B225*C225)</f>
        <v/>
      </c>
      <c r="E225" s="53" t="n"/>
      <c r="F225" s="48">
        <f>IF(D225="","",D225-IF(E225="",0,E225))</f>
        <v/>
      </c>
      <c r="G225" s="53">
        <f>IF(A225="","","27"&amp;MID(A225,4,2)&amp;LEFT(A225,2))</f>
        <v/>
      </c>
      <c r="H225" s="48" t="n"/>
    </row>
    <row r="226" ht="15" customHeight="1">
      <c r="A226" s="38" t="n"/>
      <c r="B226" s="48" t="n"/>
      <c r="C226" s="53">
        <f>IF(B226="","",20.412)</f>
        <v/>
      </c>
      <c r="D226" s="48">
        <f>IF(B226="","",B226*C226)</f>
        <v/>
      </c>
      <c r="E226" s="53" t="n"/>
      <c r="F226" s="48">
        <f>IF(D226="","",D226-IF(E226="",0,E226))</f>
        <v/>
      </c>
      <c r="G226" s="53">
        <f>IF(A226="","","27"&amp;MID(A226,4,2)&amp;LEFT(A226,2))</f>
        <v/>
      </c>
      <c r="H226" s="48" t="n"/>
    </row>
    <row r="227" ht="15" customHeight="1">
      <c r="A227" s="38" t="n"/>
      <c r="B227" s="48" t="n"/>
      <c r="C227" s="53">
        <f>IF(B227="","",20.412)</f>
        <v/>
      </c>
      <c r="D227" s="48">
        <f>IF(B227="","",B227*C227)</f>
        <v/>
      </c>
      <c r="E227" s="53" t="n"/>
      <c r="F227" s="48">
        <f>IF(D227="","",D227-IF(E227="",0,E227))</f>
        <v/>
      </c>
      <c r="G227" s="53">
        <f>IF(A227="","","27"&amp;MID(A227,4,2)&amp;LEFT(A227,2))</f>
        <v/>
      </c>
      <c r="H227" s="48" t="n"/>
    </row>
    <row r="228" ht="15" customHeight="1">
      <c r="A228" s="38" t="n"/>
      <c r="B228" s="48" t="n"/>
      <c r="C228" s="53">
        <f>IF(B228="","",20.412)</f>
        <v/>
      </c>
      <c r="D228" s="48">
        <f>IF(B228="","",B228*C228)</f>
        <v/>
      </c>
      <c r="E228" s="53" t="n"/>
      <c r="F228" s="48">
        <f>IF(D228="","",D228-IF(E228="",0,E228))</f>
        <v/>
      </c>
      <c r="G228" s="53">
        <f>IF(A228="","","27"&amp;MID(A228,4,2)&amp;LEFT(A228,2))</f>
        <v/>
      </c>
      <c r="H228" s="48" t="n"/>
    </row>
    <row r="229" ht="15" customHeight="1">
      <c r="A229" s="38" t="n"/>
      <c r="B229" s="48" t="n"/>
      <c r="C229" s="53">
        <f>IF(B229="","",20.412)</f>
        <v/>
      </c>
      <c r="D229" s="48">
        <f>IF(B229="","",B229*C229)</f>
        <v/>
      </c>
      <c r="E229" s="53" t="n"/>
      <c r="F229" s="48">
        <f>IF(D229="","",D229-IF(E229="",0,E229))</f>
        <v/>
      </c>
      <c r="G229" s="53">
        <f>IF(A229="","","27"&amp;MID(A229,4,2)&amp;LEFT(A229,2))</f>
        <v/>
      </c>
      <c r="H229" s="48" t="n"/>
    </row>
    <row r="230" ht="15" customHeight="1">
      <c r="A230" s="38" t="n"/>
      <c r="B230" s="48" t="n"/>
      <c r="C230" s="53">
        <f>IF(B230="","",20.412)</f>
        <v/>
      </c>
      <c r="D230" s="48">
        <f>IF(B230="","",B230*C230)</f>
        <v/>
      </c>
      <c r="E230" s="53" t="n"/>
      <c r="F230" s="48">
        <f>IF(D230="","",D230-IF(E230="",0,E230))</f>
        <v/>
      </c>
      <c r="G230" s="53">
        <f>IF(A230="","","27"&amp;MID(A230,4,2)&amp;LEFT(A230,2))</f>
        <v/>
      </c>
      <c r="H230" s="48" t="n"/>
    </row>
    <row r="231" ht="15" customHeight="1">
      <c r="A231" s="38" t="n"/>
      <c r="B231" s="48" t="n"/>
      <c r="C231" s="53">
        <f>IF(B231="","",20.412)</f>
        <v/>
      </c>
      <c r="D231" s="48">
        <f>IF(B231="","",B231*C231)</f>
        <v/>
      </c>
      <c r="E231" s="53" t="n"/>
      <c r="F231" s="48">
        <f>IF(D231="","",D231-IF(E231="",0,E231))</f>
        <v/>
      </c>
      <c r="G231" s="53">
        <f>IF(A231="","","27"&amp;MID(A231,4,2)&amp;LEFT(A231,2))</f>
        <v/>
      </c>
      <c r="H231" s="48" t="n"/>
    </row>
    <row r="232" ht="15" customHeight="1">
      <c r="A232" s="38" t="n"/>
      <c r="B232" s="48" t="n"/>
      <c r="C232" s="53">
        <f>IF(B232="","",20.412)</f>
        <v/>
      </c>
      <c r="D232" s="48">
        <f>IF(B232="","",B232*C232)</f>
        <v/>
      </c>
      <c r="E232" s="53" t="n"/>
      <c r="F232" s="48">
        <f>IF(D232="","",D232-IF(E232="",0,E232))</f>
        <v/>
      </c>
      <c r="G232" s="53">
        <f>IF(A232="","","27"&amp;MID(A232,4,2)&amp;LEFT(A232,2))</f>
        <v/>
      </c>
      <c r="H232" s="48" t="n"/>
    </row>
    <row r="233" ht="15" customHeight="1">
      <c r="A233" s="38" t="n"/>
      <c r="B233" s="48" t="n"/>
      <c r="C233" s="53">
        <f>IF(B233="","",20.412)</f>
        <v/>
      </c>
      <c r="D233" s="48">
        <f>IF(B233="","",B233*C233)</f>
        <v/>
      </c>
      <c r="E233" s="53" t="n"/>
      <c r="F233" s="48">
        <f>IF(D233="","",D233-IF(E233="",0,E233))</f>
        <v/>
      </c>
      <c r="G233" s="53">
        <f>IF(A233="","","27"&amp;MID(A233,4,2)&amp;LEFT(A233,2))</f>
        <v/>
      </c>
      <c r="H233" s="48" t="n"/>
    </row>
    <row r="234" ht="15" customHeight="1">
      <c r="A234" s="38" t="n"/>
      <c r="B234" s="48" t="n"/>
      <c r="C234" s="53">
        <f>IF(B234="","",20.412)</f>
        <v/>
      </c>
      <c r="D234" s="48">
        <f>IF(B234="","",B234*C234)</f>
        <v/>
      </c>
      <c r="E234" s="53" t="n"/>
      <c r="F234" s="48">
        <f>IF(D234="","",D234-IF(E234="",0,E234))</f>
        <v/>
      </c>
      <c r="G234" s="53">
        <f>IF(A234="","","27"&amp;MID(A234,4,2)&amp;LEFT(A234,2))</f>
        <v/>
      </c>
      <c r="H234" s="48" t="n"/>
    </row>
    <row r="235" ht="15" customHeight="1">
      <c r="A235" s="38" t="n"/>
      <c r="B235" s="48" t="n"/>
      <c r="C235" s="53">
        <f>IF(B235="","",20.412)</f>
        <v/>
      </c>
      <c r="D235" s="48">
        <f>IF(B235="","",B235*C235)</f>
        <v/>
      </c>
      <c r="E235" s="53" t="n"/>
      <c r="F235" s="48">
        <f>IF(D235="","",D235-IF(E235="",0,E235))</f>
        <v/>
      </c>
      <c r="G235" s="53">
        <f>IF(A235="","","27"&amp;MID(A235,4,2)&amp;LEFT(A235,2))</f>
        <v/>
      </c>
      <c r="H235" s="48" t="n"/>
    </row>
    <row r="236" ht="15" customHeight="1">
      <c r="A236" s="38" t="n"/>
      <c r="B236" s="48" t="n"/>
      <c r="C236" s="53">
        <f>IF(B236="","",20.412)</f>
        <v/>
      </c>
      <c r="D236" s="48">
        <f>IF(B236="","",B236*C236)</f>
        <v/>
      </c>
      <c r="E236" s="53" t="n"/>
      <c r="F236" s="48">
        <f>IF(D236="","",D236-IF(E236="",0,E236))</f>
        <v/>
      </c>
      <c r="G236" s="53">
        <f>IF(A236="","","27"&amp;MID(A236,4,2)&amp;LEFT(A236,2))</f>
        <v/>
      </c>
      <c r="H236" s="48" t="n"/>
    </row>
    <row r="237" ht="15" customHeight="1">
      <c r="A237" s="38" t="n"/>
      <c r="B237" s="48" t="n"/>
      <c r="C237" s="53">
        <f>IF(B237="","",20.412)</f>
        <v/>
      </c>
      <c r="D237" s="48">
        <f>IF(B237="","",B237*C237)</f>
        <v/>
      </c>
      <c r="E237" s="53" t="n"/>
      <c r="F237" s="48">
        <f>IF(D237="","",D237-IF(E237="",0,E237))</f>
        <v/>
      </c>
      <c r="G237" s="53">
        <f>IF(A237="","","27"&amp;MID(A237,4,2)&amp;LEFT(A237,2))</f>
        <v/>
      </c>
      <c r="H237" s="48" t="n"/>
    </row>
    <row r="238" ht="15" customHeight="1">
      <c r="A238" s="38" t="n"/>
      <c r="B238" s="48" t="n"/>
      <c r="C238" s="53">
        <f>IF(B238="","",20.412)</f>
        <v/>
      </c>
      <c r="D238" s="48">
        <f>IF(B238="","",B238*C238)</f>
        <v/>
      </c>
      <c r="E238" s="53" t="n"/>
      <c r="F238" s="48">
        <f>IF(D238="","",D238-IF(E238="",0,E238))</f>
        <v/>
      </c>
      <c r="G238" s="53">
        <f>IF(A238="","","27"&amp;MID(A238,4,2)&amp;LEFT(A238,2))</f>
        <v/>
      </c>
      <c r="H238" s="48" t="n"/>
    </row>
    <row r="239" ht="15" customHeight="1">
      <c r="A239" s="38" t="n"/>
      <c r="B239" s="48" t="n"/>
      <c r="C239" s="53">
        <f>IF(B239="","",20.412)</f>
        <v/>
      </c>
      <c r="D239" s="48">
        <f>IF(B239="","",B239*C239)</f>
        <v/>
      </c>
      <c r="E239" s="53" t="n"/>
      <c r="F239" s="48">
        <f>IF(D239="","",D239-IF(E239="",0,E239))</f>
        <v/>
      </c>
      <c r="G239" s="53">
        <f>IF(A239="","","27"&amp;MID(A239,4,2)&amp;LEFT(A239,2))</f>
        <v/>
      </c>
      <c r="H239" s="48" t="n"/>
    </row>
    <row r="240" ht="15" customHeight="1">
      <c r="A240" s="38" t="n"/>
      <c r="B240" s="48" t="n"/>
      <c r="C240" s="53">
        <f>IF(B240="","",20.412)</f>
        <v/>
      </c>
      <c r="D240" s="48">
        <f>IF(B240="","",B240*C240)</f>
        <v/>
      </c>
      <c r="E240" s="53" t="n"/>
      <c r="F240" s="48">
        <f>IF(D240="","",D240-IF(E240="",0,E240))</f>
        <v/>
      </c>
      <c r="G240" s="53">
        <f>IF(A240="","","27"&amp;MID(A240,4,2)&amp;LEFT(A240,2))</f>
        <v/>
      </c>
      <c r="H240" s="48" t="n"/>
    </row>
    <row r="241" ht="15" customHeight="1">
      <c r="A241" s="38" t="n"/>
      <c r="B241" s="48" t="n"/>
      <c r="C241" s="53">
        <f>IF(B241="","",20.412)</f>
        <v/>
      </c>
      <c r="D241" s="48">
        <f>IF(B241="","",B241*C241)</f>
        <v/>
      </c>
      <c r="E241" s="53" t="n"/>
      <c r="F241" s="48">
        <f>IF(D241="","",D241-IF(E241="",0,E241))</f>
        <v/>
      </c>
      <c r="G241" s="53">
        <f>IF(A241="","","27"&amp;MID(A241,4,2)&amp;LEFT(A241,2))</f>
        <v/>
      </c>
      <c r="H241" s="48" t="n"/>
    </row>
    <row r="242" ht="15" customHeight="1">
      <c r="A242" s="38" t="n"/>
      <c r="B242" s="48" t="n"/>
      <c r="C242" s="53">
        <f>IF(B242="","",20.412)</f>
        <v/>
      </c>
      <c r="D242" s="48">
        <f>IF(B242="","",B242*C242)</f>
        <v/>
      </c>
      <c r="E242" s="53" t="n"/>
      <c r="F242" s="48">
        <f>IF(D242="","",D242-IF(E242="",0,E242))</f>
        <v/>
      </c>
      <c r="G242" s="53">
        <f>IF(A242="","","27"&amp;MID(A242,4,2)&amp;LEFT(A242,2))</f>
        <v/>
      </c>
      <c r="H242" s="48" t="n"/>
    </row>
    <row r="243" ht="15" customHeight="1">
      <c r="A243" s="38" t="n"/>
      <c r="B243" s="48" t="n"/>
      <c r="C243" s="53">
        <f>IF(B243="","",20.412)</f>
        <v/>
      </c>
      <c r="D243" s="48">
        <f>IF(B243="","",B243*C243)</f>
        <v/>
      </c>
      <c r="E243" s="53" t="n"/>
      <c r="F243" s="48">
        <f>IF(D243="","",D243-IF(E243="",0,E243))</f>
        <v/>
      </c>
      <c r="G243" s="53">
        <f>IF(A243="","","27"&amp;MID(A243,4,2)&amp;LEFT(A243,2))</f>
        <v/>
      </c>
      <c r="H243" s="48" t="n"/>
    </row>
    <row r="244" ht="15" customHeight="1">
      <c r="A244" s="38" t="n"/>
      <c r="B244" s="48" t="n"/>
      <c r="C244" s="53">
        <f>IF(B244="","",20.412)</f>
        <v/>
      </c>
      <c r="D244" s="48">
        <f>IF(B244="","",B244*C244)</f>
        <v/>
      </c>
      <c r="E244" s="53" t="n"/>
      <c r="F244" s="48">
        <f>IF(D244="","",D244-IF(E244="",0,E244))</f>
        <v/>
      </c>
      <c r="G244" s="53">
        <f>IF(A244="","","27"&amp;MID(A244,4,2)&amp;LEFT(A244,2))</f>
        <v/>
      </c>
      <c r="H244" s="48" t="n"/>
    </row>
    <row r="245" ht="15" customHeight="1">
      <c r="A245" s="38" t="n"/>
      <c r="B245" s="48" t="n"/>
      <c r="C245" s="53">
        <f>IF(B245="","",20.412)</f>
        <v/>
      </c>
      <c r="D245" s="48">
        <f>IF(B245="","",B245*C245)</f>
        <v/>
      </c>
      <c r="E245" s="53" t="n"/>
      <c r="F245" s="48">
        <f>IF(D245="","",D245-IF(E245="",0,E245))</f>
        <v/>
      </c>
      <c r="G245" s="53">
        <f>IF(A245="","","27"&amp;MID(A245,4,2)&amp;LEFT(A245,2))</f>
        <v/>
      </c>
      <c r="H245" s="48" t="n"/>
    </row>
    <row r="246" ht="15" customHeight="1">
      <c r="A246" s="38" t="n"/>
      <c r="B246" s="48" t="n"/>
      <c r="C246" s="53">
        <f>IF(B246="","",20.412)</f>
        <v/>
      </c>
      <c r="D246" s="48">
        <f>IF(B246="","",B246*C246)</f>
        <v/>
      </c>
      <c r="E246" s="53" t="n"/>
      <c r="F246" s="48">
        <f>IF(D246="","",D246-IF(E246="",0,E246))</f>
        <v/>
      </c>
      <c r="G246" s="53">
        <f>IF(A246="","","27"&amp;MID(A246,4,2)&amp;LEFT(A246,2))</f>
        <v/>
      </c>
      <c r="H246" s="48" t="n"/>
    </row>
    <row r="247" ht="15" customHeight="1">
      <c r="A247" s="38" t="n"/>
      <c r="B247" s="48" t="n"/>
      <c r="C247" s="53">
        <f>IF(B247="","",20.412)</f>
        <v/>
      </c>
      <c r="D247" s="48">
        <f>IF(B247="","",B247*C247)</f>
        <v/>
      </c>
      <c r="E247" s="53" t="n"/>
      <c r="F247" s="48">
        <f>IF(D247="","",D247-IF(E247="",0,E247))</f>
        <v/>
      </c>
      <c r="G247" s="53">
        <f>IF(A247="","","27"&amp;MID(A247,4,2)&amp;LEFT(A247,2))</f>
        <v/>
      </c>
      <c r="H247" s="48" t="n"/>
    </row>
    <row r="248" ht="15" customHeight="1">
      <c r="A248" s="38" t="n"/>
      <c r="B248" s="48" t="n"/>
      <c r="C248" s="53">
        <f>IF(B248="","",20.412)</f>
        <v/>
      </c>
      <c r="D248" s="48">
        <f>IF(B248="","",B248*C248)</f>
        <v/>
      </c>
      <c r="E248" s="53" t="n"/>
      <c r="F248" s="48">
        <f>IF(D248="","",D248-IF(E248="",0,E248))</f>
        <v/>
      </c>
      <c r="G248" s="53">
        <f>IF(A248="","","27"&amp;MID(A248,4,2)&amp;LEFT(A248,2))</f>
        <v/>
      </c>
      <c r="H248" s="48" t="n"/>
    </row>
    <row r="249" ht="15" customHeight="1">
      <c r="A249" s="38" t="n"/>
      <c r="B249" s="48" t="n"/>
      <c r="C249" s="53">
        <f>IF(B249="","",20.412)</f>
        <v/>
      </c>
      <c r="D249" s="48">
        <f>IF(B249="","",B249*C249)</f>
        <v/>
      </c>
      <c r="E249" s="53" t="n"/>
      <c r="F249" s="48">
        <f>IF(D249="","",D249-IF(E249="",0,E249))</f>
        <v/>
      </c>
      <c r="G249" s="53">
        <f>IF(A249="","","27"&amp;MID(A249,4,2)&amp;LEFT(A249,2))</f>
        <v/>
      </c>
      <c r="H249" s="48" t="n"/>
    </row>
    <row r="250" ht="15" customHeight="1">
      <c r="A250" s="38" t="n"/>
      <c r="B250" s="48" t="n"/>
      <c r="C250" s="53">
        <f>IF(B250="","",20.412)</f>
        <v/>
      </c>
      <c r="D250" s="48">
        <f>IF(B250="","",B250*C250)</f>
        <v/>
      </c>
      <c r="E250" s="53" t="n"/>
      <c r="F250" s="48">
        <f>IF(D250="","",D250-IF(E250="",0,E250))</f>
        <v/>
      </c>
      <c r="G250" s="53">
        <f>IF(A250="","","27"&amp;MID(A250,4,2)&amp;LEFT(A250,2))</f>
        <v/>
      </c>
      <c r="H250" s="48" t="n"/>
    </row>
    <row r="251" ht="15" customHeight="1">
      <c r="A251" s="38" t="n"/>
      <c r="B251" s="48" t="n"/>
      <c r="C251" s="53">
        <f>IF(B251="","",20.412)</f>
        <v/>
      </c>
      <c r="D251" s="48">
        <f>IF(B251="","",B251*C251)</f>
        <v/>
      </c>
      <c r="E251" s="53" t="n"/>
      <c r="F251" s="48">
        <f>IF(D251="","",D251-IF(E251="",0,E251))</f>
        <v/>
      </c>
      <c r="G251" s="53">
        <f>IF(A251="","","27"&amp;MID(A251,4,2)&amp;LEFT(A251,2))</f>
        <v/>
      </c>
      <c r="H251" s="48" t="n"/>
    </row>
    <row r="252" ht="15" customHeight="1">
      <c r="A252" s="38" t="n"/>
      <c r="B252" s="48" t="n"/>
      <c r="C252" s="53">
        <f>IF(B252="","",20.412)</f>
        <v/>
      </c>
      <c r="D252" s="48">
        <f>IF(B252="","",B252*C252)</f>
        <v/>
      </c>
      <c r="E252" s="53" t="n"/>
      <c r="F252" s="48">
        <f>IF(D252="","",D252-IF(E252="",0,E252))</f>
        <v/>
      </c>
      <c r="G252" s="53">
        <f>IF(A252="","","27"&amp;MID(A252,4,2)&amp;LEFT(A252,2))</f>
        <v/>
      </c>
      <c r="H252" s="48" t="n"/>
    </row>
    <row r="253" ht="15" customHeight="1">
      <c r="A253" s="38" t="n"/>
      <c r="B253" s="48" t="n"/>
      <c r="C253" s="53">
        <f>IF(B253="","",20.412)</f>
        <v/>
      </c>
      <c r="D253" s="48">
        <f>IF(B253="","",B253*C253)</f>
        <v/>
      </c>
      <c r="E253" s="53" t="n"/>
      <c r="F253" s="48">
        <f>IF(D253="","",D253-IF(E253="",0,E253))</f>
        <v/>
      </c>
      <c r="G253" s="53">
        <f>IF(A253="","","27"&amp;MID(A253,4,2)&amp;LEFT(A253,2))</f>
        <v/>
      </c>
      <c r="H253" s="48" t="n"/>
    </row>
    <row r="254" ht="15" customHeight="1">
      <c r="A254" s="38" t="n"/>
      <c r="B254" s="48" t="n"/>
      <c r="C254" s="53">
        <f>IF(B254="","",20.412)</f>
        <v/>
      </c>
      <c r="D254" s="48">
        <f>IF(B254="","",B254*C254)</f>
        <v/>
      </c>
      <c r="E254" s="53" t="n"/>
      <c r="F254" s="48">
        <f>IF(D254="","",D254-IF(E254="",0,E254))</f>
        <v/>
      </c>
      <c r="G254" s="53">
        <f>IF(A254="","","27"&amp;MID(A254,4,2)&amp;LEFT(A254,2))</f>
        <v/>
      </c>
      <c r="H254" s="48" t="n"/>
    </row>
    <row r="255" ht="15" customHeight="1">
      <c r="A255" s="38" t="n"/>
      <c r="B255" s="48" t="n"/>
      <c r="C255" s="53">
        <f>IF(B255="","",20.412)</f>
        <v/>
      </c>
      <c r="D255" s="48">
        <f>IF(B255="","",B255*C255)</f>
        <v/>
      </c>
      <c r="E255" s="53" t="n"/>
      <c r="F255" s="48">
        <f>IF(D255="","",D255-IF(E255="",0,E255))</f>
        <v/>
      </c>
      <c r="G255" s="53">
        <f>IF(A255="","","27"&amp;MID(A255,4,2)&amp;LEFT(A255,2))</f>
        <v/>
      </c>
      <c r="H255" s="48" t="n"/>
    </row>
    <row r="256" ht="15" customHeight="1">
      <c r="A256" s="38" t="n"/>
      <c r="B256" s="48" t="n"/>
      <c r="C256" s="53">
        <f>IF(B256="","",20.412)</f>
        <v/>
      </c>
      <c r="D256" s="48">
        <f>IF(B256="","",B256*C256)</f>
        <v/>
      </c>
      <c r="E256" s="53" t="n"/>
      <c r="F256" s="48">
        <f>IF(D256="","",D256-IF(E256="",0,E256))</f>
        <v/>
      </c>
      <c r="G256" s="53">
        <f>IF(A256="","","27"&amp;MID(A256,4,2)&amp;LEFT(A256,2))</f>
        <v/>
      </c>
      <c r="H256" s="48" t="n"/>
    </row>
    <row r="257" ht="15" customHeight="1">
      <c r="A257" s="38" t="n"/>
      <c r="B257" s="48" t="n"/>
      <c r="C257" s="53">
        <f>IF(B257="","",20.412)</f>
        <v/>
      </c>
      <c r="D257" s="48">
        <f>IF(B257="","",B257*C257)</f>
        <v/>
      </c>
      <c r="E257" s="53" t="n"/>
      <c r="F257" s="48">
        <f>IF(D257="","",D257-IF(E257="",0,E257))</f>
        <v/>
      </c>
      <c r="G257" s="53">
        <f>IF(A257="","","27"&amp;MID(A257,4,2)&amp;LEFT(A257,2))</f>
        <v/>
      </c>
      <c r="H257" s="48" t="n"/>
    </row>
    <row r="258" ht="15" customHeight="1">
      <c r="A258" s="38" t="n"/>
      <c r="B258" s="48" t="n"/>
      <c r="C258" s="53">
        <f>IF(B258="","",20.412)</f>
        <v/>
      </c>
      <c r="D258" s="48">
        <f>IF(B258="","",B258*C258)</f>
        <v/>
      </c>
      <c r="E258" s="53" t="n"/>
      <c r="F258" s="48">
        <f>IF(D258="","",D258-IF(E258="",0,E258))</f>
        <v/>
      </c>
      <c r="G258" s="53">
        <f>IF(A258="","","27"&amp;MID(A258,4,2)&amp;LEFT(A258,2))</f>
        <v/>
      </c>
      <c r="H258" s="48" t="n"/>
    </row>
    <row r="259" ht="15" customHeight="1">
      <c r="A259" s="38" t="n"/>
      <c r="B259" s="48" t="n"/>
      <c r="C259" s="53">
        <f>IF(B259="","",20.412)</f>
        <v/>
      </c>
      <c r="D259" s="48">
        <f>IF(B259="","",B259*C259)</f>
        <v/>
      </c>
      <c r="E259" s="53" t="n"/>
      <c r="F259" s="48">
        <f>IF(D259="","",D259-IF(E259="",0,E259))</f>
        <v/>
      </c>
      <c r="G259" s="53">
        <f>IF(A259="","","27"&amp;MID(A259,4,2)&amp;LEFT(A259,2))</f>
        <v/>
      </c>
      <c r="H259" s="48" t="n"/>
    </row>
    <row r="260" ht="15" customHeight="1">
      <c r="A260" s="38" t="n"/>
      <c r="B260" s="48" t="n"/>
      <c r="C260" s="53">
        <f>IF(B260="","",20.412)</f>
        <v/>
      </c>
      <c r="D260" s="48">
        <f>IF(B260="","",B260*C260)</f>
        <v/>
      </c>
      <c r="E260" s="53" t="n"/>
      <c r="F260" s="48">
        <f>IF(D260="","",D260-IF(E260="",0,E260))</f>
        <v/>
      </c>
      <c r="G260" s="53">
        <f>IF(A260="","","27"&amp;MID(A260,4,2)&amp;LEFT(A260,2))</f>
        <v/>
      </c>
      <c r="H260" s="48" t="n"/>
    </row>
    <row r="261" ht="15" customHeight="1">
      <c r="A261" s="38" t="n"/>
      <c r="B261" s="48" t="n"/>
      <c r="C261" s="53">
        <f>IF(B261="","",20.412)</f>
        <v/>
      </c>
      <c r="D261" s="48">
        <f>IF(B261="","",B261*C261)</f>
        <v/>
      </c>
      <c r="E261" s="53" t="n"/>
      <c r="F261" s="48">
        <f>IF(D261="","",D261-IF(E261="",0,E261))</f>
        <v/>
      </c>
      <c r="G261" s="53">
        <f>IF(A261="","","27"&amp;MID(A261,4,2)&amp;LEFT(A261,2))</f>
        <v/>
      </c>
      <c r="H261" s="48" t="n"/>
    </row>
    <row r="262" ht="15" customHeight="1">
      <c r="A262" s="38" t="n"/>
      <c r="B262" s="48" t="n"/>
      <c r="C262" s="53">
        <f>IF(B262="","",20.412)</f>
        <v/>
      </c>
      <c r="D262" s="48">
        <f>IF(B262="","",B262*C262)</f>
        <v/>
      </c>
      <c r="E262" s="53" t="n"/>
      <c r="F262" s="48">
        <f>IF(D262="","",D262-IF(E262="",0,E262))</f>
        <v/>
      </c>
      <c r="G262" s="53">
        <f>IF(A262="","","27"&amp;MID(A262,4,2)&amp;LEFT(A262,2))</f>
        <v/>
      </c>
      <c r="H262" s="48" t="n"/>
    </row>
    <row r="263" ht="15" customHeight="1">
      <c r="A263" s="38" t="n"/>
      <c r="B263" s="48" t="n"/>
      <c r="C263" s="53">
        <f>IF(B263="","",20.412)</f>
        <v/>
      </c>
      <c r="D263" s="48">
        <f>IF(B263="","",B263*C263)</f>
        <v/>
      </c>
      <c r="E263" s="53" t="n"/>
      <c r="F263" s="48">
        <f>IF(D263="","",D263-IF(E263="",0,E263))</f>
        <v/>
      </c>
      <c r="G263" s="53">
        <f>IF(A263="","","27"&amp;MID(A263,4,2)&amp;LEFT(A263,2))</f>
        <v/>
      </c>
      <c r="H263" s="48" t="n"/>
    </row>
    <row r="264" ht="15" customHeight="1">
      <c r="A264" s="38" t="n"/>
      <c r="B264" s="48" t="n"/>
      <c r="C264" s="53">
        <f>IF(B264="","",20.412)</f>
        <v/>
      </c>
      <c r="D264" s="48">
        <f>IF(B264="","",B264*C264)</f>
        <v/>
      </c>
      <c r="E264" s="53" t="n"/>
      <c r="F264" s="48">
        <f>IF(D264="","",D264-IF(E264="",0,E264))</f>
        <v/>
      </c>
      <c r="G264" s="53">
        <f>IF(A264="","","27"&amp;MID(A264,4,2)&amp;LEFT(A264,2))</f>
        <v/>
      </c>
      <c r="H264" s="48" t="n"/>
    </row>
    <row r="265" ht="15" customHeight="1">
      <c r="A265" s="38" t="n"/>
      <c r="B265" s="48" t="n"/>
      <c r="C265" s="53">
        <f>IF(B265="","",20.412)</f>
        <v/>
      </c>
      <c r="D265" s="48">
        <f>IF(B265="","",B265*C265)</f>
        <v/>
      </c>
      <c r="E265" s="53" t="n"/>
      <c r="F265" s="48">
        <f>IF(D265="","",D265-IF(E265="",0,E265))</f>
        <v/>
      </c>
      <c r="G265" s="53">
        <f>IF(A265="","","27"&amp;MID(A265,4,2)&amp;LEFT(A265,2))</f>
        <v/>
      </c>
      <c r="H265" s="48" t="n"/>
    </row>
    <row r="266" ht="15" customHeight="1">
      <c r="A266" s="38" t="n"/>
      <c r="B266" s="48" t="n"/>
      <c r="C266" s="53">
        <f>IF(B266="","",20.412)</f>
        <v/>
      </c>
      <c r="D266" s="48">
        <f>IF(B266="","",B266*C266)</f>
        <v/>
      </c>
      <c r="E266" s="53" t="n"/>
      <c r="F266" s="48">
        <f>IF(D266="","",D266-IF(E266="",0,E266))</f>
        <v/>
      </c>
      <c r="G266" s="53">
        <f>IF(A266="","","27"&amp;MID(A266,4,2)&amp;LEFT(A266,2))</f>
        <v/>
      </c>
      <c r="H266" s="48" t="n"/>
    </row>
    <row r="267" ht="15" customHeight="1">
      <c r="A267" s="38" t="n"/>
      <c r="B267" s="48" t="n"/>
      <c r="C267" s="53">
        <f>IF(B267="","",20.412)</f>
        <v/>
      </c>
      <c r="D267" s="48">
        <f>IF(B267="","",B267*C267)</f>
        <v/>
      </c>
      <c r="E267" s="53" t="n"/>
      <c r="F267" s="48">
        <f>IF(D267="","",D267-IF(E267="",0,E267))</f>
        <v/>
      </c>
      <c r="G267" s="53">
        <f>IF(A267="","","27"&amp;MID(A267,4,2)&amp;LEFT(A267,2))</f>
        <v/>
      </c>
      <c r="H267" s="48" t="n"/>
    </row>
    <row r="268" ht="15" customHeight="1">
      <c r="A268" s="38" t="n"/>
      <c r="B268" s="48" t="n"/>
      <c r="C268" s="53">
        <f>IF(B268="","",20.412)</f>
        <v/>
      </c>
      <c r="D268" s="48">
        <f>IF(B268="","",B268*C268)</f>
        <v/>
      </c>
      <c r="E268" s="53" t="n"/>
      <c r="F268" s="48">
        <f>IF(D268="","",D268-IF(E268="",0,E268))</f>
        <v/>
      </c>
      <c r="G268" s="53">
        <f>IF(A268="","","27"&amp;MID(A268,4,2)&amp;LEFT(A268,2))</f>
        <v/>
      </c>
      <c r="H268" s="48" t="n"/>
    </row>
    <row r="269" ht="15" customHeight="1">
      <c r="A269" s="38" t="n"/>
      <c r="B269" s="48" t="n"/>
      <c r="C269" s="53">
        <f>IF(B269="","",20.412)</f>
        <v/>
      </c>
      <c r="D269" s="48">
        <f>IF(B269="","",B269*C269)</f>
        <v/>
      </c>
      <c r="E269" s="53" t="n"/>
      <c r="F269" s="48">
        <f>IF(D269="","",D269-IF(E269="",0,E269))</f>
        <v/>
      </c>
      <c r="G269" s="53">
        <f>IF(A269="","","27"&amp;MID(A269,4,2)&amp;LEFT(A269,2))</f>
        <v/>
      </c>
      <c r="H269" s="48" t="n"/>
    </row>
    <row r="270" ht="15" customHeight="1">
      <c r="A270" s="38" t="n"/>
      <c r="B270" s="48" t="n"/>
      <c r="C270" s="53">
        <f>IF(B270="","",20.412)</f>
        <v/>
      </c>
      <c r="D270" s="48">
        <f>IF(B270="","",B270*C270)</f>
        <v/>
      </c>
      <c r="E270" s="53" t="n"/>
      <c r="F270" s="48">
        <f>IF(D270="","",D270-IF(E270="",0,E270))</f>
        <v/>
      </c>
      <c r="G270" s="53">
        <f>IF(A270="","","27"&amp;MID(A270,4,2)&amp;LEFT(A270,2))</f>
        <v/>
      </c>
      <c r="H270" s="48" t="n"/>
    </row>
    <row r="271" ht="15" customHeight="1">
      <c r="A271" s="38" t="n"/>
      <c r="B271" s="48" t="n"/>
      <c r="C271" s="53">
        <f>IF(B271="","",20.412)</f>
        <v/>
      </c>
      <c r="D271" s="48">
        <f>IF(B271="","",B271*C271)</f>
        <v/>
      </c>
      <c r="E271" s="53" t="n"/>
      <c r="F271" s="48">
        <f>IF(D271="","",D271-IF(E271="",0,E271))</f>
        <v/>
      </c>
      <c r="G271" s="53">
        <f>IF(A271="","","27"&amp;MID(A271,4,2)&amp;LEFT(A271,2))</f>
        <v/>
      </c>
      <c r="H271" s="48" t="n"/>
    </row>
    <row r="272" ht="15" customHeight="1">
      <c r="A272" s="38" t="n"/>
      <c r="B272" s="48" t="n"/>
      <c r="C272" s="53">
        <f>IF(B272="","",20.412)</f>
        <v/>
      </c>
      <c r="D272" s="48">
        <f>IF(B272="","",B272*C272)</f>
        <v/>
      </c>
      <c r="E272" s="53" t="n"/>
      <c r="F272" s="48">
        <f>IF(D272="","",D272-IF(E272="",0,E272))</f>
        <v/>
      </c>
      <c r="G272" s="53">
        <f>IF(A272="","","27"&amp;MID(A272,4,2)&amp;LEFT(A272,2))</f>
        <v/>
      </c>
      <c r="H272" s="48" t="n"/>
    </row>
    <row r="273" ht="15" customHeight="1">
      <c r="A273" s="38" t="n"/>
      <c r="B273" s="48" t="n"/>
      <c r="C273" s="53">
        <f>IF(B273="","",20.412)</f>
        <v/>
      </c>
      <c r="D273" s="48">
        <f>IF(B273="","",B273*C273)</f>
        <v/>
      </c>
      <c r="E273" s="53" t="n"/>
      <c r="F273" s="48">
        <f>IF(D273="","",D273-IF(E273="",0,E273))</f>
        <v/>
      </c>
      <c r="G273" s="53">
        <f>IF(A273="","","27"&amp;MID(A273,4,2)&amp;LEFT(A273,2))</f>
        <v/>
      </c>
      <c r="H273" s="48" t="n"/>
    </row>
    <row r="274" ht="15" customHeight="1">
      <c r="A274" s="38" t="n"/>
      <c r="B274" s="48" t="n"/>
      <c r="C274" s="53">
        <f>IF(B274="","",20.412)</f>
        <v/>
      </c>
      <c r="D274" s="48">
        <f>IF(B274="","",B274*C274)</f>
        <v/>
      </c>
      <c r="E274" s="53" t="n"/>
      <c r="F274" s="48">
        <f>IF(D274="","",D274-IF(E274="",0,E274))</f>
        <v/>
      </c>
      <c r="G274" s="53">
        <f>IF(A274="","","27"&amp;MID(A274,4,2)&amp;LEFT(A274,2))</f>
        <v/>
      </c>
      <c r="H274" s="48" t="n"/>
    </row>
    <row r="275" ht="15" customHeight="1">
      <c r="A275" s="38" t="n"/>
      <c r="B275" s="48" t="n"/>
      <c r="C275" s="53">
        <f>IF(B275="","",20.412)</f>
        <v/>
      </c>
      <c r="D275" s="48">
        <f>IF(B275="","",B275*C275)</f>
        <v/>
      </c>
      <c r="E275" s="53" t="n"/>
      <c r="F275" s="48">
        <f>IF(D275="","",D275-IF(E275="",0,E275))</f>
        <v/>
      </c>
      <c r="G275" s="53">
        <f>IF(A275="","","27"&amp;MID(A275,4,2)&amp;LEFT(A275,2))</f>
        <v/>
      </c>
      <c r="H275" s="48" t="n"/>
    </row>
    <row r="276" ht="15" customHeight="1">
      <c r="A276" s="38" t="n"/>
      <c r="B276" s="48" t="n"/>
      <c r="C276" s="53">
        <f>IF(B276="","",20.412)</f>
        <v/>
      </c>
      <c r="D276" s="48">
        <f>IF(B276="","",B276*C276)</f>
        <v/>
      </c>
      <c r="E276" s="53" t="n"/>
      <c r="F276" s="48">
        <f>IF(D276="","",D276-IF(E276="",0,E276))</f>
        <v/>
      </c>
      <c r="G276" s="53">
        <f>IF(A276="","","27"&amp;MID(A276,4,2)&amp;LEFT(A276,2))</f>
        <v/>
      </c>
      <c r="H276" s="48" t="n"/>
    </row>
    <row r="277" ht="15" customHeight="1">
      <c r="A277" s="38" t="n"/>
      <c r="B277" s="48" t="n"/>
      <c r="C277" s="53">
        <f>IF(B277="","",20.412)</f>
        <v/>
      </c>
      <c r="D277" s="48">
        <f>IF(B277="","",B277*C277)</f>
        <v/>
      </c>
      <c r="E277" s="53" t="n"/>
      <c r="F277" s="48">
        <f>IF(D277="","",D277-IF(E277="",0,E277))</f>
        <v/>
      </c>
      <c r="G277" s="53">
        <f>IF(A277="","","27"&amp;MID(A277,4,2)&amp;LEFT(A277,2))</f>
        <v/>
      </c>
      <c r="H277" s="48" t="n"/>
    </row>
    <row r="278" ht="15" customHeight="1">
      <c r="A278" s="38" t="n"/>
      <c r="B278" s="48" t="n"/>
      <c r="C278" s="53">
        <f>IF(B278="","",20.412)</f>
        <v/>
      </c>
      <c r="D278" s="48">
        <f>IF(B278="","",B278*C278)</f>
        <v/>
      </c>
      <c r="E278" s="53" t="n"/>
      <c r="F278" s="48">
        <f>IF(D278="","",D278-IF(E278="",0,E278))</f>
        <v/>
      </c>
      <c r="G278" s="53">
        <f>IF(A278="","","27"&amp;MID(A278,4,2)&amp;LEFT(A278,2))</f>
        <v/>
      </c>
      <c r="H278" s="48" t="n"/>
    </row>
    <row r="279" ht="15" customHeight="1">
      <c r="A279" s="38" t="n"/>
      <c r="B279" s="48" t="n"/>
      <c r="C279" s="53">
        <f>IF(B279="","",20.412)</f>
        <v/>
      </c>
      <c r="D279" s="48">
        <f>IF(B279="","",B279*C279)</f>
        <v/>
      </c>
      <c r="E279" s="53" t="n"/>
      <c r="F279" s="48">
        <f>IF(D279="","",D279-IF(E279="",0,E279))</f>
        <v/>
      </c>
      <c r="G279" s="53">
        <f>IF(A279="","","27"&amp;MID(A279,4,2)&amp;LEFT(A279,2))</f>
        <v/>
      </c>
      <c r="H279" s="48" t="n"/>
    </row>
    <row r="280" ht="15" customHeight="1">
      <c r="A280" s="38" t="n"/>
      <c r="B280" s="48" t="n"/>
      <c r="C280" s="53">
        <f>IF(B280="","",20.412)</f>
        <v/>
      </c>
      <c r="D280" s="48">
        <f>IF(B280="","",B280*C280)</f>
        <v/>
      </c>
      <c r="E280" s="53" t="n"/>
      <c r="F280" s="48">
        <f>IF(D280="","",D280-IF(E280="",0,E280))</f>
        <v/>
      </c>
      <c r="G280" s="53">
        <f>IF(A280="","","27"&amp;MID(A280,4,2)&amp;LEFT(A280,2))</f>
        <v/>
      </c>
      <c r="H280" s="48" t="n"/>
    </row>
    <row r="281" ht="15" customHeight="1">
      <c r="A281" s="38" t="n"/>
      <c r="B281" s="48" t="n"/>
      <c r="C281" s="53">
        <f>IF(B281="","",20.412)</f>
        <v/>
      </c>
      <c r="D281" s="48">
        <f>IF(B281="","",B281*C281)</f>
        <v/>
      </c>
      <c r="E281" s="53" t="n"/>
      <c r="F281" s="48">
        <f>IF(D281="","",D281-IF(E281="",0,E281))</f>
        <v/>
      </c>
      <c r="G281" s="53">
        <f>IF(A281="","","27"&amp;MID(A281,4,2)&amp;LEFT(A281,2))</f>
        <v/>
      </c>
      <c r="H281" s="48" t="n"/>
    </row>
    <row r="282" ht="15" customHeight="1">
      <c r="A282" s="38" t="n"/>
      <c r="B282" s="48" t="n"/>
      <c r="C282" s="53">
        <f>IF(B282="","",20.412)</f>
        <v/>
      </c>
      <c r="D282" s="48">
        <f>IF(B282="","",B282*C282)</f>
        <v/>
      </c>
      <c r="E282" s="53" t="n"/>
      <c r="F282" s="48">
        <f>IF(D282="","",D282-IF(E282="",0,E282))</f>
        <v/>
      </c>
      <c r="G282" s="53">
        <f>IF(A282="","","27"&amp;MID(A282,4,2)&amp;LEFT(A282,2))</f>
        <v/>
      </c>
      <c r="H282" s="48" t="n"/>
    </row>
    <row r="283" ht="15" customHeight="1">
      <c r="A283" s="38" t="n"/>
      <c r="B283" s="48" t="n"/>
      <c r="C283" s="53">
        <f>IF(B283="","",20.412)</f>
        <v/>
      </c>
      <c r="D283" s="48">
        <f>IF(B283="","",B283*C283)</f>
        <v/>
      </c>
      <c r="E283" s="53" t="n"/>
      <c r="F283" s="48">
        <f>IF(D283="","",D283-IF(E283="",0,E283))</f>
        <v/>
      </c>
      <c r="G283" s="53">
        <f>IF(A283="","","27"&amp;MID(A283,4,2)&amp;LEFT(A283,2))</f>
        <v/>
      </c>
      <c r="H283" s="48" t="n"/>
    </row>
    <row r="284" ht="15" customHeight="1">
      <c r="A284" s="38" t="n"/>
      <c r="B284" s="48" t="n"/>
      <c r="C284" s="53">
        <f>IF(B284="","",20.412)</f>
        <v/>
      </c>
      <c r="D284" s="48">
        <f>IF(B284="","",B284*C284)</f>
        <v/>
      </c>
      <c r="E284" s="53" t="n"/>
      <c r="F284" s="48">
        <f>IF(D284="","",D284-IF(E284="",0,E284))</f>
        <v/>
      </c>
      <c r="G284" s="53">
        <f>IF(A284="","","27"&amp;MID(A284,4,2)&amp;LEFT(A284,2))</f>
        <v/>
      </c>
      <c r="H284" s="48" t="n"/>
    </row>
    <row r="285" ht="15" customHeight="1">
      <c r="A285" s="38" t="n"/>
      <c r="B285" s="48" t="n"/>
      <c r="C285" s="53">
        <f>IF(B285="","",20.412)</f>
        <v/>
      </c>
      <c r="D285" s="48">
        <f>IF(B285="","",B285*C285)</f>
        <v/>
      </c>
      <c r="E285" s="53" t="n"/>
      <c r="F285" s="48">
        <f>IF(D285="","",D285-IF(E285="",0,E285))</f>
        <v/>
      </c>
      <c r="G285" s="53">
        <f>IF(A285="","","27"&amp;MID(A285,4,2)&amp;LEFT(A285,2))</f>
        <v/>
      </c>
      <c r="H285" s="48" t="n"/>
    </row>
    <row r="286" ht="15" customHeight="1">
      <c r="A286" s="38" t="n"/>
      <c r="B286" s="48" t="n"/>
      <c r="C286" s="53">
        <f>IF(B286="","",20.412)</f>
        <v/>
      </c>
      <c r="D286" s="48">
        <f>IF(B286="","",B286*C286)</f>
        <v/>
      </c>
      <c r="E286" s="53" t="n"/>
      <c r="F286" s="48">
        <f>IF(D286="","",D286-IF(E286="",0,E286))</f>
        <v/>
      </c>
      <c r="G286" s="53">
        <f>IF(A286="","","27"&amp;MID(A286,4,2)&amp;LEFT(A286,2))</f>
        <v/>
      </c>
      <c r="H286" s="48" t="n"/>
    </row>
    <row r="287" ht="15" customHeight="1">
      <c r="A287" s="38" t="n"/>
      <c r="B287" s="48" t="n"/>
      <c r="C287" s="53">
        <f>IF(B287="","",20.412)</f>
        <v/>
      </c>
      <c r="D287" s="48">
        <f>IF(B287="","",B287*C287)</f>
        <v/>
      </c>
      <c r="E287" s="53" t="n"/>
      <c r="F287" s="48">
        <f>IF(D287="","",D287-IF(E287="",0,E287))</f>
        <v/>
      </c>
      <c r="G287" s="53">
        <f>IF(A287="","","27"&amp;MID(A287,4,2)&amp;LEFT(A287,2))</f>
        <v/>
      </c>
      <c r="H287" s="48" t="n"/>
    </row>
    <row r="288" ht="15" customHeight="1">
      <c r="A288" s="38" t="n"/>
      <c r="B288" s="48" t="n"/>
      <c r="C288" s="53">
        <f>IF(B288="","",20.412)</f>
        <v/>
      </c>
      <c r="D288" s="48">
        <f>IF(B288="","",B288*C288)</f>
        <v/>
      </c>
      <c r="E288" s="53" t="n"/>
      <c r="F288" s="48">
        <f>IF(D288="","",D288-IF(E288="",0,E288))</f>
        <v/>
      </c>
      <c r="G288" s="53">
        <f>IF(A288="","","27"&amp;MID(A288,4,2)&amp;LEFT(A288,2))</f>
        <v/>
      </c>
      <c r="H288" s="48" t="n"/>
    </row>
    <row r="289" ht="15" customHeight="1">
      <c r="A289" s="38" t="n"/>
      <c r="B289" s="48" t="n"/>
      <c r="C289" s="53">
        <f>IF(B289="","",20.412)</f>
        <v/>
      </c>
      <c r="D289" s="48">
        <f>IF(B289="","",B289*C289)</f>
        <v/>
      </c>
      <c r="E289" s="53" t="n"/>
      <c r="F289" s="48">
        <f>IF(D289="","",D289-IF(E289="",0,E289))</f>
        <v/>
      </c>
      <c r="G289" s="53">
        <f>IF(A289="","","27"&amp;MID(A289,4,2)&amp;LEFT(A289,2))</f>
        <v/>
      </c>
      <c r="H289" s="48" t="n"/>
    </row>
    <row r="290" ht="15" customHeight="1">
      <c r="A290" s="38" t="n"/>
      <c r="B290" s="48" t="n"/>
      <c r="C290" s="53">
        <f>IF(B290="","",20.412)</f>
        <v/>
      </c>
      <c r="D290" s="48">
        <f>IF(B290="","",B290*C290)</f>
        <v/>
      </c>
      <c r="E290" s="53" t="n"/>
      <c r="F290" s="48">
        <f>IF(D290="","",D290-IF(E290="",0,E290))</f>
        <v/>
      </c>
      <c r="G290" s="53">
        <f>IF(A290="","","27"&amp;MID(A290,4,2)&amp;LEFT(A290,2))</f>
        <v/>
      </c>
      <c r="H290" s="48" t="n"/>
    </row>
    <row r="291" ht="15" customHeight="1">
      <c r="A291" s="38" t="n"/>
      <c r="B291" s="48" t="n"/>
      <c r="C291" s="53">
        <f>IF(B291="","",20.412)</f>
        <v/>
      </c>
      <c r="D291" s="48">
        <f>IF(B291="","",B291*C291)</f>
        <v/>
      </c>
      <c r="E291" s="53" t="n"/>
      <c r="F291" s="48">
        <f>IF(D291="","",D291-IF(E291="",0,E291))</f>
        <v/>
      </c>
      <c r="G291" s="53">
        <f>IF(A291="","","27"&amp;MID(A291,4,2)&amp;LEFT(A291,2))</f>
        <v/>
      </c>
      <c r="H291" s="48" t="n"/>
    </row>
    <row r="292" ht="15" customHeight="1">
      <c r="A292" s="38" t="n"/>
      <c r="B292" s="48" t="n"/>
      <c r="C292" s="53">
        <f>IF(B292="","",20.412)</f>
        <v/>
      </c>
      <c r="D292" s="48">
        <f>IF(B292="","",B292*C292)</f>
        <v/>
      </c>
      <c r="E292" s="53" t="n"/>
      <c r="F292" s="48">
        <f>IF(D292="","",D292-IF(E292="",0,E292))</f>
        <v/>
      </c>
      <c r="G292" s="53">
        <f>IF(A292="","","27"&amp;MID(A292,4,2)&amp;LEFT(A292,2))</f>
        <v/>
      </c>
      <c r="H292" s="48" t="n"/>
    </row>
    <row r="293" ht="15" customHeight="1">
      <c r="A293" s="38" t="n"/>
      <c r="B293" s="48" t="n"/>
      <c r="C293" s="53">
        <f>IF(B293="","",20.412)</f>
        <v/>
      </c>
      <c r="D293" s="48">
        <f>IF(B293="","",B293*C293)</f>
        <v/>
      </c>
      <c r="E293" s="53" t="n"/>
      <c r="F293" s="48">
        <f>IF(D293="","",D293-IF(E293="",0,E293))</f>
        <v/>
      </c>
      <c r="G293" s="53">
        <f>IF(A293="","","27"&amp;MID(A293,4,2)&amp;LEFT(A293,2))</f>
        <v/>
      </c>
      <c r="H293" s="48" t="n"/>
    </row>
    <row r="294" ht="15" customHeight="1">
      <c r="A294" s="38" t="n"/>
      <c r="B294" s="48" t="n"/>
      <c r="C294" s="53">
        <f>IF(B294="","",20.412)</f>
        <v/>
      </c>
      <c r="D294" s="48">
        <f>IF(B294="","",B294*C294)</f>
        <v/>
      </c>
      <c r="E294" s="53" t="n"/>
      <c r="F294" s="48">
        <f>IF(D294="","",D294-IF(E294="",0,E294))</f>
        <v/>
      </c>
      <c r="G294" s="53">
        <f>IF(A294="","","27"&amp;MID(A294,4,2)&amp;LEFT(A294,2))</f>
        <v/>
      </c>
      <c r="H294" s="48" t="n"/>
    </row>
    <row r="295" ht="15" customHeight="1">
      <c r="A295" s="38" t="n"/>
      <c r="B295" s="48" t="n"/>
      <c r="C295" s="53">
        <f>IF(B295="","",20.412)</f>
        <v/>
      </c>
      <c r="D295" s="48">
        <f>IF(B295="","",B295*C295)</f>
        <v/>
      </c>
      <c r="E295" s="53" t="n"/>
      <c r="F295" s="48">
        <f>IF(D295="","",D295-IF(E295="",0,E295))</f>
        <v/>
      </c>
      <c r="G295" s="53">
        <f>IF(A295="","","27"&amp;MID(A295,4,2)&amp;LEFT(A295,2))</f>
        <v/>
      </c>
      <c r="H295" s="48" t="n"/>
    </row>
    <row r="296" ht="15" customHeight="1">
      <c r="A296" s="38" t="n"/>
      <c r="B296" s="48" t="n"/>
      <c r="C296" s="53">
        <f>IF(B296="","",20.412)</f>
        <v/>
      </c>
      <c r="D296" s="48">
        <f>IF(B296="","",B296*C296)</f>
        <v/>
      </c>
      <c r="E296" s="53" t="n"/>
      <c r="F296" s="48">
        <f>IF(D296="","",D296-IF(E296="",0,E296))</f>
        <v/>
      </c>
      <c r="G296" s="53">
        <f>IF(A296="","","27"&amp;MID(A296,4,2)&amp;LEFT(A296,2))</f>
        <v/>
      </c>
      <c r="H296" s="48" t="n"/>
    </row>
    <row r="297" ht="15" customHeight="1">
      <c r="A297" s="38" t="n"/>
      <c r="B297" s="48" t="n"/>
      <c r="C297" s="53">
        <f>IF(B297="","",20.412)</f>
        <v/>
      </c>
      <c r="D297" s="48">
        <f>IF(B297="","",B297*C297)</f>
        <v/>
      </c>
      <c r="E297" s="53" t="n"/>
      <c r="F297" s="48">
        <f>IF(D297="","",D297-IF(E297="",0,E297))</f>
        <v/>
      </c>
      <c r="G297" s="53">
        <f>IF(A297="","","27"&amp;MID(A297,4,2)&amp;LEFT(A297,2))</f>
        <v/>
      </c>
      <c r="H297" s="48" t="n"/>
    </row>
    <row r="298" ht="15" customHeight="1">
      <c r="A298" s="38" t="n"/>
      <c r="B298" s="48" t="n"/>
      <c r="C298" s="53">
        <f>IF(B298="","",20.412)</f>
        <v/>
      </c>
      <c r="D298" s="48">
        <f>IF(B298="","",B298*C298)</f>
        <v/>
      </c>
      <c r="E298" s="53" t="n"/>
      <c r="F298" s="48">
        <f>IF(D298="","",D298-IF(E298="",0,E298))</f>
        <v/>
      </c>
      <c r="G298" s="53">
        <f>IF(A298="","","27"&amp;MID(A298,4,2)&amp;LEFT(A298,2))</f>
        <v/>
      </c>
      <c r="H298" s="48" t="n"/>
    </row>
    <row r="299" ht="15" customHeight="1">
      <c r="A299" s="38" t="n"/>
      <c r="B299" s="48" t="n"/>
      <c r="C299" s="53">
        <f>IF(B299="","",20.412)</f>
        <v/>
      </c>
      <c r="D299" s="48">
        <f>IF(B299="","",B299*C299)</f>
        <v/>
      </c>
      <c r="E299" s="53" t="n"/>
      <c r="F299" s="48">
        <f>IF(D299="","",D299-IF(E299="",0,E299))</f>
        <v/>
      </c>
      <c r="G299" s="53">
        <f>IF(A299="","","27"&amp;MID(A299,4,2)&amp;LEFT(A299,2))</f>
        <v/>
      </c>
      <c r="H299" s="48" t="n"/>
    </row>
    <row r="300" ht="15" customHeight="1">
      <c r="A300" s="38" t="n"/>
      <c r="B300" s="48" t="n"/>
      <c r="C300" s="53">
        <f>IF(B300="","",20.412)</f>
        <v/>
      </c>
      <c r="D300" s="48">
        <f>IF(B300="","",B300*C300)</f>
        <v/>
      </c>
      <c r="E300" s="53" t="n"/>
      <c r="F300" s="48">
        <f>IF(D300="","",D300-IF(E300="",0,E300))</f>
        <v/>
      </c>
      <c r="G300" s="53">
        <f>IF(A300="","","27"&amp;MID(A300,4,2)&amp;LEFT(A300,2))</f>
        <v/>
      </c>
      <c r="H300" s="48" t="n"/>
    </row>
    <row r="301" ht="15" customHeight="1">
      <c r="A301" s="38" t="n"/>
      <c r="B301" s="48" t="n"/>
      <c r="C301" s="53">
        <f>IF(B301="","",20.412)</f>
        <v/>
      </c>
      <c r="D301" s="48">
        <f>IF(B301="","",B301*C301)</f>
        <v/>
      </c>
      <c r="E301" s="53" t="n"/>
      <c r="F301" s="48">
        <f>IF(D301="","",D301-IF(E301="",0,E301))</f>
        <v/>
      </c>
      <c r="G301" s="53">
        <f>IF(A301="","","27"&amp;MID(A301,4,2)&amp;LEFT(A301,2))</f>
        <v/>
      </c>
      <c r="H301" s="48" t="n"/>
    </row>
    <row r="302" ht="15" customHeight="1">
      <c r="A302" s="38" t="n"/>
      <c r="B302" s="48" t="n"/>
      <c r="C302" s="53">
        <f>IF(B302="","",20.412)</f>
        <v/>
      </c>
      <c r="D302" s="48">
        <f>IF(B302="","",B302*C302)</f>
        <v/>
      </c>
      <c r="E302" s="53" t="n"/>
      <c r="F302" s="48">
        <f>IF(D302="","",D302-IF(E302="",0,E302))</f>
        <v/>
      </c>
      <c r="G302" s="53">
        <f>IF(A302="","","27"&amp;MID(A302,4,2)&amp;LEFT(A302,2))</f>
        <v/>
      </c>
      <c r="H302" s="48" t="n"/>
    </row>
    <row r="303" ht="15" customHeight="1">
      <c r="A303" s="38" t="n"/>
      <c r="B303" s="48" t="n"/>
      <c r="C303" s="53">
        <f>IF(B303="","",20.412)</f>
        <v/>
      </c>
      <c r="D303" s="48">
        <f>IF(B303="","",B303*C303)</f>
        <v/>
      </c>
      <c r="E303" s="53" t="n"/>
      <c r="F303" s="48">
        <f>IF(D303="","",D303-IF(E303="",0,E303))</f>
        <v/>
      </c>
      <c r="G303" s="53">
        <f>IF(A303="","","27"&amp;MID(A303,4,2)&amp;LEFT(A303,2))</f>
        <v/>
      </c>
      <c r="H303" s="48" t="n"/>
    </row>
    <row r="304" ht="15" customHeight="1">
      <c r="A304" s="38" t="n"/>
      <c r="B304" s="48" t="n"/>
      <c r="C304" s="53">
        <f>IF(B304="","",20.412)</f>
        <v/>
      </c>
      <c r="D304" s="48">
        <f>IF(B304="","",B304*C304)</f>
        <v/>
      </c>
      <c r="E304" s="53" t="n"/>
      <c r="F304" s="48">
        <f>IF(D304="","",D304-IF(E304="",0,E304))</f>
        <v/>
      </c>
      <c r="G304" s="53">
        <f>IF(A304="","","27"&amp;MID(A304,4,2)&amp;LEFT(A304,2))</f>
        <v/>
      </c>
      <c r="H304" s="48" t="n"/>
    </row>
    <row r="305" ht="15" customHeight="1">
      <c r="A305" s="38" t="n"/>
      <c r="B305" s="48" t="n"/>
      <c r="C305" s="53">
        <f>IF(B305="","",20.412)</f>
        <v/>
      </c>
      <c r="D305" s="48">
        <f>IF(B305="","",B305*C305)</f>
        <v/>
      </c>
      <c r="E305" s="53" t="n"/>
      <c r="F305" s="48">
        <f>IF(D305="","",D305-IF(E305="",0,E305))</f>
        <v/>
      </c>
      <c r="G305" s="53">
        <f>IF(A305="","","27"&amp;MID(A305,4,2)&amp;LEFT(A305,2))</f>
        <v/>
      </c>
      <c r="H305" s="48" t="n"/>
    </row>
    <row r="306" ht="15" customHeight="1">
      <c r="A306" s="38" t="n"/>
      <c r="B306" s="48" t="n"/>
      <c r="C306" s="53">
        <f>IF(B306="","",20.412)</f>
        <v/>
      </c>
      <c r="D306" s="48">
        <f>IF(B306="","",B306*C306)</f>
        <v/>
      </c>
      <c r="E306" s="53" t="n"/>
      <c r="F306" s="48">
        <f>IF(D306="","",D306-IF(E306="",0,E306))</f>
        <v/>
      </c>
      <c r="G306" s="53">
        <f>IF(A306="","","27"&amp;MID(A306,4,2)&amp;LEFT(A306,2))</f>
        <v/>
      </c>
      <c r="H306" s="48" t="n"/>
    </row>
    <row r="307" ht="15" customHeight="1">
      <c r="A307" s="38" t="n"/>
      <c r="B307" s="48" t="n"/>
      <c r="C307" s="53">
        <f>IF(B307="","",20.412)</f>
        <v/>
      </c>
      <c r="D307" s="48">
        <f>IF(B307="","",B307*C307)</f>
        <v/>
      </c>
      <c r="E307" s="53" t="n"/>
      <c r="F307" s="48">
        <f>IF(D307="","",D307-IF(E307="",0,E307))</f>
        <v/>
      </c>
      <c r="G307" s="53">
        <f>IF(A307="","","27"&amp;MID(A307,4,2)&amp;LEFT(A307,2))</f>
        <v/>
      </c>
      <c r="H307" s="48" t="n"/>
    </row>
    <row r="308" ht="15" customHeight="1">
      <c r="A308" s="38" t="n"/>
      <c r="B308" s="48" t="n"/>
      <c r="C308" s="53">
        <f>IF(B308="","",20.412)</f>
        <v/>
      </c>
      <c r="D308" s="48">
        <f>IF(B308="","",B308*C308)</f>
        <v/>
      </c>
      <c r="E308" s="53" t="n"/>
      <c r="F308" s="48">
        <f>IF(D308="","",D308-IF(E308="",0,E308))</f>
        <v/>
      </c>
      <c r="G308" s="53">
        <f>IF(A308="","","27"&amp;MID(A308,4,2)&amp;LEFT(A308,2))</f>
        <v/>
      </c>
      <c r="H308" s="48" t="n"/>
    </row>
    <row r="309" ht="15" customHeight="1">
      <c r="A309" s="38" t="n"/>
      <c r="B309" s="48" t="n"/>
      <c r="C309" s="53">
        <f>IF(B309="","",20.412)</f>
        <v/>
      </c>
      <c r="D309" s="48">
        <f>IF(B309="","",B309*C309)</f>
        <v/>
      </c>
      <c r="E309" s="53" t="n"/>
      <c r="F309" s="48">
        <f>IF(D309="","",D309-IF(E309="",0,E309))</f>
        <v/>
      </c>
      <c r="G309" s="53">
        <f>IF(A309="","","27"&amp;MID(A309,4,2)&amp;LEFT(A309,2))</f>
        <v/>
      </c>
      <c r="H309" s="48" t="n"/>
    </row>
    <row r="310" ht="15" customHeight="1">
      <c r="A310" s="38" t="n"/>
      <c r="B310" s="48" t="n"/>
      <c r="C310" s="53">
        <f>IF(B310="","",20.412)</f>
        <v/>
      </c>
      <c r="D310" s="48">
        <f>IF(B310="","",B310*C310)</f>
        <v/>
      </c>
      <c r="E310" s="53" t="n"/>
      <c r="F310" s="48">
        <f>IF(D310="","",D310-IF(E310="",0,E310))</f>
        <v/>
      </c>
      <c r="G310" s="53">
        <f>IF(A310="","","27"&amp;MID(A310,4,2)&amp;LEFT(A310,2))</f>
        <v/>
      </c>
      <c r="H310" s="48" t="n"/>
    </row>
    <row r="311" ht="15" customHeight="1">
      <c r="A311" s="38" t="n"/>
      <c r="B311" s="48" t="n"/>
      <c r="C311" s="53">
        <f>IF(B311="","",20.412)</f>
        <v/>
      </c>
      <c r="D311" s="48">
        <f>IF(B311="","",B311*C311)</f>
        <v/>
      </c>
      <c r="E311" s="53" t="n"/>
      <c r="F311" s="48">
        <f>IF(D311="","",D311-IF(E311="",0,E311))</f>
        <v/>
      </c>
      <c r="G311" s="53">
        <f>IF(A311="","","27"&amp;MID(A311,4,2)&amp;LEFT(A311,2))</f>
        <v/>
      </c>
      <c r="H311" s="48" t="n"/>
    </row>
    <row r="312" ht="15" customHeight="1">
      <c r="A312" s="38" t="n"/>
      <c r="B312" s="48" t="n"/>
      <c r="C312" s="53">
        <f>IF(B312="","",20.412)</f>
        <v/>
      </c>
      <c r="D312" s="48">
        <f>IF(B312="","",B312*C312)</f>
        <v/>
      </c>
      <c r="E312" s="53" t="n"/>
      <c r="F312" s="48">
        <f>IF(D312="","",D312-IF(E312="",0,E312))</f>
        <v/>
      </c>
      <c r="G312" s="53">
        <f>IF(A312="","","27"&amp;MID(A312,4,2)&amp;LEFT(A312,2))</f>
        <v/>
      </c>
      <c r="H312" s="48" t="n"/>
    </row>
    <row r="313" ht="15" customHeight="1">
      <c r="A313" s="38" t="n"/>
      <c r="B313" s="48" t="n"/>
      <c r="C313" s="53">
        <f>IF(B313="","",20.412)</f>
        <v/>
      </c>
      <c r="D313" s="48">
        <f>IF(B313="","",B313*C313)</f>
        <v/>
      </c>
      <c r="E313" s="53" t="n"/>
      <c r="F313" s="48">
        <f>IF(D313="","",D313-IF(E313="",0,E313))</f>
        <v/>
      </c>
      <c r="G313" s="53">
        <f>IF(A313="","","27"&amp;MID(A313,4,2)&amp;LEFT(A313,2))</f>
        <v/>
      </c>
      <c r="H313" s="48" t="n"/>
    </row>
    <row r="314" ht="15" customHeight="1">
      <c r="A314" s="38" t="n"/>
      <c r="B314" s="48" t="n"/>
      <c r="C314" s="53">
        <f>IF(B314="","",20.412)</f>
        <v/>
      </c>
      <c r="D314" s="48">
        <f>IF(B314="","",B314*C314)</f>
        <v/>
      </c>
      <c r="E314" s="53" t="n"/>
      <c r="F314" s="48">
        <f>IF(D314="","",D314-IF(E314="",0,E314))</f>
        <v/>
      </c>
      <c r="G314" s="53">
        <f>IF(A314="","","27"&amp;MID(A314,4,2)&amp;LEFT(A314,2))</f>
        <v/>
      </c>
      <c r="H314" s="48" t="n"/>
    </row>
    <row r="315" ht="15" customHeight="1">
      <c r="A315" s="38" t="n"/>
      <c r="B315" s="48" t="n"/>
      <c r="C315" s="53">
        <f>IF(B315="","",20.412)</f>
        <v/>
      </c>
      <c r="D315" s="48">
        <f>IF(B315="","",B315*C315)</f>
        <v/>
      </c>
      <c r="E315" s="53" t="n"/>
      <c r="F315" s="48">
        <f>IF(D315="","",D315-IF(E315="",0,E315))</f>
        <v/>
      </c>
      <c r="G315" s="53">
        <f>IF(A315="","","27"&amp;MID(A315,4,2)&amp;LEFT(A315,2))</f>
        <v/>
      </c>
      <c r="H315" s="48" t="n"/>
    </row>
    <row r="316" ht="15" customHeight="1">
      <c r="A316" s="38" t="n"/>
      <c r="B316" s="48" t="n"/>
      <c r="C316" s="53">
        <f>IF(B316="","",20.412)</f>
        <v/>
      </c>
      <c r="D316" s="48">
        <f>IF(B316="","",B316*C316)</f>
        <v/>
      </c>
      <c r="E316" s="53" t="n"/>
      <c r="F316" s="48">
        <f>IF(D316="","",D316-IF(E316="",0,E316))</f>
        <v/>
      </c>
      <c r="G316" s="53">
        <f>IF(A316="","","27"&amp;MID(A316,4,2)&amp;LEFT(A316,2))</f>
        <v/>
      </c>
      <c r="H316" s="48" t="n"/>
    </row>
    <row r="317" ht="15" customHeight="1">
      <c r="A317" s="38" t="n"/>
      <c r="B317" s="48" t="n"/>
      <c r="C317" s="53">
        <f>IF(B317="","",20.412)</f>
        <v/>
      </c>
      <c r="D317" s="48">
        <f>IF(B317="","",B317*C317)</f>
        <v/>
      </c>
      <c r="E317" s="53" t="n"/>
      <c r="F317" s="48">
        <f>IF(D317="","",D317-IF(E317="",0,E317))</f>
        <v/>
      </c>
      <c r="G317" s="53">
        <f>IF(A317="","","27"&amp;MID(A317,4,2)&amp;LEFT(A317,2))</f>
        <v/>
      </c>
      <c r="H317" s="48" t="n"/>
    </row>
    <row r="318" ht="15" customHeight="1">
      <c r="A318" s="38" t="n"/>
      <c r="B318" s="48" t="n"/>
      <c r="C318" s="53">
        <f>IF(B318="","",20.412)</f>
        <v/>
      </c>
      <c r="D318" s="48">
        <f>IF(B318="","",B318*C318)</f>
        <v/>
      </c>
      <c r="E318" s="53" t="n"/>
      <c r="F318" s="48">
        <f>IF(D318="","",D318-IF(E318="",0,E318))</f>
        <v/>
      </c>
      <c r="G318" s="53">
        <f>IF(A318="","","27"&amp;MID(A318,4,2)&amp;LEFT(A318,2))</f>
        <v/>
      </c>
      <c r="H318" s="48" t="n"/>
    </row>
    <row r="319" ht="15" customHeight="1">
      <c r="A319" s="38" t="n"/>
      <c r="B319" s="48" t="n"/>
      <c r="C319" s="53">
        <f>IF(B319="","",20.412)</f>
        <v/>
      </c>
      <c r="D319" s="48">
        <f>IF(B319="","",B319*C319)</f>
        <v/>
      </c>
      <c r="E319" s="53" t="n"/>
      <c r="F319" s="48">
        <f>IF(D319="","",D319-IF(E319="",0,E319))</f>
        <v/>
      </c>
      <c r="G319" s="53">
        <f>IF(A319="","","27"&amp;MID(A319,4,2)&amp;LEFT(A319,2))</f>
        <v/>
      </c>
      <c r="H319" s="48" t="n"/>
    </row>
    <row r="320" ht="15" customHeight="1">
      <c r="A320" s="38" t="n"/>
      <c r="B320" s="48" t="n"/>
      <c r="C320" s="53">
        <f>IF(B320="","",20.412)</f>
        <v/>
      </c>
      <c r="D320" s="48">
        <f>IF(B320="","",B320*C320)</f>
        <v/>
      </c>
      <c r="E320" s="53" t="n"/>
      <c r="F320" s="48">
        <f>IF(D320="","",D320-IF(E320="",0,E320))</f>
        <v/>
      </c>
      <c r="G320" s="53">
        <f>IF(A320="","","27"&amp;MID(A320,4,2)&amp;LEFT(A320,2))</f>
        <v/>
      </c>
      <c r="H320" s="48" t="n"/>
    </row>
    <row r="321" ht="15" customHeight="1">
      <c r="A321" s="38" t="n"/>
      <c r="B321" s="48" t="n"/>
      <c r="C321" s="53">
        <f>IF(B321="","",20.412)</f>
        <v/>
      </c>
      <c r="D321" s="48">
        <f>IF(B321="","",B321*C321)</f>
        <v/>
      </c>
      <c r="E321" s="53" t="n"/>
      <c r="F321" s="48">
        <f>IF(D321="","",D321-IF(E321="",0,E321))</f>
        <v/>
      </c>
      <c r="G321" s="53">
        <f>IF(A321="","","27"&amp;MID(A321,4,2)&amp;LEFT(A321,2))</f>
        <v/>
      </c>
      <c r="H321" s="48" t="n"/>
    </row>
    <row r="322" ht="15" customHeight="1">
      <c r="A322" s="38" t="n"/>
      <c r="B322" s="48" t="n"/>
      <c r="C322" s="53">
        <f>IF(B322="","",20.412)</f>
        <v/>
      </c>
      <c r="D322" s="48">
        <f>IF(B322="","",B322*C322)</f>
        <v/>
      </c>
      <c r="E322" s="53" t="n"/>
      <c r="F322" s="48">
        <f>IF(D322="","",D322-IF(E322="",0,E322))</f>
        <v/>
      </c>
      <c r="G322" s="53">
        <f>IF(A322="","","27"&amp;MID(A322,4,2)&amp;LEFT(A322,2))</f>
        <v/>
      </c>
      <c r="H322" s="48" t="n"/>
    </row>
    <row r="323" ht="15" customHeight="1">
      <c r="A323" s="38" t="n"/>
      <c r="B323" s="48" t="n"/>
      <c r="C323" s="53">
        <f>IF(B323="","",20.412)</f>
        <v/>
      </c>
      <c r="D323" s="48">
        <f>IF(B323="","",B323*C323)</f>
        <v/>
      </c>
      <c r="E323" s="53" t="n"/>
      <c r="F323" s="48">
        <f>IF(D323="","",D323-IF(E323="",0,E323))</f>
        <v/>
      </c>
      <c r="G323" s="53">
        <f>IF(A323="","","27"&amp;MID(A323,4,2)&amp;LEFT(A323,2))</f>
        <v/>
      </c>
      <c r="H323" s="48" t="n"/>
    </row>
    <row r="324" ht="15" customHeight="1">
      <c r="A324" s="38" t="n"/>
      <c r="B324" s="48" t="n"/>
      <c r="C324" s="53">
        <f>IF(B324="","",20.412)</f>
        <v/>
      </c>
      <c r="D324" s="48">
        <f>IF(B324="","",B324*C324)</f>
        <v/>
      </c>
      <c r="E324" s="53" t="n"/>
      <c r="F324" s="48">
        <f>IF(D324="","",D324-IF(E324="",0,E324))</f>
        <v/>
      </c>
      <c r="G324" s="53">
        <f>IF(A324="","","27"&amp;MID(A324,4,2)&amp;LEFT(A324,2))</f>
        <v/>
      </c>
      <c r="H324" s="48" t="n"/>
    </row>
    <row r="325" ht="15" customHeight="1">
      <c r="A325" s="38" t="n"/>
      <c r="B325" s="48" t="n"/>
      <c r="C325" s="53">
        <f>IF(B325="","",20.412)</f>
        <v/>
      </c>
      <c r="D325" s="48">
        <f>IF(B325="","",B325*C325)</f>
        <v/>
      </c>
      <c r="E325" s="53" t="n"/>
      <c r="F325" s="48">
        <f>IF(D325="","",D325-IF(E325="",0,E325))</f>
        <v/>
      </c>
      <c r="G325" s="53">
        <f>IF(A325="","","27"&amp;MID(A325,4,2)&amp;LEFT(A325,2))</f>
        <v/>
      </c>
      <c r="H325" s="48" t="n"/>
    </row>
    <row r="326" ht="15" customHeight="1">
      <c r="A326" s="38" t="n"/>
      <c r="B326" s="48" t="n"/>
      <c r="C326" s="53">
        <f>IF(B326="","",20.412)</f>
        <v/>
      </c>
      <c r="D326" s="48">
        <f>IF(B326="","",B326*C326)</f>
        <v/>
      </c>
      <c r="E326" s="53" t="n"/>
      <c r="F326" s="48">
        <f>IF(D326="","",D326-IF(E326="",0,E326))</f>
        <v/>
      </c>
      <c r="G326" s="53">
        <f>IF(A326="","","27"&amp;MID(A326,4,2)&amp;LEFT(A326,2))</f>
        <v/>
      </c>
      <c r="H326" s="48" t="n"/>
    </row>
    <row r="327" ht="15" customHeight="1">
      <c r="A327" s="38" t="n"/>
      <c r="B327" s="48" t="n"/>
      <c r="C327" s="53">
        <f>IF(B327="","",20.412)</f>
        <v/>
      </c>
      <c r="D327" s="48">
        <f>IF(B327="","",B327*C327)</f>
        <v/>
      </c>
      <c r="E327" s="53" t="n"/>
      <c r="F327" s="48">
        <f>IF(D327="","",D327-IF(E327="",0,E327))</f>
        <v/>
      </c>
      <c r="G327" s="53">
        <f>IF(A327="","","27"&amp;MID(A327,4,2)&amp;LEFT(A327,2))</f>
        <v/>
      </c>
      <c r="H327" s="48" t="n"/>
    </row>
    <row r="328" ht="15" customHeight="1">
      <c r="A328" s="38" t="n"/>
      <c r="B328" s="48" t="n"/>
      <c r="C328" s="53">
        <f>IF(B328="","",20.412)</f>
        <v/>
      </c>
      <c r="D328" s="48">
        <f>IF(B328="","",B328*C328)</f>
        <v/>
      </c>
      <c r="E328" s="53" t="n"/>
      <c r="F328" s="48">
        <f>IF(D328="","",D328-IF(E328="",0,E328))</f>
        <v/>
      </c>
      <c r="G328" s="53">
        <f>IF(A328="","","27"&amp;MID(A328,4,2)&amp;LEFT(A328,2))</f>
        <v/>
      </c>
      <c r="H328" s="48" t="n"/>
    </row>
    <row r="329" ht="15" customHeight="1">
      <c r="A329" s="38" t="n"/>
      <c r="B329" s="48" t="n"/>
      <c r="C329" s="53">
        <f>IF(B329="","",20.412)</f>
        <v/>
      </c>
      <c r="D329" s="48">
        <f>IF(B329="","",B329*C329)</f>
        <v/>
      </c>
      <c r="E329" s="53" t="n"/>
      <c r="F329" s="48">
        <f>IF(D329="","",D329-IF(E329="",0,E329))</f>
        <v/>
      </c>
      <c r="G329" s="53">
        <f>IF(A329="","","27"&amp;MID(A329,4,2)&amp;LEFT(A329,2))</f>
        <v/>
      </c>
      <c r="H329" s="48" t="n"/>
    </row>
    <row r="330" ht="15" customHeight="1">
      <c r="A330" s="38" t="n"/>
      <c r="B330" s="48" t="n"/>
      <c r="C330" s="53">
        <f>IF(B330="","",20.412)</f>
        <v/>
      </c>
      <c r="D330" s="48">
        <f>IF(B330="","",B330*C330)</f>
        <v/>
      </c>
      <c r="E330" s="53" t="n"/>
      <c r="F330" s="48">
        <f>IF(D330="","",D330-IF(E330="",0,E330))</f>
        <v/>
      </c>
      <c r="G330" s="53">
        <f>IF(A330="","","27"&amp;MID(A330,4,2)&amp;LEFT(A330,2))</f>
        <v/>
      </c>
      <c r="H330" s="48" t="n"/>
    </row>
    <row r="331" ht="15" customHeight="1">
      <c r="A331" s="38" t="n"/>
      <c r="B331" s="48" t="n"/>
      <c r="C331" s="53">
        <f>IF(B331="","",20.412)</f>
        <v/>
      </c>
      <c r="D331" s="48">
        <f>IF(B331="","",B331*C331)</f>
        <v/>
      </c>
      <c r="E331" s="53" t="n"/>
      <c r="F331" s="48">
        <f>IF(D331="","",D331-IF(E331="",0,E331))</f>
        <v/>
      </c>
      <c r="G331" s="53">
        <f>IF(A331="","","27"&amp;MID(A331,4,2)&amp;LEFT(A331,2))</f>
        <v/>
      </c>
      <c r="H331" s="48" t="n"/>
    </row>
    <row r="332" ht="15" customHeight="1">
      <c r="A332" s="38" t="n"/>
      <c r="B332" s="48" t="n"/>
      <c r="C332" s="53">
        <f>IF(B332="","",20.412)</f>
        <v/>
      </c>
      <c r="D332" s="48">
        <f>IF(B332="","",B332*C332)</f>
        <v/>
      </c>
      <c r="E332" s="53" t="n"/>
      <c r="F332" s="48">
        <f>IF(D332="","",D332-IF(E332="",0,E332))</f>
        <v/>
      </c>
      <c r="G332" s="53">
        <f>IF(A332="","","27"&amp;MID(A332,4,2)&amp;LEFT(A332,2))</f>
        <v/>
      </c>
      <c r="H332" s="48" t="n"/>
    </row>
    <row r="333" ht="15" customHeight="1">
      <c r="A333" s="38" t="n"/>
      <c r="B333" s="48" t="n"/>
      <c r="C333" s="53">
        <f>IF(B333="","",20.412)</f>
        <v/>
      </c>
      <c r="D333" s="48">
        <f>IF(B333="","",B333*C333)</f>
        <v/>
      </c>
      <c r="E333" s="53" t="n"/>
      <c r="F333" s="48">
        <f>IF(D333="","",D333-IF(E333="",0,E333))</f>
        <v/>
      </c>
      <c r="G333" s="53">
        <f>IF(A333="","","27"&amp;MID(A333,4,2)&amp;LEFT(A333,2))</f>
        <v/>
      </c>
      <c r="H333" s="48" t="n"/>
    </row>
    <row r="334" ht="15" customHeight="1">
      <c r="A334" s="38" t="n"/>
      <c r="B334" s="48" t="n"/>
      <c r="C334" s="53">
        <f>IF(B334="","",20.412)</f>
        <v/>
      </c>
      <c r="D334" s="48">
        <f>IF(B334="","",B334*C334)</f>
        <v/>
      </c>
      <c r="E334" s="53" t="n"/>
      <c r="F334" s="48">
        <f>IF(D334="","",D334-IF(E334="",0,E334))</f>
        <v/>
      </c>
      <c r="G334" s="53">
        <f>IF(A334="","","27"&amp;MID(A334,4,2)&amp;LEFT(A334,2))</f>
        <v/>
      </c>
      <c r="H334" s="48" t="n"/>
    </row>
    <row r="335" ht="15" customHeight="1">
      <c r="A335" s="38" t="n"/>
      <c r="B335" s="48" t="n"/>
      <c r="C335" s="53">
        <f>IF(B335="","",20.412)</f>
        <v/>
      </c>
      <c r="D335" s="48">
        <f>IF(B335="","",B335*C335)</f>
        <v/>
      </c>
      <c r="E335" s="53" t="n"/>
      <c r="F335" s="48">
        <f>IF(D335="","",D335-IF(E335="",0,E335))</f>
        <v/>
      </c>
      <c r="G335" s="53">
        <f>IF(A335="","","27"&amp;MID(A335,4,2)&amp;LEFT(A335,2))</f>
        <v/>
      </c>
      <c r="H335" s="48" t="n"/>
    </row>
    <row r="336" ht="15" customHeight="1">
      <c r="A336" s="38" t="n"/>
      <c r="B336" s="48" t="n"/>
      <c r="C336" s="53">
        <f>IF(B336="","",20.412)</f>
        <v/>
      </c>
      <c r="D336" s="48">
        <f>IF(B336="","",B336*C336)</f>
        <v/>
      </c>
      <c r="E336" s="53" t="n"/>
      <c r="F336" s="48">
        <f>IF(D336="","",D336-IF(E336="",0,E336))</f>
        <v/>
      </c>
      <c r="G336" s="53">
        <f>IF(A336="","","27"&amp;MID(A336,4,2)&amp;LEFT(A336,2))</f>
        <v/>
      </c>
      <c r="H336" s="48" t="n"/>
    </row>
    <row r="337" ht="15" customHeight="1">
      <c r="A337" s="38" t="n"/>
      <c r="B337" s="48" t="n"/>
      <c r="C337" s="53">
        <f>IF(B337="","",20.412)</f>
        <v/>
      </c>
      <c r="D337" s="48">
        <f>IF(B337="","",B337*C337)</f>
        <v/>
      </c>
      <c r="E337" s="53" t="n"/>
      <c r="F337" s="48">
        <f>IF(D337="","",D337-IF(E337="",0,E337))</f>
        <v/>
      </c>
      <c r="G337" s="53">
        <f>IF(A337="","","27"&amp;MID(A337,4,2)&amp;LEFT(A337,2))</f>
        <v/>
      </c>
      <c r="H337" s="48" t="n"/>
    </row>
    <row r="338" ht="15" customHeight="1">
      <c r="A338" s="38" t="n"/>
      <c r="B338" s="48" t="n"/>
      <c r="C338" s="53">
        <f>IF(B338="","",20.412)</f>
        <v/>
      </c>
      <c r="D338" s="48">
        <f>IF(B338="","",B338*C338)</f>
        <v/>
      </c>
      <c r="E338" s="53" t="n"/>
      <c r="F338" s="48">
        <f>IF(D338="","",D338-IF(E338="",0,E338))</f>
        <v/>
      </c>
      <c r="G338" s="53">
        <f>IF(A338="","","27"&amp;MID(A338,4,2)&amp;LEFT(A338,2))</f>
        <v/>
      </c>
      <c r="H338" s="48" t="n"/>
    </row>
    <row r="339" ht="15" customHeight="1">
      <c r="A339" s="38" t="n"/>
      <c r="B339" s="48" t="n"/>
      <c r="C339" s="53">
        <f>IF(B339="","",20.412)</f>
        <v/>
      </c>
      <c r="D339" s="48">
        <f>IF(B339="","",B339*C339)</f>
        <v/>
      </c>
      <c r="E339" s="53" t="n"/>
      <c r="F339" s="48">
        <f>IF(D339="","",D339-IF(E339="",0,E339))</f>
        <v/>
      </c>
      <c r="G339" s="53">
        <f>IF(A339="","","27"&amp;MID(A339,4,2)&amp;LEFT(A339,2))</f>
        <v/>
      </c>
      <c r="H339" s="48" t="n"/>
    </row>
    <row r="340" ht="15" customHeight="1">
      <c r="A340" s="38" t="n"/>
      <c r="B340" s="48" t="n"/>
      <c r="C340" s="53">
        <f>IF(B340="","",20.412)</f>
        <v/>
      </c>
      <c r="D340" s="48">
        <f>IF(B340="","",B340*C340)</f>
        <v/>
      </c>
      <c r="E340" s="53" t="n"/>
      <c r="F340" s="48">
        <f>IF(D340="","",D340-IF(E340="",0,E340))</f>
        <v/>
      </c>
      <c r="G340" s="53">
        <f>IF(A340="","","27"&amp;MID(A340,4,2)&amp;LEFT(A340,2))</f>
        <v/>
      </c>
      <c r="H340" s="48" t="n"/>
    </row>
    <row r="341" ht="15" customHeight="1">
      <c r="A341" s="38" t="n"/>
      <c r="B341" s="48" t="n"/>
      <c r="C341" s="53">
        <f>IF(B341="","",20.412)</f>
        <v/>
      </c>
      <c r="D341" s="48">
        <f>IF(B341="","",B341*C341)</f>
        <v/>
      </c>
      <c r="E341" s="53" t="n"/>
      <c r="F341" s="48">
        <f>IF(D341="","",D341-IF(E341="",0,E341))</f>
        <v/>
      </c>
      <c r="G341" s="53">
        <f>IF(A341="","","27"&amp;MID(A341,4,2)&amp;LEFT(A341,2))</f>
        <v/>
      </c>
      <c r="H341" s="48" t="n"/>
    </row>
    <row r="342" ht="15" customHeight="1">
      <c r="A342" s="38" t="n"/>
      <c r="B342" s="48" t="n"/>
      <c r="C342" s="53">
        <f>IF(B342="","",20.412)</f>
        <v/>
      </c>
      <c r="D342" s="48">
        <f>IF(B342="","",B342*C342)</f>
        <v/>
      </c>
      <c r="E342" s="53" t="n"/>
      <c r="F342" s="48">
        <f>IF(D342="","",D342-IF(E342="",0,E342))</f>
        <v/>
      </c>
      <c r="G342" s="53">
        <f>IF(A342="","","27"&amp;MID(A342,4,2)&amp;LEFT(A342,2))</f>
        <v/>
      </c>
      <c r="H342" s="48" t="n"/>
    </row>
    <row r="343" ht="15" customHeight="1">
      <c r="A343" s="38" t="n"/>
      <c r="B343" s="48" t="n"/>
      <c r="C343" s="53">
        <f>IF(B343="","",20.412)</f>
        <v/>
      </c>
      <c r="D343" s="48">
        <f>IF(B343="","",B343*C343)</f>
        <v/>
      </c>
      <c r="E343" s="53" t="n"/>
      <c r="F343" s="48">
        <f>IF(D343="","",D343-IF(E343="",0,E343))</f>
        <v/>
      </c>
      <c r="G343" s="53">
        <f>IF(A343="","","27"&amp;MID(A343,4,2)&amp;LEFT(A343,2))</f>
        <v/>
      </c>
      <c r="H343" s="48" t="n"/>
    </row>
    <row r="344" ht="15" customHeight="1">
      <c r="A344" s="38" t="n"/>
      <c r="B344" s="48" t="n"/>
      <c r="C344" s="53">
        <f>IF(B344="","",20.412)</f>
        <v/>
      </c>
      <c r="D344" s="48">
        <f>IF(B344="","",B344*C344)</f>
        <v/>
      </c>
      <c r="E344" s="53" t="n"/>
      <c r="F344" s="48">
        <f>IF(D344="","",D344-IF(E344="",0,E344))</f>
        <v/>
      </c>
      <c r="G344" s="53">
        <f>IF(A344="","","27"&amp;MID(A344,4,2)&amp;LEFT(A344,2))</f>
        <v/>
      </c>
      <c r="H344" s="48" t="n"/>
    </row>
    <row r="345" ht="15" customHeight="1">
      <c r="A345" s="38" t="n"/>
      <c r="B345" s="48" t="n"/>
      <c r="C345" s="53">
        <f>IF(B345="","",20.412)</f>
        <v/>
      </c>
      <c r="D345" s="48">
        <f>IF(B345="","",B345*C345)</f>
        <v/>
      </c>
      <c r="E345" s="53" t="n"/>
      <c r="F345" s="48">
        <f>IF(D345="","",D345-IF(E345="",0,E345))</f>
        <v/>
      </c>
      <c r="G345" s="53">
        <f>IF(A345="","","27"&amp;MID(A345,4,2)&amp;LEFT(A345,2))</f>
        <v/>
      </c>
      <c r="H345" s="48" t="n"/>
    </row>
    <row r="346" ht="15" customHeight="1">
      <c r="A346" s="38" t="n"/>
      <c r="B346" s="48" t="n"/>
      <c r="C346" s="53">
        <f>IF(B346="","",20.412)</f>
        <v/>
      </c>
      <c r="D346" s="48">
        <f>IF(B346="","",B346*C346)</f>
        <v/>
      </c>
      <c r="E346" s="53" t="n"/>
      <c r="F346" s="48">
        <f>IF(D346="","",D346-IF(E346="",0,E346))</f>
        <v/>
      </c>
      <c r="G346" s="53">
        <f>IF(A346="","","27"&amp;MID(A346,4,2)&amp;LEFT(A346,2))</f>
        <v/>
      </c>
      <c r="H346" s="48" t="n"/>
    </row>
    <row r="347" ht="15" customHeight="1">
      <c r="A347" s="38" t="n"/>
      <c r="B347" s="48" t="n"/>
      <c r="C347" s="53">
        <f>IF(B347="","",20.412)</f>
        <v/>
      </c>
      <c r="D347" s="48">
        <f>IF(B347="","",B347*C347)</f>
        <v/>
      </c>
      <c r="E347" s="53" t="n"/>
      <c r="F347" s="48">
        <f>IF(D347="","",D347-IF(E347="",0,E347))</f>
        <v/>
      </c>
      <c r="G347" s="53">
        <f>IF(A347="","","27"&amp;MID(A347,4,2)&amp;LEFT(A347,2))</f>
        <v/>
      </c>
      <c r="H347" s="48" t="n"/>
    </row>
    <row r="348" ht="15" customHeight="1">
      <c r="A348" s="38" t="n"/>
      <c r="B348" s="48" t="n"/>
      <c r="C348" s="53">
        <f>IF(B348="","",20.412)</f>
        <v/>
      </c>
      <c r="D348" s="48">
        <f>IF(B348="","",B348*C348)</f>
        <v/>
      </c>
      <c r="E348" s="53" t="n"/>
      <c r="F348" s="48">
        <f>IF(D348="","",D348-IF(E348="",0,E348))</f>
        <v/>
      </c>
      <c r="G348" s="53">
        <f>IF(A348="","","27"&amp;MID(A348,4,2)&amp;LEFT(A348,2))</f>
        <v/>
      </c>
      <c r="H348" s="48" t="n"/>
    </row>
    <row r="349" ht="15" customHeight="1">
      <c r="A349" s="38" t="n"/>
      <c r="B349" s="48" t="n"/>
      <c r="C349" s="53">
        <f>IF(B349="","",20.412)</f>
        <v/>
      </c>
      <c r="D349" s="48">
        <f>IF(B349="","",B349*C349)</f>
        <v/>
      </c>
      <c r="E349" s="53" t="n"/>
      <c r="F349" s="48">
        <f>IF(D349="","",D349-IF(E349="",0,E349))</f>
        <v/>
      </c>
      <c r="G349" s="53">
        <f>IF(A349="","","27"&amp;MID(A349,4,2)&amp;LEFT(A349,2))</f>
        <v/>
      </c>
      <c r="H349" s="48" t="n"/>
    </row>
    <row r="350" ht="15" customHeight="1">
      <c r="A350" s="38" t="n"/>
      <c r="B350" s="48" t="n"/>
      <c r="C350" s="53">
        <f>IF(B350="","",20.412)</f>
        <v/>
      </c>
      <c r="D350" s="48">
        <f>IF(B350="","",B350*C350)</f>
        <v/>
      </c>
      <c r="E350" s="53" t="n"/>
      <c r="F350" s="48">
        <f>IF(D350="","",D350-IF(E350="",0,E350))</f>
        <v/>
      </c>
      <c r="G350" s="53">
        <f>IF(A350="","","27"&amp;MID(A350,4,2)&amp;LEFT(A350,2))</f>
        <v/>
      </c>
      <c r="H350" s="48" t="n"/>
    </row>
    <row r="351" ht="15" customHeight="1">
      <c r="A351" s="38" t="n"/>
      <c r="B351" s="48" t="n"/>
      <c r="C351" s="53">
        <f>IF(B351="","",20.412)</f>
        <v/>
      </c>
      <c r="D351" s="48">
        <f>IF(B351="","",B351*C351)</f>
        <v/>
      </c>
      <c r="E351" s="53" t="n"/>
      <c r="F351" s="48">
        <f>IF(D351="","",D351-IF(E351="",0,E351))</f>
        <v/>
      </c>
      <c r="G351" s="53">
        <f>IF(A351="","","27"&amp;MID(A351,4,2)&amp;LEFT(A351,2))</f>
        <v/>
      </c>
      <c r="H351" s="48" t="n"/>
    </row>
    <row r="352" ht="15" customHeight="1">
      <c r="A352" s="38" t="n"/>
      <c r="B352" s="48" t="n"/>
      <c r="C352" s="53">
        <f>IF(B352="","",20.412)</f>
        <v/>
      </c>
      <c r="D352" s="48">
        <f>IF(B352="","",B352*C352)</f>
        <v/>
      </c>
      <c r="E352" s="53" t="n"/>
      <c r="F352" s="48">
        <f>IF(D352="","",D352-IF(E352="",0,E352))</f>
        <v/>
      </c>
      <c r="G352" s="53">
        <f>IF(A352="","","27"&amp;MID(A352,4,2)&amp;LEFT(A352,2))</f>
        <v/>
      </c>
      <c r="H352" s="48" t="n"/>
    </row>
    <row r="353" ht="15" customHeight="1">
      <c r="A353" s="38" t="n"/>
      <c r="B353" s="48" t="n"/>
      <c r="C353" s="53">
        <f>IF(B353="","",20.412)</f>
        <v/>
      </c>
      <c r="D353" s="48">
        <f>IF(B353="","",B353*C353)</f>
        <v/>
      </c>
      <c r="E353" s="53" t="n"/>
      <c r="F353" s="48">
        <f>IF(D353="","",D353-IF(E353="",0,E353))</f>
        <v/>
      </c>
      <c r="G353" s="53">
        <f>IF(A353="","","27"&amp;MID(A353,4,2)&amp;LEFT(A353,2))</f>
        <v/>
      </c>
      <c r="H353" s="48" t="n"/>
    </row>
    <row r="354" ht="15" customHeight="1">
      <c r="A354" s="38" t="n"/>
      <c r="B354" s="48" t="n"/>
      <c r="C354" s="53">
        <f>IF(B354="","",20.412)</f>
        <v/>
      </c>
      <c r="D354" s="48">
        <f>IF(B354="","",B354*C354)</f>
        <v/>
      </c>
      <c r="E354" s="53" t="n"/>
      <c r="F354" s="48">
        <f>IF(D354="","",D354-IF(E354="",0,E354))</f>
        <v/>
      </c>
      <c r="G354" s="53">
        <f>IF(A354="","","27"&amp;MID(A354,4,2)&amp;LEFT(A354,2))</f>
        <v/>
      </c>
      <c r="H354" s="48" t="n"/>
    </row>
    <row r="355" ht="15" customHeight="1">
      <c r="A355" s="38" t="n"/>
      <c r="B355" s="48" t="n"/>
      <c r="C355" s="53">
        <f>IF(B355="","",20.412)</f>
        <v/>
      </c>
      <c r="D355" s="48">
        <f>IF(B355="","",B355*C355)</f>
        <v/>
      </c>
      <c r="E355" s="53" t="n"/>
      <c r="F355" s="48">
        <f>IF(D355="","",D355-IF(E355="",0,E355))</f>
        <v/>
      </c>
      <c r="G355" s="53">
        <f>IF(A355="","","27"&amp;MID(A355,4,2)&amp;LEFT(A355,2))</f>
        <v/>
      </c>
      <c r="H355" s="48" t="n"/>
    </row>
    <row r="356" ht="15" customHeight="1">
      <c r="A356" s="38" t="n"/>
      <c r="B356" s="48" t="n"/>
      <c r="C356" s="53">
        <f>IF(B356="","",20.412)</f>
        <v/>
      </c>
      <c r="D356" s="48">
        <f>IF(B356="","",B356*C356)</f>
        <v/>
      </c>
      <c r="E356" s="53" t="n"/>
      <c r="F356" s="48">
        <f>IF(D356="","",D356-IF(E356="",0,E356))</f>
        <v/>
      </c>
      <c r="G356" s="53">
        <f>IF(A356="","","27"&amp;MID(A356,4,2)&amp;LEFT(A356,2))</f>
        <v/>
      </c>
      <c r="H356" s="48" t="n"/>
    </row>
    <row r="357" ht="15" customHeight="1">
      <c r="A357" s="38" t="n"/>
      <c r="B357" s="48" t="n"/>
      <c r="C357" s="53">
        <f>IF(B357="","",20.412)</f>
        <v/>
      </c>
      <c r="D357" s="48">
        <f>IF(B357="","",B357*C357)</f>
        <v/>
      </c>
      <c r="E357" s="53" t="n"/>
      <c r="F357" s="48">
        <f>IF(D357="","",D357-IF(E357="",0,E357))</f>
        <v/>
      </c>
      <c r="G357" s="53">
        <f>IF(A357="","","27"&amp;MID(A357,4,2)&amp;LEFT(A357,2))</f>
        <v/>
      </c>
      <c r="H357" s="48" t="n"/>
    </row>
    <row r="358" ht="15" customHeight="1">
      <c r="A358" s="38" t="n"/>
      <c r="B358" s="48" t="n"/>
      <c r="C358" s="53">
        <f>IF(B358="","",20.412)</f>
        <v/>
      </c>
      <c r="D358" s="48">
        <f>IF(B358="","",B358*C358)</f>
        <v/>
      </c>
      <c r="E358" s="53" t="n"/>
      <c r="F358" s="48">
        <f>IF(D358="","",D358-IF(E358="",0,E358))</f>
        <v/>
      </c>
      <c r="G358" s="53">
        <f>IF(A358="","","27"&amp;MID(A358,4,2)&amp;LEFT(A358,2))</f>
        <v/>
      </c>
      <c r="H358" s="48" t="n"/>
    </row>
    <row r="359" ht="15" customHeight="1">
      <c r="A359" s="38" t="n"/>
      <c r="B359" s="48" t="n"/>
      <c r="C359" s="53">
        <f>IF(B359="","",20.412)</f>
        <v/>
      </c>
      <c r="D359" s="48">
        <f>IF(B359="","",B359*C359)</f>
        <v/>
      </c>
      <c r="E359" s="53" t="n"/>
      <c r="F359" s="48">
        <f>IF(D359="","",D359-IF(E359="",0,E359))</f>
        <v/>
      </c>
      <c r="G359" s="53">
        <f>IF(A359="","","27"&amp;MID(A359,4,2)&amp;LEFT(A359,2))</f>
        <v/>
      </c>
      <c r="H359" s="48" t="n"/>
    </row>
    <row r="360" ht="15" customHeight="1">
      <c r="A360" s="38" t="n"/>
      <c r="B360" s="48" t="n"/>
      <c r="C360" s="53">
        <f>IF(B360="","",20.412)</f>
        <v/>
      </c>
      <c r="D360" s="48">
        <f>IF(B360="","",B360*C360)</f>
        <v/>
      </c>
      <c r="E360" s="53" t="n"/>
      <c r="F360" s="48">
        <f>IF(D360="","",D360-IF(E360="",0,E360))</f>
        <v/>
      </c>
      <c r="G360" s="53">
        <f>IF(A360="","","27"&amp;MID(A360,4,2)&amp;LEFT(A360,2))</f>
        <v/>
      </c>
      <c r="H360" s="48" t="n"/>
    </row>
    <row r="361" ht="15" customHeight="1">
      <c r="A361" s="38" t="n"/>
      <c r="B361" s="48" t="n"/>
      <c r="C361" s="53">
        <f>IF(B361="","",20.412)</f>
        <v/>
      </c>
      <c r="D361" s="48">
        <f>IF(B361="","",B361*C361)</f>
        <v/>
      </c>
      <c r="E361" s="53" t="n"/>
      <c r="F361" s="48">
        <f>IF(D361="","",D361-IF(E361="",0,E361))</f>
        <v/>
      </c>
      <c r="G361" s="53">
        <f>IF(A361="","","27"&amp;MID(A361,4,2)&amp;LEFT(A361,2))</f>
        <v/>
      </c>
      <c r="H361" s="48" t="n"/>
    </row>
    <row r="362" ht="15" customHeight="1">
      <c r="A362" s="38" t="n"/>
      <c r="B362" s="48" t="n"/>
      <c r="C362" s="53">
        <f>IF(B362="","",20.412)</f>
        <v/>
      </c>
      <c r="D362" s="48">
        <f>IF(B362="","",B362*C362)</f>
        <v/>
      </c>
      <c r="E362" s="53" t="n"/>
      <c r="F362" s="48">
        <f>IF(D362="","",D362-IF(E362="",0,E362))</f>
        <v/>
      </c>
      <c r="G362" s="53">
        <f>IF(A362="","","27"&amp;MID(A362,4,2)&amp;LEFT(A362,2))</f>
        <v/>
      </c>
      <c r="H362" s="48" t="n"/>
    </row>
    <row r="363" ht="15" customHeight="1">
      <c r="A363" s="38" t="n"/>
      <c r="B363" s="48" t="n"/>
      <c r="C363" s="53">
        <f>IF(B363="","",20.412)</f>
        <v/>
      </c>
      <c r="D363" s="48">
        <f>IF(B363="","",B363*C363)</f>
        <v/>
      </c>
      <c r="E363" s="53" t="n"/>
      <c r="F363" s="48">
        <f>IF(D363="","",D363-IF(E363="",0,E363))</f>
        <v/>
      </c>
      <c r="G363" s="53">
        <f>IF(A363="","","27"&amp;MID(A363,4,2)&amp;LEFT(A363,2))</f>
        <v/>
      </c>
      <c r="H363" s="48" t="n"/>
    </row>
    <row r="364" ht="15" customHeight="1">
      <c r="A364" s="38" t="n"/>
      <c r="B364" s="48" t="n"/>
      <c r="C364" s="53">
        <f>IF(B364="","",20.412)</f>
        <v/>
      </c>
      <c r="D364" s="48">
        <f>IF(B364="","",B364*C364)</f>
        <v/>
      </c>
      <c r="E364" s="53" t="n"/>
      <c r="F364" s="48">
        <f>IF(D364="","",D364-IF(E364="",0,E364))</f>
        <v/>
      </c>
      <c r="G364" s="53">
        <f>IF(A364="","","27"&amp;MID(A364,4,2)&amp;LEFT(A364,2))</f>
        <v/>
      </c>
      <c r="H364" s="48" t="n"/>
    </row>
    <row r="365" ht="15" customHeight="1">
      <c r="A365" s="38" t="n"/>
      <c r="B365" s="48" t="n"/>
      <c r="C365" s="53">
        <f>IF(B365="","",20.412)</f>
        <v/>
      </c>
      <c r="D365" s="48">
        <f>IF(B365="","",B365*C365)</f>
        <v/>
      </c>
      <c r="E365" s="53" t="n"/>
      <c r="F365" s="48">
        <f>IF(D365="","",D365-IF(E365="",0,E365))</f>
        <v/>
      </c>
      <c r="G365" s="53">
        <f>IF(A365="","","27"&amp;MID(A365,4,2)&amp;LEFT(A365,2))</f>
        <v/>
      </c>
      <c r="H365" s="48" t="n"/>
    </row>
    <row r="366" ht="15" customHeight="1">
      <c r="A366" s="38" t="n"/>
      <c r="B366" s="48" t="n"/>
      <c r="C366" s="53">
        <f>IF(B366="","",20.412)</f>
        <v/>
      </c>
      <c r="D366" s="48">
        <f>IF(B366="","",B366*C366)</f>
        <v/>
      </c>
      <c r="E366" s="53" t="n"/>
      <c r="F366" s="48">
        <f>IF(D366="","",D366-IF(E366="",0,E366))</f>
        <v/>
      </c>
      <c r="G366" s="53">
        <f>IF(A366="","","27"&amp;MID(A366,4,2)&amp;LEFT(A366,2))</f>
        <v/>
      </c>
      <c r="H366" s="48" t="n"/>
    </row>
    <row r="367" ht="15" customHeight="1">
      <c r="A367" s="38" t="n"/>
      <c r="B367" s="48" t="n"/>
      <c r="C367" s="53">
        <f>IF(B367="","",20.412)</f>
        <v/>
      </c>
      <c r="D367" s="48">
        <f>IF(B367="","",B367*C367)</f>
        <v/>
      </c>
      <c r="E367" s="53" t="n"/>
      <c r="F367" s="48">
        <f>IF(D367="","",D367-IF(E367="",0,E367))</f>
        <v/>
      </c>
      <c r="G367" s="53">
        <f>IF(A367="","","27"&amp;MID(A367,4,2)&amp;LEFT(A367,2))</f>
        <v/>
      </c>
      <c r="H367" s="48" t="n"/>
    </row>
    <row r="368" ht="15" customHeight="1">
      <c r="A368" s="38" t="n"/>
      <c r="B368" s="48" t="n"/>
      <c r="C368" s="53">
        <f>IF(B368="","",20.412)</f>
        <v/>
      </c>
      <c r="D368" s="48">
        <f>IF(B368="","",B368*C368)</f>
        <v/>
      </c>
      <c r="E368" s="53" t="n"/>
      <c r="F368" s="48">
        <f>IF(D368="","",D368-IF(E368="",0,E368))</f>
        <v/>
      </c>
      <c r="G368" s="53">
        <f>IF(A368="","","27"&amp;MID(A368,4,2)&amp;LEFT(A368,2))</f>
        <v/>
      </c>
      <c r="H368" s="48" t="n"/>
    </row>
    <row r="369" ht="15" customHeight="1">
      <c r="A369" s="38" t="n"/>
      <c r="B369" s="48" t="n"/>
      <c r="C369" s="53">
        <f>IF(B369="","",20.412)</f>
        <v/>
      </c>
      <c r="D369" s="48">
        <f>IF(B369="","",B369*C369)</f>
        <v/>
      </c>
      <c r="E369" s="53" t="n"/>
      <c r="F369" s="48">
        <f>IF(D369="","",D369-IF(E369="",0,E369))</f>
        <v/>
      </c>
      <c r="G369" s="53">
        <f>IF(A369="","","27"&amp;MID(A369,4,2)&amp;LEFT(A369,2))</f>
        <v/>
      </c>
      <c r="H369" s="48" t="n"/>
    </row>
    <row r="370" ht="15" customHeight="1">
      <c r="A370" s="38" t="n"/>
      <c r="B370" s="48" t="n"/>
      <c r="C370" s="53">
        <f>IF(B370="","",20.412)</f>
        <v/>
      </c>
      <c r="D370" s="48">
        <f>IF(B370="","",B370*C370)</f>
        <v/>
      </c>
      <c r="E370" s="53" t="n"/>
      <c r="F370" s="48">
        <f>IF(D370="","",D370-IF(E370="",0,E370))</f>
        <v/>
      </c>
      <c r="G370" s="53">
        <f>IF(A370="","","27"&amp;MID(A370,4,2)&amp;LEFT(A370,2))</f>
        <v/>
      </c>
      <c r="H370" s="48" t="n"/>
    </row>
    <row r="371" ht="15" customHeight="1">
      <c r="A371" s="38" t="n"/>
      <c r="B371" s="48" t="n"/>
      <c r="C371" s="53">
        <f>IF(B371="","",20.412)</f>
        <v/>
      </c>
      <c r="D371" s="48">
        <f>IF(B371="","",B371*C371)</f>
        <v/>
      </c>
      <c r="E371" s="53" t="n"/>
      <c r="F371" s="48">
        <f>IF(D371="","",D371-IF(E371="",0,E371))</f>
        <v/>
      </c>
      <c r="G371" s="53">
        <f>IF(A371="","","27"&amp;MID(A371,4,2)&amp;LEFT(A371,2))</f>
        <v/>
      </c>
      <c r="H371" s="48" t="n"/>
    </row>
    <row r="372" ht="15" customHeight="1">
      <c r="A372" s="38" t="n"/>
      <c r="B372" s="48" t="n"/>
      <c r="C372" s="53">
        <f>IF(B372="","",20.412)</f>
        <v/>
      </c>
      <c r="D372" s="48">
        <f>IF(B372="","",B372*C372)</f>
        <v/>
      </c>
      <c r="E372" s="53" t="n"/>
      <c r="F372" s="48">
        <f>IF(D372="","",D372-IF(E372="",0,E372))</f>
        <v/>
      </c>
      <c r="G372" s="53">
        <f>IF(A372="","","27"&amp;MID(A372,4,2)&amp;LEFT(A372,2))</f>
        <v/>
      </c>
      <c r="H372" s="48" t="n"/>
    </row>
    <row r="373" ht="15" customHeight="1">
      <c r="A373" s="38" t="n"/>
      <c r="B373" s="48" t="n"/>
      <c r="C373" s="53">
        <f>IF(B373="","",20.412)</f>
        <v/>
      </c>
      <c r="D373" s="48">
        <f>IF(B373="","",B373*C373)</f>
        <v/>
      </c>
      <c r="E373" s="53" t="n"/>
      <c r="F373" s="48">
        <f>IF(D373="","",D373-IF(E373="",0,E373))</f>
        <v/>
      </c>
      <c r="G373" s="53">
        <f>IF(A373="","","27"&amp;MID(A373,4,2)&amp;LEFT(A373,2))</f>
        <v/>
      </c>
      <c r="H373" s="48" t="n"/>
    </row>
    <row r="374" ht="15" customHeight="1">
      <c r="A374" s="38" t="n"/>
      <c r="B374" s="48" t="n"/>
      <c r="C374" s="53">
        <f>IF(B374="","",20.412)</f>
        <v/>
      </c>
      <c r="D374" s="48">
        <f>IF(B374="","",B374*C374)</f>
        <v/>
      </c>
      <c r="E374" s="53" t="n"/>
      <c r="F374" s="48">
        <f>IF(D374="","",D374-IF(E374="",0,E374))</f>
        <v/>
      </c>
      <c r="G374" s="53">
        <f>IF(A374="","","27"&amp;MID(A374,4,2)&amp;LEFT(A374,2))</f>
        <v/>
      </c>
      <c r="H374" s="48" t="n"/>
    </row>
    <row r="375" ht="15" customHeight="1">
      <c r="A375" s="38" t="n"/>
      <c r="B375" s="48" t="n"/>
      <c r="C375" s="53">
        <f>IF(B375="","",20.412)</f>
        <v/>
      </c>
      <c r="D375" s="48">
        <f>IF(B375="","",B375*C375)</f>
        <v/>
      </c>
      <c r="E375" s="53" t="n"/>
      <c r="F375" s="48">
        <f>IF(D375="","",D375-IF(E375="",0,E375))</f>
        <v/>
      </c>
      <c r="G375" s="53">
        <f>IF(A375="","","27"&amp;MID(A375,4,2)&amp;LEFT(A375,2))</f>
        <v/>
      </c>
      <c r="H375" s="48" t="n"/>
    </row>
    <row r="376" ht="15" customHeight="1">
      <c r="A376" s="38" t="n"/>
      <c r="B376" s="48" t="n"/>
      <c r="C376" s="53">
        <f>IF(B376="","",20.412)</f>
        <v/>
      </c>
      <c r="D376" s="48">
        <f>IF(B376="","",B376*C376)</f>
        <v/>
      </c>
      <c r="E376" s="53" t="n"/>
      <c r="F376" s="48">
        <f>IF(D376="","",D376-IF(E376="",0,E376))</f>
        <v/>
      </c>
      <c r="G376" s="53">
        <f>IF(A376="","","27"&amp;MID(A376,4,2)&amp;LEFT(A376,2))</f>
        <v/>
      </c>
      <c r="H376" s="48" t="n"/>
    </row>
    <row r="377" ht="15" customHeight="1">
      <c r="A377" s="38" t="n"/>
      <c r="B377" s="48" t="n"/>
      <c r="C377" s="53">
        <f>IF(B377="","",20.412)</f>
        <v/>
      </c>
      <c r="D377" s="48">
        <f>IF(B377="","",B377*C377)</f>
        <v/>
      </c>
      <c r="E377" s="53" t="n"/>
      <c r="F377" s="48">
        <f>IF(D377="","",D377-IF(E377="",0,E377))</f>
        <v/>
      </c>
      <c r="G377" s="53">
        <f>IF(A377="","","27"&amp;MID(A377,4,2)&amp;LEFT(A377,2))</f>
        <v/>
      </c>
      <c r="H377" s="48" t="n"/>
    </row>
    <row r="378" ht="15" customHeight="1">
      <c r="A378" s="38" t="n"/>
      <c r="B378" s="48" t="n"/>
      <c r="C378" s="53">
        <f>IF(B378="","",20.412)</f>
        <v/>
      </c>
      <c r="D378" s="48">
        <f>IF(B378="","",B378*C378)</f>
        <v/>
      </c>
      <c r="E378" s="53" t="n"/>
      <c r="F378" s="48">
        <f>IF(D378="","",D378-IF(E378="",0,E378))</f>
        <v/>
      </c>
      <c r="G378" s="53">
        <f>IF(A378="","","27"&amp;MID(A378,4,2)&amp;LEFT(A378,2))</f>
        <v/>
      </c>
      <c r="H378" s="48" t="n"/>
    </row>
    <row r="379" ht="15" customHeight="1">
      <c r="A379" s="38" t="n"/>
      <c r="B379" s="48" t="n"/>
      <c r="C379" s="53">
        <f>IF(B379="","",20.412)</f>
        <v/>
      </c>
      <c r="D379" s="48">
        <f>IF(B379="","",B379*C379)</f>
        <v/>
      </c>
      <c r="E379" s="53" t="n"/>
      <c r="F379" s="48">
        <f>IF(D379="","",D379-IF(E379="",0,E379))</f>
        <v/>
      </c>
      <c r="G379" s="53">
        <f>IF(A379="","","27"&amp;MID(A379,4,2)&amp;LEFT(A379,2))</f>
        <v/>
      </c>
      <c r="H379" s="48" t="n"/>
    </row>
    <row r="380" ht="15" customHeight="1">
      <c r="A380" s="38" t="n"/>
      <c r="B380" s="48" t="n"/>
      <c r="C380" s="53">
        <f>IF(B380="","",20.412)</f>
        <v/>
      </c>
      <c r="D380" s="48">
        <f>IF(B380="","",B380*C380)</f>
        <v/>
      </c>
      <c r="E380" s="53" t="n"/>
      <c r="F380" s="48">
        <f>IF(D380="","",D380-IF(E380="",0,E380))</f>
        <v/>
      </c>
      <c r="G380" s="53">
        <f>IF(A380="","","27"&amp;MID(A380,4,2)&amp;LEFT(A380,2))</f>
        <v/>
      </c>
      <c r="H380" s="48" t="n"/>
    </row>
    <row r="381" ht="15" customHeight="1">
      <c r="A381" s="38" t="n"/>
      <c r="B381" s="48" t="n"/>
      <c r="C381" s="53">
        <f>IF(B381="","",20.412)</f>
        <v/>
      </c>
      <c r="D381" s="48">
        <f>IF(B381="","",B381*C381)</f>
        <v/>
      </c>
      <c r="E381" s="53" t="n"/>
      <c r="F381" s="48">
        <f>IF(D381="","",D381-IF(E381="",0,E381))</f>
        <v/>
      </c>
      <c r="G381" s="53">
        <f>IF(A381="","","27"&amp;MID(A381,4,2)&amp;LEFT(A381,2))</f>
        <v/>
      </c>
      <c r="H381" s="48" t="n"/>
    </row>
    <row r="382" ht="15" customHeight="1">
      <c r="A382" s="38" t="n"/>
      <c r="B382" s="48" t="n"/>
      <c r="C382" s="53">
        <f>IF(B382="","",20.412)</f>
        <v/>
      </c>
      <c r="D382" s="48">
        <f>IF(B382="","",B382*C382)</f>
        <v/>
      </c>
      <c r="E382" s="53" t="n"/>
      <c r="F382" s="48">
        <f>IF(D382="","",D382-IF(E382="",0,E382))</f>
        <v/>
      </c>
      <c r="G382" s="53">
        <f>IF(A382="","","27"&amp;MID(A382,4,2)&amp;LEFT(A382,2))</f>
        <v/>
      </c>
      <c r="H382" s="48" t="n"/>
    </row>
    <row r="383" ht="15" customHeight="1">
      <c r="A383" s="38" t="n"/>
      <c r="B383" s="48" t="n"/>
      <c r="C383" s="53">
        <f>IF(B383="","",20.412)</f>
        <v/>
      </c>
      <c r="D383" s="48">
        <f>IF(B383="","",B383*C383)</f>
        <v/>
      </c>
      <c r="E383" s="53" t="n"/>
      <c r="F383" s="48">
        <f>IF(D383="","",D383-IF(E383="",0,E383))</f>
        <v/>
      </c>
      <c r="G383" s="53">
        <f>IF(A383="","","27"&amp;MID(A383,4,2)&amp;LEFT(A383,2))</f>
        <v/>
      </c>
      <c r="H383" s="48" t="n"/>
    </row>
    <row r="384" ht="15" customHeight="1">
      <c r="A384" s="38" t="n"/>
      <c r="B384" s="48" t="n"/>
      <c r="C384" s="53">
        <f>IF(B384="","",20.412)</f>
        <v/>
      </c>
      <c r="D384" s="48">
        <f>IF(B384="","",B384*C384)</f>
        <v/>
      </c>
      <c r="E384" s="53" t="n"/>
      <c r="F384" s="48">
        <f>IF(D384="","",D384-IF(E384="",0,E384))</f>
        <v/>
      </c>
      <c r="G384" s="53">
        <f>IF(A384="","","27"&amp;MID(A384,4,2)&amp;LEFT(A384,2))</f>
        <v/>
      </c>
      <c r="H384" s="48" t="n"/>
    </row>
    <row r="385" ht="15" customHeight="1">
      <c r="A385" s="38" t="n"/>
      <c r="B385" s="48" t="n"/>
      <c r="C385" s="53">
        <f>IF(B385="","",20.412)</f>
        <v/>
      </c>
      <c r="D385" s="48">
        <f>IF(B385="","",B385*C385)</f>
        <v/>
      </c>
      <c r="E385" s="53" t="n"/>
      <c r="F385" s="48">
        <f>IF(D385="","",D385-IF(E385="",0,E385))</f>
        <v/>
      </c>
      <c r="G385" s="53">
        <f>IF(A385="","","27"&amp;MID(A385,4,2)&amp;LEFT(A385,2))</f>
        <v/>
      </c>
      <c r="H385" s="48" t="n"/>
    </row>
    <row r="386" ht="15" customHeight="1">
      <c r="A386" s="38" t="n"/>
      <c r="B386" s="48" t="n"/>
      <c r="C386" s="53">
        <f>IF(B386="","",20.412)</f>
        <v/>
      </c>
      <c r="D386" s="48">
        <f>IF(B386="","",B386*C386)</f>
        <v/>
      </c>
      <c r="E386" s="53" t="n"/>
      <c r="F386" s="48">
        <f>IF(D386="","",D386-IF(E386="",0,E386))</f>
        <v/>
      </c>
      <c r="G386" s="53">
        <f>IF(A386="","","27"&amp;MID(A386,4,2)&amp;LEFT(A386,2))</f>
        <v/>
      </c>
      <c r="H386" s="48" t="n"/>
    </row>
    <row r="387" ht="15" customHeight="1">
      <c r="A387" s="38" t="n"/>
      <c r="B387" s="48" t="n"/>
      <c r="C387" s="53">
        <f>IF(B387="","",20.412)</f>
        <v/>
      </c>
      <c r="D387" s="48">
        <f>IF(B387="","",B387*C387)</f>
        <v/>
      </c>
      <c r="E387" s="53" t="n"/>
      <c r="F387" s="48">
        <f>IF(D387="","",D387-IF(E387="",0,E387))</f>
        <v/>
      </c>
      <c r="G387" s="53">
        <f>IF(A387="","","27"&amp;MID(A387,4,2)&amp;LEFT(A387,2))</f>
        <v/>
      </c>
      <c r="H387" s="48" t="n"/>
    </row>
    <row r="388" ht="15" customHeight="1">
      <c r="A388" s="38" t="n"/>
      <c r="B388" s="48" t="n"/>
      <c r="C388" s="53">
        <f>IF(B388="","",20.412)</f>
        <v/>
      </c>
      <c r="D388" s="48">
        <f>IF(B388="","",B388*C388)</f>
        <v/>
      </c>
      <c r="E388" s="53" t="n"/>
      <c r="F388" s="48">
        <f>IF(D388="","",D388-IF(E388="",0,E388))</f>
        <v/>
      </c>
      <c r="G388" s="53">
        <f>IF(A388="","","27"&amp;MID(A388,4,2)&amp;LEFT(A388,2))</f>
        <v/>
      </c>
      <c r="H388" s="48" t="n"/>
    </row>
    <row r="389" ht="15" customHeight="1">
      <c r="A389" s="38" t="n"/>
      <c r="B389" s="48" t="n"/>
      <c r="C389" s="53">
        <f>IF(B389="","",20.412)</f>
        <v/>
      </c>
      <c r="D389" s="48">
        <f>IF(B389="","",B389*C389)</f>
        <v/>
      </c>
      <c r="E389" s="53" t="n"/>
      <c r="F389" s="48">
        <f>IF(D389="","",D389-IF(E389="",0,E389))</f>
        <v/>
      </c>
      <c r="G389" s="53">
        <f>IF(A389="","","27"&amp;MID(A389,4,2)&amp;LEFT(A389,2))</f>
        <v/>
      </c>
      <c r="H389" s="48" t="n"/>
    </row>
    <row r="390" ht="15" customHeight="1">
      <c r="A390" s="38" t="n"/>
      <c r="B390" s="48" t="n"/>
      <c r="C390" s="53">
        <f>IF(B390="","",20.412)</f>
        <v/>
      </c>
      <c r="D390" s="48">
        <f>IF(B390="","",B390*C390)</f>
        <v/>
      </c>
      <c r="E390" s="53" t="n"/>
      <c r="F390" s="48">
        <f>IF(D390="","",D390-IF(E390="",0,E390))</f>
        <v/>
      </c>
      <c r="G390" s="53">
        <f>IF(A390="","","27"&amp;MID(A390,4,2)&amp;LEFT(A390,2))</f>
        <v/>
      </c>
      <c r="H390" s="48" t="n"/>
    </row>
    <row r="391" ht="15" customHeight="1">
      <c r="A391" s="38" t="n"/>
      <c r="B391" s="48" t="n"/>
      <c r="C391" s="53">
        <f>IF(B391="","",20.412)</f>
        <v/>
      </c>
      <c r="D391" s="48">
        <f>IF(B391="","",B391*C391)</f>
        <v/>
      </c>
      <c r="E391" s="53" t="n"/>
      <c r="F391" s="48">
        <f>IF(D391="","",D391-IF(E391="",0,E391))</f>
        <v/>
      </c>
      <c r="G391" s="53">
        <f>IF(A391="","","27"&amp;MID(A391,4,2)&amp;LEFT(A391,2))</f>
        <v/>
      </c>
      <c r="H391" s="48" t="n"/>
    </row>
    <row r="392" ht="15" customHeight="1">
      <c r="A392" s="38" t="n"/>
      <c r="B392" s="48" t="n"/>
      <c r="C392" s="53">
        <f>IF(B392="","",20.412)</f>
        <v/>
      </c>
      <c r="D392" s="48">
        <f>IF(B392="","",B392*C392)</f>
        <v/>
      </c>
      <c r="E392" s="53" t="n"/>
      <c r="F392" s="48">
        <f>IF(D392="","",D392-IF(E392="",0,E392))</f>
        <v/>
      </c>
      <c r="G392" s="53">
        <f>IF(A392="","","27"&amp;MID(A392,4,2)&amp;LEFT(A392,2))</f>
        <v/>
      </c>
      <c r="H392" s="48" t="n"/>
    </row>
    <row r="393" ht="15" customHeight="1">
      <c r="A393" s="38" t="n"/>
      <c r="B393" s="48" t="n"/>
      <c r="C393" s="53">
        <f>IF(B393="","",20.412)</f>
        <v/>
      </c>
      <c r="D393" s="48">
        <f>IF(B393="","",B393*C393)</f>
        <v/>
      </c>
      <c r="E393" s="53" t="n"/>
      <c r="F393" s="48">
        <f>IF(D393="","",D393-IF(E393="",0,E393))</f>
        <v/>
      </c>
      <c r="G393" s="53">
        <f>IF(A393="","","27"&amp;MID(A393,4,2)&amp;LEFT(A393,2))</f>
        <v/>
      </c>
      <c r="H393" s="48" t="n"/>
    </row>
    <row r="394" ht="15" customHeight="1">
      <c r="A394" s="38" t="n"/>
      <c r="B394" s="48" t="n"/>
      <c r="C394" s="53">
        <f>IF(B394="","",20.412)</f>
        <v/>
      </c>
      <c r="D394" s="48">
        <f>IF(B394="","",B394*C394)</f>
        <v/>
      </c>
      <c r="E394" s="53" t="n"/>
      <c r="F394" s="48">
        <f>IF(D394="","",D394-IF(E394="",0,E394))</f>
        <v/>
      </c>
      <c r="G394" s="53">
        <f>IF(A394="","","27"&amp;MID(A394,4,2)&amp;LEFT(A394,2))</f>
        <v/>
      </c>
      <c r="H394" s="48" t="n"/>
    </row>
    <row r="395" ht="15" customHeight="1">
      <c r="A395" s="38" t="n"/>
      <c r="B395" s="48" t="n"/>
      <c r="C395" s="53">
        <f>IF(B395="","",20.412)</f>
        <v/>
      </c>
      <c r="D395" s="48">
        <f>IF(B395="","",B395*C395)</f>
        <v/>
      </c>
      <c r="E395" s="53" t="n"/>
      <c r="F395" s="48">
        <f>IF(D395="","",D395-IF(E395="",0,E395))</f>
        <v/>
      </c>
      <c r="G395" s="53">
        <f>IF(A395="","","27"&amp;MID(A395,4,2)&amp;LEFT(A395,2))</f>
        <v/>
      </c>
      <c r="H395" s="48" t="n"/>
    </row>
    <row r="396" ht="15" customHeight="1">
      <c r="A396" s="38" t="n"/>
      <c r="B396" s="48" t="n"/>
      <c r="C396" s="53">
        <f>IF(B396="","",20.412)</f>
        <v/>
      </c>
      <c r="D396" s="48">
        <f>IF(B396="","",B396*C396)</f>
        <v/>
      </c>
      <c r="E396" s="53" t="n"/>
      <c r="F396" s="48">
        <f>IF(D396="","",D396-IF(E396="",0,E396))</f>
        <v/>
      </c>
      <c r="G396" s="53">
        <f>IF(A396="","","27"&amp;MID(A396,4,2)&amp;LEFT(A396,2))</f>
        <v/>
      </c>
      <c r="H396" s="48" t="n"/>
    </row>
    <row r="397" ht="15" customHeight="1">
      <c r="A397" s="38" t="n"/>
      <c r="B397" s="48" t="n"/>
      <c r="C397" s="53">
        <f>IF(B397="","",20.412)</f>
        <v/>
      </c>
      <c r="D397" s="48">
        <f>IF(B397="","",B397*C397)</f>
        <v/>
      </c>
      <c r="E397" s="53" t="n"/>
      <c r="F397" s="48">
        <f>IF(D397="","",D397-IF(E397="",0,E397))</f>
        <v/>
      </c>
      <c r="G397" s="53">
        <f>IF(A397="","","27"&amp;MID(A397,4,2)&amp;LEFT(A397,2))</f>
        <v/>
      </c>
      <c r="H397" s="48" t="n"/>
    </row>
    <row r="398" ht="15" customHeight="1">
      <c r="A398" s="38" t="n"/>
      <c r="B398" s="48" t="n"/>
      <c r="C398" s="53">
        <f>IF(B398="","",20.412)</f>
        <v/>
      </c>
      <c r="D398" s="48">
        <f>IF(B398="","",B398*C398)</f>
        <v/>
      </c>
      <c r="E398" s="53" t="n"/>
      <c r="F398" s="48">
        <f>IF(D398="","",D398-IF(E398="",0,E398))</f>
        <v/>
      </c>
      <c r="G398" s="53">
        <f>IF(A398="","","27"&amp;MID(A398,4,2)&amp;LEFT(A398,2))</f>
        <v/>
      </c>
      <c r="H398" s="48" t="n"/>
    </row>
    <row r="399" ht="15" customHeight="1">
      <c r="A399" s="38" t="n"/>
      <c r="B399" s="48" t="n"/>
      <c r="C399" s="53">
        <f>IF(B399="","",20.412)</f>
        <v/>
      </c>
      <c r="D399" s="48">
        <f>IF(B399="","",B399*C399)</f>
        <v/>
      </c>
      <c r="E399" s="53" t="n"/>
      <c r="F399" s="48">
        <f>IF(D399="","",D399-IF(E399="",0,E399))</f>
        <v/>
      </c>
      <c r="G399" s="53">
        <f>IF(A399="","","27"&amp;MID(A399,4,2)&amp;LEFT(A399,2))</f>
        <v/>
      </c>
      <c r="H399" s="48" t="n"/>
    </row>
    <row r="400" ht="15" customHeight="1">
      <c r="A400" s="38" t="n"/>
      <c r="B400" s="48" t="n"/>
      <c r="C400" s="53">
        <f>IF(B400="","",20.412)</f>
        <v/>
      </c>
      <c r="D400" s="48">
        <f>IF(B400="","",B400*C400)</f>
        <v/>
      </c>
      <c r="E400" s="53" t="n"/>
      <c r="F400" s="48">
        <f>IF(D400="","",D400-IF(E400="",0,E400))</f>
        <v/>
      </c>
      <c r="G400" s="53">
        <f>IF(A400="","","27"&amp;MID(A400,4,2)&amp;LEFT(A400,2))</f>
        <v/>
      </c>
      <c r="H400" s="48" t="n"/>
    </row>
    <row r="401" ht="15" customHeight="1">
      <c r="A401" s="38" t="n"/>
      <c r="B401" s="48" t="n"/>
      <c r="C401" s="53">
        <f>IF(B401="","",20.412)</f>
        <v/>
      </c>
      <c r="D401" s="48">
        <f>IF(B401="","",B401*C401)</f>
        <v/>
      </c>
      <c r="E401" s="53" t="n"/>
      <c r="F401" s="48">
        <f>IF(D401="","",D401-IF(E401="",0,E401))</f>
        <v/>
      </c>
      <c r="G401" s="53">
        <f>IF(A401="","","27"&amp;MID(A401,4,2)&amp;LEFT(A401,2))</f>
        <v/>
      </c>
      <c r="H401" s="48" t="n"/>
    </row>
    <row r="402" ht="15" customHeight="1">
      <c r="A402" s="38" t="n"/>
      <c r="B402" s="48" t="n"/>
      <c r="C402" s="53">
        <f>IF(B402="","",20.412)</f>
        <v/>
      </c>
      <c r="D402" s="48">
        <f>IF(B402="","",B402*C402)</f>
        <v/>
      </c>
      <c r="E402" s="53" t="n"/>
      <c r="F402" s="48">
        <f>IF(D402="","",D402-IF(E402="",0,E402))</f>
        <v/>
      </c>
      <c r="G402" s="53">
        <f>IF(A402="","","27"&amp;MID(A402,4,2)&amp;LEFT(A402,2))</f>
        <v/>
      </c>
      <c r="H402" s="48" t="n"/>
    </row>
    <row r="403" ht="15" customHeight="1">
      <c r="A403" s="38" t="n"/>
      <c r="B403" s="48" t="n"/>
      <c r="C403" s="53">
        <f>IF(B403="","",20.412)</f>
        <v/>
      </c>
      <c r="D403" s="48">
        <f>IF(B403="","",B403*C403)</f>
        <v/>
      </c>
      <c r="E403" s="53" t="n"/>
      <c r="F403" s="48">
        <f>IF(D403="","",D403-IF(E403="",0,E403))</f>
        <v/>
      </c>
      <c r="G403" s="53">
        <f>IF(A403="","","27"&amp;MID(A403,4,2)&amp;LEFT(A403,2))</f>
        <v/>
      </c>
      <c r="H403" s="48" t="n"/>
    </row>
    <row r="404" ht="15" customHeight="1">
      <c r="A404" s="38" t="n"/>
      <c r="B404" s="48" t="n"/>
      <c r="C404" s="53">
        <f>IF(B404="","",20.412)</f>
        <v/>
      </c>
      <c r="D404" s="48">
        <f>IF(B404="","",B404*C404)</f>
        <v/>
      </c>
      <c r="E404" s="53" t="n"/>
      <c r="F404" s="48">
        <f>IF(D404="","",D404-IF(E404="",0,E404))</f>
        <v/>
      </c>
      <c r="G404" s="53">
        <f>IF(A404="","","27"&amp;MID(A404,4,2)&amp;LEFT(A404,2))</f>
        <v/>
      </c>
      <c r="H404" s="48" t="n"/>
    </row>
    <row r="405" ht="15" customHeight="1">
      <c r="A405" s="38" t="n"/>
      <c r="B405" s="48" t="n"/>
      <c r="C405" s="53">
        <f>IF(B405="","",20.412)</f>
        <v/>
      </c>
      <c r="D405" s="48">
        <f>IF(B405="","",B405*C405)</f>
        <v/>
      </c>
      <c r="E405" s="53" t="n"/>
      <c r="F405" s="48">
        <f>IF(D405="","",D405-IF(E405="",0,E405))</f>
        <v/>
      </c>
      <c r="G405" s="53">
        <f>IF(A405="","","27"&amp;MID(A405,4,2)&amp;LEFT(A405,2))</f>
        <v/>
      </c>
      <c r="H405" s="48" t="n"/>
    </row>
    <row r="406" ht="15" customHeight="1">
      <c r="A406" s="38" t="n"/>
      <c r="B406" s="48" t="n"/>
      <c r="C406" s="53">
        <f>IF(B406="","",20.412)</f>
        <v/>
      </c>
      <c r="D406" s="48">
        <f>IF(B406="","",B406*C406)</f>
        <v/>
      </c>
      <c r="E406" s="53" t="n"/>
      <c r="F406" s="48">
        <f>IF(D406="","",D406-IF(E406="",0,E406))</f>
        <v/>
      </c>
      <c r="G406" s="53">
        <f>IF(A406="","","27"&amp;MID(A406,4,2)&amp;LEFT(A406,2))</f>
        <v/>
      </c>
      <c r="H406" s="48" t="n"/>
    </row>
    <row r="407" ht="15" customHeight="1">
      <c r="A407" s="38" t="n"/>
      <c r="B407" s="48" t="n"/>
      <c r="C407" s="53">
        <f>IF(B407="","",20.412)</f>
        <v/>
      </c>
      <c r="D407" s="48">
        <f>IF(B407="","",B407*C407)</f>
        <v/>
      </c>
      <c r="E407" s="53" t="n"/>
      <c r="F407" s="48">
        <f>IF(D407="","",D407-IF(E407="",0,E407))</f>
        <v/>
      </c>
      <c r="G407" s="53">
        <f>IF(A407="","","27"&amp;MID(A407,4,2)&amp;LEFT(A407,2))</f>
        <v/>
      </c>
      <c r="H407" s="48" t="n"/>
    </row>
    <row r="408" ht="15" customHeight="1">
      <c r="A408" s="38" t="n"/>
      <c r="B408" s="48" t="n"/>
      <c r="C408" s="53">
        <f>IF(B408="","",20.412)</f>
        <v/>
      </c>
      <c r="D408" s="48">
        <f>IF(B408="","",B408*C408)</f>
        <v/>
      </c>
      <c r="E408" s="53" t="n"/>
      <c r="F408" s="48">
        <f>IF(D408="","",D408-IF(E408="",0,E408))</f>
        <v/>
      </c>
      <c r="G408" s="53">
        <f>IF(A408="","","27"&amp;MID(A408,4,2)&amp;LEFT(A408,2))</f>
        <v/>
      </c>
      <c r="H408" s="48" t="n"/>
    </row>
    <row r="409" ht="15" customHeight="1">
      <c r="A409" s="38" t="n"/>
      <c r="B409" s="48" t="n"/>
      <c r="C409" s="53">
        <f>IF(B409="","",20.412)</f>
        <v/>
      </c>
      <c r="D409" s="48">
        <f>IF(B409="","",B409*C409)</f>
        <v/>
      </c>
      <c r="E409" s="53" t="n"/>
      <c r="F409" s="48">
        <f>IF(D409="","",D409-IF(E409="",0,E409))</f>
        <v/>
      </c>
      <c r="G409" s="53">
        <f>IF(A409="","","27"&amp;MID(A409,4,2)&amp;LEFT(A409,2))</f>
        <v/>
      </c>
      <c r="H409" s="48" t="n"/>
    </row>
    <row r="410" ht="15" customHeight="1">
      <c r="A410" s="38" t="n"/>
      <c r="B410" s="48" t="n"/>
      <c r="C410" s="53">
        <f>IF(B410="","",20.412)</f>
        <v/>
      </c>
      <c r="D410" s="48">
        <f>IF(B410="","",B410*C410)</f>
        <v/>
      </c>
      <c r="E410" s="53" t="n"/>
      <c r="F410" s="48">
        <f>IF(D410="","",D410-IF(E410="",0,E410))</f>
        <v/>
      </c>
      <c r="G410" s="53">
        <f>IF(A410="","","27"&amp;MID(A410,4,2)&amp;LEFT(A410,2))</f>
        <v/>
      </c>
      <c r="H410" s="48" t="n"/>
    </row>
    <row r="411" ht="15" customHeight="1">
      <c r="A411" s="38" t="n"/>
      <c r="B411" s="48" t="n"/>
      <c r="C411" s="53">
        <f>IF(B411="","",20.412)</f>
        <v/>
      </c>
      <c r="D411" s="48">
        <f>IF(B411="","",B411*C411)</f>
        <v/>
      </c>
      <c r="E411" s="53" t="n"/>
      <c r="F411" s="48">
        <f>IF(D411="","",D411-IF(E411="",0,E411))</f>
        <v/>
      </c>
      <c r="G411" s="53">
        <f>IF(A411="","","27"&amp;MID(A411,4,2)&amp;LEFT(A411,2))</f>
        <v/>
      </c>
      <c r="H411" s="48" t="n"/>
    </row>
    <row r="412" ht="15" customHeight="1">
      <c r="A412" s="38" t="n"/>
      <c r="B412" s="48" t="n"/>
      <c r="C412" s="53">
        <f>IF(B412="","",20.412)</f>
        <v/>
      </c>
      <c r="D412" s="48">
        <f>IF(B412="","",B412*C412)</f>
        <v/>
      </c>
      <c r="E412" s="53" t="n"/>
      <c r="F412" s="48">
        <f>IF(D412="","",D412-IF(E412="",0,E412))</f>
        <v/>
      </c>
      <c r="G412" s="53">
        <f>IF(A412="","","27"&amp;MID(A412,4,2)&amp;LEFT(A412,2))</f>
        <v/>
      </c>
      <c r="H412" s="48" t="n"/>
    </row>
    <row r="413" ht="15" customHeight="1">
      <c r="A413" s="38" t="n"/>
      <c r="B413" s="48" t="n"/>
      <c r="C413" s="53">
        <f>IF(B413="","",20.412)</f>
        <v/>
      </c>
      <c r="D413" s="48">
        <f>IF(B413="","",B413*C413)</f>
        <v/>
      </c>
      <c r="E413" s="53" t="n"/>
      <c r="F413" s="48">
        <f>IF(D413="","",D413-IF(E413="",0,E413))</f>
        <v/>
      </c>
      <c r="G413" s="53">
        <f>IF(A413="","","27"&amp;MID(A413,4,2)&amp;LEFT(A413,2))</f>
        <v/>
      </c>
      <c r="H413" s="48" t="n"/>
    </row>
    <row r="414" ht="15" customHeight="1">
      <c r="A414" s="38" t="n"/>
      <c r="B414" s="48" t="n"/>
      <c r="C414" s="53">
        <f>IF(B414="","",20.412)</f>
        <v/>
      </c>
      <c r="D414" s="48">
        <f>IF(B414="","",B414*C414)</f>
        <v/>
      </c>
      <c r="E414" s="53" t="n"/>
      <c r="F414" s="48">
        <f>IF(D414="","",D414-IF(E414="",0,E414))</f>
        <v/>
      </c>
      <c r="G414" s="53">
        <f>IF(A414="","","27"&amp;MID(A414,4,2)&amp;LEFT(A414,2))</f>
        <v/>
      </c>
      <c r="H414" s="48" t="n"/>
    </row>
    <row r="415" ht="15" customHeight="1">
      <c r="A415" s="38" t="n"/>
      <c r="B415" s="48" t="n"/>
      <c r="C415" s="53">
        <f>IF(B415="","",20.412)</f>
        <v/>
      </c>
      <c r="D415" s="48">
        <f>IF(B415="","",B415*C415)</f>
        <v/>
      </c>
      <c r="E415" s="53" t="n"/>
      <c r="F415" s="48">
        <f>IF(D415="","",D415-IF(E415="",0,E415))</f>
        <v/>
      </c>
      <c r="G415" s="53">
        <f>IF(A415="","","27"&amp;MID(A415,4,2)&amp;LEFT(A415,2))</f>
        <v/>
      </c>
      <c r="H415" s="48" t="n"/>
    </row>
    <row r="416" ht="15" customHeight="1">
      <c r="A416" s="38" t="n"/>
      <c r="B416" s="48" t="n"/>
      <c r="C416" s="53">
        <f>IF(B416="","",20.412)</f>
        <v/>
      </c>
      <c r="D416" s="48">
        <f>IF(B416="","",B416*C416)</f>
        <v/>
      </c>
      <c r="E416" s="53" t="n"/>
      <c r="F416" s="48">
        <f>IF(D416="","",D416-IF(E416="",0,E416))</f>
        <v/>
      </c>
      <c r="G416" s="53">
        <f>IF(A416="","","27"&amp;MID(A416,4,2)&amp;LEFT(A416,2))</f>
        <v/>
      </c>
      <c r="H416" s="48" t="n"/>
    </row>
    <row r="417" ht="15" customHeight="1">
      <c r="A417" s="38" t="n"/>
      <c r="B417" s="48" t="n"/>
      <c r="C417" s="53">
        <f>IF(B417="","",20.412)</f>
        <v/>
      </c>
      <c r="D417" s="48">
        <f>IF(B417="","",B417*C417)</f>
        <v/>
      </c>
      <c r="E417" s="53" t="n"/>
      <c r="F417" s="48">
        <f>IF(D417="","",D417-IF(E417="",0,E417))</f>
        <v/>
      </c>
      <c r="G417" s="53">
        <f>IF(A417="","","27"&amp;MID(A417,4,2)&amp;LEFT(A417,2))</f>
        <v/>
      </c>
      <c r="H417" s="48" t="n"/>
    </row>
    <row r="418" ht="15" customHeight="1">
      <c r="A418" s="38" t="n"/>
      <c r="B418" s="48" t="n"/>
      <c r="C418" s="53">
        <f>IF(B418="","",20.412)</f>
        <v/>
      </c>
      <c r="D418" s="48">
        <f>IF(B418="","",B418*C418)</f>
        <v/>
      </c>
      <c r="E418" s="53" t="n"/>
      <c r="F418" s="48">
        <f>IF(D418="","",D418-IF(E418="",0,E418))</f>
        <v/>
      </c>
      <c r="G418" s="53">
        <f>IF(A418="","","27"&amp;MID(A418,4,2)&amp;LEFT(A418,2))</f>
        <v/>
      </c>
      <c r="H418" s="48" t="n"/>
    </row>
    <row r="419" ht="15" customHeight="1">
      <c r="A419" s="38" t="n"/>
      <c r="B419" s="48" t="n"/>
      <c r="C419" s="53">
        <f>IF(B419="","",20.412)</f>
        <v/>
      </c>
      <c r="D419" s="48">
        <f>IF(B419="","",B419*C419)</f>
        <v/>
      </c>
      <c r="E419" s="53" t="n"/>
      <c r="F419" s="48">
        <f>IF(D419="","",D419-IF(E419="",0,E419))</f>
        <v/>
      </c>
      <c r="G419" s="53">
        <f>IF(A419="","","27"&amp;MID(A419,4,2)&amp;LEFT(A419,2))</f>
        <v/>
      </c>
      <c r="H419" s="48" t="n"/>
    </row>
    <row r="420" ht="15" customHeight="1">
      <c r="A420" s="38" t="n"/>
      <c r="B420" s="48" t="n"/>
      <c r="C420" s="53">
        <f>IF(B420="","",20.412)</f>
        <v/>
      </c>
      <c r="D420" s="48">
        <f>IF(B420="","",B420*C420)</f>
        <v/>
      </c>
      <c r="E420" s="53" t="n"/>
      <c r="F420" s="48">
        <f>IF(D420="","",D420-IF(E420="",0,E420))</f>
        <v/>
      </c>
      <c r="G420" s="53">
        <f>IF(A420="","","27"&amp;MID(A420,4,2)&amp;LEFT(A420,2))</f>
        <v/>
      </c>
      <c r="H420" s="48" t="n"/>
    </row>
    <row r="421" ht="15" customHeight="1">
      <c r="A421" s="38" t="n"/>
      <c r="B421" s="48" t="n"/>
      <c r="C421" s="53">
        <f>IF(B421="","",20.412)</f>
        <v/>
      </c>
      <c r="D421" s="48">
        <f>IF(B421="","",B421*C421)</f>
        <v/>
      </c>
      <c r="E421" s="53" t="n"/>
      <c r="F421" s="48">
        <f>IF(D421="","",D421-IF(E421="",0,E421))</f>
        <v/>
      </c>
      <c r="G421" s="53">
        <f>IF(A421="","","27"&amp;MID(A421,4,2)&amp;LEFT(A421,2))</f>
        <v/>
      </c>
      <c r="H421" s="48" t="n"/>
    </row>
    <row r="422" ht="15" customHeight="1">
      <c r="A422" s="38" t="n"/>
      <c r="B422" s="48" t="n"/>
      <c r="C422" s="53">
        <f>IF(B422="","",20.412)</f>
        <v/>
      </c>
      <c r="D422" s="48">
        <f>IF(B422="","",B422*C422)</f>
        <v/>
      </c>
      <c r="E422" s="53" t="n"/>
      <c r="F422" s="48">
        <f>IF(D422="","",D422-IF(E422="",0,E422))</f>
        <v/>
      </c>
      <c r="G422" s="53">
        <f>IF(A422="","","27"&amp;MID(A422,4,2)&amp;LEFT(A422,2))</f>
        <v/>
      </c>
      <c r="H422" s="48" t="n"/>
    </row>
    <row r="423" ht="15" customHeight="1">
      <c r="A423" s="38" t="n"/>
      <c r="B423" s="48" t="n"/>
      <c r="C423" s="53">
        <f>IF(B423="","",20.412)</f>
        <v/>
      </c>
      <c r="D423" s="48">
        <f>IF(B423="","",B423*C423)</f>
        <v/>
      </c>
      <c r="E423" s="53" t="n"/>
      <c r="F423" s="48">
        <f>IF(D423="","",D423-IF(E423="",0,E423))</f>
        <v/>
      </c>
      <c r="G423" s="53">
        <f>IF(A423="","","27"&amp;MID(A423,4,2)&amp;LEFT(A423,2))</f>
        <v/>
      </c>
      <c r="H423" s="48" t="n"/>
    </row>
    <row r="424" ht="15" customHeight="1">
      <c r="A424" s="38" t="n"/>
      <c r="B424" s="48" t="n"/>
      <c r="C424" s="53">
        <f>IF(B424="","",20.412)</f>
        <v/>
      </c>
      <c r="D424" s="48">
        <f>IF(B424="","",B424*C424)</f>
        <v/>
      </c>
      <c r="E424" s="53" t="n"/>
      <c r="F424" s="48">
        <f>IF(D424="","",D424-IF(E424="",0,E424))</f>
        <v/>
      </c>
      <c r="G424" s="53">
        <f>IF(A424="","","27"&amp;MID(A424,4,2)&amp;LEFT(A424,2))</f>
        <v/>
      </c>
      <c r="H424" s="48" t="n"/>
    </row>
    <row r="425" ht="15" customHeight="1">
      <c r="A425" s="38" t="n"/>
      <c r="B425" s="48" t="n"/>
      <c r="C425" s="53">
        <f>IF(B425="","",20.412)</f>
        <v/>
      </c>
      <c r="D425" s="48">
        <f>IF(B425="","",B425*C425)</f>
        <v/>
      </c>
      <c r="E425" s="53" t="n"/>
      <c r="F425" s="48">
        <f>IF(D425="","",D425-IF(E425="",0,E425))</f>
        <v/>
      </c>
      <c r="G425" s="53">
        <f>IF(A425="","","27"&amp;MID(A425,4,2)&amp;LEFT(A425,2))</f>
        <v/>
      </c>
      <c r="H425" s="48" t="n"/>
    </row>
    <row r="426" ht="15" customHeight="1">
      <c r="A426" s="38" t="n"/>
      <c r="B426" s="48" t="n"/>
      <c r="C426" s="53">
        <f>IF(B426="","",20.412)</f>
        <v/>
      </c>
      <c r="D426" s="48">
        <f>IF(B426="","",B426*C426)</f>
        <v/>
      </c>
      <c r="E426" s="53" t="n"/>
      <c r="F426" s="48">
        <f>IF(D426="","",D426-IF(E426="",0,E426))</f>
        <v/>
      </c>
      <c r="G426" s="53">
        <f>IF(A426="","","27"&amp;MID(A426,4,2)&amp;LEFT(A426,2))</f>
        <v/>
      </c>
      <c r="H426" s="48" t="n"/>
    </row>
    <row r="427" ht="15" customHeight="1">
      <c r="A427" s="38" t="n"/>
      <c r="B427" s="48" t="n"/>
      <c r="C427" s="53">
        <f>IF(B427="","",20.412)</f>
        <v/>
      </c>
      <c r="D427" s="48">
        <f>IF(B427="","",B427*C427)</f>
        <v/>
      </c>
      <c r="E427" s="53" t="n"/>
      <c r="F427" s="48">
        <f>IF(D427="","",D427-IF(E427="",0,E427))</f>
        <v/>
      </c>
      <c r="G427" s="53">
        <f>IF(A427="","","27"&amp;MID(A427,4,2)&amp;LEFT(A427,2))</f>
        <v/>
      </c>
      <c r="H427" s="48" t="n"/>
    </row>
    <row r="428" ht="15" customHeight="1">
      <c r="A428" s="38" t="n"/>
      <c r="B428" s="48" t="n"/>
      <c r="C428" s="53">
        <f>IF(B428="","",20.412)</f>
        <v/>
      </c>
      <c r="D428" s="48">
        <f>IF(B428="","",B428*C428)</f>
        <v/>
      </c>
      <c r="E428" s="53" t="n"/>
      <c r="F428" s="48">
        <f>IF(D428="","",D428-IF(E428="",0,E428))</f>
        <v/>
      </c>
      <c r="G428" s="53">
        <f>IF(A428="","","27"&amp;MID(A428,4,2)&amp;LEFT(A428,2))</f>
        <v/>
      </c>
      <c r="H428" s="48" t="n"/>
    </row>
    <row r="429" ht="15" customHeight="1">
      <c r="A429" s="38" t="n"/>
      <c r="B429" s="48" t="n"/>
      <c r="C429" s="53">
        <f>IF(B429="","",20.412)</f>
        <v/>
      </c>
      <c r="D429" s="48">
        <f>IF(B429="","",B429*C429)</f>
        <v/>
      </c>
      <c r="E429" s="53" t="n"/>
      <c r="F429" s="48">
        <f>IF(D429="","",D429-IF(E429="",0,E429))</f>
        <v/>
      </c>
      <c r="G429" s="53">
        <f>IF(A429="","","27"&amp;MID(A429,4,2)&amp;LEFT(A429,2))</f>
        <v/>
      </c>
      <c r="H429" s="48" t="n"/>
    </row>
    <row r="430" ht="15" customHeight="1">
      <c r="A430" s="38" t="n"/>
      <c r="B430" s="48" t="n"/>
      <c r="C430" s="53">
        <f>IF(B430="","",20.412)</f>
        <v/>
      </c>
      <c r="D430" s="48">
        <f>IF(B430="","",B430*C430)</f>
        <v/>
      </c>
      <c r="E430" s="53" t="n"/>
      <c r="F430" s="48">
        <f>IF(D430="","",D430-IF(E430="",0,E430))</f>
        <v/>
      </c>
      <c r="G430" s="53">
        <f>IF(A430="","","27"&amp;MID(A430,4,2)&amp;LEFT(A430,2))</f>
        <v/>
      </c>
      <c r="H430" s="48" t="n"/>
    </row>
    <row r="431" ht="15" customHeight="1">
      <c r="A431" s="38" t="n"/>
      <c r="B431" s="48" t="n"/>
      <c r="C431" s="53">
        <f>IF(B431="","",20.412)</f>
        <v/>
      </c>
      <c r="D431" s="48">
        <f>IF(B431="","",B431*C431)</f>
        <v/>
      </c>
      <c r="E431" s="53" t="n"/>
      <c r="F431" s="48">
        <f>IF(D431="","",D431-IF(E431="",0,E431))</f>
        <v/>
      </c>
      <c r="G431" s="53">
        <f>IF(A431="","","27"&amp;MID(A431,4,2)&amp;LEFT(A431,2))</f>
        <v/>
      </c>
      <c r="H431" s="48" t="n"/>
    </row>
    <row r="432" ht="15" customHeight="1">
      <c r="A432" s="38" t="n"/>
      <c r="B432" s="48" t="n"/>
      <c r="C432" s="53">
        <f>IF(B432="","",20.412)</f>
        <v/>
      </c>
      <c r="D432" s="48">
        <f>IF(B432="","",B432*C432)</f>
        <v/>
      </c>
      <c r="E432" s="53" t="n"/>
      <c r="F432" s="48">
        <f>IF(D432="","",D432-IF(E432="",0,E432))</f>
        <v/>
      </c>
      <c r="G432" s="53">
        <f>IF(A432="","","27"&amp;MID(A432,4,2)&amp;LEFT(A432,2))</f>
        <v/>
      </c>
      <c r="H432" s="48" t="n"/>
    </row>
    <row r="433" ht="15" customHeight="1">
      <c r="A433" s="38" t="n"/>
      <c r="B433" s="48" t="n"/>
      <c r="C433" s="53">
        <f>IF(B433="","",20.412)</f>
        <v/>
      </c>
      <c r="D433" s="48">
        <f>IF(B433="","",B433*C433)</f>
        <v/>
      </c>
      <c r="E433" s="53" t="n"/>
      <c r="F433" s="48">
        <f>IF(D433="","",D433-IF(E433="",0,E433))</f>
        <v/>
      </c>
      <c r="G433" s="53">
        <f>IF(A433="","","27"&amp;MID(A433,4,2)&amp;LEFT(A433,2))</f>
        <v/>
      </c>
      <c r="H433" s="48" t="n"/>
    </row>
    <row r="434" ht="15" customHeight="1">
      <c r="A434" s="38" t="n"/>
      <c r="B434" s="48" t="n"/>
      <c r="C434" s="53">
        <f>IF(B434="","",20.412)</f>
        <v/>
      </c>
      <c r="D434" s="48">
        <f>IF(B434="","",B434*C434)</f>
        <v/>
      </c>
      <c r="E434" s="53" t="n"/>
      <c r="F434" s="48">
        <f>IF(D434="","",D434-IF(E434="",0,E434))</f>
        <v/>
      </c>
      <c r="G434" s="53">
        <f>IF(A434="","","27"&amp;MID(A434,4,2)&amp;LEFT(A434,2))</f>
        <v/>
      </c>
      <c r="H434" s="48" t="n"/>
    </row>
    <row r="435" ht="15" customHeight="1">
      <c r="A435" s="38" t="n"/>
      <c r="B435" s="48" t="n"/>
      <c r="C435" s="53">
        <f>IF(B435="","",20.412)</f>
        <v/>
      </c>
      <c r="D435" s="48">
        <f>IF(B435="","",B435*C435)</f>
        <v/>
      </c>
      <c r="E435" s="53" t="n"/>
      <c r="F435" s="48">
        <f>IF(D435="","",D435-IF(E435="",0,E435))</f>
        <v/>
      </c>
      <c r="G435" s="53">
        <f>IF(A435="","","27"&amp;MID(A435,4,2)&amp;LEFT(A435,2))</f>
        <v/>
      </c>
      <c r="H435" s="48" t="n"/>
    </row>
    <row r="436" ht="15" customHeight="1">
      <c r="A436" s="38" t="n"/>
      <c r="B436" s="48" t="n"/>
      <c r="C436" s="53">
        <f>IF(B436="","",20.412)</f>
        <v/>
      </c>
      <c r="D436" s="48">
        <f>IF(B436="","",B436*C436)</f>
        <v/>
      </c>
      <c r="E436" s="53" t="n"/>
      <c r="F436" s="48">
        <f>IF(D436="","",D436-IF(E436="",0,E436))</f>
        <v/>
      </c>
      <c r="G436" s="53">
        <f>IF(A436="","","27"&amp;MID(A436,4,2)&amp;LEFT(A436,2))</f>
        <v/>
      </c>
      <c r="H436" s="48" t="n"/>
    </row>
    <row r="437" ht="15" customHeight="1">
      <c r="A437" s="38" t="n"/>
      <c r="B437" s="48" t="n"/>
      <c r="C437" s="53">
        <f>IF(B437="","",20.412)</f>
        <v/>
      </c>
      <c r="D437" s="48">
        <f>IF(B437="","",B437*C437)</f>
        <v/>
      </c>
      <c r="E437" s="53" t="n"/>
      <c r="F437" s="48">
        <f>IF(D437="","",D437-IF(E437="",0,E437))</f>
        <v/>
      </c>
      <c r="G437" s="53">
        <f>IF(A437="","","27"&amp;MID(A437,4,2)&amp;LEFT(A437,2))</f>
        <v/>
      </c>
      <c r="H437" s="48" t="n"/>
    </row>
    <row r="438" ht="15" customHeight="1">
      <c r="A438" s="38" t="n"/>
      <c r="B438" s="48" t="n"/>
      <c r="C438" s="53">
        <f>IF(B438="","",20.412)</f>
        <v/>
      </c>
      <c r="D438" s="48">
        <f>IF(B438="","",B438*C438)</f>
        <v/>
      </c>
      <c r="E438" s="53" t="n"/>
      <c r="F438" s="48">
        <f>IF(D438="","",D438-IF(E438="",0,E438))</f>
        <v/>
      </c>
      <c r="G438" s="53">
        <f>IF(A438="","","27"&amp;MID(A438,4,2)&amp;LEFT(A438,2))</f>
        <v/>
      </c>
      <c r="H438" s="48" t="n"/>
    </row>
    <row r="439" ht="15" customHeight="1">
      <c r="A439" s="38" t="n"/>
      <c r="B439" s="48" t="n"/>
      <c r="C439" s="53">
        <f>IF(B439="","",20.412)</f>
        <v/>
      </c>
      <c r="D439" s="48">
        <f>IF(B439="","",B439*C439)</f>
        <v/>
      </c>
      <c r="E439" s="53" t="n"/>
      <c r="F439" s="48">
        <f>IF(D439="","",D439-IF(E439="",0,E439))</f>
        <v/>
      </c>
      <c r="G439" s="53">
        <f>IF(A439="","","27"&amp;MID(A439,4,2)&amp;LEFT(A439,2))</f>
        <v/>
      </c>
      <c r="H439" s="48" t="n"/>
    </row>
    <row r="440" ht="15" customHeight="1">
      <c r="A440" s="38" t="n"/>
      <c r="B440" s="48" t="n"/>
      <c r="C440" s="53">
        <f>IF(B440="","",20.412)</f>
        <v/>
      </c>
      <c r="D440" s="48">
        <f>IF(B440="","",B440*C440)</f>
        <v/>
      </c>
      <c r="E440" s="53" t="n"/>
      <c r="F440" s="48">
        <f>IF(D440="","",D440-IF(E440="",0,E440))</f>
        <v/>
      </c>
      <c r="G440" s="53">
        <f>IF(A440="","","27"&amp;MID(A440,4,2)&amp;LEFT(A440,2))</f>
        <v/>
      </c>
      <c r="H440" s="48" t="n"/>
    </row>
    <row r="441" ht="15" customHeight="1">
      <c r="A441" s="38" t="n"/>
      <c r="B441" s="48" t="n"/>
      <c r="C441" s="53">
        <f>IF(B441="","",20.412)</f>
        <v/>
      </c>
      <c r="D441" s="48">
        <f>IF(B441="","",B441*C441)</f>
        <v/>
      </c>
      <c r="E441" s="53" t="n"/>
      <c r="F441" s="48">
        <f>IF(D441="","",D441-IF(E441="",0,E441))</f>
        <v/>
      </c>
      <c r="G441" s="53">
        <f>IF(A441="","","27"&amp;MID(A441,4,2)&amp;LEFT(A441,2))</f>
        <v/>
      </c>
      <c r="H441" s="48" t="n"/>
    </row>
    <row r="442" ht="15" customHeight="1">
      <c r="A442" s="38" t="n"/>
      <c r="B442" s="48" t="n"/>
      <c r="C442" s="53">
        <f>IF(B442="","",20.412)</f>
        <v/>
      </c>
      <c r="D442" s="48">
        <f>IF(B442="","",B442*C442)</f>
        <v/>
      </c>
      <c r="E442" s="53" t="n"/>
      <c r="F442" s="48">
        <f>IF(D442="","",D442-IF(E442="",0,E442))</f>
        <v/>
      </c>
      <c r="G442" s="53">
        <f>IF(A442="","","27"&amp;MID(A442,4,2)&amp;LEFT(A442,2))</f>
        <v/>
      </c>
      <c r="H442" s="48" t="n"/>
    </row>
    <row r="443" ht="15" customHeight="1">
      <c r="A443" s="38" t="n"/>
      <c r="B443" s="48" t="n"/>
      <c r="C443" s="53">
        <f>IF(B443="","",20.412)</f>
        <v/>
      </c>
      <c r="D443" s="48">
        <f>IF(B443="","",B443*C443)</f>
        <v/>
      </c>
      <c r="E443" s="53" t="n"/>
      <c r="F443" s="48">
        <f>IF(D443="","",D443-IF(E443="",0,E443))</f>
        <v/>
      </c>
      <c r="G443" s="53">
        <f>IF(A443="","","27"&amp;MID(A443,4,2)&amp;LEFT(A443,2))</f>
        <v/>
      </c>
      <c r="H443" s="48" t="n"/>
    </row>
    <row r="444" ht="15" customHeight="1">
      <c r="A444" s="38" t="n"/>
      <c r="B444" s="48" t="n"/>
      <c r="C444" s="53">
        <f>IF(B444="","",20.412)</f>
        <v/>
      </c>
      <c r="D444" s="48">
        <f>IF(B444="","",B444*C444)</f>
        <v/>
      </c>
      <c r="E444" s="53" t="n"/>
      <c r="F444" s="48">
        <f>IF(D444="","",D444-IF(E444="",0,E444))</f>
        <v/>
      </c>
      <c r="G444" s="53">
        <f>IF(A444="","","27"&amp;MID(A444,4,2)&amp;LEFT(A444,2))</f>
        <v/>
      </c>
      <c r="H444" s="48" t="n"/>
    </row>
    <row r="445" ht="15" customHeight="1">
      <c r="A445" s="38" t="n"/>
      <c r="B445" s="48" t="n"/>
      <c r="C445" s="53">
        <f>IF(B445="","",20.412)</f>
        <v/>
      </c>
      <c r="D445" s="48">
        <f>IF(B445="","",B445*C445)</f>
        <v/>
      </c>
      <c r="E445" s="53" t="n"/>
      <c r="F445" s="48">
        <f>IF(D445="","",D445-IF(E445="",0,E445))</f>
        <v/>
      </c>
      <c r="G445" s="53">
        <f>IF(A445="","","27"&amp;MID(A445,4,2)&amp;LEFT(A445,2))</f>
        <v/>
      </c>
      <c r="H445" s="48" t="n"/>
    </row>
    <row r="446" ht="15" customHeight="1">
      <c r="A446" s="38" t="n"/>
      <c r="B446" s="48" t="n"/>
      <c r="C446" s="53">
        <f>IF(B446="","",20.412)</f>
        <v/>
      </c>
      <c r="D446" s="48">
        <f>IF(B446="","",B446*C446)</f>
        <v/>
      </c>
      <c r="E446" s="53" t="n"/>
      <c r="F446" s="48">
        <f>IF(D446="","",D446-IF(E446="",0,E446))</f>
        <v/>
      </c>
      <c r="G446" s="53">
        <f>IF(A446="","","27"&amp;MID(A446,4,2)&amp;LEFT(A446,2))</f>
        <v/>
      </c>
      <c r="H446" s="48" t="n"/>
    </row>
    <row r="447" ht="15" customHeight="1">
      <c r="A447" s="38" t="n"/>
      <c r="B447" s="48" t="n"/>
      <c r="C447" s="53">
        <f>IF(B447="","",20.412)</f>
        <v/>
      </c>
      <c r="D447" s="48">
        <f>IF(B447="","",B447*C447)</f>
        <v/>
      </c>
      <c r="E447" s="53" t="n"/>
      <c r="F447" s="48">
        <f>IF(D447="","",D447-IF(E447="",0,E447))</f>
        <v/>
      </c>
      <c r="G447" s="53">
        <f>IF(A447="","","27"&amp;MID(A447,4,2)&amp;LEFT(A447,2))</f>
        <v/>
      </c>
      <c r="H447" s="48" t="n"/>
    </row>
    <row r="448" ht="15" customHeight="1">
      <c r="A448" s="38" t="n"/>
      <c r="B448" s="48" t="n"/>
      <c r="C448" s="53">
        <f>IF(B448="","",20.412)</f>
        <v/>
      </c>
      <c r="D448" s="48">
        <f>IF(B448="","",B448*C448)</f>
        <v/>
      </c>
      <c r="E448" s="53" t="n"/>
      <c r="F448" s="48">
        <f>IF(D448="","",D448-IF(E448="",0,E448))</f>
        <v/>
      </c>
      <c r="G448" s="53">
        <f>IF(A448="","","27"&amp;MID(A448,4,2)&amp;LEFT(A448,2))</f>
        <v/>
      </c>
      <c r="H448" s="48" t="n"/>
    </row>
    <row r="449" ht="15" customHeight="1">
      <c r="A449" s="38" t="n"/>
      <c r="B449" s="48" t="n"/>
      <c r="C449" s="53">
        <f>IF(B449="","",20.412)</f>
        <v/>
      </c>
      <c r="D449" s="48">
        <f>IF(B449="","",B449*C449)</f>
        <v/>
      </c>
      <c r="E449" s="53" t="n"/>
      <c r="F449" s="48">
        <f>IF(D449="","",D449-IF(E449="",0,E449))</f>
        <v/>
      </c>
      <c r="G449" s="53">
        <f>IF(A449="","","27"&amp;MID(A449,4,2)&amp;LEFT(A449,2))</f>
        <v/>
      </c>
      <c r="H449" s="48" t="n"/>
    </row>
    <row r="450" ht="15" customHeight="1">
      <c r="A450" s="38" t="n"/>
      <c r="B450" s="48" t="n"/>
      <c r="C450" s="53">
        <f>IF(B450="","",20.412)</f>
        <v/>
      </c>
      <c r="D450" s="48">
        <f>IF(B450="","",B450*C450)</f>
        <v/>
      </c>
      <c r="E450" s="53" t="n"/>
      <c r="F450" s="48">
        <f>IF(D450="","",D450-IF(E450="",0,E450))</f>
        <v/>
      </c>
      <c r="G450" s="53">
        <f>IF(A450="","","27"&amp;MID(A450,4,2)&amp;LEFT(A450,2))</f>
        <v/>
      </c>
      <c r="H450" s="48" t="n"/>
    </row>
    <row r="451" ht="15" customHeight="1">
      <c r="A451" s="38" t="n"/>
      <c r="B451" s="48" t="n"/>
      <c r="C451" s="53">
        <f>IF(B451="","",20.412)</f>
        <v/>
      </c>
      <c r="D451" s="48">
        <f>IF(B451="","",B451*C451)</f>
        <v/>
      </c>
      <c r="E451" s="53" t="n"/>
      <c r="F451" s="48">
        <f>IF(D451="","",D451-IF(E451="",0,E451))</f>
        <v/>
      </c>
      <c r="G451" s="53">
        <f>IF(A451="","","27"&amp;MID(A451,4,2)&amp;LEFT(A451,2))</f>
        <v/>
      </c>
      <c r="H451" s="48" t="n"/>
    </row>
    <row r="452" ht="15" customHeight="1">
      <c r="A452" s="38" t="n"/>
      <c r="B452" s="48" t="n"/>
      <c r="C452" s="53">
        <f>IF(B452="","",20.412)</f>
        <v/>
      </c>
      <c r="D452" s="48">
        <f>IF(B452="","",B452*C452)</f>
        <v/>
      </c>
      <c r="E452" s="53" t="n"/>
      <c r="F452" s="48">
        <f>IF(D452="","",D452-IF(E452="",0,E452))</f>
        <v/>
      </c>
      <c r="G452" s="53">
        <f>IF(A452="","","27"&amp;MID(A452,4,2)&amp;LEFT(A452,2))</f>
        <v/>
      </c>
      <c r="H452" s="48" t="n"/>
    </row>
    <row r="453" ht="15" customHeight="1">
      <c r="A453" s="38" t="n"/>
      <c r="B453" s="48" t="n"/>
      <c r="C453" s="53">
        <f>IF(B453="","",20.412)</f>
        <v/>
      </c>
      <c r="D453" s="48">
        <f>IF(B453="","",B453*C453)</f>
        <v/>
      </c>
      <c r="E453" s="53" t="n"/>
      <c r="F453" s="48">
        <f>IF(D453="","",D453-IF(E453="",0,E453))</f>
        <v/>
      </c>
      <c r="G453" s="53">
        <f>IF(A453="","","27"&amp;MID(A453,4,2)&amp;LEFT(A453,2))</f>
        <v/>
      </c>
      <c r="H453" s="48" t="n"/>
    </row>
    <row r="454" ht="15" customHeight="1">
      <c r="A454" s="38" t="n"/>
      <c r="B454" s="48" t="n"/>
      <c r="C454" s="53">
        <f>IF(B454="","",20.412)</f>
        <v/>
      </c>
      <c r="D454" s="48">
        <f>IF(B454="","",B454*C454)</f>
        <v/>
      </c>
      <c r="E454" s="53" t="n"/>
      <c r="F454" s="48">
        <f>IF(D454="","",D454-IF(E454="",0,E454))</f>
        <v/>
      </c>
      <c r="G454" s="53">
        <f>IF(A454="","","27"&amp;MID(A454,4,2)&amp;LEFT(A454,2))</f>
        <v/>
      </c>
      <c r="H454" s="48" t="n"/>
    </row>
    <row r="455" ht="15" customHeight="1">
      <c r="A455" s="38" t="n"/>
      <c r="B455" s="48" t="n"/>
      <c r="C455" s="53">
        <f>IF(B455="","",20.412)</f>
        <v/>
      </c>
      <c r="D455" s="48">
        <f>IF(B455="","",B455*C455)</f>
        <v/>
      </c>
      <c r="E455" s="53" t="n"/>
      <c r="F455" s="48">
        <f>IF(D455="","",D455-IF(E455="",0,E455))</f>
        <v/>
      </c>
      <c r="G455" s="53">
        <f>IF(A455="","","27"&amp;MID(A455,4,2)&amp;LEFT(A455,2))</f>
        <v/>
      </c>
      <c r="H455" s="48" t="n"/>
    </row>
    <row r="456" ht="15" customHeight="1">
      <c r="A456" s="38" t="n"/>
      <c r="B456" s="48" t="n"/>
      <c r="C456" s="53">
        <f>IF(B456="","",20.412)</f>
        <v/>
      </c>
      <c r="D456" s="48">
        <f>IF(B456="","",B456*C456)</f>
        <v/>
      </c>
      <c r="E456" s="53" t="n"/>
      <c r="F456" s="48">
        <f>IF(D456="","",D456-IF(E456="",0,E456))</f>
        <v/>
      </c>
      <c r="G456" s="53">
        <f>IF(A456="","","27"&amp;MID(A456,4,2)&amp;LEFT(A456,2))</f>
        <v/>
      </c>
      <c r="H456" s="48" t="n"/>
    </row>
    <row r="457" ht="15" customHeight="1">
      <c r="A457" s="38" t="n"/>
      <c r="B457" s="48" t="n"/>
      <c r="C457" s="53">
        <f>IF(B457="","",20.412)</f>
        <v/>
      </c>
      <c r="D457" s="48">
        <f>IF(B457="","",B457*C457)</f>
        <v/>
      </c>
      <c r="E457" s="53" t="n"/>
      <c r="F457" s="48">
        <f>IF(D457="","",D457-IF(E457="",0,E457))</f>
        <v/>
      </c>
      <c r="G457" s="53">
        <f>IF(A457="","","27"&amp;MID(A457,4,2)&amp;LEFT(A457,2))</f>
        <v/>
      </c>
      <c r="H457" s="48" t="n"/>
    </row>
    <row r="458" ht="15" customHeight="1">
      <c r="A458" s="38" t="n"/>
      <c r="B458" s="48" t="n"/>
      <c r="C458" s="53">
        <f>IF(B458="","",20.412)</f>
        <v/>
      </c>
      <c r="D458" s="48">
        <f>IF(B458="","",B458*C458)</f>
        <v/>
      </c>
      <c r="E458" s="53" t="n"/>
      <c r="F458" s="48">
        <f>IF(D458="","",D458-IF(E458="",0,E458))</f>
        <v/>
      </c>
      <c r="G458" s="53">
        <f>IF(A458="","","27"&amp;MID(A458,4,2)&amp;LEFT(A458,2))</f>
        <v/>
      </c>
      <c r="H458" s="48" t="n"/>
    </row>
    <row r="459" ht="15" customHeight="1">
      <c r="A459" s="38" t="n"/>
      <c r="B459" s="48" t="n"/>
      <c r="C459" s="53">
        <f>IF(B459="","",20.412)</f>
        <v/>
      </c>
      <c r="D459" s="48">
        <f>IF(B459="","",B459*C459)</f>
        <v/>
      </c>
      <c r="E459" s="53" t="n"/>
      <c r="F459" s="48">
        <f>IF(D459="","",D459-IF(E459="",0,E459))</f>
        <v/>
      </c>
      <c r="G459" s="53">
        <f>IF(A459="","","27"&amp;MID(A459,4,2)&amp;LEFT(A459,2))</f>
        <v/>
      </c>
      <c r="H459" s="48" t="n"/>
    </row>
    <row r="460" ht="15" customHeight="1">
      <c r="A460" s="38" t="n"/>
      <c r="B460" s="48" t="n"/>
      <c r="C460" s="53">
        <f>IF(B460="","",20.412)</f>
        <v/>
      </c>
      <c r="D460" s="48">
        <f>IF(B460="","",B460*C460)</f>
        <v/>
      </c>
      <c r="E460" s="53" t="n"/>
      <c r="F460" s="48">
        <f>IF(D460="","",D460-IF(E460="",0,E460))</f>
        <v/>
      </c>
      <c r="G460" s="53">
        <f>IF(A460="","","27"&amp;MID(A460,4,2)&amp;LEFT(A460,2))</f>
        <v/>
      </c>
      <c r="H460" s="48" t="n"/>
    </row>
    <row r="461" ht="15" customHeight="1">
      <c r="A461" s="38" t="n"/>
      <c r="B461" s="48" t="n"/>
      <c r="C461" s="53">
        <f>IF(B461="","",20.412)</f>
        <v/>
      </c>
      <c r="D461" s="48">
        <f>IF(B461="","",B461*C461)</f>
        <v/>
      </c>
      <c r="E461" s="53" t="n"/>
      <c r="F461" s="48">
        <f>IF(D461="","",D461-IF(E461="",0,E461))</f>
        <v/>
      </c>
      <c r="G461" s="53">
        <f>IF(A461="","","27"&amp;MID(A461,4,2)&amp;LEFT(A461,2))</f>
        <v/>
      </c>
      <c r="H461" s="48" t="n"/>
    </row>
    <row r="462" ht="15" customHeight="1">
      <c r="A462" s="38" t="n"/>
      <c r="B462" s="48" t="n"/>
      <c r="C462" s="53">
        <f>IF(B462="","",20.412)</f>
        <v/>
      </c>
      <c r="D462" s="48">
        <f>IF(B462="","",B462*C462)</f>
        <v/>
      </c>
      <c r="E462" s="53" t="n"/>
      <c r="F462" s="48">
        <f>IF(D462="","",D462-IF(E462="",0,E462))</f>
        <v/>
      </c>
      <c r="G462" s="53">
        <f>IF(A462="","","27"&amp;MID(A462,4,2)&amp;LEFT(A462,2))</f>
        <v/>
      </c>
      <c r="H462" s="48" t="n"/>
    </row>
    <row r="463" ht="15" customHeight="1">
      <c r="A463" s="38" t="n"/>
      <c r="B463" s="48" t="n"/>
      <c r="C463" s="53">
        <f>IF(B463="","",20.412)</f>
        <v/>
      </c>
      <c r="D463" s="48">
        <f>IF(B463="","",B463*C463)</f>
        <v/>
      </c>
      <c r="E463" s="53" t="n"/>
      <c r="F463" s="48">
        <f>IF(D463="","",D463-IF(E463="",0,E463))</f>
        <v/>
      </c>
      <c r="G463" s="53">
        <f>IF(A463="","","27"&amp;MID(A463,4,2)&amp;LEFT(A463,2))</f>
        <v/>
      </c>
      <c r="H463" s="48" t="n"/>
    </row>
    <row r="464" ht="15" customHeight="1">
      <c r="A464" s="38" t="n"/>
      <c r="B464" s="48" t="n"/>
      <c r="C464" s="53">
        <f>IF(B464="","",20.412)</f>
        <v/>
      </c>
      <c r="D464" s="48">
        <f>IF(B464="","",B464*C464)</f>
        <v/>
      </c>
      <c r="E464" s="53" t="n"/>
      <c r="F464" s="48">
        <f>IF(D464="","",D464-IF(E464="",0,E464))</f>
        <v/>
      </c>
      <c r="G464" s="53">
        <f>IF(A464="","","27"&amp;MID(A464,4,2)&amp;LEFT(A464,2))</f>
        <v/>
      </c>
      <c r="H464" s="48" t="n"/>
    </row>
    <row r="465" ht="15" customHeight="1">
      <c r="A465" s="38" t="n"/>
      <c r="B465" s="48" t="n"/>
      <c r="C465" s="53">
        <f>IF(B465="","",20.412)</f>
        <v/>
      </c>
      <c r="D465" s="48">
        <f>IF(B465="","",B465*C465)</f>
        <v/>
      </c>
      <c r="E465" s="53" t="n"/>
      <c r="F465" s="48">
        <f>IF(D465="","",D465-IF(E465="",0,E465))</f>
        <v/>
      </c>
      <c r="G465" s="53">
        <f>IF(A465="","","27"&amp;MID(A465,4,2)&amp;LEFT(A465,2))</f>
        <v/>
      </c>
      <c r="H465" s="48" t="n"/>
    </row>
    <row r="466" ht="15" customHeight="1">
      <c r="A466" s="38" t="n"/>
      <c r="B466" s="48" t="n"/>
      <c r="C466" s="53">
        <f>IF(B466="","",20.412)</f>
        <v/>
      </c>
      <c r="D466" s="48">
        <f>IF(B466="","",B466*C466)</f>
        <v/>
      </c>
      <c r="E466" s="53" t="n"/>
      <c r="F466" s="48">
        <f>IF(D466="","",D466-IF(E466="",0,E466))</f>
        <v/>
      </c>
      <c r="G466" s="53">
        <f>IF(A466="","","27"&amp;MID(A466,4,2)&amp;LEFT(A466,2))</f>
        <v/>
      </c>
      <c r="H466" s="48" t="n"/>
    </row>
    <row r="467" ht="15" customHeight="1">
      <c r="A467" s="38" t="n"/>
      <c r="B467" s="48" t="n"/>
      <c r="C467" s="53">
        <f>IF(B467="","",20.412)</f>
        <v/>
      </c>
      <c r="D467" s="48">
        <f>IF(B467="","",B467*C467)</f>
        <v/>
      </c>
      <c r="E467" s="53" t="n"/>
      <c r="F467" s="48">
        <f>IF(D467="","",D467-IF(E467="",0,E467))</f>
        <v/>
      </c>
      <c r="G467" s="53">
        <f>IF(A467="","","27"&amp;MID(A467,4,2)&amp;LEFT(A467,2))</f>
        <v/>
      </c>
      <c r="H467" s="48" t="n"/>
    </row>
    <row r="468" ht="15" customHeight="1">
      <c r="A468" s="38" t="n"/>
      <c r="B468" s="48" t="n"/>
      <c r="C468" s="53">
        <f>IF(B468="","",20.412)</f>
        <v/>
      </c>
      <c r="D468" s="48">
        <f>IF(B468="","",B468*C468)</f>
        <v/>
      </c>
      <c r="E468" s="53" t="n"/>
      <c r="F468" s="48">
        <f>IF(D468="","",D468-IF(E468="",0,E468))</f>
        <v/>
      </c>
      <c r="G468" s="53">
        <f>IF(A468="","","27"&amp;MID(A468,4,2)&amp;LEFT(A468,2))</f>
        <v/>
      </c>
      <c r="H468" s="48" t="n"/>
    </row>
    <row r="469" ht="15" customHeight="1">
      <c r="A469" s="38" t="n"/>
      <c r="B469" s="48" t="n"/>
      <c r="C469" s="53">
        <f>IF(B469="","",20.412)</f>
        <v/>
      </c>
      <c r="D469" s="48">
        <f>IF(B469="","",B469*C469)</f>
        <v/>
      </c>
      <c r="E469" s="53" t="n"/>
      <c r="F469" s="48">
        <f>IF(D469="","",D469-IF(E469="",0,E469))</f>
        <v/>
      </c>
      <c r="G469" s="53">
        <f>IF(A469="","","27"&amp;MID(A469,4,2)&amp;LEFT(A469,2))</f>
        <v/>
      </c>
      <c r="H469" s="48" t="n"/>
    </row>
    <row r="470" ht="15" customHeight="1">
      <c r="A470" s="38" t="n"/>
      <c r="B470" s="48" t="n"/>
      <c r="C470" s="53">
        <f>IF(B470="","",20.412)</f>
        <v/>
      </c>
      <c r="D470" s="48">
        <f>IF(B470="","",B470*C470)</f>
        <v/>
      </c>
      <c r="E470" s="53" t="n"/>
      <c r="F470" s="48">
        <f>IF(D470="","",D470-IF(E470="",0,E470))</f>
        <v/>
      </c>
      <c r="G470" s="53">
        <f>IF(A470="","","27"&amp;MID(A470,4,2)&amp;LEFT(A470,2))</f>
        <v/>
      </c>
      <c r="H470" s="48" t="n"/>
    </row>
    <row r="471" ht="15" customHeight="1">
      <c r="A471" s="38" t="n"/>
      <c r="B471" s="48" t="n"/>
      <c r="C471" s="53">
        <f>IF(B471="","",20.412)</f>
        <v/>
      </c>
      <c r="D471" s="48">
        <f>IF(B471="","",B471*C471)</f>
        <v/>
      </c>
      <c r="E471" s="53" t="n"/>
      <c r="F471" s="48">
        <f>IF(D471="","",D471-IF(E471="",0,E471))</f>
        <v/>
      </c>
      <c r="G471" s="53">
        <f>IF(A471="","","27"&amp;MID(A471,4,2)&amp;LEFT(A471,2))</f>
        <v/>
      </c>
      <c r="H471" s="48" t="n"/>
    </row>
    <row r="472" ht="15" customHeight="1">
      <c r="A472" s="38" t="n"/>
      <c r="B472" s="48" t="n"/>
      <c r="C472" s="53">
        <f>IF(B472="","",20.412)</f>
        <v/>
      </c>
      <c r="D472" s="48">
        <f>IF(B472="","",B472*C472)</f>
        <v/>
      </c>
      <c r="E472" s="53" t="n"/>
      <c r="F472" s="48">
        <f>IF(D472="","",D472-IF(E472="",0,E472))</f>
        <v/>
      </c>
      <c r="G472" s="53">
        <f>IF(A472="","","27"&amp;MID(A472,4,2)&amp;LEFT(A472,2))</f>
        <v/>
      </c>
      <c r="H472" s="48" t="n"/>
    </row>
    <row r="473" ht="15" customHeight="1">
      <c r="A473" s="38" t="n"/>
      <c r="B473" s="48" t="n"/>
      <c r="C473" s="53">
        <f>IF(B473="","",20.412)</f>
        <v/>
      </c>
      <c r="D473" s="48">
        <f>IF(B473="","",B473*C473)</f>
        <v/>
      </c>
      <c r="E473" s="53" t="n"/>
      <c r="F473" s="48">
        <f>IF(D473="","",D473-IF(E473="",0,E473))</f>
        <v/>
      </c>
      <c r="G473" s="53">
        <f>IF(A473="","","27"&amp;MID(A473,4,2)&amp;LEFT(A473,2))</f>
        <v/>
      </c>
      <c r="H473" s="48" t="n"/>
    </row>
    <row r="474" ht="15" customHeight="1">
      <c r="A474" s="38" t="n"/>
      <c r="B474" s="48" t="n"/>
      <c r="C474" s="53">
        <f>IF(B474="","",20.412)</f>
        <v/>
      </c>
      <c r="D474" s="48">
        <f>IF(B474="","",B474*C474)</f>
        <v/>
      </c>
      <c r="E474" s="53" t="n"/>
      <c r="F474" s="48">
        <f>IF(D474="","",D474-IF(E474="",0,E474))</f>
        <v/>
      </c>
      <c r="G474" s="53">
        <f>IF(A474="","","27"&amp;MID(A474,4,2)&amp;LEFT(A474,2))</f>
        <v/>
      </c>
      <c r="H474" s="48" t="n"/>
    </row>
    <row r="475" ht="15" customHeight="1">
      <c r="A475" s="38" t="n"/>
      <c r="B475" s="48" t="n"/>
      <c r="C475" s="53">
        <f>IF(B475="","",20.412)</f>
        <v/>
      </c>
      <c r="D475" s="48">
        <f>IF(B475="","",B475*C475)</f>
        <v/>
      </c>
      <c r="E475" s="53" t="n"/>
      <c r="F475" s="48">
        <f>IF(D475="","",D475-IF(E475="",0,E475))</f>
        <v/>
      </c>
      <c r="G475" s="53">
        <f>IF(A475="","","27"&amp;MID(A475,4,2)&amp;LEFT(A475,2))</f>
        <v/>
      </c>
      <c r="H475" s="48" t="n"/>
    </row>
    <row r="476" ht="15" customHeight="1">
      <c r="A476" s="38" t="n"/>
      <c r="B476" s="48" t="n"/>
      <c r="C476" s="53">
        <f>IF(B476="","",20.412)</f>
        <v/>
      </c>
      <c r="D476" s="48">
        <f>IF(B476="","",B476*C476)</f>
        <v/>
      </c>
      <c r="E476" s="53" t="n"/>
      <c r="F476" s="48">
        <f>IF(D476="","",D476-IF(E476="",0,E476))</f>
        <v/>
      </c>
      <c r="G476" s="53">
        <f>IF(A476="","","27"&amp;MID(A476,4,2)&amp;LEFT(A476,2))</f>
        <v/>
      </c>
      <c r="H476" s="48" t="n"/>
    </row>
    <row r="477" ht="15" customHeight="1">
      <c r="A477" s="38" t="n"/>
      <c r="B477" s="48" t="n"/>
      <c r="C477" s="53">
        <f>IF(B477="","",20.412)</f>
        <v/>
      </c>
      <c r="D477" s="48">
        <f>IF(B477="","",B477*C477)</f>
        <v/>
      </c>
      <c r="E477" s="53" t="n"/>
      <c r="F477" s="48">
        <f>IF(D477="","",D477-IF(E477="",0,E477))</f>
        <v/>
      </c>
      <c r="G477" s="53">
        <f>IF(A477="","","27"&amp;MID(A477,4,2)&amp;LEFT(A477,2))</f>
        <v/>
      </c>
      <c r="H477" s="48" t="n"/>
    </row>
    <row r="478" ht="15" customHeight="1">
      <c r="A478" s="38" t="n"/>
      <c r="B478" s="48" t="n"/>
      <c r="C478" s="53">
        <f>IF(B478="","",20.412)</f>
        <v/>
      </c>
      <c r="D478" s="48">
        <f>IF(B478="","",B478*C478)</f>
        <v/>
      </c>
      <c r="E478" s="53" t="n"/>
      <c r="F478" s="48">
        <f>IF(D478="","",D478-IF(E478="",0,E478))</f>
        <v/>
      </c>
      <c r="G478" s="53">
        <f>IF(A478="","","27"&amp;MID(A478,4,2)&amp;LEFT(A478,2))</f>
        <v/>
      </c>
      <c r="H478" s="48" t="n"/>
    </row>
    <row r="479" ht="15" customHeight="1">
      <c r="A479" s="38" t="n"/>
      <c r="B479" s="48" t="n"/>
      <c r="C479" s="53">
        <f>IF(B479="","",20.412)</f>
        <v/>
      </c>
      <c r="D479" s="48">
        <f>IF(B479="","",B479*C479)</f>
        <v/>
      </c>
      <c r="E479" s="53" t="n"/>
      <c r="F479" s="48">
        <f>IF(D479="","",D479-IF(E479="",0,E479))</f>
        <v/>
      </c>
      <c r="G479" s="53">
        <f>IF(A479="","","27"&amp;MID(A479,4,2)&amp;LEFT(A479,2))</f>
        <v/>
      </c>
      <c r="H479" s="48" t="n"/>
    </row>
    <row r="480" ht="15" customHeight="1">
      <c r="A480" s="38" t="n"/>
      <c r="B480" s="48" t="n"/>
      <c r="C480" s="53">
        <f>IF(B480="","",20.412)</f>
        <v/>
      </c>
      <c r="D480" s="48">
        <f>IF(B480="","",B480*C480)</f>
        <v/>
      </c>
      <c r="E480" s="53" t="n"/>
      <c r="F480" s="48">
        <f>IF(D480="","",D480-IF(E480="",0,E480))</f>
        <v/>
      </c>
      <c r="G480" s="53">
        <f>IF(A480="","","27"&amp;MID(A480,4,2)&amp;LEFT(A480,2))</f>
        <v/>
      </c>
      <c r="H480" s="48" t="n"/>
    </row>
    <row r="481" ht="15" customHeight="1">
      <c r="A481" s="38" t="n"/>
      <c r="B481" s="48" t="n"/>
      <c r="C481" s="53">
        <f>IF(B481="","",20.412)</f>
        <v/>
      </c>
      <c r="D481" s="48">
        <f>IF(B481="","",B481*C481)</f>
        <v/>
      </c>
      <c r="E481" s="53" t="n"/>
      <c r="F481" s="48">
        <f>IF(D481="","",D481-IF(E481="",0,E481))</f>
        <v/>
      </c>
      <c r="G481" s="53">
        <f>IF(A481="","","27"&amp;MID(A481,4,2)&amp;LEFT(A481,2))</f>
        <v/>
      </c>
      <c r="H481" s="48" t="n"/>
    </row>
    <row r="482" ht="15" customHeight="1">
      <c r="A482" s="38" t="n"/>
      <c r="B482" s="48" t="n"/>
      <c r="C482" s="53">
        <f>IF(B482="","",20.412)</f>
        <v/>
      </c>
      <c r="D482" s="48">
        <f>IF(B482="","",B482*C482)</f>
        <v/>
      </c>
      <c r="E482" s="53" t="n"/>
      <c r="F482" s="48">
        <f>IF(D482="","",D482-IF(E482="",0,E482))</f>
        <v/>
      </c>
      <c r="G482" s="53">
        <f>IF(A482="","","27"&amp;MID(A482,4,2)&amp;LEFT(A482,2))</f>
        <v/>
      </c>
      <c r="H482" s="48" t="n"/>
    </row>
    <row r="483" ht="15" customHeight="1">
      <c r="A483" s="38" t="n"/>
      <c r="B483" s="48" t="n"/>
      <c r="C483" s="53">
        <f>IF(B483="","",20.412)</f>
        <v/>
      </c>
      <c r="D483" s="48">
        <f>IF(B483="","",B483*C483)</f>
        <v/>
      </c>
      <c r="E483" s="53" t="n"/>
      <c r="F483" s="48">
        <f>IF(D483="","",D483-IF(E483="",0,E483))</f>
        <v/>
      </c>
      <c r="G483" s="53">
        <f>IF(A483="","","27"&amp;MID(A483,4,2)&amp;LEFT(A483,2))</f>
        <v/>
      </c>
      <c r="H483" s="48" t="n"/>
    </row>
    <row r="484" ht="15" customHeight="1">
      <c r="A484" s="38" t="n"/>
      <c r="B484" s="48" t="n"/>
      <c r="C484" s="53">
        <f>IF(B484="","",20.412)</f>
        <v/>
      </c>
      <c r="D484" s="48">
        <f>IF(B484="","",B484*C484)</f>
        <v/>
      </c>
      <c r="E484" s="53" t="n"/>
      <c r="F484" s="48">
        <f>IF(D484="","",D484-IF(E484="",0,E484))</f>
        <v/>
      </c>
      <c r="G484" s="53">
        <f>IF(A484="","","27"&amp;MID(A484,4,2)&amp;LEFT(A484,2))</f>
        <v/>
      </c>
      <c r="H484" s="48" t="n"/>
    </row>
    <row r="485" ht="15" customHeight="1">
      <c r="A485" s="38" t="n"/>
      <c r="B485" s="48" t="n"/>
      <c r="C485" s="53">
        <f>IF(B485="","",20.412)</f>
        <v/>
      </c>
      <c r="D485" s="48">
        <f>IF(B485="","",B485*C485)</f>
        <v/>
      </c>
      <c r="E485" s="53" t="n"/>
      <c r="F485" s="48">
        <f>IF(D485="","",D485-IF(E485="",0,E485))</f>
        <v/>
      </c>
      <c r="G485" s="53">
        <f>IF(A485="","","27"&amp;MID(A485,4,2)&amp;LEFT(A485,2))</f>
        <v/>
      </c>
      <c r="H485" s="48" t="n"/>
    </row>
    <row r="486" ht="15" customHeight="1">
      <c r="A486" s="38" t="n"/>
      <c r="B486" s="48" t="n"/>
      <c r="C486" s="53">
        <f>IF(B486="","",20.412)</f>
        <v/>
      </c>
      <c r="D486" s="48">
        <f>IF(B486="","",B486*C486)</f>
        <v/>
      </c>
      <c r="E486" s="53" t="n"/>
      <c r="F486" s="48">
        <f>IF(D486="","",D486-IF(E486="",0,E486))</f>
        <v/>
      </c>
      <c r="G486" s="53">
        <f>IF(A486="","","27"&amp;MID(A486,4,2)&amp;LEFT(A486,2))</f>
        <v/>
      </c>
      <c r="H486" s="48" t="n"/>
    </row>
    <row r="487" ht="15" customHeight="1">
      <c r="A487" s="38" t="n"/>
      <c r="B487" s="48" t="n"/>
      <c r="C487" s="53">
        <f>IF(B487="","",20.412)</f>
        <v/>
      </c>
      <c r="D487" s="48">
        <f>IF(B487="","",B487*C487)</f>
        <v/>
      </c>
      <c r="E487" s="53" t="n"/>
      <c r="F487" s="48">
        <f>IF(D487="","",D487-IF(E487="",0,E487))</f>
        <v/>
      </c>
      <c r="G487" s="53">
        <f>IF(A487="","","27"&amp;MID(A487,4,2)&amp;LEFT(A487,2))</f>
        <v/>
      </c>
      <c r="H487" s="48" t="n"/>
    </row>
    <row r="488" ht="15" customHeight="1">
      <c r="A488" s="38" t="n"/>
      <c r="B488" s="48" t="n"/>
      <c r="C488" s="53">
        <f>IF(B488="","",20.412)</f>
        <v/>
      </c>
      <c r="D488" s="48">
        <f>IF(B488="","",B488*C488)</f>
        <v/>
      </c>
      <c r="E488" s="53" t="n"/>
      <c r="F488" s="48">
        <f>IF(D488="","",D488-IF(E488="",0,E488))</f>
        <v/>
      </c>
      <c r="G488" s="53">
        <f>IF(A488="","","27"&amp;MID(A488,4,2)&amp;LEFT(A488,2))</f>
        <v/>
      </c>
      <c r="H488" s="48" t="n"/>
    </row>
    <row r="489" ht="15" customHeight="1">
      <c r="A489" s="38" t="n"/>
      <c r="B489" s="48" t="n"/>
      <c r="C489" s="53">
        <f>IF(B489="","",20.412)</f>
        <v/>
      </c>
      <c r="D489" s="48">
        <f>IF(B489="","",B489*C489)</f>
        <v/>
      </c>
      <c r="E489" s="53" t="n"/>
      <c r="F489" s="48">
        <f>IF(D489="","",D489-IF(E489="",0,E489))</f>
        <v/>
      </c>
      <c r="G489" s="53">
        <f>IF(A489="","","27"&amp;MID(A489,4,2)&amp;LEFT(A489,2))</f>
        <v/>
      </c>
      <c r="H489" s="48" t="n"/>
    </row>
    <row r="490" ht="15" customHeight="1">
      <c r="A490" s="38" t="n"/>
      <c r="B490" s="48" t="n"/>
      <c r="C490" s="53">
        <f>IF(B490="","",20.412)</f>
        <v/>
      </c>
      <c r="D490" s="48">
        <f>IF(B490="","",B490*C490)</f>
        <v/>
      </c>
      <c r="E490" s="53" t="n"/>
      <c r="F490" s="48">
        <f>IF(D490="","",D490-IF(E490="",0,E490))</f>
        <v/>
      </c>
      <c r="G490" s="53">
        <f>IF(A490="","","27"&amp;MID(A490,4,2)&amp;LEFT(A490,2))</f>
        <v/>
      </c>
      <c r="H490" s="48" t="n"/>
    </row>
    <row r="491" ht="15" customHeight="1">
      <c r="A491" s="38" t="n"/>
      <c r="B491" s="48" t="n"/>
      <c r="C491" s="53">
        <f>IF(B491="","",20.412)</f>
        <v/>
      </c>
      <c r="D491" s="48">
        <f>IF(B491="","",B491*C491)</f>
        <v/>
      </c>
      <c r="E491" s="53" t="n"/>
      <c r="F491" s="48">
        <f>IF(D491="","",D491-IF(E491="",0,E491))</f>
        <v/>
      </c>
      <c r="G491" s="53">
        <f>IF(A491="","","27"&amp;MID(A491,4,2)&amp;LEFT(A491,2))</f>
        <v/>
      </c>
      <c r="H491" s="48" t="n"/>
    </row>
    <row r="492" ht="15" customHeight="1">
      <c r="A492" s="38" t="n"/>
      <c r="B492" s="48" t="n"/>
      <c r="C492" s="53">
        <f>IF(B492="","",20.412)</f>
        <v/>
      </c>
      <c r="D492" s="48">
        <f>IF(B492="","",B492*C492)</f>
        <v/>
      </c>
      <c r="E492" s="53" t="n"/>
      <c r="F492" s="48">
        <f>IF(D492="","",D492-IF(E492="",0,E492))</f>
        <v/>
      </c>
      <c r="G492" s="53">
        <f>IF(A492="","","27"&amp;MID(A492,4,2)&amp;LEFT(A492,2))</f>
        <v/>
      </c>
      <c r="H492" s="48" t="n"/>
    </row>
    <row r="493" ht="15" customHeight="1">
      <c r="A493" s="38" t="n"/>
      <c r="B493" s="48" t="n"/>
      <c r="C493" s="53">
        <f>IF(B493="","",20.412)</f>
        <v/>
      </c>
      <c r="D493" s="48">
        <f>IF(B493="","",B493*C493)</f>
        <v/>
      </c>
      <c r="E493" s="53" t="n"/>
      <c r="F493" s="48">
        <f>IF(D493="","",D493-IF(E493="",0,E493))</f>
        <v/>
      </c>
      <c r="G493" s="53">
        <f>IF(A493="","","27"&amp;MID(A493,4,2)&amp;LEFT(A493,2))</f>
        <v/>
      </c>
      <c r="H493" s="48" t="n"/>
    </row>
    <row r="494" ht="15" customHeight="1">
      <c r="A494" s="38" t="n"/>
      <c r="B494" s="48" t="n"/>
      <c r="C494" s="53">
        <f>IF(B494="","",20.412)</f>
        <v/>
      </c>
      <c r="D494" s="48">
        <f>IF(B494="","",B494*C494)</f>
        <v/>
      </c>
      <c r="E494" s="53" t="n"/>
      <c r="F494" s="48">
        <f>IF(D494="","",D494-IF(E494="",0,E494))</f>
        <v/>
      </c>
      <c r="G494" s="53">
        <f>IF(A494="","","27"&amp;MID(A494,4,2)&amp;LEFT(A494,2))</f>
        <v/>
      </c>
      <c r="H494" s="48" t="n"/>
    </row>
    <row r="495" ht="15" customHeight="1">
      <c r="A495" s="38" t="n"/>
      <c r="B495" s="48" t="n"/>
      <c r="C495" s="53">
        <f>IF(B495="","",20.412)</f>
        <v/>
      </c>
      <c r="D495" s="48">
        <f>IF(B495="","",B495*C495)</f>
        <v/>
      </c>
      <c r="E495" s="53" t="n"/>
      <c r="F495" s="48">
        <f>IF(D495="","",D495-IF(E495="",0,E495))</f>
        <v/>
      </c>
      <c r="G495" s="53">
        <f>IF(A495="","","27"&amp;MID(A495,4,2)&amp;LEFT(A495,2))</f>
        <v/>
      </c>
      <c r="H495" s="48" t="n"/>
    </row>
    <row r="496" ht="15" customHeight="1">
      <c r="A496" s="38" t="n"/>
      <c r="B496" s="48" t="n"/>
      <c r="C496" s="53">
        <f>IF(B496="","",20.412)</f>
        <v/>
      </c>
      <c r="D496" s="48">
        <f>IF(B496="","",B496*C496)</f>
        <v/>
      </c>
      <c r="E496" s="53" t="n"/>
      <c r="F496" s="48">
        <f>IF(D496="","",D496-IF(E496="",0,E496))</f>
        <v/>
      </c>
      <c r="G496" s="53">
        <f>IF(A496="","","27"&amp;MID(A496,4,2)&amp;LEFT(A496,2))</f>
        <v/>
      </c>
      <c r="H496" s="48" t="n"/>
    </row>
    <row r="497" ht="15" customHeight="1">
      <c r="A497" s="38" t="n"/>
      <c r="B497" s="48" t="n"/>
      <c r="C497" s="53">
        <f>IF(B497="","",20.412)</f>
        <v/>
      </c>
      <c r="D497" s="48">
        <f>IF(B497="","",B497*C497)</f>
        <v/>
      </c>
      <c r="E497" s="53" t="n"/>
      <c r="F497" s="48">
        <f>IF(D497="","",D497-IF(E497="",0,E497))</f>
        <v/>
      </c>
      <c r="G497" s="53">
        <f>IF(A497="","","27"&amp;MID(A497,4,2)&amp;LEFT(A497,2))</f>
        <v/>
      </c>
      <c r="H497" s="48" t="n"/>
    </row>
    <row r="498" ht="15" customHeight="1">
      <c r="A498" s="38" t="n"/>
      <c r="B498" s="48" t="n"/>
      <c r="C498" s="53">
        <f>IF(B498="","",20.412)</f>
        <v/>
      </c>
      <c r="D498" s="48">
        <f>IF(B498="","",B498*C498)</f>
        <v/>
      </c>
      <c r="E498" s="53" t="n"/>
      <c r="F498" s="48">
        <f>IF(D498="","",D498-IF(E498="",0,E498))</f>
        <v/>
      </c>
      <c r="G498" s="53">
        <f>IF(A498="","","27"&amp;MID(A498,4,2)&amp;LEFT(A498,2))</f>
        <v/>
      </c>
      <c r="H498" s="48" t="n"/>
    </row>
    <row r="499" ht="15" customHeight="1">
      <c r="A499" s="38" t="n"/>
      <c r="B499" s="48" t="n"/>
      <c r="C499" s="53">
        <f>IF(B499="","",20.412)</f>
        <v/>
      </c>
      <c r="D499" s="48">
        <f>IF(B499="","",B499*C499)</f>
        <v/>
      </c>
      <c r="E499" s="53" t="n"/>
      <c r="F499" s="48">
        <f>IF(D499="","",D499-IF(E499="",0,E499))</f>
        <v/>
      </c>
      <c r="G499" s="53">
        <f>IF(A499="","","27"&amp;MID(A499,4,2)&amp;LEFT(A499,2))</f>
        <v/>
      </c>
      <c r="H499" s="48" t="n"/>
    </row>
    <row r="500" ht="15" customHeight="1">
      <c r="A500" s="38" t="n"/>
      <c r="B500" s="48" t="n"/>
      <c r="C500" s="53">
        <f>IF(B500="","",20.412)</f>
        <v/>
      </c>
      <c r="D500" s="48">
        <f>IF(B500="","",B500*C500)</f>
        <v/>
      </c>
      <c r="E500" s="53" t="n"/>
      <c r="F500" s="48">
        <f>IF(D500="","",D500-IF(E500="",0,E500))</f>
        <v/>
      </c>
      <c r="G500" s="53">
        <f>IF(A500="","","27"&amp;MID(A500,4,2)&amp;LEFT(A500,2))</f>
        <v/>
      </c>
      <c r="H500" s="48" t="n"/>
    </row>
    <row r="501" ht="15" customHeight="1">
      <c r="A501" s="38" t="n"/>
      <c r="B501" s="48" t="n"/>
      <c r="C501" s="53">
        <f>IF(B501="","",20.412)</f>
        <v/>
      </c>
      <c r="D501" s="48">
        <f>IF(B501="","",B501*C501)</f>
        <v/>
      </c>
      <c r="E501" s="53" t="n"/>
      <c r="F501" s="48">
        <f>IF(D501="","",D501-IF(E501="",0,E501))</f>
        <v/>
      </c>
      <c r="G501" s="53">
        <f>IF(A501="","","27"&amp;MID(A501,4,2)&amp;LEFT(A501,2))</f>
        <v/>
      </c>
      <c r="H501" s="48" t="n"/>
    </row>
    <row r="502" ht="15" customHeight="1"/>
    <row r="503" ht="15" customHeight="1"/>
    <row r="504" ht="28.25" customHeight="1"/>
    <row r="505" ht="15" customHeight="1"/>
    <row r="506" ht="15" customHeight="1"/>
    <row r="507" ht="15" customHeight="1"/>
    <row r="508" ht="15" customHeight="1"/>
    <row r="509" ht="15" customHeight="1"/>
    <row r="510" ht="28.25" customHeight="1"/>
    <row r="511" ht="15" customHeight="1"/>
    <row r="512" ht="15" customHeight="1"/>
  </sheetData>
  <autoFilter ref="A1:H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5B9BD5"/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M14" sqref="M14"/>
    </sheetView>
  </sheetViews>
  <sheetFormatPr baseColWidth="10" defaultColWidth="8.83203125" defaultRowHeight="15"/>
  <cols>
    <col width="18" customWidth="1" style="39" min="1" max="1"/>
    <col width="8.83203125" customWidth="1" style="49" min="2" max="2"/>
    <col width="16" customWidth="1" style="54" min="3" max="3"/>
    <col width="15" customWidth="1" style="49" min="4" max="4"/>
    <col width="13" customWidth="1" style="54" min="5" max="5"/>
    <col width="15" customWidth="1" style="49" min="6" max="6"/>
    <col width="13" customWidth="1" style="54" min="7" max="7"/>
    <col width="20" customWidth="1" style="49" min="8" max="8"/>
    <col width="14" customWidth="1" style="54" min="9" max="9"/>
    <col width="8.83203125" customWidth="1" style="49" min="10" max="10"/>
    <col width="35" customWidth="1" style="66" min="11" max="11"/>
    <col width="18" customWidth="1" min="22" max="22"/>
  </cols>
  <sheetData>
    <row r="1" ht="31.5" customHeight="1" thickBot="1">
      <c r="A1" s="34" t="inlineStr">
        <is>
          <t>Paketleme Tarihi</t>
        </is>
      </c>
      <c r="B1" s="45" t="inlineStr">
        <is>
          <t>Üretim Bağı</t>
        </is>
      </c>
      <c r="C1" s="50" t="inlineStr">
        <is>
          <t>Net Mamul kg</t>
        </is>
      </c>
      <c r="D1" s="45" t="inlineStr">
        <is>
          <t>500 g Paket</t>
        </is>
      </c>
      <c r="E1" s="50" t="inlineStr">
        <is>
          <t>500 g kg</t>
        </is>
      </c>
      <c r="F1" s="45" t="inlineStr">
        <is>
          <t>2,5 kg Paket</t>
        </is>
      </c>
      <c r="G1" s="50" t="inlineStr">
        <is>
          <t>2,5 kg kg</t>
        </is>
      </c>
      <c r="H1" s="45" t="inlineStr">
        <is>
          <t>Paketleme Firesi kg</t>
        </is>
      </c>
      <c r="I1" s="50" t="inlineStr">
        <is>
          <t>Bakiye kg</t>
        </is>
      </c>
      <c r="J1" s="45" t="inlineStr">
        <is>
          <t>Sonuç</t>
        </is>
      </c>
      <c r="K1" s="69" t="inlineStr">
        <is>
          <t>Açıklama</t>
        </is>
      </c>
      <c r="V1" s="19" t="inlineStr">
        <is>
          <t>⌂ ANA SAYFA</t>
        </is>
      </c>
    </row>
    <row r="2" ht="15" customHeight="1">
      <c r="A2" s="67" t="inlineStr">
        <is>
          <t>15.01.2026</t>
        </is>
      </c>
      <c r="B2" s="46" t="inlineStr">
        <is>
          <t>14.01.2026</t>
        </is>
      </c>
      <c r="C2" s="51" t="n">
        <v>240.944</v>
      </c>
      <c r="D2" s="46" t="n">
        <v>0</v>
      </c>
      <c r="E2" s="51" t="n">
        <v>0</v>
      </c>
      <c r="F2" s="46" t="n">
        <v>96</v>
      </c>
      <c r="G2" s="51" t="n">
        <v>240</v>
      </c>
      <c r="H2" s="46" t="n">
        <v>0.944</v>
      </c>
      <c r="I2" s="51">
        <f>C2-E2-G2-H2</f>
        <v/>
      </c>
      <c r="J2" s="46">
        <f>IF(ABS(I2)&lt;0.001,"KAPALI","KONTROL")</f>
        <v/>
      </c>
      <c r="K2" s="68" t="inlineStr">
        <is>
          <t>100 kg ALEK + 140 kg festival/fuar</t>
        </is>
      </c>
      <c r="V2" s="20" t="inlineStr">
        <is>
          <t>→ ÜRETİM</t>
        </is>
      </c>
    </row>
    <row r="3" ht="15" customHeight="1">
      <c r="A3" s="37" t="inlineStr">
        <is>
          <t>18.02.2026</t>
        </is>
      </c>
      <c r="B3" s="47" t="inlineStr">
        <is>
          <t>17.02.2026</t>
        </is>
      </c>
      <c r="C3" s="52" t="n">
        <v>221.532</v>
      </c>
      <c r="D3" s="47" t="n">
        <v>352</v>
      </c>
      <c r="E3" s="52" t="n">
        <v>176</v>
      </c>
      <c r="F3" s="47" t="n">
        <v>18</v>
      </c>
      <c r="G3" s="52" t="n">
        <v>45</v>
      </c>
      <c r="H3" s="47" t="n">
        <v>0.532</v>
      </c>
      <c r="I3" s="52">
        <f>C3-E3-G3-H3</f>
        <v/>
      </c>
      <c r="J3" s="47">
        <f>IF(ABS(I3)&lt;0.001,"KAPALI","KONTROL")</f>
        <v/>
      </c>
      <c r="K3" s="64" t="inlineStr">
        <is>
          <t>11 koli 500 g; kalan 2,5 kg</t>
        </is>
      </c>
      <c r="V3" s="21" t="inlineStr">
        <is>
          <t>→ LOT BAĞI</t>
        </is>
      </c>
    </row>
    <row r="4" ht="15" customHeight="1">
      <c r="A4" s="60" t="inlineStr">
        <is>
          <t>16.04.2026</t>
        </is>
      </c>
      <c r="B4" s="56" t="inlineStr">
        <is>
          <t>15.04.2026</t>
        </is>
      </c>
      <c r="C4" s="52" t="n">
        <v>260</v>
      </c>
      <c r="D4" s="56" t="n">
        <v>520</v>
      </c>
      <c r="E4" s="52" t="n">
        <v>260</v>
      </c>
      <c r="F4" s="56" t="n">
        <v>0</v>
      </c>
      <c r="G4" s="52" t="n">
        <v>0</v>
      </c>
      <c r="H4" s="56" t="n">
        <v>0</v>
      </c>
      <c r="I4" s="52">
        <f>C4-E4-G4-H4</f>
        <v/>
      </c>
      <c r="J4" s="47">
        <f>IF(ABS(I4)&lt;0.001,"KAPALI","KONTROL")</f>
        <v/>
      </c>
      <c r="K4" s="65" t="n"/>
    </row>
    <row r="5" ht="15" customHeight="1">
      <c r="A5" s="60" t="inlineStr">
        <is>
          <t>28.04.2026</t>
        </is>
      </c>
      <c r="B5" s="56" t="inlineStr">
        <is>
          <t>27.04.2026</t>
        </is>
      </c>
      <c r="C5" s="52" t="n">
        <v>261.356</v>
      </c>
      <c r="D5" s="56" t="n">
        <v>522</v>
      </c>
      <c r="E5" s="52" t="n">
        <v>261</v>
      </c>
      <c r="F5" s="56" t="n">
        <v>0</v>
      </c>
      <c r="G5" s="52" t="n">
        <v>0</v>
      </c>
      <c r="H5" s="56" t="n">
        <v>0.356</v>
      </c>
      <c r="I5" s="52">
        <f>C5-E5-G5-H5</f>
        <v/>
      </c>
      <c r="J5" s="47">
        <f>IF(ABS(I5)&lt;0.001,"KAPALI","KONTROL")</f>
        <v/>
      </c>
      <c r="K5" s="65" t="n"/>
    </row>
    <row r="6" ht="15" customHeight="1">
      <c r="A6" s="60" t="inlineStr">
        <is>
          <t>05.05.2026</t>
        </is>
      </c>
      <c r="B6" s="56" t="inlineStr">
        <is>
          <t>04.05.2026</t>
        </is>
      </c>
      <c r="C6" s="52" t="n">
        <v>259.356</v>
      </c>
      <c r="D6" s="56" t="n">
        <v>518</v>
      </c>
      <c r="E6" s="52" t="n">
        <v>259</v>
      </c>
      <c r="F6" s="56" t="n">
        <v>0</v>
      </c>
      <c r="G6" s="52" t="n">
        <v>0</v>
      </c>
      <c r="H6" s="56" t="n">
        <v>0.356</v>
      </c>
      <c r="I6" s="52">
        <f>C6-E6-G6-H6</f>
        <v/>
      </c>
      <c r="J6" s="47">
        <f>IF(ABS(I6)&lt;0.001,"KAPALI","KONTROL")</f>
        <v/>
      </c>
      <c r="K6" s="65" t="n"/>
    </row>
    <row r="7" ht="15" customHeight="1">
      <c r="A7" s="60" t="inlineStr">
        <is>
          <t>06.05.2026</t>
        </is>
      </c>
      <c r="B7" s="56" t="inlineStr">
        <is>
          <t>05.05.2026</t>
        </is>
      </c>
      <c r="C7" s="52" t="n">
        <v>260.356</v>
      </c>
      <c r="D7" s="56" t="n">
        <v>520</v>
      </c>
      <c r="E7" s="52" t="n">
        <v>260</v>
      </c>
      <c r="F7" s="56" t="n">
        <v>0</v>
      </c>
      <c r="G7" s="52" t="n">
        <v>0</v>
      </c>
      <c r="H7" s="56" t="n">
        <v>0.356</v>
      </c>
      <c r="I7" s="52">
        <f>C7-E7-G7-H7</f>
        <v/>
      </c>
      <c r="J7" s="47">
        <f>IF(ABS(I7)&lt;0.001,"KAPALI","KONTROL")</f>
        <v/>
      </c>
      <c r="K7" s="65" t="n"/>
    </row>
    <row r="8" ht="15" customHeight="1">
      <c r="A8" s="60" t="inlineStr">
        <is>
          <t>08.05.2026</t>
        </is>
      </c>
      <c r="B8" s="56" t="inlineStr">
        <is>
          <t>07.05.2026</t>
        </is>
      </c>
      <c r="C8" s="52" t="n">
        <v>262.356</v>
      </c>
      <c r="D8" s="56" t="n">
        <v>518</v>
      </c>
      <c r="E8" s="52" t="n">
        <v>259</v>
      </c>
      <c r="F8" s="56" t="n">
        <v>0</v>
      </c>
      <c r="G8" s="52" t="n">
        <v>0</v>
      </c>
      <c r="H8" s="56" t="n">
        <v>3.356</v>
      </c>
      <c r="I8" s="52">
        <f>C8-E8-G8-H8</f>
        <v/>
      </c>
      <c r="J8" s="47">
        <f>IF(ABS(I8)&lt;0.001,"KAPALI","KONTROL")</f>
        <v/>
      </c>
      <c r="K8" s="65" t="n"/>
    </row>
    <row r="9" ht="15" customHeight="1">
      <c r="A9" s="60" t="inlineStr">
        <is>
          <t>13.05.2026</t>
        </is>
      </c>
      <c r="B9" s="56" t="inlineStr">
        <is>
          <t>12.05.2026</t>
        </is>
      </c>
      <c r="C9" s="52" t="n">
        <v>260.356</v>
      </c>
      <c r="D9" s="56" t="n">
        <v>520</v>
      </c>
      <c r="E9" s="52" t="n">
        <v>260</v>
      </c>
      <c r="F9" s="56" t="n">
        <v>0</v>
      </c>
      <c r="G9" s="52" t="n">
        <v>0</v>
      </c>
      <c r="H9" s="56" t="n">
        <v>0.356</v>
      </c>
      <c r="I9" s="52">
        <f>C9-E9-G9-H9</f>
        <v/>
      </c>
      <c r="J9" s="47">
        <f>IF(ABS(I9)&lt;0.001,"KAPALI","KONTROL")</f>
        <v/>
      </c>
      <c r="K9" s="65" t="n"/>
    </row>
    <row r="10" ht="15" customHeight="1">
      <c r="A10" s="60" t="inlineStr">
        <is>
          <t>16.06.2026</t>
        </is>
      </c>
      <c r="B10" s="56" t="inlineStr">
        <is>
          <t>15.06.2026</t>
        </is>
      </c>
      <c r="C10" s="52" t="n">
        <v>82.47199999999999</v>
      </c>
      <c r="D10" s="56" t="n">
        <v>164</v>
      </c>
      <c r="E10" s="52" t="n">
        <v>82</v>
      </c>
      <c r="F10" s="56" t="n">
        <v>0</v>
      </c>
      <c r="G10" s="52" t="n">
        <v>0</v>
      </c>
      <c r="H10" s="56" t="n">
        <v>0.472</v>
      </c>
      <c r="I10" s="52">
        <f>C10-E10-G10-H10</f>
        <v/>
      </c>
      <c r="J10" s="47">
        <f>IF(ABS(I10)&lt;0.001,"KAPALI","KONTROL")</f>
        <v/>
      </c>
      <c r="K10" s="65" t="n"/>
    </row>
    <row r="11" ht="15" customHeight="1">
      <c r="A11" s="60" t="inlineStr">
        <is>
          <t>18.06.2026</t>
        </is>
      </c>
      <c r="B11" s="56" t="inlineStr">
        <is>
          <t>17.06.2026</t>
        </is>
      </c>
      <c r="C11" s="52" t="n">
        <v>127.884</v>
      </c>
      <c r="D11" s="56" t="n">
        <v>255</v>
      </c>
      <c r="E11" s="52" t="n">
        <v>127.5</v>
      </c>
      <c r="F11" s="56" t="n">
        <v>0</v>
      </c>
      <c r="G11" s="52" t="n">
        <v>0</v>
      </c>
      <c r="H11" s="56" t="n">
        <v>0.384</v>
      </c>
      <c r="I11" s="52">
        <f>C11-E11-G11-H11</f>
        <v/>
      </c>
      <c r="J11" s="47">
        <f>IF(ABS(I11)&lt;0.001,"KAPALI","KONTROL")</f>
        <v/>
      </c>
      <c r="K11" s="65" t="n"/>
    </row>
    <row r="12" ht="15" customHeight="1">
      <c r="A12" s="60" t="inlineStr">
        <is>
          <t>24.06.2026</t>
        </is>
      </c>
      <c r="B12" s="56" t="inlineStr">
        <is>
          <t>23.06.2026</t>
        </is>
      </c>
      <c r="C12" s="52" t="n">
        <v>132.884</v>
      </c>
      <c r="D12" s="56" t="n">
        <v>265</v>
      </c>
      <c r="E12" s="52" t="n">
        <v>132.5</v>
      </c>
      <c r="F12" s="56" t="n">
        <v>0</v>
      </c>
      <c r="G12" s="52" t="n">
        <v>0</v>
      </c>
      <c r="H12" s="56" t="n">
        <v>0.384</v>
      </c>
      <c r="I12" s="52">
        <f>C12-E12-G12-H12</f>
        <v/>
      </c>
      <c r="J12" s="47">
        <f>IF(ABS(I12)&lt;0.001,"KAPALI","KONTROL")</f>
        <v/>
      </c>
      <c r="K12" s="65" t="n"/>
    </row>
    <row r="13" ht="15" customHeight="1">
      <c r="A13" s="60">
        <f>IF(B13="","",IFERROR(DATE(RIGHT(B13,4),MID(B13,4,2),LEFT(B13,2))+1,""))</f>
        <v/>
      </c>
      <c r="B13" s="56" t="n"/>
      <c r="C13" s="58">
        <f>IF(B13="","",IFERROR(INDEX('21 2026 ÜRETİM'!$F$2:$F$501,MATCH(B13,'21 2026 ÜRETİM'!$A$2:$A$501,0)),""))</f>
        <v/>
      </c>
      <c r="D13" s="56" t="n"/>
      <c r="E13" s="58">
        <f>IF(D13="","",D13*0.5)</f>
        <v/>
      </c>
      <c r="F13" s="56" t="n"/>
      <c r="G13" s="58">
        <f>IF(F13="","",F13*2.5)</f>
        <v/>
      </c>
      <c r="H13" s="56" t="n"/>
      <c r="I13" s="58">
        <f>IF(C13="","",C13-E13-G13-IF(H13="",0,H13))</f>
        <v/>
      </c>
      <c r="J13" s="56">
        <f>IF(C13="","",IF(ABS(I13)&lt;0.001,"KAPALI","KONTROL"))</f>
        <v/>
      </c>
      <c r="K13" s="65" t="n"/>
    </row>
    <row r="14" ht="15" customHeight="1">
      <c r="A14" s="60">
        <f>IF(B14="","",IFERROR(DATE(RIGHT(B14,4),MID(B14,4,2),LEFT(B14,2))+1,""))</f>
        <v/>
      </c>
      <c r="B14" s="56" t="n"/>
      <c r="C14" s="58">
        <f>IF(B14="","",IFERROR(INDEX('21 2026 ÜRETİM'!$F$2:$F$501,MATCH(B14,'21 2026 ÜRETİM'!$A$2:$A$501,0)),""))</f>
        <v/>
      </c>
      <c r="D14" s="56" t="n"/>
      <c r="E14" s="58">
        <f>IF(D14="","",D14*0.5)</f>
        <v/>
      </c>
      <c r="F14" s="56" t="n"/>
      <c r="G14" s="58">
        <f>IF(F14="","",F14*2.5)</f>
        <v/>
      </c>
      <c r="H14" s="56" t="n"/>
      <c r="I14" s="58">
        <f>IF(C14="","",C14-E14-G14-IF(H14="",0,H14))</f>
        <v/>
      </c>
      <c r="J14" s="56">
        <f>IF(C14="","",IF(ABS(I14)&lt;0.001,"KAPALI","KONTROL"))</f>
        <v/>
      </c>
      <c r="K14" s="65" t="n"/>
    </row>
    <row r="15" ht="15" customHeight="1">
      <c r="A15" s="60">
        <f>IF(B15="","",IFERROR(DATE(RIGHT(B15,4),MID(B15,4,2),LEFT(B15,2))+1,""))</f>
        <v/>
      </c>
      <c r="B15" s="56" t="n"/>
      <c r="C15" s="58">
        <f>IF(B15="","",IFERROR(INDEX('21 2026 ÜRETİM'!$F$2:$F$501,MATCH(B15,'21 2026 ÜRETİM'!$A$2:$A$501,0)),""))</f>
        <v/>
      </c>
      <c r="D15" s="56" t="n"/>
      <c r="E15" s="58">
        <f>IF(D15="","",D15*0.5)</f>
        <v/>
      </c>
      <c r="F15" s="56" t="n"/>
      <c r="G15" s="58">
        <f>IF(F15="","",F15*2.5)</f>
        <v/>
      </c>
      <c r="H15" s="56" t="n"/>
      <c r="I15" s="58">
        <f>IF(C15="","",C15-E15-G15-IF(H15="",0,H15))</f>
        <v/>
      </c>
      <c r="J15" s="56">
        <f>IF(C15="","",IF(ABS(I15)&lt;0.001,"KAPALI","KONTROL"))</f>
        <v/>
      </c>
      <c r="K15" s="65" t="n"/>
    </row>
    <row r="16" ht="15" customHeight="1">
      <c r="A16" s="60">
        <f>IF(B16="","",IFERROR(DATE(RIGHT(B16,4),MID(B16,4,2),LEFT(B16,2))+1,""))</f>
        <v/>
      </c>
      <c r="B16" s="56" t="n"/>
      <c r="C16" s="58">
        <f>IF(B16="","",IFERROR(INDEX('21 2026 ÜRETİM'!$F$2:$F$501,MATCH(B16,'21 2026 ÜRETİM'!$A$2:$A$501,0)),""))</f>
        <v/>
      </c>
      <c r="D16" s="56" t="n"/>
      <c r="E16" s="58">
        <f>IF(D16="","",D16*0.5)</f>
        <v/>
      </c>
      <c r="F16" s="56" t="n"/>
      <c r="G16" s="58">
        <f>IF(F16="","",F16*2.5)</f>
        <v/>
      </c>
      <c r="H16" s="56" t="n"/>
      <c r="I16" s="58">
        <f>IF(C16="","",C16-E16-G16-IF(H16="",0,H16))</f>
        <v/>
      </c>
      <c r="J16" s="56">
        <f>IF(C16="","",IF(ABS(I16)&lt;0.001,"KAPALI","KONTROL"))</f>
        <v/>
      </c>
      <c r="K16" s="65" t="n"/>
    </row>
    <row r="17" ht="15" customHeight="1">
      <c r="A17" s="60">
        <f>IF(B17="","",IFERROR(DATE(RIGHT(B17,4),MID(B17,4,2),LEFT(B17,2))+1,""))</f>
        <v/>
      </c>
      <c r="B17" s="56" t="n"/>
      <c r="C17" s="58">
        <f>IF(B17="","",IFERROR(INDEX('21 2026 ÜRETİM'!$F$2:$F$501,MATCH(B17,'21 2026 ÜRETİM'!$A$2:$A$501,0)),""))</f>
        <v/>
      </c>
      <c r="D17" s="56" t="n"/>
      <c r="E17" s="58">
        <f>IF(D17="","",D17*0.5)</f>
        <v/>
      </c>
      <c r="F17" s="56" t="n"/>
      <c r="G17" s="58">
        <f>IF(F17="","",F17*2.5)</f>
        <v/>
      </c>
      <c r="H17" s="56" t="n"/>
      <c r="I17" s="58">
        <f>IF(C17="","",C17-E17-G17-IF(H17="",0,H17))</f>
        <v/>
      </c>
      <c r="J17" s="56">
        <f>IF(C17="","",IF(ABS(I17)&lt;0.001,"KAPALI","KONTROL"))</f>
        <v/>
      </c>
      <c r="K17" s="65" t="n"/>
    </row>
    <row r="18" ht="15" customHeight="1">
      <c r="A18" s="60">
        <f>IF(B18="","",IFERROR(DATE(RIGHT(B18,4),MID(B18,4,2),LEFT(B18,2))+1,""))</f>
        <v/>
      </c>
      <c r="B18" s="56" t="n"/>
      <c r="C18" s="58">
        <f>IF(B18="","",IFERROR(INDEX('21 2026 ÜRETİM'!$F$2:$F$501,MATCH(B18,'21 2026 ÜRETİM'!$A$2:$A$501,0)),""))</f>
        <v/>
      </c>
      <c r="D18" s="56" t="n"/>
      <c r="E18" s="58">
        <f>IF(D18="","",D18*0.5)</f>
        <v/>
      </c>
      <c r="F18" s="56" t="n"/>
      <c r="G18" s="58">
        <f>IF(F18="","",F18*2.5)</f>
        <v/>
      </c>
      <c r="H18" s="56" t="n"/>
      <c r="I18" s="58">
        <f>IF(C18="","",C18-E18-G18-IF(H18="",0,H18))</f>
        <v/>
      </c>
      <c r="J18" s="56">
        <f>IF(C18="","",IF(ABS(I18)&lt;0.001,"KAPALI","KONTROL"))</f>
        <v/>
      </c>
      <c r="K18" s="65" t="n"/>
    </row>
    <row r="19" ht="15" customHeight="1">
      <c r="A19" s="60">
        <f>IF(B19="","",IFERROR(DATE(RIGHT(B19,4),MID(B19,4,2),LEFT(B19,2))+1,""))</f>
        <v/>
      </c>
      <c r="B19" s="56" t="n"/>
      <c r="C19" s="58">
        <f>IF(B19="","",IFERROR(INDEX('21 2026 ÜRETİM'!$F$2:$F$501,MATCH(B19,'21 2026 ÜRETİM'!$A$2:$A$501,0)),""))</f>
        <v/>
      </c>
      <c r="D19" s="56" t="n"/>
      <c r="E19" s="58">
        <f>IF(D19="","",D19*0.5)</f>
        <v/>
      </c>
      <c r="F19" s="56" t="n"/>
      <c r="G19" s="58">
        <f>IF(F19="","",F19*2.5)</f>
        <v/>
      </c>
      <c r="H19" s="56" t="n"/>
      <c r="I19" s="58">
        <f>IF(C19="","",C19-E19-G19-IF(H19="",0,H19))</f>
        <v/>
      </c>
      <c r="J19" s="56">
        <f>IF(C19="","",IF(ABS(I19)&lt;0.001,"KAPALI","KONTROL"))</f>
        <v/>
      </c>
      <c r="K19" s="65" t="n"/>
    </row>
    <row r="20" ht="15" customHeight="1">
      <c r="A20" s="60">
        <f>IF(B20="","",IFERROR(DATE(RIGHT(B20,4),MID(B20,4,2),LEFT(B20,2))+1,""))</f>
        <v/>
      </c>
      <c r="B20" s="56" t="n"/>
      <c r="C20" s="58">
        <f>IF(B20="","",IFERROR(INDEX('21 2026 ÜRETİM'!$F$2:$F$501,MATCH(B20,'21 2026 ÜRETİM'!$A$2:$A$501,0)),""))</f>
        <v/>
      </c>
      <c r="D20" s="56" t="n"/>
      <c r="E20" s="58">
        <f>IF(D20="","",D20*0.5)</f>
        <v/>
      </c>
      <c r="F20" s="56" t="n"/>
      <c r="G20" s="58">
        <f>IF(F20="","",F20*2.5)</f>
        <v/>
      </c>
      <c r="H20" s="56" t="n"/>
      <c r="I20" s="58">
        <f>IF(C20="","",C20-E20-G20-IF(H20="",0,H20))</f>
        <v/>
      </c>
      <c r="J20" s="56">
        <f>IF(C20="","",IF(ABS(I20)&lt;0.001,"KAPALI","KONTROL"))</f>
        <v/>
      </c>
      <c r="K20" s="65" t="n"/>
    </row>
    <row r="21" ht="15" customHeight="1">
      <c r="A21" s="60">
        <f>IF(B21="","",IFERROR(DATE(RIGHT(B21,4),MID(B21,4,2),LEFT(B21,2))+1,""))</f>
        <v/>
      </c>
      <c r="B21" s="56" t="n"/>
      <c r="C21" s="58">
        <f>IF(B21="","",IFERROR(INDEX('21 2026 ÜRETİM'!$F$2:$F$501,MATCH(B21,'21 2026 ÜRETİM'!$A$2:$A$501,0)),""))</f>
        <v/>
      </c>
      <c r="D21" s="56" t="n"/>
      <c r="E21" s="58">
        <f>IF(D21="","",D21*0.5)</f>
        <v/>
      </c>
      <c r="F21" s="56" t="n"/>
      <c r="G21" s="58">
        <f>IF(F21="","",F21*2.5)</f>
        <v/>
      </c>
      <c r="H21" s="56" t="n"/>
      <c r="I21" s="58">
        <f>IF(C21="","",C21-E21-G21-IF(H21="",0,H21))</f>
        <v/>
      </c>
      <c r="J21" s="56">
        <f>IF(C21="","",IF(ABS(I21)&lt;0.001,"KAPALI","KONTROL"))</f>
        <v/>
      </c>
      <c r="K21" s="65" t="n"/>
    </row>
    <row r="22" ht="15" customHeight="1">
      <c r="A22" s="60">
        <f>IF(B22="","",IFERROR(DATE(RIGHT(B22,4),MID(B22,4,2),LEFT(B22,2))+1,""))</f>
        <v/>
      </c>
      <c r="B22" s="56" t="n"/>
      <c r="C22" s="58">
        <f>IF(B22="","",IFERROR(INDEX('21 2026 ÜRETİM'!$F$2:$F$501,MATCH(B22,'21 2026 ÜRETİM'!$A$2:$A$501,0)),""))</f>
        <v/>
      </c>
      <c r="D22" s="56" t="n"/>
      <c r="E22" s="58">
        <f>IF(D22="","",D22*0.5)</f>
        <v/>
      </c>
      <c r="F22" s="56" t="n"/>
      <c r="G22" s="58">
        <f>IF(F22="","",F22*2.5)</f>
        <v/>
      </c>
      <c r="H22" s="56" t="n"/>
      <c r="I22" s="58">
        <f>IF(C22="","",C22-E22-G22-IF(H22="",0,H22))</f>
        <v/>
      </c>
      <c r="J22" s="56">
        <f>IF(C22="","",IF(ABS(I22)&lt;0.001,"KAPALI","KONTROL"))</f>
        <v/>
      </c>
      <c r="K22" s="65" t="n"/>
    </row>
    <row r="23" ht="15" customHeight="1">
      <c r="A23" s="60">
        <f>IF(B23="","",IFERROR(DATE(RIGHT(B23,4),MID(B23,4,2),LEFT(B23,2))+1,""))</f>
        <v/>
      </c>
      <c r="B23" s="56" t="n"/>
      <c r="C23" s="58">
        <f>IF(B23="","",IFERROR(INDEX('21 2026 ÜRETİM'!$F$2:$F$501,MATCH(B23,'21 2026 ÜRETİM'!$A$2:$A$501,0)),""))</f>
        <v/>
      </c>
      <c r="D23" s="56" t="n"/>
      <c r="E23" s="58">
        <f>IF(D23="","",D23*0.5)</f>
        <v/>
      </c>
      <c r="F23" s="56" t="n"/>
      <c r="G23" s="58">
        <f>IF(F23="","",F23*2.5)</f>
        <v/>
      </c>
      <c r="H23" s="56" t="n"/>
      <c r="I23" s="58">
        <f>IF(C23="","",C23-E23-G23-IF(H23="",0,H23))</f>
        <v/>
      </c>
      <c r="J23" s="56">
        <f>IF(C23="","",IF(ABS(I23)&lt;0.001,"KAPALI","KONTROL"))</f>
        <v/>
      </c>
      <c r="K23" s="65" t="n"/>
    </row>
    <row r="24" ht="15" customHeight="1">
      <c r="A24" s="60">
        <f>IF(B24="","",IFERROR(DATE(RIGHT(B24,4),MID(B24,4,2),LEFT(B24,2))+1,""))</f>
        <v/>
      </c>
      <c r="B24" s="56" t="n"/>
      <c r="C24" s="58">
        <f>IF(B24="","",IFERROR(INDEX('21 2026 ÜRETİM'!$F$2:$F$501,MATCH(B24,'21 2026 ÜRETİM'!$A$2:$A$501,0)),""))</f>
        <v/>
      </c>
      <c r="D24" s="56" t="n"/>
      <c r="E24" s="58">
        <f>IF(D24="","",D24*0.5)</f>
        <v/>
      </c>
      <c r="F24" s="56" t="n"/>
      <c r="G24" s="58">
        <f>IF(F24="","",F24*2.5)</f>
        <v/>
      </c>
      <c r="H24" s="56" t="n"/>
      <c r="I24" s="58">
        <f>IF(C24="","",C24-E24-G24-IF(H24="",0,H24))</f>
        <v/>
      </c>
      <c r="J24" s="56">
        <f>IF(C24="","",IF(ABS(I24)&lt;0.001,"KAPALI","KONTROL"))</f>
        <v/>
      </c>
      <c r="K24" s="65" t="n"/>
    </row>
    <row r="25" ht="15" customHeight="1">
      <c r="A25" s="60">
        <f>IF(B25="","",IFERROR(DATE(RIGHT(B25,4),MID(B25,4,2),LEFT(B25,2))+1,""))</f>
        <v/>
      </c>
      <c r="B25" s="56" t="n"/>
      <c r="C25" s="58">
        <f>IF(B25="","",IFERROR(INDEX('21 2026 ÜRETİM'!$F$2:$F$501,MATCH(B25,'21 2026 ÜRETİM'!$A$2:$A$501,0)),""))</f>
        <v/>
      </c>
      <c r="D25" s="56" t="n"/>
      <c r="E25" s="58">
        <f>IF(D25="","",D25*0.5)</f>
        <v/>
      </c>
      <c r="F25" s="56" t="n"/>
      <c r="G25" s="58">
        <f>IF(F25="","",F25*2.5)</f>
        <v/>
      </c>
      <c r="H25" s="56" t="n"/>
      <c r="I25" s="58">
        <f>IF(C25="","",C25-E25-G25-IF(H25="",0,H25))</f>
        <v/>
      </c>
      <c r="J25" s="56">
        <f>IF(C25="","",IF(ABS(I25)&lt;0.001,"KAPALI","KONTROL"))</f>
        <v/>
      </c>
      <c r="K25" s="65" t="n"/>
    </row>
    <row r="26" ht="15" customHeight="1">
      <c r="A26" s="60">
        <f>IF(B26="","",IFERROR(DATE(RIGHT(B26,4),MID(B26,4,2),LEFT(B26,2))+1,""))</f>
        <v/>
      </c>
      <c r="B26" s="56" t="n"/>
      <c r="C26" s="58">
        <f>IF(B26="","",IFERROR(INDEX('21 2026 ÜRETİM'!$F$2:$F$501,MATCH(B26,'21 2026 ÜRETİM'!$A$2:$A$501,0)),""))</f>
        <v/>
      </c>
      <c r="D26" s="56" t="n"/>
      <c r="E26" s="58">
        <f>IF(D26="","",D26*0.5)</f>
        <v/>
      </c>
      <c r="F26" s="56" t="n"/>
      <c r="G26" s="58">
        <f>IF(F26="","",F26*2.5)</f>
        <v/>
      </c>
      <c r="H26" s="56" t="n"/>
      <c r="I26" s="58">
        <f>IF(C26="","",C26-E26-G26-IF(H26="",0,H26))</f>
        <v/>
      </c>
      <c r="J26" s="56">
        <f>IF(C26="","",IF(ABS(I26)&lt;0.001,"KAPALI","KONTROL"))</f>
        <v/>
      </c>
      <c r="K26" s="65" t="n"/>
    </row>
    <row r="27" ht="15" customHeight="1">
      <c r="A27" s="60">
        <f>IF(B27="","",IFERROR(DATE(RIGHT(B27,4),MID(B27,4,2),LEFT(B27,2))+1,""))</f>
        <v/>
      </c>
      <c r="B27" s="56" t="n"/>
      <c r="C27" s="58">
        <f>IF(B27="","",IFERROR(INDEX('21 2026 ÜRETİM'!$F$2:$F$501,MATCH(B27,'21 2026 ÜRETİM'!$A$2:$A$501,0)),""))</f>
        <v/>
      </c>
      <c r="D27" s="56" t="n"/>
      <c r="E27" s="58">
        <f>IF(D27="","",D27*0.5)</f>
        <v/>
      </c>
      <c r="F27" s="56" t="n"/>
      <c r="G27" s="58">
        <f>IF(F27="","",F27*2.5)</f>
        <v/>
      </c>
      <c r="H27" s="56" t="n"/>
      <c r="I27" s="58">
        <f>IF(C27="","",C27-E27-G27-IF(H27="",0,H27))</f>
        <v/>
      </c>
      <c r="J27" s="56">
        <f>IF(C27="","",IF(ABS(I27)&lt;0.001,"KAPALI","KONTROL"))</f>
        <v/>
      </c>
      <c r="K27" s="65" t="n"/>
    </row>
    <row r="28" ht="15" customHeight="1">
      <c r="A28" s="60">
        <f>IF(B28="","",IFERROR(DATE(RIGHT(B28,4),MID(B28,4,2),LEFT(B28,2))+1,""))</f>
        <v/>
      </c>
      <c r="B28" s="56" t="n"/>
      <c r="C28" s="58">
        <f>IF(B28="","",IFERROR(INDEX('21 2026 ÜRETİM'!$F$2:$F$501,MATCH(B28,'21 2026 ÜRETİM'!$A$2:$A$501,0)),""))</f>
        <v/>
      </c>
      <c r="D28" s="56" t="n"/>
      <c r="E28" s="58">
        <f>IF(D28="","",D28*0.5)</f>
        <v/>
      </c>
      <c r="F28" s="56" t="n"/>
      <c r="G28" s="58">
        <f>IF(F28="","",F28*2.5)</f>
        <v/>
      </c>
      <c r="H28" s="56" t="n"/>
      <c r="I28" s="58">
        <f>IF(C28="","",C28-E28-G28-IF(H28="",0,H28))</f>
        <v/>
      </c>
      <c r="J28" s="56">
        <f>IF(C28="","",IF(ABS(I28)&lt;0.001,"KAPALI","KONTROL"))</f>
        <v/>
      </c>
      <c r="K28" s="65" t="n"/>
    </row>
    <row r="29" ht="15" customHeight="1">
      <c r="A29" s="60">
        <f>IF(B29="","",IFERROR(DATE(RIGHT(B29,4),MID(B29,4,2),LEFT(B29,2))+1,""))</f>
        <v/>
      </c>
      <c r="B29" s="56" t="n"/>
      <c r="C29" s="58">
        <f>IF(B29="","",IFERROR(INDEX('21 2026 ÜRETİM'!$F$2:$F$501,MATCH(B29,'21 2026 ÜRETİM'!$A$2:$A$501,0)),""))</f>
        <v/>
      </c>
      <c r="D29" s="56" t="n"/>
      <c r="E29" s="58">
        <f>IF(D29="","",D29*0.5)</f>
        <v/>
      </c>
      <c r="F29" s="56" t="n"/>
      <c r="G29" s="58">
        <f>IF(F29="","",F29*2.5)</f>
        <v/>
      </c>
      <c r="H29" s="56" t="n"/>
      <c r="I29" s="58">
        <f>IF(C29="","",C29-E29-G29-IF(H29="",0,H29))</f>
        <v/>
      </c>
      <c r="J29" s="56">
        <f>IF(C29="","",IF(ABS(I29)&lt;0.001,"KAPALI","KONTROL"))</f>
        <v/>
      </c>
      <c r="K29" s="65" t="n"/>
    </row>
    <row r="30" ht="15" customHeight="1">
      <c r="A30" s="60">
        <f>IF(B30="","",IFERROR(DATE(RIGHT(B30,4),MID(B30,4,2),LEFT(B30,2))+1,""))</f>
        <v/>
      </c>
      <c r="B30" s="56" t="n"/>
      <c r="C30" s="58">
        <f>IF(B30="","",IFERROR(INDEX('21 2026 ÜRETİM'!$F$2:$F$501,MATCH(B30,'21 2026 ÜRETİM'!$A$2:$A$501,0)),""))</f>
        <v/>
      </c>
      <c r="D30" s="56" t="n"/>
      <c r="E30" s="58">
        <f>IF(D30="","",D30*0.5)</f>
        <v/>
      </c>
      <c r="F30" s="56" t="n"/>
      <c r="G30" s="58">
        <f>IF(F30="","",F30*2.5)</f>
        <v/>
      </c>
      <c r="H30" s="56" t="n"/>
      <c r="I30" s="58">
        <f>IF(C30="","",C30-E30-G30-IF(H30="",0,H30))</f>
        <v/>
      </c>
      <c r="J30" s="56">
        <f>IF(C30="","",IF(ABS(I30)&lt;0.001,"KAPALI","KONTROL"))</f>
        <v/>
      </c>
      <c r="K30" s="65" t="n"/>
    </row>
    <row r="31" ht="15" customHeight="1">
      <c r="A31" s="60">
        <f>IF(B31="","",IFERROR(DATE(RIGHT(B31,4),MID(B31,4,2),LEFT(B31,2))+1,""))</f>
        <v/>
      </c>
      <c r="B31" s="56" t="n"/>
      <c r="C31" s="58">
        <f>IF(B31="","",IFERROR(INDEX('21 2026 ÜRETİM'!$F$2:$F$501,MATCH(B31,'21 2026 ÜRETİM'!$A$2:$A$501,0)),""))</f>
        <v/>
      </c>
      <c r="D31" s="56" t="n"/>
      <c r="E31" s="58">
        <f>IF(D31="","",D31*0.5)</f>
        <v/>
      </c>
      <c r="F31" s="56" t="n"/>
      <c r="G31" s="58">
        <f>IF(F31="","",F31*2.5)</f>
        <v/>
      </c>
      <c r="H31" s="56" t="n"/>
      <c r="I31" s="58">
        <f>IF(C31="","",C31-E31-G31-IF(H31="",0,H31))</f>
        <v/>
      </c>
      <c r="J31" s="56">
        <f>IF(C31="","",IF(ABS(I31)&lt;0.001,"KAPALI","KONTROL"))</f>
        <v/>
      </c>
      <c r="K31" s="65" t="n"/>
    </row>
    <row r="32" ht="15" customHeight="1">
      <c r="A32" s="60">
        <f>IF(B32="","",IFERROR(DATE(RIGHT(B32,4),MID(B32,4,2),LEFT(B32,2))+1,""))</f>
        <v/>
      </c>
      <c r="B32" s="56" t="n"/>
      <c r="C32" s="58">
        <f>IF(B32="","",IFERROR(INDEX('21 2026 ÜRETİM'!$F$2:$F$501,MATCH(B32,'21 2026 ÜRETİM'!$A$2:$A$501,0)),""))</f>
        <v/>
      </c>
      <c r="D32" s="56" t="n"/>
      <c r="E32" s="58">
        <f>IF(D32="","",D32*0.5)</f>
        <v/>
      </c>
      <c r="F32" s="56" t="n"/>
      <c r="G32" s="58">
        <f>IF(F32="","",F32*2.5)</f>
        <v/>
      </c>
      <c r="H32" s="56" t="n"/>
      <c r="I32" s="58">
        <f>IF(C32="","",C32-E32-G32-IF(H32="",0,H32))</f>
        <v/>
      </c>
      <c r="J32" s="56">
        <f>IF(C32="","",IF(ABS(I32)&lt;0.001,"KAPALI","KONTROL"))</f>
        <v/>
      </c>
      <c r="K32" s="65" t="n"/>
    </row>
    <row r="33" ht="15" customHeight="1">
      <c r="A33" s="60">
        <f>IF(B33="","",IFERROR(DATE(RIGHT(B33,4),MID(B33,4,2),LEFT(B33,2))+1,""))</f>
        <v/>
      </c>
      <c r="B33" s="56" t="n"/>
      <c r="C33" s="58">
        <f>IF(B33="","",IFERROR(INDEX('21 2026 ÜRETİM'!$F$2:$F$501,MATCH(B33,'21 2026 ÜRETİM'!$A$2:$A$501,0)),""))</f>
        <v/>
      </c>
      <c r="D33" s="56" t="n"/>
      <c r="E33" s="58">
        <f>IF(D33="","",D33*0.5)</f>
        <v/>
      </c>
      <c r="F33" s="56" t="n"/>
      <c r="G33" s="58">
        <f>IF(F33="","",F33*2.5)</f>
        <v/>
      </c>
      <c r="H33" s="56" t="n"/>
      <c r="I33" s="58">
        <f>IF(C33="","",C33-E33-G33-IF(H33="",0,H33))</f>
        <v/>
      </c>
      <c r="J33" s="56">
        <f>IF(C33="","",IF(ABS(I33)&lt;0.001,"KAPALI","KONTROL"))</f>
        <v/>
      </c>
      <c r="K33" s="65" t="n"/>
    </row>
    <row r="34" ht="15" customHeight="1">
      <c r="A34" s="60">
        <f>IF(B34="","",IFERROR(DATE(RIGHT(B34,4),MID(B34,4,2),LEFT(B34,2))+1,""))</f>
        <v/>
      </c>
      <c r="B34" s="56" t="n"/>
      <c r="C34" s="58">
        <f>IF(B34="","",IFERROR(INDEX('21 2026 ÜRETİM'!$F$2:$F$501,MATCH(B34,'21 2026 ÜRETİM'!$A$2:$A$501,0)),""))</f>
        <v/>
      </c>
      <c r="D34" s="56" t="n"/>
      <c r="E34" s="58">
        <f>IF(D34="","",D34*0.5)</f>
        <v/>
      </c>
      <c r="F34" s="56" t="n"/>
      <c r="G34" s="58">
        <f>IF(F34="","",F34*2.5)</f>
        <v/>
      </c>
      <c r="H34" s="56" t="n"/>
      <c r="I34" s="58">
        <f>IF(C34="","",C34-E34-G34-IF(H34="",0,H34))</f>
        <v/>
      </c>
      <c r="J34" s="56">
        <f>IF(C34="","",IF(ABS(I34)&lt;0.001,"KAPALI","KONTROL"))</f>
        <v/>
      </c>
      <c r="K34" s="65" t="n"/>
    </row>
    <row r="35" ht="15" customHeight="1">
      <c r="A35" s="60">
        <f>IF(B35="","",IFERROR(DATE(RIGHT(B35,4),MID(B35,4,2),LEFT(B35,2))+1,""))</f>
        <v/>
      </c>
      <c r="B35" s="56" t="n"/>
      <c r="C35" s="58">
        <f>IF(B35="","",IFERROR(INDEX('21 2026 ÜRETİM'!$F$2:$F$501,MATCH(B35,'21 2026 ÜRETİM'!$A$2:$A$501,0)),""))</f>
        <v/>
      </c>
      <c r="D35" s="56" t="n"/>
      <c r="E35" s="58">
        <f>IF(D35="","",D35*0.5)</f>
        <v/>
      </c>
      <c r="F35" s="56" t="n"/>
      <c r="G35" s="58">
        <f>IF(F35="","",F35*2.5)</f>
        <v/>
      </c>
      <c r="H35" s="56" t="n"/>
      <c r="I35" s="58">
        <f>IF(C35="","",C35-E35-G35-IF(H35="",0,H35))</f>
        <v/>
      </c>
      <c r="J35" s="56">
        <f>IF(C35="","",IF(ABS(I35)&lt;0.001,"KAPALI","KONTROL"))</f>
        <v/>
      </c>
      <c r="K35" s="65" t="n"/>
    </row>
    <row r="36" ht="15" customHeight="1">
      <c r="A36" s="60">
        <f>IF(B36="","",IFERROR(DATE(RIGHT(B36,4),MID(B36,4,2),LEFT(B36,2))+1,""))</f>
        <v/>
      </c>
      <c r="B36" s="56" t="n"/>
      <c r="C36" s="58">
        <f>IF(B36="","",IFERROR(INDEX('21 2026 ÜRETİM'!$F$2:$F$501,MATCH(B36,'21 2026 ÜRETİM'!$A$2:$A$501,0)),""))</f>
        <v/>
      </c>
      <c r="D36" s="56" t="n"/>
      <c r="E36" s="58">
        <f>IF(D36="","",D36*0.5)</f>
        <v/>
      </c>
      <c r="F36" s="56" t="n"/>
      <c r="G36" s="58">
        <f>IF(F36="","",F36*2.5)</f>
        <v/>
      </c>
      <c r="H36" s="56" t="n"/>
      <c r="I36" s="58">
        <f>IF(C36="","",C36-E36-G36-IF(H36="",0,H36))</f>
        <v/>
      </c>
      <c r="J36" s="56">
        <f>IF(C36="","",IF(ABS(I36)&lt;0.001,"KAPALI","KONTROL"))</f>
        <v/>
      </c>
      <c r="K36" s="65" t="n"/>
    </row>
    <row r="37" ht="15" customHeight="1">
      <c r="A37" s="60">
        <f>IF(B37="","",IFERROR(DATE(RIGHT(B37,4),MID(B37,4,2),LEFT(B37,2))+1,""))</f>
        <v/>
      </c>
      <c r="B37" s="56" t="n"/>
      <c r="C37" s="58">
        <f>IF(B37="","",IFERROR(INDEX('21 2026 ÜRETİM'!$F$2:$F$501,MATCH(B37,'21 2026 ÜRETİM'!$A$2:$A$501,0)),""))</f>
        <v/>
      </c>
      <c r="D37" s="56" t="n"/>
      <c r="E37" s="58">
        <f>IF(D37="","",D37*0.5)</f>
        <v/>
      </c>
      <c r="F37" s="56" t="n"/>
      <c r="G37" s="58">
        <f>IF(F37="","",F37*2.5)</f>
        <v/>
      </c>
      <c r="H37" s="56" t="n"/>
      <c r="I37" s="58">
        <f>IF(C37="","",C37-E37-G37-IF(H37="",0,H37))</f>
        <v/>
      </c>
      <c r="J37" s="56">
        <f>IF(C37="","",IF(ABS(I37)&lt;0.001,"KAPALI","KONTROL"))</f>
        <v/>
      </c>
      <c r="K37" s="65" t="n"/>
    </row>
    <row r="38" ht="15" customHeight="1">
      <c r="A38" s="60">
        <f>IF(B38="","",IFERROR(DATE(RIGHT(B38,4),MID(B38,4,2),LEFT(B38,2))+1,""))</f>
        <v/>
      </c>
      <c r="B38" s="56" t="n"/>
      <c r="C38" s="58">
        <f>IF(B38="","",IFERROR(INDEX('21 2026 ÜRETİM'!$F$2:$F$501,MATCH(B38,'21 2026 ÜRETİM'!$A$2:$A$501,0)),""))</f>
        <v/>
      </c>
      <c r="D38" s="56" t="n"/>
      <c r="E38" s="58">
        <f>IF(D38="","",D38*0.5)</f>
        <v/>
      </c>
      <c r="F38" s="56" t="n"/>
      <c r="G38" s="58">
        <f>IF(F38="","",F38*2.5)</f>
        <v/>
      </c>
      <c r="H38" s="56" t="n"/>
      <c r="I38" s="58">
        <f>IF(C38="","",C38-E38-G38-IF(H38="",0,H38))</f>
        <v/>
      </c>
      <c r="J38" s="56">
        <f>IF(C38="","",IF(ABS(I38)&lt;0.001,"KAPALI","KONTROL"))</f>
        <v/>
      </c>
      <c r="K38" s="65" t="n"/>
    </row>
    <row r="39" ht="15" customHeight="1">
      <c r="A39" s="60">
        <f>IF(B39="","",IFERROR(DATE(RIGHT(B39,4),MID(B39,4,2),LEFT(B39,2))+1,""))</f>
        <v/>
      </c>
      <c r="B39" s="56" t="n"/>
      <c r="C39" s="58">
        <f>IF(B39="","",IFERROR(INDEX('21 2026 ÜRETİM'!$F$2:$F$501,MATCH(B39,'21 2026 ÜRETİM'!$A$2:$A$501,0)),""))</f>
        <v/>
      </c>
      <c r="D39" s="56" t="n"/>
      <c r="E39" s="58">
        <f>IF(D39="","",D39*0.5)</f>
        <v/>
      </c>
      <c r="F39" s="56" t="n"/>
      <c r="G39" s="58">
        <f>IF(F39="","",F39*2.5)</f>
        <v/>
      </c>
      <c r="H39" s="56" t="n"/>
      <c r="I39" s="58">
        <f>IF(C39="","",C39-E39-G39-IF(H39="",0,H39))</f>
        <v/>
      </c>
      <c r="J39" s="56">
        <f>IF(C39="","",IF(ABS(I39)&lt;0.001,"KAPALI","KONTROL"))</f>
        <v/>
      </c>
      <c r="K39" s="65" t="n"/>
    </row>
    <row r="40" ht="15" customHeight="1">
      <c r="A40" s="60">
        <f>IF(B40="","",IFERROR(DATE(RIGHT(B40,4),MID(B40,4,2),LEFT(B40,2))+1,""))</f>
        <v/>
      </c>
      <c r="B40" s="56" t="n"/>
      <c r="C40" s="58">
        <f>IF(B40="","",IFERROR(INDEX('21 2026 ÜRETİM'!$F$2:$F$501,MATCH(B40,'21 2026 ÜRETİM'!$A$2:$A$501,0)),""))</f>
        <v/>
      </c>
      <c r="D40" s="56" t="n"/>
      <c r="E40" s="58">
        <f>IF(D40="","",D40*0.5)</f>
        <v/>
      </c>
      <c r="F40" s="56" t="n"/>
      <c r="G40" s="58">
        <f>IF(F40="","",F40*2.5)</f>
        <v/>
      </c>
      <c r="H40" s="56" t="n"/>
      <c r="I40" s="58">
        <f>IF(C40="","",C40-E40-G40-IF(H40="",0,H40))</f>
        <v/>
      </c>
      <c r="J40" s="56">
        <f>IF(C40="","",IF(ABS(I40)&lt;0.001,"KAPALI","KONTROL"))</f>
        <v/>
      </c>
      <c r="K40" s="65" t="n"/>
    </row>
    <row r="41" ht="15" customHeight="1">
      <c r="A41" s="60">
        <f>IF(B41="","",IFERROR(DATE(RIGHT(B41,4),MID(B41,4,2),LEFT(B41,2))+1,""))</f>
        <v/>
      </c>
      <c r="B41" s="56" t="n"/>
      <c r="C41" s="58">
        <f>IF(B41="","",IFERROR(INDEX('21 2026 ÜRETİM'!$F$2:$F$501,MATCH(B41,'21 2026 ÜRETİM'!$A$2:$A$501,0)),""))</f>
        <v/>
      </c>
      <c r="D41" s="56" t="n"/>
      <c r="E41" s="58">
        <f>IF(D41="","",D41*0.5)</f>
        <v/>
      </c>
      <c r="F41" s="56" t="n"/>
      <c r="G41" s="58">
        <f>IF(F41="","",F41*2.5)</f>
        <v/>
      </c>
      <c r="H41" s="56" t="n"/>
      <c r="I41" s="58">
        <f>IF(C41="","",C41-E41-G41-IF(H41="",0,H41))</f>
        <v/>
      </c>
      <c r="J41" s="56">
        <f>IF(C41="","",IF(ABS(I41)&lt;0.001,"KAPALI","KONTROL"))</f>
        <v/>
      </c>
      <c r="K41" s="65" t="n"/>
    </row>
    <row r="42" ht="15" customHeight="1">
      <c r="A42" s="60">
        <f>IF(B42="","",IFERROR(DATE(RIGHT(B42,4),MID(B42,4,2),LEFT(B42,2))+1,""))</f>
        <v/>
      </c>
      <c r="B42" s="56" t="n"/>
      <c r="C42" s="58">
        <f>IF(B42="","",IFERROR(INDEX('21 2026 ÜRETİM'!$F$2:$F$501,MATCH(B42,'21 2026 ÜRETİM'!$A$2:$A$501,0)),""))</f>
        <v/>
      </c>
      <c r="D42" s="56" t="n"/>
      <c r="E42" s="58">
        <f>IF(D42="","",D42*0.5)</f>
        <v/>
      </c>
      <c r="F42" s="56" t="n"/>
      <c r="G42" s="58">
        <f>IF(F42="","",F42*2.5)</f>
        <v/>
      </c>
      <c r="H42" s="56" t="n"/>
      <c r="I42" s="58">
        <f>IF(C42="","",C42-E42-G42-IF(H42="",0,H42))</f>
        <v/>
      </c>
      <c r="J42" s="56">
        <f>IF(C42="","",IF(ABS(I42)&lt;0.001,"KAPALI","KONTROL"))</f>
        <v/>
      </c>
      <c r="K42" s="65" t="n"/>
    </row>
    <row r="43" ht="15" customHeight="1">
      <c r="A43" s="60">
        <f>IF(B43="","",IFERROR(DATE(RIGHT(B43,4),MID(B43,4,2),LEFT(B43,2))+1,""))</f>
        <v/>
      </c>
      <c r="B43" s="56" t="n"/>
      <c r="C43" s="58">
        <f>IF(B43="","",IFERROR(INDEX('21 2026 ÜRETİM'!$F$2:$F$501,MATCH(B43,'21 2026 ÜRETİM'!$A$2:$A$501,0)),""))</f>
        <v/>
      </c>
      <c r="D43" s="56" t="n"/>
      <c r="E43" s="58">
        <f>IF(D43="","",D43*0.5)</f>
        <v/>
      </c>
      <c r="F43" s="56" t="n"/>
      <c r="G43" s="58">
        <f>IF(F43="","",F43*2.5)</f>
        <v/>
      </c>
      <c r="H43" s="56" t="n"/>
      <c r="I43" s="58">
        <f>IF(C43="","",C43-E43-G43-IF(H43="",0,H43))</f>
        <v/>
      </c>
      <c r="J43" s="56">
        <f>IF(C43="","",IF(ABS(I43)&lt;0.001,"KAPALI","KONTROL"))</f>
        <v/>
      </c>
      <c r="K43" s="65" t="n"/>
    </row>
    <row r="44" ht="15" customHeight="1">
      <c r="A44" s="60">
        <f>IF(B44="","",IFERROR(DATE(RIGHT(B44,4),MID(B44,4,2),LEFT(B44,2))+1,""))</f>
        <v/>
      </c>
      <c r="B44" s="56" t="n"/>
      <c r="C44" s="58">
        <f>IF(B44="","",IFERROR(INDEX('21 2026 ÜRETİM'!$F$2:$F$501,MATCH(B44,'21 2026 ÜRETİM'!$A$2:$A$501,0)),""))</f>
        <v/>
      </c>
      <c r="D44" s="56" t="n"/>
      <c r="E44" s="58">
        <f>IF(D44="","",D44*0.5)</f>
        <v/>
      </c>
      <c r="F44" s="56" t="n"/>
      <c r="G44" s="58">
        <f>IF(F44="","",F44*2.5)</f>
        <v/>
      </c>
      <c r="H44" s="56" t="n"/>
      <c r="I44" s="58">
        <f>IF(C44="","",C44-E44-G44-IF(H44="",0,H44))</f>
        <v/>
      </c>
      <c r="J44" s="56">
        <f>IF(C44="","",IF(ABS(I44)&lt;0.001,"KAPALI","KONTROL"))</f>
        <v/>
      </c>
      <c r="K44" s="65" t="n"/>
    </row>
    <row r="45" ht="15" customHeight="1">
      <c r="A45" s="60">
        <f>IF(B45="","",IFERROR(DATE(RIGHT(B45,4),MID(B45,4,2),LEFT(B45,2))+1,""))</f>
        <v/>
      </c>
      <c r="B45" s="56" t="n"/>
      <c r="C45" s="58">
        <f>IF(B45="","",IFERROR(INDEX('21 2026 ÜRETİM'!$F$2:$F$501,MATCH(B45,'21 2026 ÜRETİM'!$A$2:$A$501,0)),""))</f>
        <v/>
      </c>
      <c r="D45" s="56" t="n"/>
      <c r="E45" s="58">
        <f>IF(D45="","",D45*0.5)</f>
        <v/>
      </c>
      <c r="F45" s="56" t="n"/>
      <c r="G45" s="58">
        <f>IF(F45="","",F45*2.5)</f>
        <v/>
      </c>
      <c r="H45" s="56" t="n"/>
      <c r="I45" s="58">
        <f>IF(C45="","",C45-E45-G45-IF(H45="",0,H45))</f>
        <v/>
      </c>
      <c r="J45" s="56">
        <f>IF(C45="","",IF(ABS(I45)&lt;0.001,"KAPALI","KONTROL"))</f>
        <v/>
      </c>
      <c r="K45" s="65" t="n"/>
    </row>
    <row r="46" ht="15" customHeight="1">
      <c r="A46" s="60">
        <f>IF(B46="","",IFERROR(DATE(RIGHT(B46,4),MID(B46,4,2),LEFT(B46,2))+1,""))</f>
        <v/>
      </c>
      <c r="B46" s="56" t="n"/>
      <c r="C46" s="58">
        <f>IF(B46="","",IFERROR(INDEX('21 2026 ÜRETİM'!$F$2:$F$501,MATCH(B46,'21 2026 ÜRETİM'!$A$2:$A$501,0)),""))</f>
        <v/>
      </c>
      <c r="D46" s="56" t="n"/>
      <c r="E46" s="58">
        <f>IF(D46="","",D46*0.5)</f>
        <v/>
      </c>
      <c r="F46" s="56" t="n"/>
      <c r="G46" s="58">
        <f>IF(F46="","",F46*2.5)</f>
        <v/>
      </c>
      <c r="H46" s="56" t="n"/>
      <c r="I46" s="58">
        <f>IF(C46="","",C46-E46-G46-IF(H46="",0,H46))</f>
        <v/>
      </c>
      <c r="J46" s="56">
        <f>IF(C46="","",IF(ABS(I46)&lt;0.001,"KAPALI","KONTROL"))</f>
        <v/>
      </c>
      <c r="K46" s="65" t="n"/>
    </row>
    <row r="47" ht="15" customHeight="1">
      <c r="A47" s="60">
        <f>IF(B47="","",IFERROR(DATE(RIGHT(B47,4),MID(B47,4,2),LEFT(B47,2))+1,""))</f>
        <v/>
      </c>
      <c r="B47" s="56" t="n"/>
      <c r="C47" s="58">
        <f>IF(B47="","",IFERROR(INDEX('21 2026 ÜRETİM'!$F$2:$F$501,MATCH(B47,'21 2026 ÜRETİM'!$A$2:$A$501,0)),""))</f>
        <v/>
      </c>
      <c r="D47" s="56" t="n"/>
      <c r="E47" s="58">
        <f>IF(D47="","",D47*0.5)</f>
        <v/>
      </c>
      <c r="F47" s="56" t="n"/>
      <c r="G47" s="58">
        <f>IF(F47="","",F47*2.5)</f>
        <v/>
      </c>
      <c r="H47" s="56" t="n"/>
      <c r="I47" s="58">
        <f>IF(C47="","",C47-E47-G47-IF(H47="",0,H47))</f>
        <v/>
      </c>
      <c r="J47" s="56">
        <f>IF(C47="","",IF(ABS(I47)&lt;0.001,"KAPALI","KONTROL"))</f>
        <v/>
      </c>
      <c r="K47" s="65" t="n"/>
    </row>
    <row r="48" ht="15" customHeight="1">
      <c r="A48" s="60">
        <f>IF(B48="","",IFERROR(DATE(RIGHT(B48,4),MID(B48,4,2),LEFT(B48,2))+1,""))</f>
        <v/>
      </c>
      <c r="B48" s="56" t="n"/>
      <c r="C48" s="58">
        <f>IF(B48="","",IFERROR(INDEX('21 2026 ÜRETİM'!$F$2:$F$501,MATCH(B48,'21 2026 ÜRETİM'!$A$2:$A$501,0)),""))</f>
        <v/>
      </c>
      <c r="D48" s="56" t="n"/>
      <c r="E48" s="58">
        <f>IF(D48="","",D48*0.5)</f>
        <v/>
      </c>
      <c r="F48" s="56" t="n"/>
      <c r="G48" s="58">
        <f>IF(F48="","",F48*2.5)</f>
        <v/>
      </c>
      <c r="H48" s="56" t="n"/>
      <c r="I48" s="58">
        <f>IF(C48="","",C48-E48-G48-IF(H48="",0,H48))</f>
        <v/>
      </c>
      <c r="J48" s="56">
        <f>IF(C48="","",IF(ABS(I48)&lt;0.001,"KAPALI","KONTROL"))</f>
        <v/>
      </c>
      <c r="K48" s="65" t="n"/>
    </row>
    <row r="49" ht="15" customHeight="1">
      <c r="A49" s="60">
        <f>IF(B49="","",IFERROR(DATE(RIGHT(B49,4),MID(B49,4,2),LEFT(B49,2))+1,""))</f>
        <v/>
      </c>
      <c r="B49" s="56" t="n"/>
      <c r="C49" s="58">
        <f>IF(B49="","",IFERROR(INDEX('21 2026 ÜRETİM'!$F$2:$F$501,MATCH(B49,'21 2026 ÜRETİM'!$A$2:$A$501,0)),""))</f>
        <v/>
      </c>
      <c r="D49" s="56" t="n"/>
      <c r="E49" s="58">
        <f>IF(D49="","",D49*0.5)</f>
        <v/>
      </c>
      <c r="F49" s="56" t="n"/>
      <c r="G49" s="58">
        <f>IF(F49="","",F49*2.5)</f>
        <v/>
      </c>
      <c r="H49" s="56" t="n"/>
      <c r="I49" s="58">
        <f>IF(C49="","",C49-E49-G49-IF(H49="",0,H49))</f>
        <v/>
      </c>
      <c r="J49" s="56">
        <f>IF(C49="","",IF(ABS(I49)&lt;0.001,"KAPALI","KONTROL"))</f>
        <v/>
      </c>
      <c r="K49" s="65" t="n"/>
    </row>
    <row r="50" ht="15" customHeight="1">
      <c r="A50" s="60">
        <f>IF(B50="","",IFERROR(DATE(RIGHT(B50,4),MID(B50,4,2),LEFT(B50,2))+1,""))</f>
        <v/>
      </c>
      <c r="B50" s="56" t="n"/>
      <c r="C50" s="58">
        <f>IF(B50="","",IFERROR(INDEX('21 2026 ÜRETİM'!$F$2:$F$501,MATCH(B50,'21 2026 ÜRETİM'!$A$2:$A$501,0)),""))</f>
        <v/>
      </c>
      <c r="D50" s="56" t="n"/>
      <c r="E50" s="58">
        <f>IF(D50="","",D50*0.5)</f>
        <v/>
      </c>
      <c r="F50" s="56" t="n"/>
      <c r="G50" s="58">
        <f>IF(F50="","",F50*2.5)</f>
        <v/>
      </c>
      <c r="H50" s="56" t="n"/>
      <c r="I50" s="58">
        <f>IF(C50="","",C50-E50-G50-IF(H50="",0,H50))</f>
        <v/>
      </c>
      <c r="J50" s="56">
        <f>IF(C50="","",IF(ABS(I50)&lt;0.001,"KAPALI","KONTROL"))</f>
        <v/>
      </c>
      <c r="K50" s="65" t="n"/>
    </row>
    <row r="51" ht="15" customHeight="1">
      <c r="A51" s="60">
        <f>IF(B51="","",IFERROR(DATE(RIGHT(B51,4),MID(B51,4,2),LEFT(B51,2))+1,""))</f>
        <v/>
      </c>
      <c r="B51" s="56" t="n"/>
      <c r="C51" s="58">
        <f>IF(B51="","",IFERROR(INDEX('21 2026 ÜRETİM'!$F$2:$F$501,MATCH(B51,'21 2026 ÜRETİM'!$A$2:$A$501,0)),""))</f>
        <v/>
      </c>
      <c r="D51" s="56" t="n"/>
      <c r="E51" s="58">
        <f>IF(D51="","",D51*0.5)</f>
        <v/>
      </c>
      <c r="F51" s="56" t="n"/>
      <c r="G51" s="58">
        <f>IF(F51="","",F51*2.5)</f>
        <v/>
      </c>
      <c r="H51" s="56" t="n"/>
      <c r="I51" s="58">
        <f>IF(C51="","",C51-E51-G51-IF(H51="",0,H51))</f>
        <v/>
      </c>
      <c r="J51" s="56">
        <f>IF(C51="","",IF(ABS(I51)&lt;0.001,"KAPALI","KONTROL"))</f>
        <v/>
      </c>
      <c r="K51" s="65" t="n"/>
    </row>
    <row r="52" ht="15" customHeight="1">
      <c r="A52" s="60">
        <f>IF(B52="","",IFERROR(DATE(RIGHT(B52,4),MID(B52,4,2),LEFT(B52,2))+1,""))</f>
        <v/>
      </c>
      <c r="B52" s="56" t="n"/>
      <c r="C52" s="58">
        <f>IF(B52="","",IFERROR(INDEX('21 2026 ÜRETİM'!$F$2:$F$501,MATCH(B52,'21 2026 ÜRETİM'!$A$2:$A$501,0)),""))</f>
        <v/>
      </c>
      <c r="D52" s="56" t="n"/>
      <c r="E52" s="58">
        <f>IF(D52="","",D52*0.5)</f>
        <v/>
      </c>
      <c r="F52" s="56" t="n"/>
      <c r="G52" s="58">
        <f>IF(F52="","",F52*2.5)</f>
        <v/>
      </c>
      <c r="H52" s="56" t="n"/>
      <c r="I52" s="58">
        <f>IF(C52="","",C52-E52-G52-IF(H52="",0,H52))</f>
        <v/>
      </c>
      <c r="J52" s="56">
        <f>IF(C52="","",IF(ABS(I52)&lt;0.001,"KAPALI","KONTROL"))</f>
        <v/>
      </c>
      <c r="K52" s="65" t="n"/>
    </row>
    <row r="53" ht="15" customHeight="1">
      <c r="A53" s="60">
        <f>IF(B53="","",IFERROR(DATE(RIGHT(B53,4),MID(B53,4,2),LEFT(B53,2))+1,""))</f>
        <v/>
      </c>
      <c r="B53" s="56" t="n"/>
      <c r="C53" s="58">
        <f>IF(B53="","",IFERROR(INDEX('21 2026 ÜRETİM'!$F$2:$F$501,MATCH(B53,'21 2026 ÜRETİM'!$A$2:$A$501,0)),""))</f>
        <v/>
      </c>
      <c r="D53" s="56" t="n"/>
      <c r="E53" s="58">
        <f>IF(D53="","",D53*0.5)</f>
        <v/>
      </c>
      <c r="F53" s="56" t="n"/>
      <c r="G53" s="58">
        <f>IF(F53="","",F53*2.5)</f>
        <v/>
      </c>
      <c r="H53" s="56" t="n"/>
      <c r="I53" s="58">
        <f>IF(C53="","",C53-E53-G53-IF(H53="",0,H53))</f>
        <v/>
      </c>
      <c r="J53" s="56">
        <f>IF(C53="","",IF(ABS(I53)&lt;0.001,"KAPALI","KONTROL"))</f>
        <v/>
      </c>
      <c r="K53" s="65" t="n"/>
    </row>
    <row r="54" ht="15" customHeight="1">
      <c r="A54" s="60">
        <f>IF(B54="","",IFERROR(DATE(RIGHT(B54,4),MID(B54,4,2),LEFT(B54,2))+1,""))</f>
        <v/>
      </c>
      <c r="B54" s="56" t="n"/>
      <c r="C54" s="58">
        <f>IF(B54="","",IFERROR(INDEX('21 2026 ÜRETİM'!$F$2:$F$501,MATCH(B54,'21 2026 ÜRETİM'!$A$2:$A$501,0)),""))</f>
        <v/>
      </c>
      <c r="D54" s="56" t="n"/>
      <c r="E54" s="58">
        <f>IF(D54="","",D54*0.5)</f>
        <v/>
      </c>
      <c r="F54" s="56" t="n"/>
      <c r="G54" s="58">
        <f>IF(F54="","",F54*2.5)</f>
        <v/>
      </c>
      <c r="H54" s="56" t="n"/>
      <c r="I54" s="58">
        <f>IF(C54="","",C54-E54-G54-IF(H54="",0,H54))</f>
        <v/>
      </c>
      <c r="J54" s="56">
        <f>IF(C54="","",IF(ABS(I54)&lt;0.001,"KAPALI","KONTROL"))</f>
        <v/>
      </c>
      <c r="K54" s="65" t="n"/>
    </row>
    <row r="55" ht="15" customHeight="1">
      <c r="A55" s="60">
        <f>IF(B55="","",IFERROR(DATE(RIGHT(B55,4),MID(B55,4,2),LEFT(B55,2))+1,""))</f>
        <v/>
      </c>
      <c r="B55" s="56" t="n"/>
      <c r="C55" s="58">
        <f>IF(B55="","",IFERROR(INDEX('21 2026 ÜRETİM'!$F$2:$F$501,MATCH(B55,'21 2026 ÜRETİM'!$A$2:$A$501,0)),""))</f>
        <v/>
      </c>
      <c r="D55" s="56" t="n"/>
      <c r="E55" s="58">
        <f>IF(D55="","",D55*0.5)</f>
        <v/>
      </c>
      <c r="F55" s="56" t="n"/>
      <c r="G55" s="58">
        <f>IF(F55="","",F55*2.5)</f>
        <v/>
      </c>
      <c r="H55" s="56" t="n"/>
      <c r="I55" s="58">
        <f>IF(C55="","",C55-E55-G55-IF(H55="",0,H55))</f>
        <v/>
      </c>
      <c r="J55" s="56">
        <f>IF(C55="","",IF(ABS(I55)&lt;0.001,"KAPALI","KONTROL"))</f>
        <v/>
      </c>
      <c r="K55" s="65" t="n"/>
    </row>
    <row r="56" ht="15" customHeight="1">
      <c r="A56" s="60">
        <f>IF(B56="","",IFERROR(DATE(RIGHT(B56,4),MID(B56,4,2),LEFT(B56,2))+1,""))</f>
        <v/>
      </c>
      <c r="B56" s="56" t="n"/>
      <c r="C56" s="58">
        <f>IF(B56="","",IFERROR(INDEX('21 2026 ÜRETİM'!$F$2:$F$501,MATCH(B56,'21 2026 ÜRETİM'!$A$2:$A$501,0)),""))</f>
        <v/>
      </c>
      <c r="D56" s="56" t="n"/>
      <c r="E56" s="58">
        <f>IF(D56="","",D56*0.5)</f>
        <v/>
      </c>
      <c r="F56" s="56" t="n"/>
      <c r="G56" s="58">
        <f>IF(F56="","",F56*2.5)</f>
        <v/>
      </c>
      <c r="H56" s="56" t="n"/>
      <c r="I56" s="58">
        <f>IF(C56="","",C56-E56-G56-IF(H56="",0,H56))</f>
        <v/>
      </c>
      <c r="J56" s="56">
        <f>IF(C56="","",IF(ABS(I56)&lt;0.001,"KAPALI","KONTROL"))</f>
        <v/>
      </c>
      <c r="K56" s="65" t="n"/>
    </row>
    <row r="57" ht="15" customHeight="1">
      <c r="A57" s="60">
        <f>IF(B57="","",IFERROR(DATE(RIGHT(B57,4),MID(B57,4,2),LEFT(B57,2))+1,""))</f>
        <v/>
      </c>
      <c r="B57" s="56" t="n"/>
      <c r="C57" s="58">
        <f>IF(B57="","",IFERROR(INDEX('21 2026 ÜRETİM'!$F$2:$F$501,MATCH(B57,'21 2026 ÜRETİM'!$A$2:$A$501,0)),""))</f>
        <v/>
      </c>
      <c r="D57" s="56" t="n"/>
      <c r="E57" s="58">
        <f>IF(D57="","",D57*0.5)</f>
        <v/>
      </c>
      <c r="F57" s="56" t="n"/>
      <c r="G57" s="58">
        <f>IF(F57="","",F57*2.5)</f>
        <v/>
      </c>
      <c r="H57" s="56" t="n"/>
      <c r="I57" s="58">
        <f>IF(C57="","",C57-E57-G57-IF(H57="",0,H57))</f>
        <v/>
      </c>
      <c r="J57" s="56">
        <f>IF(C57="","",IF(ABS(I57)&lt;0.001,"KAPALI","KONTROL"))</f>
        <v/>
      </c>
      <c r="K57" s="65" t="n"/>
    </row>
    <row r="58" ht="15" customHeight="1">
      <c r="A58" s="60">
        <f>IF(B58="","",IFERROR(DATE(RIGHT(B58,4),MID(B58,4,2),LEFT(B58,2))+1,""))</f>
        <v/>
      </c>
      <c r="B58" s="56" t="n"/>
      <c r="C58" s="58">
        <f>IF(B58="","",IFERROR(INDEX('21 2026 ÜRETİM'!$F$2:$F$501,MATCH(B58,'21 2026 ÜRETİM'!$A$2:$A$501,0)),""))</f>
        <v/>
      </c>
      <c r="D58" s="56" t="n"/>
      <c r="E58" s="58">
        <f>IF(D58="","",D58*0.5)</f>
        <v/>
      </c>
      <c r="F58" s="56" t="n"/>
      <c r="G58" s="58">
        <f>IF(F58="","",F58*2.5)</f>
        <v/>
      </c>
      <c r="H58" s="56" t="n"/>
      <c r="I58" s="58">
        <f>IF(C58="","",C58-E58-G58-IF(H58="",0,H58))</f>
        <v/>
      </c>
      <c r="J58" s="56">
        <f>IF(C58="","",IF(ABS(I58)&lt;0.001,"KAPALI","KONTROL"))</f>
        <v/>
      </c>
      <c r="K58" s="65" t="n"/>
    </row>
    <row r="59" ht="15" customHeight="1">
      <c r="A59" s="60">
        <f>IF(B59="","",IFERROR(DATE(RIGHT(B59,4),MID(B59,4,2),LEFT(B59,2))+1,""))</f>
        <v/>
      </c>
      <c r="B59" s="56" t="n"/>
      <c r="C59" s="58">
        <f>IF(B59="","",IFERROR(INDEX('21 2026 ÜRETİM'!$F$2:$F$501,MATCH(B59,'21 2026 ÜRETİM'!$A$2:$A$501,0)),""))</f>
        <v/>
      </c>
      <c r="D59" s="56" t="n"/>
      <c r="E59" s="58">
        <f>IF(D59="","",D59*0.5)</f>
        <v/>
      </c>
      <c r="F59" s="56" t="n"/>
      <c r="G59" s="58">
        <f>IF(F59="","",F59*2.5)</f>
        <v/>
      </c>
      <c r="H59" s="56" t="n"/>
      <c r="I59" s="58">
        <f>IF(C59="","",C59-E59-G59-IF(H59="",0,H59))</f>
        <v/>
      </c>
      <c r="J59" s="56">
        <f>IF(C59="","",IF(ABS(I59)&lt;0.001,"KAPALI","KONTROL"))</f>
        <v/>
      </c>
      <c r="K59" s="65" t="n"/>
    </row>
    <row r="60" ht="15" customHeight="1">
      <c r="A60" s="60">
        <f>IF(B60="","",IFERROR(DATE(RIGHT(B60,4),MID(B60,4,2),LEFT(B60,2))+1,""))</f>
        <v/>
      </c>
      <c r="B60" s="56" t="n"/>
      <c r="C60" s="58">
        <f>IF(B60="","",IFERROR(INDEX('21 2026 ÜRETİM'!$F$2:$F$501,MATCH(B60,'21 2026 ÜRETİM'!$A$2:$A$501,0)),""))</f>
        <v/>
      </c>
      <c r="D60" s="56" t="n"/>
      <c r="E60" s="58">
        <f>IF(D60="","",D60*0.5)</f>
        <v/>
      </c>
      <c r="F60" s="56" t="n"/>
      <c r="G60" s="58">
        <f>IF(F60="","",F60*2.5)</f>
        <v/>
      </c>
      <c r="H60" s="56" t="n"/>
      <c r="I60" s="58">
        <f>IF(C60="","",C60-E60-G60-IF(H60="",0,H60))</f>
        <v/>
      </c>
      <c r="J60" s="56">
        <f>IF(C60="","",IF(ABS(I60)&lt;0.001,"KAPALI","KONTROL"))</f>
        <v/>
      </c>
      <c r="K60" s="65" t="n"/>
    </row>
    <row r="61" ht="15" customHeight="1">
      <c r="A61" s="60">
        <f>IF(B61="","",IFERROR(DATE(RIGHT(B61,4),MID(B61,4,2),LEFT(B61,2))+1,""))</f>
        <v/>
      </c>
      <c r="B61" s="56" t="n"/>
      <c r="C61" s="58">
        <f>IF(B61="","",IFERROR(INDEX('21 2026 ÜRETİM'!$F$2:$F$501,MATCH(B61,'21 2026 ÜRETİM'!$A$2:$A$501,0)),""))</f>
        <v/>
      </c>
      <c r="D61" s="56" t="n"/>
      <c r="E61" s="58">
        <f>IF(D61="","",D61*0.5)</f>
        <v/>
      </c>
      <c r="F61" s="56" t="n"/>
      <c r="G61" s="58">
        <f>IF(F61="","",F61*2.5)</f>
        <v/>
      </c>
      <c r="H61" s="56" t="n"/>
      <c r="I61" s="58">
        <f>IF(C61="","",C61-E61-G61-IF(H61="",0,H61))</f>
        <v/>
      </c>
      <c r="J61" s="56">
        <f>IF(C61="","",IF(ABS(I61)&lt;0.001,"KAPALI","KONTROL"))</f>
        <v/>
      </c>
      <c r="K61" s="65" t="n"/>
    </row>
    <row r="62" ht="15" customHeight="1">
      <c r="A62" s="60">
        <f>IF(B62="","",IFERROR(DATE(RIGHT(B62,4),MID(B62,4,2),LEFT(B62,2))+1,""))</f>
        <v/>
      </c>
      <c r="B62" s="56" t="n"/>
      <c r="C62" s="58">
        <f>IF(B62="","",IFERROR(INDEX('21 2026 ÜRETİM'!$F$2:$F$501,MATCH(B62,'21 2026 ÜRETİM'!$A$2:$A$501,0)),""))</f>
        <v/>
      </c>
      <c r="D62" s="56" t="n"/>
      <c r="E62" s="58">
        <f>IF(D62="","",D62*0.5)</f>
        <v/>
      </c>
      <c r="F62" s="56" t="n"/>
      <c r="G62" s="58">
        <f>IF(F62="","",F62*2.5)</f>
        <v/>
      </c>
      <c r="H62" s="56" t="n"/>
      <c r="I62" s="58">
        <f>IF(C62="","",C62-E62-G62-IF(H62="",0,H62))</f>
        <v/>
      </c>
      <c r="J62" s="56">
        <f>IF(C62="","",IF(ABS(I62)&lt;0.001,"KAPALI","KONTROL"))</f>
        <v/>
      </c>
      <c r="K62" s="65" t="n"/>
    </row>
    <row r="63" ht="15" customHeight="1">
      <c r="A63" s="60">
        <f>IF(B63="","",IFERROR(DATE(RIGHT(B63,4),MID(B63,4,2),LEFT(B63,2))+1,""))</f>
        <v/>
      </c>
      <c r="B63" s="56" t="n"/>
      <c r="C63" s="58">
        <f>IF(B63="","",IFERROR(INDEX('21 2026 ÜRETİM'!$F$2:$F$501,MATCH(B63,'21 2026 ÜRETİM'!$A$2:$A$501,0)),""))</f>
        <v/>
      </c>
      <c r="D63" s="56" t="n"/>
      <c r="E63" s="58">
        <f>IF(D63="","",D63*0.5)</f>
        <v/>
      </c>
      <c r="F63" s="56" t="n"/>
      <c r="G63" s="58">
        <f>IF(F63="","",F63*2.5)</f>
        <v/>
      </c>
      <c r="H63" s="56" t="n"/>
      <c r="I63" s="58">
        <f>IF(C63="","",C63-E63-G63-IF(H63="",0,H63))</f>
        <v/>
      </c>
      <c r="J63" s="56">
        <f>IF(C63="","",IF(ABS(I63)&lt;0.001,"KAPALI","KONTROL"))</f>
        <v/>
      </c>
      <c r="K63" s="65" t="n"/>
    </row>
    <row r="64" ht="15" customHeight="1">
      <c r="A64" s="60">
        <f>IF(B64="","",IFERROR(DATE(RIGHT(B64,4),MID(B64,4,2),LEFT(B64,2))+1,""))</f>
        <v/>
      </c>
      <c r="B64" s="56" t="n"/>
      <c r="C64" s="58">
        <f>IF(B64="","",IFERROR(INDEX('21 2026 ÜRETİM'!$F$2:$F$501,MATCH(B64,'21 2026 ÜRETİM'!$A$2:$A$501,0)),""))</f>
        <v/>
      </c>
      <c r="D64" s="56" t="n"/>
      <c r="E64" s="58">
        <f>IF(D64="","",D64*0.5)</f>
        <v/>
      </c>
      <c r="F64" s="56" t="n"/>
      <c r="G64" s="58">
        <f>IF(F64="","",F64*2.5)</f>
        <v/>
      </c>
      <c r="H64" s="56" t="n"/>
      <c r="I64" s="58">
        <f>IF(C64="","",C64-E64-G64-IF(H64="",0,H64))</f>
        <v/>
      </c>
      <c r="J64" s="56">
        <f>IF(C64="","",IF(ABS(I64)&lt;0.001,"KAPALI","KONTROL"))</f>
        <v/>
      </c>
      <c r="K64" s="65" t="n"/>
    </row>
    <row r="65" ht="15" customHeight="1">
      <c r="A65" s="60">
        <f>IF(B65="","",IFERROR(DATE(RIGHT(B65,4),MID(B65,4,2),LEFT(B65,2))+1,""))</f>
        <v/>
      </c>
      <c r="B65" s="56" t="n"/>
      <c r="C65" s="58">
        <f>IF(B65="","",IFERROR(INDEX('21 2026 ÜRETİM'!$F$2:$F$501,MATCH(B65,'21 2026 ÜRETİM'!$A$2:$A$501,0)),""))</f>
        <v/>
      </c>
      <c r="D65" s="56" t="n"/>
      <c r="E65" s="58">
        <f>IF(D65="","",D65*0.5)</f>
        <v/>
      </c>
      <c r="F65" s="56" t="n"/>
      <c r="G65" s="58">
        <f>IF(F65="","",F65*2.5)</f>
        <v/>
      </c>
      <c r="H65" s="56" t="n"/>
      <c r="I65" s="58">
        <f>IF(C65="","",C65-E65-G65-IF(H65="",0,H65))</f>
        <v/>
      </c>
      <c r="J65" s="56">
        <f>IF(C65="","",IF(ABS(I65)&lt;0.001,"KAPALI","KONTROL"))</f>
        <v/>
      </c>
      <c r="K65" s="65" t="n"/>
    </row>
    <row r="66" ht="15" customHeight="1">
      <c r="A66" s="60">
        <f>IF(B66="","",IFERROR(DATE(RIGHT(B66,4),MID(B66,4,2),LEFT(B66,2))+1,""))</f>
        <v/>
      </c>
      <c r="B66" s="56" t="n"/>
      <c r="C66" s="58">
        <f>IF(B66="","",IFERROR(INDEX('21 2026 ÜRETİM'!$F$2:$F$501,MATCH(B66,'21 2026 ÜRETİM'!$A$2:$A$501,0)),""))</f>
        <v/>
      </c>
      <c r="D66" s="56" t="n"/>
      <c r="E66" s="58">
        <f>IF(D66="","",D66*0.5)</f>
        <v/>
      </c>
      <c r="F66" s="56" t="n"/>
      <c r="G66" s="58">
        <f>IF(F66="","",F66*2.5)</f>
        <v/>
      </c>
      <c r="H66" s="56" t="n"/>
      <c r="I66" s="58">
        <f>IF(C66="","",C66-E66-G66-IF(H66="",0,H66))</f>
        <v/>
      </c>
      <c r="J66" s="56">
        <f>IF(C66="","",IF(ABS(I66)&lt;0.001,"KAPALI","KONTROL"))</f>
        <v/>
      </c>
      <c r="K66" s="65" t="n"/>
    </row>
    <row r="67" ht="15" customHeight="1">
      <c r="A67" s="60">
        <f>IF(B67="","",IFERROR(DATE(RIGHT(B67,4),MID(B67,4,2),LEFT(B67,2))+1,""))</f>
        <v/>
      </c>
      <c r="B67" s="56" t="n"/>
      <c r="C67" s="58">
        <f>IF(B67="","",IFERROR(INDEX('21 2026 ÜRETİM'!$F$2:$F$501,MATCH(B67,'21 2026 ÜRETİM'!$A$2:$A$501,0)),""))</f>
        <v/>
      </c>
      <c r="D67" s="56" t="n"/>
      <c r="E67" s="58">
        <f>IF(D67="","",D67*0.5)</f>
        <v/>
      </c>
      <c r="F67" s="56" t="n"/>
      <c r="G67" s="58">
        <f>IF(F67="","",F67*2.5)</f>
        <v/>
      </c>
      <c r="H67" s="56" t="n"/>
      <c r="I67" s="58">
        <f>IF(C67="","",C67-E67-G67-IF(H67="",0,H67))</f>
        <v/>
      </c>
      <c r="J67" s="56">
        <f>IF(C67="","",IF(ABS(I67)&lt;0.001,"KAPALI","KONTROL"))</f>
        <v/>
      </c>
      <c r="K67" s="65" t="n"/>
    </row>
    <row r="68" ht="15" customHeight="1">
      <c r="A68" s="60">
        <f>IF(B68="","",IFERROR(DATE(RIGHT(B68,4),MID(B68,4,2),LEFT(B68,2))+1,""))</f>
        <v/>
      </c>
      <c r="B68" s="56" t="n"/>
      <c r="C68" s="58">
        <f>IF(B68="","",IFERROR(INDEX('21 2026 ÜRETİM'!$F$2:$F$501,MATCH(B68,'21 2026 ÜRETİM'!$A$2:$A$501,0)),""))</f>
        <v/>
      </c>
      <c r="D68" s="56" t="n"/>
      <c r="E68" s="58">
        <f>IF(D68="","",D68*0.5)</f>
        <v/>
      </c>
      <c r="F68" s="56" t="n"/>
      <c r="G68" s="58">
        <f>IF(F68="","",F68*2.5)</f>
        <v/>
      </c>
      <c r="H68" s="56" t="n"/>
      <c r="I68" s="58">
        <f>IF(C68="","",C68-E68-G68-IF(H68="",0,H68))</f>
        <v/>
      </c>
      <c r="J68" s="56">
        <f>IF(C68="","",IF(ABS(I68)&lt;0.001,"KAPALI","KONTROL"))</f>
        <v/>
      </c>
      <c r="K68" s="65" t="n"/>
    </row>
    <row r="69" ht="15" customHeight="1">
      <c r="A69" s="60">
        <f>IF(B69="","",IFERROR(DATE(RIGHT(B69,4),MID(B69,4,2),LEFT(B69,2))+1,""))</f>
        <v/>
      </c>
      <c r="B69" s="56" t="n"/>
      <c r="C69" s="58">
        <f>IF(B69="","",IFERROR(INDEX('21 2026 ÜRETİM'!$F$2:$F$501,MATCH(B69,'21 2026 ÜRETİM'!$A$2:$A$501,0)),""))</f>
        <v/>
      </c>
      <c r="D69" s="56" t="n"/>
      <c r="E69" s="58">
        <f>IF(D69="","",D69*0.5)</f>
        <v/>
      </c>
      <c r="F69" s="56" t="n"/>
      <c r="G69" s="58">
        <f>IF(F69="","",F69*2.5)</f>
        <v/>
      </c>
      <c r="H69" s="56" t="n"/>
      <c r="I69" s="58">
        <f>IF(C69="","",C69-E69-G69-IF(H69="",0,H69))</f>
        <v/>
      </c>
      <c r="J69" s="56">
        <f>IF(C69="","",IF(ABS(I69)&lt;0.001,"KAPALI","KONTROL"))</f>
        <v/>
      </c>
      <c r="K69" s="65" t="n"/>
    </row>
    <row r="70" ht="15" customHeight="1">
      <c r="A70" s="60">
        <f>IF(B70="","",IFERROR(DATE(RIGHT(B70,4),MID(B70,4,2),LEFT(B70,2))+1,""))</f>
        <v/>
      </c>
      <c r="B70" s="56" t="n"/>
      <c r="C70" s="58">
        <f>IF(B70="","",IFERROR(INDEX('21 2026 ÜRETİM'!$F$2:$F$501,MATCH(B70,'21 2026 ÜRETİM'!$A$2:$A$501,0)),""))</f>
        <v/>
      </c>
      <c r="D70" s="56" t="n"/>
      <c r="E70" s="58">
        <f>IF(D70="","",D70*0.5)</f>
        <v/>
      </c>
      <c r="F70" s="56" t="n"/>
      <c r="G70" s="58">
        <f>IF(F70="","",F70*2.5)</f>
        <v/>
      </c>
      <c r="H70" s="56" t="n"/>
      <c r="I70" s="58">
        <f>IF(C70="","",C70-E70-G70-IF(H70="",0,H70))</f>
        <v/>
      </c>
      <c r="J70" s="56">
        <f>IF(C70="","",IF(ABS(I70)&lt;0.001,"KAPALI","KONTROL"))</f>
        <v/>
      </c>
      <c r="K70" s="65" t="n"/>
    </row>
    <row r="71" ht="15" customHeight="1">
      <c r="A71" s="60">
        <f>IF(B71="","",IFERROR(DATE(RIGHT(B71,4),MID(B71,4,2),LEFT(B71,2))+1,""))</f>
        <v/>
      </c>
      <c r="B71" s="56" t="n"/>
      <c r="C71" s="58">
        <f>IF(B71="","",IFERROR(INDEX('21 2026 ÜRETİM'!$F$2:$F$501,MATCH(B71,'21 2026 ÜRETİM'!$A$2:$A$501,0)),""))</f>
        <v/>
      </c>
      <c r="D71" s="56" t="n"/>
      <c r="E71" s="58">
        <f>IF(D71="","",D71*0.5)</f>
        <v/>
      </c>
      <c r="F71" s="56" t="n"/>
      <c r="G71" s="58">
        <f>IF(F71="","",F71*2.5)</f>
        <v/>
      </c>
      <c r="H71" s="56" t="n"/>
      <c r="I71" s="58">
        <f>IF(C71="","",C71-E71-G71-IF(H71="",0,H71))</f>
        <v/>
      </c>
      <c r="J71" s="56">
        <f>IF(C71="","",IF(ABS(I71)&lt;0.001,"KAPALI","KONTROL"))</f>
        <v/>
      </c>
      <c r="K71" s="65" t="n"/>
    </row>
    <row r="72" ht="15" customHeight="1">
      <c r="A72" s="60">
        <f>IF(B72="","",IFERROR(DATE(RIGHT(B72,4),MID(B72,4,2),LEFT(B72,2))+1,""))</f>
        <v/>
      </c>
      <c r="B72" s="56" t="n"/>
      <c r="C72" s="58">
        <f>IF(B72="","",IFERROR(INDEX('21 2026 ÜRETİM'!$F$2:$F$501,MATCH(B72,'21 2026 ÜRETİM'!$A$2:$A$501,0)),""))</f>
        <v/>
      </c>
      <c r="D72" s="56" t="n"/>
      <c r="E72" s="58">
        <f>IF(D72="","",D72*0.5)</f>
        <v/>
      </c>
      <c r="F72" s="56" t="n"/>
      <c r="G72" s="58">
        <f>IF(F72="","",F72*2.5)</f>
        <v/>
      </c>
      <c r="H72" s="56" t="n"/>
      <c r="I72" s="58">
        <f>IF(C72="","",C72-E72-G72-IF(H72="",0,H72))</f>
        <v/>
      </c>
      <c r="J72" s="56">
        <f>IF(C72="","",IF(ABS(I72)&lt;0.001,"KAPALI","KONTROL"))</f>
        <v/>
      </c>
      <c r="K72" s="65" t="n"/>
    </row>
    <row r="73" ht="15" customHeight="1">
      <c r="A73" s="60">
        <f>IF(B73="","",IFERROR(DATE(RIGHT(B73,4),MID(B73,4,2),LEFT(B73,2))+1,""))</f>
        <v/>
      </c>
      <c r="B73" s="56" t="n"/>
      <c r="C73" s="58">
        <f>IF(B73="","",IFERROR(INDEX('21 2026 ÜRETİM'!$F$2:$F$501,MATCH(B73,'21 2026 ÜRETİM'!$A$2:$A$501,0)),""))</f>
        <v/>
      </c>
      <c r="D73" s="56" t="n"/>
      <c r="E73" s="58">
        <f>IF(D73="","",D73*0.5)</f>
        <v/>
      </c>
      <c r="F73" s="56" t="n"/>
      <c r="G73" s="58">
        <f>IF(F73="","",F73*2.5)</f>
        <v/>
      </c>
      <c r="H73" s="56" t="n"/>
      <c r="I73" s="58">
        <f>IF(C73="","",C73-E73-G73-IF(H73="",0,H73))</f>
        <v/>
      </c>
      <c r="J73" s="56">
        <f>IF(C73="","",IF(ABS(I73)&lt;0.001,"KAPALI","KONTROL"))</f>
        <v/>
      </c>
      <c r="K73" s="65" t="n"/>
    </row>
    <row r="74" ht="15" customHeight="1">
      <c r="A74" s="60">
        <f>IF(B74="","",IFERROR(DATE(RIGHT(B74,4),MID(B74,4,2),LEFT(B74,2))+1,""))</f>
        <v/>
      </c>
      <c r="B74" s="56" t="n"/>
      <c r="C74" s="58">
        <f>IF(B74="","",IFERROR(INDEX('21 2026 ÜRETİM'!$F$2:$F$501,MATCH(B74,'21 2026 ÜRETİM'!$A$2:$A$501,0)),""))</f>
        <v/>
      </c>
      <c r="D74" s="56" t="n"/>
      <c r="E74" s="58">
        <f>IF(D74="","",D74*0.5)</f>
        <v/>
      </c>
      <c r="F74" s="56" t="n"/>
      <c r="G74" s="58">
        <f>IF(F74="","",F74*2.5)</f>
        <v/>
      </c>
      <c r="H74" s="56" t="n"/>
      <c r="I74" s="58">
        <f>IF(C74="","",C74-E74-G74-IF(H74="",0,H74))</f>
        <v/>
      </c>
      <c r="J74" s="56">
        <f>IF(C74="","",IF(ABS(I74)&lt;0.001,"KAPALI","KONTROL"))</f>
        <v/>
      </c>
      <c r="K74" s="65" t="n"/>
    </row>
    <row r="75" ht="15" customHeight="1">
      <c r="A75" s="60">
        <f>IF(B75="","",IFERROR(DATE(RIGHT(B75,4),MID(B75,4,2),LEFT(B75,2))+1,""))</f>
        <v/>
      </c>
      <c r="B75" s="56" t="n"/>
      <c r="C75" s="58">
        <f>IF(B75="","",IFERROR(INDEX('21 2026 ÜRETİM'!$F$2:$F$501,MATCH(B75,'21 2026 ÜRETİM'!$A$2:$A$501,0)),""))</f>
        <v/>
      </c>
      <c r="D75" s="56" t="n"/>
      <c r="E75" s="58">
        <f>IF(D75="","",D75*0.5)</f>
        <v/>
      </c>
      <c r="F75" s="56" t="n"/>
      <c r="G75" s="58">
        <f>IF(F75="","",F75*2.5)</f>
        <v/>
      </c>
      <c r="H75" s="56" t="n"/>
      <c r="I75" s="58">
        <f>IF(C75="","",C75-E75-G75-IF(H75="",0,H75))</f>
        <v/>
      </c>
      <c r="J75" s="56">
        <f>IF(C75="","",IF(ABS(I75)&lt;0.001,"KAPALI","KONTROL"))</f>
        <v/>
      </c>
      <c r="K75" s="65" t="n"/>
    </row>
    <row r="76" ht="15" customHeight="1">
      <c r="A76" s="60">
        <f>IF(B76="","",IFERROR(DATE(RIGHT(B76,4),MID(B76,4,2),LEFT(B76,2))+1,""))</f>
        <v/>
      </c>
      <c r="B76" s="56" t="n"/>
      <c r="C76" s="58">
        <f>IF(B76="","",IFERROR(INDEX('21 2026 ÜRETİM'!$F$2:$F$501,MATCH(B76,'21 2026 ÜRETİM'!$A$2:$A$501,0)),""))</f>
        <v/>
      </c>
      <c r="D76" s="56" t="n"/>
      <c r="E76" s="58">
        <f>IF(D76="","",D76*0.5)</f>
        <v/>
      </c>
      <c r="F76" s="56" t="n"/>
      <c r="G76" s="58">
        <f>IF(F76="","",F76*2.5)</f>
        <v/>
      </c>
      <c r="H76" s="56" t="n"/>
      <c r="I76" s="58">
        <f>IF(C76="","",C76-E76-G76-IF(H76="",0,H76))</f>
        <v/>
      </c>
      <c r="J76" s="56">
        <f>IF(C76="","",IF(ABS(I76)&lt;0.001,"KAPALI","KONTROL"))</f>
        <v/>
      </c>
      <c r="K76" s="65" t="n"/>
    </row>
    <row r="77" ht="15" customHeight="1">
      <c r="A77" s="60">
        <f>IF(B77="","",IFERROR(DATE(RIGHT(B77,4),MID(B77,4,2),LEFT(B77,2))+1,""))</f>
        <v/>
      </c>
      <c r="B77" s="56" t="n"/>
      <c r="C77" s="58">
        <f>IF(B77="","",IFERROR(INDEX('21 2026 ÜRETİM'!$F$2:$F$501,MATCH(B77,'21 2026 ÜRETİM'!$A$2:$A$501,0)),""))</f>
        <v/>
      </c>
      <c r="D77" s="56" t="n"/>
      <c r="E77" s="58">
        <f>IF(D77="","",D77*0.5)</f>
        <v/>
      </c>
      <c r="F77" s="56" t="n"/>
      <c r="G77" s="58">
        <f>IF(F77="","",F77*2.5)</f>
        <v/>
      </c>
      <c r="H77" s="56" t="n"/>
      <c r="I77" s="58">
        <f>IF(C77="","",C77-E77-G77-IF(H77="",0,H77))</f>
        <v/>
      </c>
      <c r="J77" s="56">
        <f>IF(C77="","",IF(ABS(I77)&lt;0.001,"KAPALI","KONTROL"))</f>
        <v/>
      </c>
      <c r="K77" s="65" t="n"/>
    </row>
    <row r="78" ht="15" customHeight="1">
      <c r="A78" s="60">
        <f>IF(B78="","",IFERROR(DATE(RIGHT(B78,4),MID(B78,4,2),LEFT(B78,2))+1,""))</f>
        <v/>
      </c>
      <c r="B78" s="56" t="n"/>
      <c r="C78" s="58">
        <f>IF(B78="","",IFERROR(INDEX('21 2026 ÜRETİM'!$F$2:$F$501,MATCH(B78,'21 2026 ÜRETİM'!$A$2:$A$501,0)),""))</f>
        <v/>
      </c>
      <c r="D78" s="56" t="n"/>
      <c r="E78" s="58">
        <f>IF(D78="","",D78*0.5)</f>
        <v/>
      </c>
      <c r="F78" s="56" t="n"/>
      <c r="G78" s="58">
        <f>IF(F78="","",F78*2.5)</f>
        <v/>
      </c>
      <c r="H78" s="56" t="n"/>
      <c r="I78" s="58">
        <f>IF(C78="","",C78-E78-G78-IF(H78="",0,H78))</f>
        <v/>
      </c>
      <c r="J78" s="56">
        <f>IF(C78="","",IF(ABS(I78)&lt;0.001,"KAPALI","KONTROL"))</f>
        <v/>
      </c>
      <c r="K78" s="65" t="n"/>
    </row>
    <row r="79" ht="15" customHeight="1">
      <c r="A79" s="60">
        <f>IF(B79="","",IFERROR(DATE(RIGHT(B79,4),MID(B79,4,2),LEFT(B79,2))+1,""))</f>
        <v/>
      </c>
      <c r="B79" s="56" t="n"/>
      <c r="C79" s="58">
        <f>IF(B79="","",IFERROR(INDEX('21 2026 ÜRETİM'!$F$2:$F$501,MATCH(B79,'21 2026 ÜRETİM'!$A$2:$A$501,0)),""))</f>
        <v/>
      </c>
      <c r="D79" s="56" t="n"/>
      <c r="E79" s="58">
        <f>IF(D79="","",D79*0.5)</f>
        <v/>
      </c>
      <c r="F79" s="56" t="n"/>
      <c r="G79" s="58">
        <f>IF(F79="","",F79*2.5)</f>
        <v/>
      </c>
      <c r="H79" s="56" t="n"/>
      <c r="I79" s="58">
        <f>IF(C79="","",C79-E79-G79-IF(H79="",0,H79))</f>
        <v/>
      </c>
      <c r="J79" s="56">
        <f>IF(C79="","",IF(ABS(I79)&lt;0.001,"KAPALI","KONTROL"))</f>
        <v/>
      </c>
      <c r="K79" s="65" t="n"/>
    </row>
    <row r="80" ht="15" customHeight="1">
      <c r="A80" s="60">
        <f>IF(B80="","",IFERROR(DATE(RIGHT(B80,4),MID(B80,4,2),LEFT(B80,2))+1,""))</f>
        <v/>
      </c>
      <c r="B80" s="56" t="n"/>
      <c r="C80" s="58">
        <f>IF(B80="","",IFERROR(INDEX('21 2026 ÜRETİM'!$F$2:$F$501,MATCH(B80,'21 2026 ÜRETİM'!$A$2:$A$501,0)),""))</f>
        <v/>
      </c>
      <c r="D80" s="56" t="n"/>
      <c r="E80" s="58">
        <f>IF(D80="","",D80*0.5)</f>
        <v/>
      </c>
      <c r="F80" s="56" t="n"/>
      <c r="G80" s="58">
        <f>IF(F80="","",F80*2.5)</f>
        <v/>
      </c>
      <c r="H80" s="56" t="n"/>
      <c r="I80" s="58">
        <f>IF(C80="","",C80-E80-G80-IF(H80="",0,H80))</f>
        <v/>
      </c>
      <c r="J80" s="56">
        <f>IF(C80="","",IF(ABS(I80)&lt;0.001,"KAPALI","KONTROL"))</f>
        <v/>
      </c>
      <c r="K80" s="65" t="n"/>
    </row>
    <row r="81" ht="15" customHeight="1">
      <c r="A81" s="60">
        <f>IF(B81="","",IFERROR(DATE(RIGHT(B81,4),MID(B81,4,2),LEFT(B81,2))+1,""))</f>
        <v/>
      </c>
      <c r="B81" s="56" t="n"/>
      <c r="C81" s="58">
        <f>IF(B81="","",IFERROR(INDEX('21 2026 ÜRETİM'!$F$2:$F$501,MATCH(B81,'21 2026 ÜRETİM'!$A$2:$A$501,0)),""))</f>
        <v/>
      </c>
      <c r="D81" s="56" t="n"/>
      <c r="E81" s="58">
        <f>IF(D81="","",D81*0.5)</f>
        <v/>
      </c>
      <c r="F81" s="56" t="n"/>
      <c r="G81" s="58">
        <f>IF(F81="","",F81*2.5)</f>
        <v/>
      </c>
      <c r="H81" s="56" t="n"/>
      <c r="I81" s="58">
        <f>IF(C81="","",C81-E81-G81-IF(H81="",0,H81))</f>
        <v/>
      </c>
      <c r="J81" s="56">
        <f>IF(C81="","",IF(ABS(I81)&lt;0.001,"KAPALI","KONTROL"))</f>
        <v/>
      </c>
      <c r="K81" s="65" t="n"/>
    </row>
    <row r="82" ht="15" customHeight="1">
      <c r="A82" s="60">
        <f>IF(B82="","",IFERROR(DATE(RIGHT(B82,4),MID(B82,4,2),LEFT(B82,2))+1,""))</f>
        <v/>
      </c>
      <c r="B82" s="56" t="n"/>
      <c r="C82" s="58">
        <f>IF(B82="","",IFERROR(INDEX('21 2026 ÜRETİM'!$F$2:$F$501,MATCH(B82,'21 2026 ÜRETİM'!$A$2:$A$501,0)),""))</f>
        <v/>
      </c>
      <c r="D82" s="56" t="n"/>
      <c r="E82" s="58">
        <f>IF(D82="","",D82*0.5)</f>
        <v/>
      </c>
      <c r="F82" s="56" t="n"/>
      <c r="G82" s="58">
        <f>IF(F82="","",F82*2.5)</f>
        <v/>
      </c>
      <c r="H82" s="56" t="n"/>
      <c r="I82" s="58">
        <f>IF(C82="","",C82-E82-G82-IF(H82="",0,H82))</f>
        <v/>
      </c>
      <c r="J82" s="56">
        <f>IF(C82="","",IF(ABS(I82)&lt;0.001,"KAPALI","KONTROL"))</f>
        <v/>
      </c>
      <c r="K82" s="65" t="n"/>
    </row>
    <row r="83" ht="15" customHeight="1">
      <c r="A83" s="60">
        <f>IF(B83="","",IFERROR(DATE(RIGHT(B83,4),MID(B83,4,2),LEFT(B83,2))+1,""))</f>
        <v/>
      </c>
      <c r="B83" s="56" t="n"/>
      <c r="C83" s="58">
        <f>IF(B83="","",IFERROR(INDEX('21 2026 ÜRETİM'!$F$2:$F$501,MATCH(B83,'21 2026 ÜRETİM'!$A$2:$A$501,0)),""))</f>
        <v/>
      </c>
      <c r="D83" s="56" t="n"/>
      <c r="E83" s="58">
        <f>IF(D83="","",D83*0.5)</f>
        <v/>
      </c>
      <c r="F83" s="56" t="n"/>
      <c r="G83" s="58">
        <f>IF(F83="","",F83*2.5)</f>
        <v/>
      </c>
      <c r="H83" s="56" t="n"/>
      <c r="I83" s="58">
        <f>IF(C83="","",C83-E83-G83-IF(H83="",0,H83))</f>
        <v/>
      </c>
      <c r="J83" s="56">
        <f>IF(C83="","",IF(ABS(I83)&lt;0.001,"KAPALI","KONTROL"))</f>
        <v/>
      </c>
      <c r="K83" s="65" t="n"/>
    </row>
    <row r="84" ht="15" customHeight="1">
      <c r="A84" s="60">
        <f>IF(B84="","",IFERROR(DATE(RIGHT(B84,4),MID(B84,4,2),LEFT(B84,2))+1,""))</f>
        <v/>
      </c>
      <c r="B84" s="56" t="n"/>
      <c r="C84" s="58">
        <f>IF(B84="","",IFERROR(INDEX('21 2026 ÜRETİM'!$F$2:$F$501,MATCH(B84,'21 2026 ÜRETİM'!$A$2:$A$501,0)),""))</f>
        <v/>
      </c>
      <c r="D84" s="56" t="n"/>
      <c r="E84" s="58">
        <f>IF(D84="","",D84*0.5)</f>
        <v/>
      </c>
      <c r="F84" s="56" t="n"/>
      <c r="G84" s="58">
        <f>IF(F84="","",F84*2.5)</f>
        <v/>
      </c>
      <c r="H84" s="56" t="n"/>
      <c r="I84" s="58">
        <f>IF(C84="","",C84-E84-G84-IF(H84="",0,H84))</f>
        <v/>
      </c>
      <c r="J84" s="56">
        <f>IF(C84="","",IF(ABS(I84)&lt;0.001,"KAPALI","KONTROL"))</f>
        <v/>
      </c>
      <c r="K84" s="65" t="n"/>
    </row>
    <row r="85" ht="15" customHeight="1">
      <c r="A85" s="60">
        <f>IF(B85="","",IFERROR(DATE(RIGHT(B85,4),MID(B85,4,2),LEFT(B85,2))+1,""))</f>
        <v/>
      </c>
      <c r="B85" s="56" t="n"/>
      <c r="C85" s="58">
        <f>IF(B85="","",IFERROR(INDEX('21 2026 ÜRETİM'!$F$2:$F$501,MATCH(B85,'21 2026 ÜRETİM'!$A$2:$A$501,0)),""))</f>
        <v/>
      </c>
      <c r="D85" s="56" t="n"/>
      <c r="E85" s="58">
        <f>IF(D85="","",D85*0.5)</f>
        <v/>
      </c>
      <c r="F85" s="56" t="n"/>
      <c r="G85" s="58">
        <f>IF(F85="","",F85*2.5)</f>
        <v/>
      </c>
      <c r="H85" s="56" t="n"/>
      <c r="I85" s="58">
        <f>IF(C85="","",C85-E85-G85-IF(H85="",0,H85))</f>
        <v/>
      </c>
      <c r="J85" s="56">
        <f>IF(C85="","",IF(ABS(I85)&lt;0.001,"KAPALI","KONTROL"))</f>
        <v/>
      </c>
      <c r="K85" s="65" t="n"/>
    </row>
    <row r="86" ht="15" customHeight="1">
      <c r="A86" s="60">
        <f>IF(B86="","",IFERROR(DATE(RIGHT(B86,4),MID(B86,4,2),LEFT(B86,2))+1,""))</f>
        <v/>
      </c>
      <c r="B86" s="56" t="n"/>
      <c r="C86" s="58">
        <f>IF(B86="","",IFERROR(INDEX('21 2026 ÜRETİM'!$F$2:$F$501,MATCH(B86,'21 2026 ÜRETİM'!$A$2:$A$501,0)),""))</f>
        <v/>
      </c>
      <c r="D86" s="56" t="n"/>
      <c r="E86" s="58">
        <f>IF(D86="","",D86*0.5)</f>
        <v/>
      </c>
      <c r="F86" s="56" t="n"/>
      <c r="G86" s="58">
        <f>IF(F86="","",F86*2.5)</f>
        <v/>
      </c>
      <c r="H86" s="56" t="n"/>
      <c r="I86" s="58">
        <f>IF(C86="","",C86-E86-G86-IF(H86="",0,H86))</f>
        <v/>
      </c>
      <c r="J86" s="56">
        <f>IF(C86="","",IF(ABS(I86)&lt;0.001,"KAPALI","KONTROL"))</f>
        <v/>
      </c>
      <c r="K86" s="65" t="n"/>
    </row>
    <row r="87" ht="15" customHeight="1">
      <c r="A87" s="60">
        <f>IF(B87="","",IFERROR(DATE(RIGHT(B87,4),MID(B87,4,2),LEFT(B87,2))+1,""))</f>
        <v/>
      </c>
      <c r="B87" s="56" t="n"/>
      <c r="C87" s="58">
        <f>IF(B87="","",IFERROR(INDEX('21 2026 ÜRETİM'!$F$2:$F$501,MATCH(B87,'21 2026 ÜRETİM'!$A$2:$A$501,0)),""))</f>
        <v/>
      </c>
      <c r="D87" s="56" t="n"/>
      <c r="E87" s="58">
        <f>IF(D87="","",D87*0.5)</f>
        <v/>
      </c>
      <c r="F87" s="56" t="n"/>
      <c r="G87" s="58">
        <f>IF(F87="","",F87*2.5)</f>
        <v/>
      </c>
      <c r="H87" s="56" t="n"/>
      <c r="I87" s="58">
        <f>IF(C87="","",C87-E87-G87-IF(H87="",0,H87))</f>
        <v/>
      </c>
      <c r="J87" s="56">
        <f>IF(C87="","",IF(ABS(I87)&lt;0.001,"KAPALI","KONTROL"))</f>
        <v/>
      </c>
      <c r="K87" s="65" t="n"/>
    </row>
    <row r="88" ht="15" customHeight="1">
      <c r="A88" s="60">
        <f>IF(B88="","",IFERROR(DATE(RIGHT(B88,4),MID(B88,4,2),LEFT(B88,2))+1,""))</f>
        <v/>
      </c>
      <c r="B88" s="56" t="n"/>
      <c r="C88" s="58">
        <f>IF(B88="","",IFERROR(INDEX('21 2026 ÜRETİM'!$F$2:$F$501,MATCH(B88,'21 2026 ÜRETİM'!$A$2:$A$501,0)),""))</f>
        <v/>
      </c>
      <c r="D88" s="56" t="n"/>
      <c r="E88" s="58">
        <f>IF(D88="","",D88*0.5)</f>
        <v/>
      </c>
      <c r="F88" s="56" t="n"/>
      <c r="G88" s="58">
        <f>IF(F88="","",F88*2.5)</f>
        <v/>
      </c>
      <c r="H88" s="56" t="n"/>
      <c r="I88" s="58">
        <f>IF(C88="","",C88-E88-G88-IF(H88="",0,H88))</f>
        <v/>
      </c>
      <c r="J88" s="56">
        <f>IF(C88="","",IF(ABS(I88)&lt;0.001,"KAPALI","KONTROL"))</f>
        <v/>
      </c>
      <c r="K88" s="65" t="n"/>
    </row>
    <row r="89" ht="15" customHeight="1">
      <c r="A89" s="60">
        <f>IF(B89="","",IFERROR(DATE(RIGHT(B89,4),MID(B89,4,2),LEFT(B89,2))+1,""))</f>
        <v/>
      </c>
      <c r="B89" s="56" t="n"/>
      <c r="C89" s="58">
        <f>IF(B89="","",IFERROR(INDEX('21 2026 ÜRETİM'!$F$2:$F$501,MATCH(B89,'21 2026 ÜRETİM'!$A$2:$A$501,0)),""))</f>
        <v/>
      </c>
      <c r="D89" s="56" t="n"/>
      <c r="E89" s="58">
        <f>IF(D89="","",D89*0.5)</f>
        <v/>
      </c>
      <c r="F89" s="56" t="n"/>
      <c r="G89" s="58">
        <f>IF(F89="","",F89*2.5)</f>
        <v/>
      </c>
      <c r="H89" s="56" t="n"/>
      <c r="I89" s="58">
        <f>IF(C89="","",C89-E89-G89-IF(H89="",0,H89))</f>
        <v/>
      </c>
      <c r="J89" s="56">
        <f>IF(C89="","",IF(ABS(I89)&lt;0.001,"KAPALI","KONTROL"))</f>
        <v/>
      </c>
      <c r="K89" s="65" t="n"/>
    </row>
    <row r="90" ht="15" customHeight="1">
      <c r="A90" s="60">
        <f>IF(B90="","",IFERROR(DATE(RIGHT(B90,4),MID(B90,4,2),LEFT(B90,2))+1,""))</f>
        <v/>
      </c>
      <c r="B90" s="56" t="n"/>
      <c r="C90" s="58">
        <f>IF(B90="","",IFERROR(INDEX('21 2026 ÜRETİM'!$F$2:$F$501,MATCH(B90,'21 2026 ÜRETİM'!$A$2:$A$501,0)),""))</f>
        <v/>
      </c>
      <c r="D90" s="56" t="n"/>
      <c r="E90" s="58">
        <f>IF(D90="","",D90*0.5)</f>
        <v/>
      </c>
      <c r="F90" s="56" t="n"/>
      <c r="G90" s="58">
        <f>IF(F90="","",F90*2.5)</f>
        <v/>
      </c>
      <c r="H90" s="56" t="n"/>
      <c r="I90" s="58">
        <f>IF(C90="","",C90-E90-G90-IF(H90="",0,H90))</f>
        <v/>
      </c>
      <c r="J90" s="56">
        <f>IF(C90="","",IF(ABS(I90)&lt;0.001,"KAPALI","KONTROL"))</f>
        <v/>
      </c>
      <c r="K90" s="65" t="n"/>
    </row>
    <row r="91" ht="15" customHeight="1">
      <c r="A91" s="60">
        <f>IF(B91="","",IFERROR(DATE(RIGHT(B91,4),MID(B91,4,2),LEFT(B91,2))+1,""))</f>
        <v/>
      </c>
      <c r="B91" s="56" t="n"/>
      <c r="C91" s="58">
        <f>IF(B91="","",IFERROR(INDEX('21 2026 ÜRETİM'!$F$2:$F$501,MATCH(B91,'21 2026 ÜRETİM'!$A$2:$A$501,0)),""))</f>
        <v/>
      </c>
      <c r="D91" s="56" t="n"/>
      <c r="E91" s="58">
        <f>IF(D91="","",D91*0.5)</f>
        <v/>
      </c>
      <c r="F91" s="56" t="n"/>
      <c r="G91" s="58">
        <f>IF(F91="","",F91*2.5)</f>
        <v/>
      </c>
      <c r="H91" s="56" t="n"/>
      <c r="I91" s="58">
        <f>IF(C91="","",C91-E91-G91-IF(H91="",0,H91))</f>
        <v/>
      </c>
      <c r="J91" s="56">
        <f>IF(C91="","",IF(ABS(I91)&lt;0.001,"KAPALI","KONTROL"))</f>
        <v/>
      </c>
      <c r="K91" s="65" t="n"/>
    </row>
    <row r="92" ht="15" customHeight="1">
      <c r="A92" s="60">
        <f>IF(B92="","",IFERROR(DATE(RIGHT(B92,4),MID(B92,4,2),LEFT(B92,2))+1,""))</f>
        <v/>
      </c>
      <c r="B92" s="56" t="n"/>
      <c r="C92" s="58">
        <f>IF(B92="","",IFERROR(INDEX('21 2026 ÜRETİM'!$F$2:$F$501,MATCH(B92,'21 2026 ÜRETİM'!$A$2:$A$501,0)),""))</f>
        <v/>
      </c>
      <c r="D92" s="56" t="n"/>
      <c r="E92" s="58">
        <f>IF(D92="","",D92*0.5)</f>
        <v/>
      </c>
      <c r="F92" s="56" t="n"/>
      <c r="G92" s="58">
        <f>IF(F92="","",F92*2.5)</f>
        <v/>
      </c>
      <c r="H92" s="56" t="n"/>
      <c r="I92" s="58">
        <f>IF(C92="","",C92-E92-G92-IF(H92="",0,H92))</f>
        <v/>
      </c>
      <c r="J92" s="56">
        <f>IF(C92="","",IF(ABS(I92)&lt;0.001,"KAPALI","KONTROL"))</f>
        <v/>
      </c>
      <c r="K92" s="65" t="n"/>
    </row>
    <row r="93" ht="15" customHeight="1">
      <c r="A93" s="60">
        <f>IF(B93="","",IFERROR(DATE(RIGHT(B93,4),MID(B93,4,2),LEFT(B93,2))+1,""))</f>
        <v/>
      </c>
      <c r="B93" s="56" t="n"/>
      <c r="C93" s="58">
        <f>IF(B93="","",IFERROR(INDEX('21 2026 ÜRETİM'!$F$2:$F$501,MATCH(B93,'21 2026 ÜRETİM'!$A$2:$A$501,0)),""))</f>
        <v/>
      </c>
      <c r="D93" s="56" t="n"/>
      <c r="E93" s="58">
        <f>IF(D93="","",D93*0.5)</f>
        <v/>
      </c>
      <c r="F93" s="56" t="n"/>
      <c r="G93" s="58">
        <f>IF(F93="","",F93*2.5)</f>
        <v/>
      </c>
      <c r="H93" s="56" t="n"/>
      <c r="I93" s="58">
        <f>IF(C93="","",C93-E93-G93-IF(H93="",0,H93))</f>
        <v/>
      </c>
      <c r="J93" s="56">
        <f>IF(C93="","",IF(ABS(I93)&lt;0.001,"KAPALI","KONTROL"))</f>
        <v/>
      </c>
      <c r="K93" s="65" t="n"/>
    </row>
    <row r="94" ht="15" customHeight="1">
      <c r="A94" s="60">
        <f>IF(B94="","",IFERROR(DATE(RIGHT(B94,4),MID(B94,4,2),LEFT(B94,2))+1,""))</f>
        <v/>
      </c>
      <c r="B94" s="56" t="n"/>
      <c r="C94" s="58">
        <f>IF(B94="","",IFERROR(INDEX('21 2026 ÜRETİM'!$F$2:$F$501,MATCH(B94,'21 2026 ÜRETİM'!$A$2:$A$501,0)),""))</f>
        <v/>
      </c>
      <c r="D94" s="56" t="n"/>
      <c r="E94" s="58">
        <f>IF(D94="","",D94*0.5)</f>
        <v/>
      </c>
      <c r="F94" s="56" t="n"/>
      <c r="G94" s="58">
        <f>IF(F94="","",F94*2.5)</f>
        <v/>
      </c>
      <c r="H94" s="56" t="n"/>
      <c r="I94" s="58">
        <f>IF(C94="","",C94-E94-G94-IF(H94="",0,H94))</f>
        <v/>
      </c>
      <c r="J94" s="56">
        <f>IF(C94="","",IF(ABS(I94)&lt;0.001,"KAPALI","KONTROL"))</f>
        <v/>
      </c>
      <c r="K94" s="65" t="n"/>
    </row>
    <row r="95" ht="15" customHeight="1">
      <c r="A95" s="60">
        <f>IF(B95="","",IFERROR(DATE(RIGHT(B95,4),MID(B95,4,2),LEFT(B95,2))+1,""))</f>
        <v/>
      </c>
      <c r="B95" s="56" t="n"/>
      <c r="C95" s="58">
        <f>IF(B95="","",IFERROR(INDEX('21 2026 ÜRETİM'!$F$2:$F$501,MATCH(B95,'21 2026 ÜRETİM'!$A$2:$A$501,0)),""))</f>
        <v/>
      </c>
      <c r="D95" s="56" t="n"/>
      <c r="E95" s="58">
        <f>IF(D95="","",D95*0.5)</f>
        <v/>
      </c>
      <c r="F95" s="56" t="n"/>
      <c r="G95" s="58">
        <f>IF(F95="","",F95*2.5)</f>
        <v/>
      </c>
      <c r="H95" s="56" t="n"/>
      <c r="I95" s="58">
        <f>IF(C95="","",C95-E95-G95-IF(H95="",0,H95))</f>
        <v/>
      </c>
      <c r="J95" s="56">
        <f>IF(C95="","",IF(ABS(I95)&lt;0.001,"KAPALI","KONTROL"))</f>
        <v/>
      </c>
      <c r="K95" s="65" t="n"/>
    </row>
    <row r="96" ht="15" customHeight="1">
      <c r="A96" s="60">
        <f>IF(B96="","",IFERROR(DATE(RIGHT(B96,4),MID(B96,4,2),LEFT(B96,2))+1,""))</f>
        <v/>
      </c>
      <c r="B96" s="56" t="n"/>
      <c r="C96" s="58">
        <f>IF(B96="","",IFERROR(INDEX('21 2026 ÜRETİM'!$F$2:$F$501,MATCH(B96,'21 2026 ÜRETİM'!$A$2:$A$501,0)),""))</f>
        <v/>
      </c>
      <c r="D96" s="56" t="n"/>
      <c r="E96" s="58">
        <f>IF(D96="","",D96*0.5)</f>
        <v/>
      </c>
      <c r="F96" s="56" t="n"/>
      <c r="G96" s="58">
        <f>IF(F96="","",F96*2.5)</f>
        <v/>
      </c>
      <c r="H96" s="56" t="n"/>
      <c r="I96" s="58">
        <f>IF(C96="","",C96-E96-G96-IF(H96="",0,H96))</f>
        <v/>
      </c>
      <c r="J96" s="56">
        <f>IF(C96="","",IF(ABS(I96)&lt;0.001,"KAPALI","KONTROL"))</f>
        <v/>
      </c>
      <c r="K96" s="65" t="n"/>
    </row>
    <row r="97" ht="15" customHeight="1">
      <c r="A97" s="60">
        <f>IF(B97="","",IFERROR(DATE(RIGHT(B97,4),MID(B97,4,2),LEFT(B97,2))+1,""))</f>
        <v/>
      </c>
      <c r="B97" s="56" t="n"/>
      <c r="C97" s="58">
        <f>IF(B97="","",IFERROR(INDEX('21 2026 ÜRETİM'!$F$2:$F$501,MATCH(B97,'21 2026 ÜRETİM'!$A$2:$A$501,0)),""))</f>
        <v/>
      </c>
      <c r="D97" s="56" t="n"/>
      <c r="E97" s="58">
        <f>IF(D97="","",D97*0.5)</f>
        <v/>
      </c>
      <c r="F97" s="56" t="n"/>
      <c r="G97" s="58">
        <f>IF(F97="","",F97*2.5)</f>
        <v/>
      </c>
      <c r="H97" s="56" t="n"/>
      <c r="I97" s="58">
        <f>IF(C97="","",C97-E97-G97-IF(H97="",0,H97))</f>
        <v/>
      </c>
      <c r="J97" s="56">
        <f>IF(C97="","",IF(ABS(I97)&lt;0.001,"KAPALI","KONTROL"))</f>
        <v/>
      </c>
      <c r="K97" s="65" t="n"/>
    </row>
    <row r="98" ht="15" customHeight="1">
      <c r="A98" s="60">
        <f>IF(B98="","",IFERROR(DATE(RIGHT(B98,4),MID(B98,4,2),LEFT(B98,2))+1,""))</f>
        <v/>
      </c>
      <c r="B98" s="56" t="n"/>
      <c r="C98" s="58">
        <f>IF(B98="","",IFERROR(INDEX('21 2026 ÜRETİM'!$F$2:$F$501,MATCH(B98,'21 2026 ÜRETİM'!$A$2:$A$501,0)),""))</f>
        <v/>
      </c>
      <c r="D98" s="56" t="n"/>
      <c r="E98" s="58">
        <f>IF(D98="","",D98*0.5)</f>
        <v/>
      </c>
      <c r="F98" s="56" t="n"/>
      <c r="G98" s="58">
        <f>IF(F98="","",F98*2.5)</f>
        <v/>
      </c>
      <c r="H98" s="56" t="n"/>
      <c r="I98" s="58">
        <f>IF(C98="","",C98-E98-G98-IF(H98="",0,H98))</f>
        <v/>
      </c>
      <c r="J98" s="56">
        <f>IF(C98="","",IF(ABS(I98)&lt;0.001,"KAPALI","KONTROL"))</f>
        <v/>
      </c>
      <c r="K98" s="65" t="n"/>
    </row>
    <row r="99" ht="15" customHeight="1">
      <c r="A99" s="60">
        <f>IF(B99="","",IFERROR(DATE(RIGHT(B99,4),MID(B99,4,2),LEFT(B99,2))+1,""))</f>
        <v/>
      </c>
      <c r="B99" s="56" t="n"/>
      <c r="C99" s="58">
        <f>IF(B99="","",IFERROR(INDEX('21 2026 ÜRETİM'!$F$2:$F$501,MATCH(B99,'21 2026 ÜRETİM'!$A$2:$A$501,0)),""))</f>
        <v/>
      </c>
      <c r="D99" s="56" t="n"/>
      <c r="E99" s="58">
        <f>IF(D99="","",D99*0.5)</f>
        <v/>
      </c>
      <c r="F99" s="56" t="n"/>
      <c r="G99" s="58">
        <f>IF(F99="","",F99*2.5)</f>
        <v/>
      </c>
      <c r="H99" s="56" t="n"/>
      <c r="I99" s="58">
        <f>IF(C99="","",C99-E99-G99-IF(H99="",0,H99))</f>
        <v/>
      </c>
      <c r="J99" s="56">
        <f>IF(C99="","",IF(ABS(I99)&lt;0.001,"KAPALI","KONTROL"))</f>
        <v/>
      </c>
      <c r="K99" s="65" t="n"/>
    </row>
    <row r="100" ht="15" customHeight="1">
      <c r="A100" s="60">
        <f>IF(B100="","",IFERROR(DATE(RIGHT(B100,4),MID(B100,4,2),LEFT(B100,2))+1,""))</f>
        <v/>
      </c>
      <c r="B100" s="56" t="n"/>
      <c r="C100" s="58">
        <f>IF(B100="","",IFERROR(INDEX('21 2026 ÜRETİM'!$F$2:$F$501,MATCH(B100,'21 2026 ÜRETİM'!$A$2:$A$501,0)),""))</f>
        <v/>
      </c>
      <c r="D100" s="56" t="n"/>
      <c r="E100" s="58">
        <f>IF(D100="","",D100*0.5)</f>
        <v/>
      </c>
      <c r="F100" s="56" t="n"/>
      <c r="G100" s="58">
        <f>IF(F100="","",F100*2.5)</f>
        <v/>
      </c>
      <c r="H100" s="56" t="n"/>
      <c r="I100" s="58">
        <f>IF(C100="","",C100-E100-G100-IF(H100="",0,H100))</f>
        <v/>
      </c>
      <c r="J100" s="56">
        <f>IF(C100="","",IF(ABS(I100)&lt;0.001,"KAPALI","KONTROL"))</f>
        <v/>
      </c>
      <c r="K100" s="65" t="n"/>
    </row>
    <row r="101" ht="15" customHeight="1">
      <c r="A101" s="60">
        <f>IF(B101="","",IFERROR(DATE(RIGHT(B101,4),MID(B101,4,2),LEFT(B101,2))+1,""))</f>
        <v/>
      </c>
      <c r="B101" s="56" t="n"/>
      <c r="C101" s="58">
        <f>IF(B101="","",IFERROR(INDEX('21 2026 ÜRETİM'!$F$2:$F$501,MATCH(B101,'21 2026 ÜRETİM'!$A$2:$A$501,0)),""))</f>
        <v/>
      </c>
      <c r="D101" s="56" t="n"/>
      <c r="E101" s="58">
        <f>IF(D101="","",D101*0.5)</f>
        <v/>
      </c>
      <c r="F101" s="56" t="n"/>
      <c r="G101" s="58">
        <f>IF(F101="","",F101*2.5)</f>
        <v/>
      </c>
      <c r="H101" s="56" t="n"/>
      <c r="I101" s="58">
        <f>IF(C101="","",C101-E101-G101-IF(H101="",0,H101))</f>
        <v/>
      </c>
      <c r="J101" s="56">
        <f>IF(C101="","",IF(ABS(I101)&lt;0.001,"KAPALI","KONTROL"))</f>
        <v/>
      </c>
      <c r="K101" s="65" t="n"/>
    </row>
    <row r="102" ht="15" customHeight="1">
      <c r="A102" s="60">
        <f>IF(B102="","",IFERROR(DATE(RIGHT(B102,4),MID(B102,4,2),LEFT(B102,2))+1,""))</f>
        <v/>
      </c>
      <c r="B102" s="56" t="n"/>
      <c r="C102" s="58">
        <f>IF(B102="","",IFERROR(INDEX('21 2026 ÜRETİM'!$F$2:$F$501,MATCH(B102,'21 2026 ÜRETİM'!$A$2:$A$501,0)),""))</f>
        <v/>
      </c>
      <c r="D102" s="56" t="n"/>
      <c r="E102" s="58">
        <f>IF(D102="","",D102*0.5)</f>
        <v/>
      </c>
      <c r="F102" s="56" t="n"/>
      <c r="G102" s="58">
        <f>IF(F102="","",F102*2.5)</f>
        <v/>
      </c>
      <c r="H102" s="56" t="n"/>
      <c r="I102" s="58">
        <f>IF(C102="","",C102-E102-G102-IF(H102="",0,H102))</f>
        <v/>
      </c>
      <c r="J102" s="56">
        <f>IF(C102="","",IF(ABS(I102)&lt;0.001,"KAPALI","KONTROL"))</f>
        <v/>
      </c>
      <c r="K102" s="65" t="n"/>
    </row>
    <row r="103" ht="15" customHeight="1">
      <c r="A103" s="60">
        <f>IF(B103="","",IFERROR(DATE(RIGHT(B103,4),MID(B103,4,2),LEFT(B103,2))+1,""))</f>
        <v/>
      </c>
      <c r="B103" s="56" t="n"/>
      <c r="C103" s="58">
        <f>IF(B103="","",IFERROR(INDEX('21 2026 ÜRETİM'!$F$2:$F$501,MATCH(B103,'21 2026 ÜRETİM'!$A$2:$A$501,0)),""))</f>
        <v/>
      </c>
      <c r="D103" s="56" t="n"/>
      <c r="E103" s="58">
        <f>IF(D103="","",D103*0.5)</f>
        <v/>
      </c>
      <c r="F103" s="56" t="n"/>
      <c r="G103" s="58">
        <f>IF(F103="","",F103*2.5)</f>
        <v/>
      </c>
      <c r="H103" s="56" t="n"/>
      <c r="I103" s="58">
        <f>IF(C103="","",C103-E103-G103-IF(H103="",0,H103))</f>
        <v/>
      </c>
      <c r="J103" s="56">
        <f>IF(C103="","",IF(ABS(I103)&lt;0.001,"KAPALI","KONTROL"))</f>
        <v/>
      </c>
      <c r="K103" s="65" t="n"/>
    </row>
    <row r="104" ht="15" customHeight="1">
      <c r="A104" s="60">
        <f>IF(B104="","",IFERROR(DATE(RIGHT(B104,4),MID(B104,4,2),LEFT(B104,2))+1,""))</f>
        <v/>
      </c>
      <c r="B104" s="56" t="n"/>
      <c r="C104" s="58">
        <f>IF(B104="","",IFERROR(INDEX('21 2026 ÜRETİM'!$F$2:$F$501,MATCH(B104,'21 2026 ÜRETİM'!$A$2:$A$501,0)),""))</f>
        <v/>
      </c>
      <c r="D104" s="56" t="n"/>
      <c r="E104" s="58">
        <f>IF(D104="","",D104*0.5)</f>
        <v/>
      </c>
      <c r="F104" s="56" t="n"/>
      <c r="G104" s="58">
        <f>IF(F104="","",F104*2.5)</f>
        <v/>
      </c>
      <c r="H104" s="56" t="n"/>
      <c r="I104" s="58">
        <f>IF(C104="","",C104-E104-G104-IF(H104="",0,H104))</f>
        <v/>
      </c>
      <c r="J104" s="56">
        <f>IF(C104="","",IF(ABS(I104)&lt;0.001,"KAPALI","KONTROL"))</f>
        <v/>
      </c>
      <c r="K104" s="65" t="n"/>
    </row>
    <row r="105" ht="15" customHeight="1">
      <c r="A105" s="60">
        <f>IF(B105="","",IFERROR(DATE(RIGHT(B105,4),MID(B105,4,2),LEFT(B105,2))+1,""))</f>
        <v/>
      </c>
      <c r="B105" s="56" t="n"/>
      <c r="C105" s="58">
        <f>IF(B105="","",IFERROR(INDEX('21 2026 ÜRETİM'!$F$2:$F$501,MATCH(B105,'21 2026 ÜRETİM'!$A$2:$A$501,0)),""))</f>
        <v/>
      </c>
      <c r="D105" s="56" t="n"/>
      <c r="E105" s="58">
        <f>IF(D105="","",D105*0.5)</f>
        <v/>
      </c>
      <c r="F105" s="56" t="n"/>
      <c r="G105" s="58">
        <f>IF(F105="","",F105*2.5)</f>
        <v/>
      </c>
      <c r="H105" s="56" t="n"/>
      <c r="I105" s="58">
        <f>IF(C105="","",C105-E105-G105-IF(H105="",0,H105))</f>
        <v/>
      </c>
      <c r="J105" s="56">
        <f>IF(C105="","",IF(ABS(I105)&lt;0.001,"KAPALI","KONTROL"))</f>
        <v/>
      </c>
      <c r="K105" s="65" t="n"/>
    </row>
    <row r="106" ht="15" customHeight="1">
      <c r="A106" s="60">
        <f>IF(B106="","",IFERROR(DATE(RIGHT(B106,4),MID(B106,4,2),LEFT(B106,2))+1,""))</f>
        <v/>
      </c>
      <c r="B106" s="56" t="n"/>
      <c r="C106" s="58">
        <f>IF(B106="","",IFERROR(INDEX('21 2026 ÜRETİM'!$F$2:$F$501,MATCH(B106,'21 2026 ÜRETİM'!$A$2:$A$501,0)),""))</f>
        <v/>
      </c>
      <c r="D106" s="56" t="n"/>
      <c r="E106" s="58">
        <f>IF(D106="","",D106*0.5)</f>
        <v/>
      </c>
      <c r="F106" s="56" t="n"/>
      <c r="G106" s="58">
        <f>IF(F106="","",F106*2.5)</f>
        <v/>
      </c>
      <c r="H106" s="56" t="n"/>
      <c r="I106" s="58">
        <f>IF(C106="","",C106-E106-G106-IF(H106="",0,H106))</f>
        <v/>
      </c>
      <c r="J106" s="56">
        <f>IF(C106="","",IF(ABS(I106)&lt;0.001,"KAPALI","KONTROL"))</f>
        <v/>
      </c>
      <c r="K106" s="65" t="n"/>
    </row>
    <row r="107" ht="15" customHeight="1">
      <c r="A107" s="60">
        <f>IF(B107="","",IFERROR(DATE(RIGHT(B107,4),MID(B107,4,2),LEFT(B107,2))+1,""))</f>
        <v/>
      </c>
      <c r="B107" s="56" t="n"/>
      <c r="C107" s="58">
        <f>IF(B107="","",IFERROR(INDEX('21 2026 ÜRETİM'!$F$2:$F$501,MATCH(B107,'21 2026 ÜRETİM'!$A$2:$A$501,0)),""))</f>
        <v/>
      </c>
      <c r="D107" s="56" t="n"/>
      <c r="E107" s="58">
        <f>IF(D107="","",D107*0.5)</f>
        <v/>
      </c>
      <c r="F107" s="56" t="n"/>
      <c r="G107" s="58">
        <f>IF(F107="","",F107*2.5)</f>
        <v/>
      </c>
      <c r="H107" s="56" t="n"/>
      <c r="I107" s="58">
        <f>IF(C107="","",C107-E107-G107-IF(H107="",0,H107))</f>
        <v/>
      </c>
      <c r="J107" s="56">
        <f>IF(C107="","",IF(ABS(I107)&lt;0.001,"KAPALI","KONTROL"))</f>
        <v/>
      </c>
      <c r="K107" s="65" t="n"/>
    </row>
    <row r="108" ht="15" customHeight="1">
      <c r="A108" s="60">
        <f>IF(B108="","",IFERROR(DATE(RIGHT(B108,4),MID(B108,4,2),LEFT(B108,2))+1,""))</f>
        <v/>
      </c>
      <c r="B108" s="56" t="n"/>
      <c r="C108" s="58">
        <f>IF(B108="","",IFERROR(INDEX('21 2026 ÜRETİM'!$F$2:$F$501,MATCH(B108,'21 2026 ÜRETİM'!$A$2:$A$501,0)),""))</f>
        <v/>
      </c>
      <c r="D108" s="56" t="n"/>
      <c r="E108" s="58">
        <f>IF(D108="","",D108*0.5)</f>
        <v/>
      </c>
      <c r="F108" s="56" t="n"/>
      <c r="G108" s="58">
        <f>IF(F108="","",F108*2.5)</f>
        <v/>
      </c>
      <c r="H108" s="56" t="n"/>
      <c r="I108" s="58">
        <f>IF(C108="","",C108-E108-G108-IF(H108="",0,H108))</f>
        <v/>
      </c>
      <c r="J108" s="56">
        <f>IF(C108="","",IF(ABS(I108)&lt;0.001,"KAPALI","KONTROL"))</f>
        <v/>
      </c>
      <c r="K108" s="65" t="n"/>
    </row>
    <row r="109" ht="15" customHeight="1">
      <c r="A109" s="60">
        <f>IF(B109="","",IFERROR(DATE(RIGHT(B109,4),MID(B109,4,2),LEFT(B109,2))+1,""))</f>
        <v/>
      </c>
      <c r="B109" s="56" t="n"/>
      <c r="C109" s="58">
        <f>IF(B109="","",IFERROR(INDEX('21 2026 ÜRETİM'!$F$2:$F$501,MATCH(B109,'21 2026 ÜRETİM'!$A$2:$A$501,0)),""))</f>
        <v/>
      </c>
      <c r="D109" s="56" t="n"/>
      <c r="E109" s="58">
        <f>IF(D109="","",D109*0.5)</f>
        <v/>
      </c>
      <c r="F109" s="56" t="n"/>
      <c r="G109" s="58">
        <f>IF(F109="","",F109*2.5)</f>
        <v/>
      </c>
      <c r="H109" s="56" t="n"/>
      <c r="I109" s="58">
        <f>IF(C109="","",C109-E109-G109-IF(H109="",0,H109))</f>
        <v/>
      </c>
      <c r="J109" s="56">
        <f>IF(C109="","",IF(ABS(I109)&lt;0.001,"KAPALI","KONTROL"))</f>
        <v/>
      </c>
      <c r="K109" s="65" t="n"/>
    </row>
    <row r="110" ht="15" customHeight="1">
      <c r="A110" s="60">
        <f>IF(B110="","",IFERROR(DATE(RIGHT(B110,4),MID(B110,4,2),LEFT(B110,2))+1,""))</f>
        <v/>
      </c>
      <c r="B110" s="56" t="n"/>
      <c r="C110" s="58">
        <f>IF(B110="","",IFERROR(INDEX('21 2026 ÜRETİM'!$F$2:$F$501,MATCH(B110,'21 2026 ÜRETİM'!$A$2:$A$501,0)),""))</f>
        <v/>
      </c>
      <c r="D110" s="56" t="n"/>
      <c r="E110" s="58">
        <f>IF(D110="","",D110*0.5)</f>
        <v/>
      </c>
      <c r="F110" s="56" t="n"/>
      <c r="G110" s="58">
        <f>IF(F110="","",F110*2.5)</f>
        <v/>
      </c>
      <c r="H110" s="56" t="n"/>
      <c r="I110" s="58">
        <f>IF(C110="","",C110-E110-G110-IF(H110="",0,H110))</f>
        <v/>
      </c>
      <c r="J110" s="56">
        <f>IF(C110="","",IF(ABS(I110)&lt;0.001,"KAPALI","KONTROL"))</f>
        <v/>
      </c>
      <c r="K110" s="65" t="n"/>
    </row>
    <row r="111" ht="15" customHeight="1">
      <c r="A111" s="60">
        <f>IF(B111="","",IFERROR(DATE(RIGHT(B111,4),MID(B111,4,2),LEFT(B111,2))+1,""))</f>
        <v/>
      </c>
      <c r="B111" s="56" t="n"/>
      <c r="C111" s="58">
        <f>IF(B111="","",IFERROR(INDEX('21 2026 ÜRETİM'!$F$2:$F$501,MATCH(B111,'21 2026 ÜRETİM'!$A$2:$A$501,0)),""))</f>
        <v/>
      </c>
      <c r="D111" s="56" t="n"/>
      <c r="E111" s="58">
        <f>IF(D111="","",D111*0.5)</f>
        <v/>
      </c>
      <c r="F111" s="56" t="n"/>
      <c r="G111" s="58">
        <f>IF(F111="","",F111*2.5)</f>
        <v/>
      </c>
      <c r="H111" s="56" t="n"/>
      <c r="I111" s="58">
        <f>IF(C111="","",C111-E111-G111-IF(H111="",0,H111))</f>
        <v/>
      </c>
      <c r="J111" s="56">
        <f>IF(C111="","",IF(ABS(I111)&lt;0.001,"KAPALI","KONTROL"))</f>
        <v/>
      </c>
      <c r="K111" s="65" t="n"/>
    </row>
    <row r="112" ht="15" customHeight="1">
      <c r="A112" s="60">
        <f>IF(B112="","",IFERROR(DATE(RIGHT(B112,4),MID(B112,4,2),LEFT(B112,2))+1,""))</f>
        <v/>
      </c>
      <c r="B112" s="56" t="n"/>
      <c r="C112" s="58">
        <f>IF(B112="","",IFERROR(INDEX('21 2026 ÜRETİM'!$F$2:$F$501,MATCH(B112,'21 2026 ÜRETİM'!$A$2:$A$501,0)),""))</f>
        <v/>
      </c>
      <c r="D112" s="56" t="n"/>
      <c r="E112" s="58">
        <f>IF(D112="","",D112*0.5)</f>
        <v/>
      </c>
      <c r="F112" s="56" t="n"/>
      <c r="G112" s="58">
        <f>IF(F112="","",F112*2.5)</f>
        <v/>
      </c>
      <c r="H112" s="56" t="n"/>
      <c r="I112" s="58">
        <f>IF(C112="","",C112-E112-G112-IF(H112="",0,H112))</f>
        <v/>
      </c>
      <c r="J112" s="56">
        <f>IF(C112="","",IF(ABS(I112)&lt;0.001,"KAPALI","KONTROL"))</f>
        <v/>
      </c>
      <c r="K112" s="65" t="n"/>
    </row>
    <row r="113" ht="15" customHeight="1">
      <c r="A113" s="60">
        <f>IF(B113="","",IFERROR(DATE(RIGHT(B113,4),MID(B113,4,2),LEFT(B113,2))+1,""))</f>
        <v/>
      </c>
      <c r="B113" s="56" t="n"/>
      <c r="C113" s="58">
        <f>IF(B113="","",IFERROR(INDEX('21 2026 ÜRETİM'!$F$2:$F$501,MATCH(B113,'21 2026 ÜRETİM'!$A$2:$A$501,0)),""))</f>
        <v/>
      </c>
      <c r="D113" s="56" t="n"/>
      <c r="E113" s="58">
        <f>IF(D113="","",D113*0.5)</f>
        <v/>
      </c>
      <c r="F113" s="56" t="n"/>
      <c r="G113" s="58">
        <f>IF(F113="","",F113*2.5)</f>
        <v/>
      </c>
      <c r="H113" s="56" t="n"/>
      <c r="I113" s="58">
        <f>IF(C113="","",C113-E113-G113-IF(H113="",0,H113))</f>
        <v/>
      </c>
      <c r="J113" s="56">
        <f>IF(C113="","",IF(ABS(I113)&lt;0.001,"KAPALI","KONTROL"))</f>
        <v/>
      </c>
      <c r="K113" s="65" t="n"/>
    </row>
    <row r="114" ht="15" customHeight="1">
      <c r="A114" s="60">
        <f>IF(B114="","",IFERROR(DATE(RIGHT(B114,4),MID(B114,4,2),LEFT(B114,2))+1,""))</f>
        <v/>
      </c>
      <c r="B114" s="56" t="n"/>
      <c r="C114" s="58">
        <f>IF(B114="","",IFERROR(INDEX('21 2026 ÜRETİM'!$F$2:$F$501,MATCH(B114,'21 2026 ÜRETİM'!$A$2:$A$501,0)),""))</f>
        <v/>
      </c>
      <c r="D114" s="56" t="n"/>
      <c r="E114" s="58">
        <f>IF(D114="","",D114*0.5)</f>
        <v/>
      </c>
      <c r="F114" s="56" t="n"/>
      <c r="G114" s="58">
        <f>IF(F114="","",F114*2.5)</f>
        <v/>
      </c>
      <c r="H114" s="56" t="n"/>
      <c r="I114" s="58">
        <f>IF(C114="","",C114-E114-G114-IF(H114="",0,H114))</f>
        <v/>
      </c>
      <c r="J114" s="56">
        <f>IF(C114="","",IF(ABS(I114)&lt;0.001,"KAPALI","KONTROL"))</f>
        <v/>
      </c>
      <c r="K114" s="65" t="n"/>
    </row>
    <row r="115" ht="15" customHeight="1">
      <c r="A115" s="60">
        <f>IF(B115="","",IFERROR(DATE(RIGHT(B115,4),MID(B115,4,2),LEFT(B115,2))+1,""))</f>
        <v/>
      </c>
      <c r="B115" s="56" t="n"/>
      <c r="C115" s="58">
        <f>IF(B115="","",IFERROR(INDEX('21 2026 ÜRETİM'!$F$2:$F$501,MATCH(B115,'21 2026 ÜRETİM'!$A$2:$A$501,0)),""))</f>
        <v/>
      </c>
      <c r="D115" s="56" t="n"/>
      <c r="E115" s="58">
        <f>IF(D115="","",D115*0.5)</f>
        <v/>
      </c>
      <c r="F115" s="56" t="n"/>
      <c r="G115" s="58">
        <f>IF(F115="","",F115*2.5)</f>
        <v/>
      </c>
      <c r="H115" s="56" t="n"/>
      <c r="I115" s="58">
        <f>IF(C115="","",C115-E115-G115-IF(H115="",0,H115))</f>
        <v/>
      </c>
      <c r="J115" s="56">
        <f>IF(C115="","",IF(ABS(I115)&lt;0.001,"KAPALI","KONTROL"))</f>
        <v/>
      </c>
      <c r="K115" s="65" t="n"/>
    </row>
    <row r="116" ht="15" customHeight="1">
      <c r="A116" s="60">
        <f>IF(B116="","",IFERROR(DATE(RIGHT(B116,4),MID(B116,4,2),LEFT(B116,2))+1,""))</f>
        <v/>
      </c>
      <c r="B116" s="56" t="n"/>
      <c r="C116" s="58">
        <f>IF(B116="","",IFERROR(INDEX('21 2026 ÜRETİM'!$F$2:$F$501,MATCH(B116,'21 2026 ÜRETİM'!$A$2:$A$501,0)),""))</f>
        <v/>
      </c>
      <c r="D116" s="56" t="n"/>
      <c r="E116" s="58">
        <f>IF(D116="","",D116*0.5)</f>
        <v/>
      </c>
      <c r="F116" s="56" t="n"/>
      <c r="G116" s="58">
        <f>IF(F116="","",F116*2.5)</f>
        <v/>
      </c>
      <c r="H116" s="56" t="n"/>
      <c r="I116" s="58">
        <f>IF(C116="","",C116-E116-G116-IF(H116="",0,H116))</f>
        <v/>
      </c>
      <c r="J116" s="56">
        <f>IF(C116="","",IF(ABS(I116)&lt;0.001,"KAPALI","KONTROL"))</f>
        <v/>
      </c>
      <c r="K116" s="65" t="n"/>
    </row>
    <row r="117" ht="15" customHeight="1">
      <c r="A117" s="60">
        <f>IF(B117="","",IFERROR(DATE(RIGHT(B117,4),MID(B117,4,2),LEFT(B117,2))+1,""))</f>
        <v/>
      </c>
      <c r="B117" s="56" t="n"/>
      <c r="C117" s="58">
        <f>IF(B117="","",IFERROR(INDEX('21 2026 ÜRETİM'!$F$2:$F$501,MATCH(B117,'21 2026 ÜRETİM'!$A$2:$A$501,0)),""))</f>
        <v/>
      </c>
      <c r="D117" s="56" t="n"/>
      <c r="E117" s="58">
        <f>IF(D117="","",D117*0.5)</f>
        <v/>
      </c>
      <c r="F117" s="56" t="n"/>
      <c r="G117" s="58">
        <f>IF(F117="","",F117*2.5)</f>
        <v/>
      </c>
      <c r="H117" s="56" t="n"/>
      <c r="I117" s="58">
        <f>IF(C117="","",C117-E117-G117-IF(H117="",0,H117))</f>
        <v/>
      </c>
      <c r="J117" s="56">
        <f>IF(C117="","",IF(ABS(I117)&lt;0.001,"KAPALI","KONTROL"))</f>
        <v/>
      </c>
      <c r="K117" s="65" t="n"/>
    </row>
    <row r="118" ht="15" customHeight="1">
      <c r="A118" s="60">
        <f>IF(B118="","",IFERROR(DATE(RIGHT(B118,4),MID(B118,4,2),LEFT(B118,2))+1,""))</f>
        <v/>
      </c>
      <c r="B118" s="56" t="n"/>
      <c r="C118" s="58">
        <f>IF(B118="","",IFERROR(INDEX('21 2026 ÜRETİM'!$F$2:$F$501,MATCH(B118,'21 2026 ÜRETİM'!$A$2:$A$501,0)),""))</f>
        <v/>
      </c>
      <c r="D118" s="56" t="n"/>
      <c r="E118" s="58">
        <f>IF(D118="","",D118*0.5)</f>
        <v/>
      </c>
      <c r="F118" s="56" t="n"/>
      <c r="G118" s="58">
        <f>IF(F118="","",F118*2.5)</f>
        <v/>
      </c>
      <c r="H118" s="56" t="n"/>
      <c r="I118" s="58">
        <f>IF(C118="","",C118-E118-G118-IF(H118="",0,H118))</f>
        <v/>
      </c>
      <c r="J118" s="56">
        <f>IF(C118="","",IF(ABS(I118)&lt;0.001,"KAPALI","KONTROL"))</f>
        <v/>
      </c>
      <c r="K118" s="65" t="n"/>
    </row>
    <row r="119" ht="15" customHeight="1">
      <c r="A119" s="60">
        <f>IF(B119="","",IFERROR(DATE(RIGHT(B119,4),MID(B119,4,2),LEFT(B119,2))+1,""))</f>
        <v/>
      </c>
      <c r="B119" s="56" t="n"/>
      <c r="C119" s="58">
        <f>IF(B119="","",IFERROR(INDEX('21 2026 ÜRETİM'!$F$2:$F$501,MATCH(B119,'21 2026 ÜRETİM'!$A$2:$A$501,0)),""))</f>
        <v/>
      </c>
      <c r="D119" s="56" t="n"/>
      <c r="E119" s="58">
        <f>IF(D119="","",D119*0.5)</f>
        <v/>
      </c>
      <c r="F119" s="56" t="n"/>
      <c r="G119" s="58">
        <f>IF(F119="","",F119*2.5)</f>
        <v/>
      </c>
      <c r="H119" s="56" t="n"/>
      <c r="I119" s="58">
        <f>IF(C119="","",C119-E119-G119-IF(H119="",0,H119))</f>
        <v/>
      </c>
      <c r="J119" s="56">
        <f>IF(C119="","",IF(ABS(I119)&lt;0.001,"KAPALI","KONTROL"))</f>
        <v/>
      </c>
      <c r="K119" s="65" t="n"/>
    </row>
    <row r="120" ht="15" customHeight="1">
      <c r="A120" s="60">
        <f>IF(B120="","",IFERROR(DATE(RIGHT(B120,4),MID(B120,4,2),LEFT(B120,2))+1,""))</f>
        <v/>
      </c>
      <c r="B120" s="56" t="n"/>
      <c r="C120" s="58">
        <f>IF(B120="","",IFERROR(INDEX('21 2026 ÜRETİM'!$F$2:$F$501,MATCH(B120,'21 2026 ÜRETİM'!$A$2:$A$501,0)),""))</f>
        <v/>
      </c>
      <c r="D120" s="56" t="n"/>
      <c r="E120" s="58">
        <f>IF(D120="","",D120*0.5)</f>
        <v/>
      </c>
      <c r="F120" s="56" t="n"/>
      <c r="G120" s="58">
        <f>IF(F120="","",F120*2.5)</f>
        <v/>
      </c>
      <c r="H120" s="56" t="n"/>
      <c r="I120" s="58">
        <f>IF(C120="","",C120-E120-G120-IF(H120="",0,H120))</f>
        <v/>
      </c>
      <c r="J120" s="56">
        <f>IF(C120="","",IF(ABS(I120)&lt;0.001,"KAPALI","KONTROL"))</f>
        <v/>
      </c>
      <c r="K120" s="65" t="n"/>
    </row>
    <row r="121" ht="15" customHeight="1">
      <c r="A121" s="60">
        <f>IF(B121="","",IFERROR(DATE(RIGHT(B121,4),MID(B121,4,2),LEFT(B121,2))+1,""))</f>
        <v/>
      </c>
      <c r="B121" s="56" t="n"/>
      <c r="C121" s="58">
        <f>IF(B121="","",IFERROR(INDEX('21 2026 ÜRETİM'!$F$2:$F$501,MATCH(B121,'21 2026 ÜRETİM'!$A$2:$A$501,0)),""))</f>
        <v/>
      </c>
      <c r="D121" s="56" t="n"/>
      <c r="E121" s="58">
        <f>IF(D121="","",D121*0.5)</f>
        <v/>
      </c>
      <c r="F121" s="56" t="n"/>
      <c r="G121" s="58">
        <f>IF(F121="","",F121*2.5)</f>
        <v/>
      </c>
      <c r="H121" s="56" t="n"/>
      <c r="I121" s="58">
        <f>IF(C121="","",C121-E121-G121-IF(H121="",0,H121))</f>
        <v/>
      </c>
      <c r="J121" s="56">
        <f>IF(C121="","",IF(ABS(I121)&lt;0.001,"KAPALI","KONTROL"))</f>
        <v/>
      </c>
      <c r="K121" s="65" t="n"/>
    </row>
    <row r="122" ht="15" customHeight="1">
      <c r="A122" s="60">
        <f>IF(B122="","",IFERROR(DATE(RIGHT(B122,4),MID(B122,4,2),LEFT(B122,2))+1,""))</f>
        <v/>
      </c>
      <c r="B122" s="56" t="n"/>
      <c r="C122" s="58">
        <f>IF(B122="","",IFERROR(INDEX('21 2026 ÜRETİM'!$F$2:$F$501,MATCH(B122,'21 2026 ÜRETİM'!$A$2:$A$501,0)),""))</f>
        <v/>
      </c>
      <c r="D122" s="56" t="n"/>
      <c r="E122" s="58">
        <f>IF(D122="","",D122*0.5)</f>
        <v/>
      </c>
      <c r="F122" s="56" t="n"/>
      <c r="G122" s="58">
        <f>IF(F122="","",F122*2.5)</f>
        <v/>
      </c>
      <c r="H122" s="56" t="n"/>
      <c r="I122" s="58">
        <f>IF(C122="","",C122-E122-G122-IF(H122="",0,H122))</f>
        <v/>
      </c>
      <c r="J122" s="56">
        <f>IF(C122="","",IF(ABS(I122)&lt;0.001,"KAPALI","KONTROL"))</f>
        <v/>
      </c>
      <c r="K122" s="65" t="n"/>
    </row>
    <row r="123" ht="15" customHeight="1">
      <c r="A123" s="60">
        <f>IF(B123="","",IFERROR(DATE(RIGHT(B123,4),MID(B123,4,2),LEFT(B123,2))+1,""))</f>
        <v/>
      </c>
      <c r="B123" s="56" t="n"/>
      <c r="C123" s="58">
        <f>IF(B123="","",IFERROR(INDEX('21 2026 ÜRETİM'!$F$2:$F$501,MATCH(B123,'21 2026 ÜRETİM'!$A$2:$A$501,0)),""))</f>
        <v/>
      </c>
      <c r="D123" s="56" t="n"/>
      <c r="E123" s="58">
        <f>IF(D123="","",D123*0.5)</f>
        <v/>
      </c>
      <c r="F123" s="56" t="n"/>
      <c r="G123" s="58">
        <f>IF(F123="","",F123*2.5)</f>
        <v/>
      </c>
      <c r="H123" s="56" t="n"/>
      <c r="I123" s="58">
        <f>IF(C123="","",C123-E123-G123-IF(H123="",0,H123))</f>
        <v/>
      </c>
      <c r="J123" s="56">
        <f>IF(C123="","",IF(ABS(I123)&lt;0.001,"KAPALI","KONTROL"))</f>
        <v/>
      </c>
      <c r="K123" s="65" t="n"/>
    </row>
    <row r="124" ht="15" customHeight="1">
      <c r="A124" s="60">
        <f>IF(B124="","",IFERROR(DATE(RIGHT(B124,4),MID(B124,4,2),LEFT(B124,2))+1,""))</f>
        <v/>
      </c>
      <c r="B124" s="56" t="n"/>
      <c r="C124" s="58">
        <f>IF(B124="","",IFERROR(INDEX('21 2026 ÜRETİM'!$F$2:$F$501,MATCH(B124,'21 2026 ÜRETİM'!$A$2:$A$501,0)),""))</f>
        <v/>
      </c>
      <c r="D124" s="56" t="n"/>
      <c r="E124" s="58">
        <f>IF(D124="","",D124*0.5)</f>
        <v/>
      </c>
      <c r="F124" s="56" t="n"/>
      <c r="G124" s="58">
        <f>IF(F124="","",F124*2.5)</f>
        <v/>
      </c>
      <c r="H124" s="56" t="n"/>
      <c r="I124" s="58">
        <f>IF(C124="","",C124-E124-G124-IF(H124="",0,H124))</f>
        <v/>
      </c>
      <c r="J124" s="56">
        <f>IF(C124="","",IF(ABS(I124)&lt;0.001,"KAPALI","KONTROL"))</f>
        <v/>
      </c>
      <c r="K124" s="65" t="n"/>
    </row>
    <row r="125" ht="15" customHeight="1">
      <c r="A125" s="60">
        <f>IF(B125="","",IFERROR(DATE(RIGHT(B125,4),MID(B125,4,2),LEFT(B125,2))+1,""))</f>
        <v/>
      </c>
      <c r="B125" s="56" t="n"/>
      <c r="C125" s="58">
        <f>IF(B125="","",IFERROR(INDEX('21 2026 ÜRETİM'!$F$2:$F$501,MATCH(B125,'21 2026 ÜRETİM'!$A$2:$A$501,0)),""))</f>
        <v/>
      </c>
      <c r="D125" s="56" t="n"/>
      <c r="E125" s="58">
        <f>IF(D125="","",D125*0.5)</f>
        <v/>
      </c>
      <c r="F125" s="56" t="n"/>
      <c r="G125" s="58">
        <f>IF(F125="","",F125*2.5)</f>
        <v/>
      </c>
      <c r="H125" s="56" t="n"/>
      <c r="I125" s="58">
        <f>IF(C125="","",C125-E125-G125-IF(H125="",0,H125))</f>
        <v/>
      </c>
      <c r="J125" s="56">
        <f>IF(C125="","",IF(ABS(I125)&lt;0.001,"KAPALI","KONTROL"))</f>
        <v/>
      </c>
      <c r="K125" s="65" t="n"/>
    </row>
    <row r="126" ht="15" customHeight="1">
      <c r="A126" s="60">
        <f>IF(B126="","",IFERROR(DATE(RIGHT(B126,4),MID(B126,4,2),LEFT(B126,2))+1,""))</f>
        <v/>
      </c>
      <c r="B126" s="56" t="n"/>
      <c r="C126" s="58">
        <f>IF(B126="","",IFERROR(INDEX('21 2026 ÜRETİM'!$F$2:$F$501,MATCH(B126,'21 2026 ÜRETİM'!$A$2:$A$501,0)),""))</f>
        <v/>
      </c>
      <c r="D126" s="56" t="n"/>
      <c r="E126" s="58">
        <f>IF(D126="","",D126*0.5)</f>
        <v/>
      </c>
      <c r="F126" s="56" t="n"/>
      <c r="G126" s="58">
        <f>IF(F126="","",F126*2.5)</f>
        <v/>
      </c>
      <c r="H126" s="56" t="n"/>
      <c r="I126" s="58">
        <f>IF(C126="","",C126-E126-G126-IF(H126="",0,H126))</f>
        <v/>
      </c>
      <c r="J126" s="56">
        <f>IF(C126="","",IF(ABS(I126)&lt;0.001,"KAPALI","KONTROL"))</f>
        <v/>
      </c>
      <c r="K126" s="65" t="n"/>
    </row>
    <row r="127" ht="15" customHeight="1">
      <c r="A127" s="60">
        <f>IF(B127="","",IFERROR(DATE(RIGHT(B127,4),MID(B127,4,2),LEFT(B127,2))+1,""))</f>
        <v/>
      </c>
      <c r="B127" s="56" t="n"/>
      <c r="C127" s="58">
        <f>IF(B127="","",IFERROR(INDEX('21 2026 ÜRETİM'!$F$2:$F$501,MATCH(B127,'21 2026 ÜRETİM'!$A$2:$A$501,0)),""))</f>
        <v/>
      </c>
      <c r="D127" s="56" t="n"/>
      <c r="E127" s="58">
        <f>IF(D127="","",D127*0.5)</f>
        <v/>
      </c>
      <c r="F127" s="56" t="n"/>
      <c r="G127" s="58">
        <f>IF(F127="","",F127*2.5)</f>
        <v/>
      </c>
      <c r="H127" s="56" t="n"/>
      <c r="I127" s="58">
        <f>IF(C127="","",C127-E127-G127-IF(H127="",0,H127))</f>
        <v/>
      </c>
      <c r="J127" s="56">
        <f>IF(C127="","",IF(ABS(I127)&lt;0.001,"KAPALI","KONTROL"))</f>
        <v/>
      </c>
      <c r="K127" s="65" t="n"/>
    </row>
    <row r="128" ht="15" customHeight="1">
      <c r="A128" s="60">
        <f>IF(B128="","",IFERROR(DATE(RIGHT(B128,4),MID(B128,4,2),LEFT(B128,2))+1,""))</f>
        <v/>
      </c>
      <c r="B128" s="56" t="n"/>
      <c r="C128" s="58">
        <f>IF(B128="","",IFERROR(INDEX('21 2026 ÜRETİM'!$F$2:$F$501,MATCH(B128,'21 2026 ÜRETİM'!$A$2:$A$501,0)),""))</f>
        <v/>
      </c>
      <c r="D128" s="56" t="n"/>
      <c r="E128" s="58">
        <f>IF(D128="","",D128*0.5)</f>
        <v/>
      </c>
      <c r="F128" s="56" t="n"/>
      <c r="G128" s="58">
        <f>IF(F128="","",F128*2.5)</f>
        <v/>
      </c>
      <c r="H128" s="56" t="n"/>
      <c r="I128" s="58">
        <f>IF(C128="","",C128-E128-G128-IF(H128="",0,H128))</f>
        <v/>
      </c>
      <c r="J128" s="56">
        <f>IF(C128="","",IF(ABS(I128)&lt;0.001,"KAPALI","KONTROL"))</f>
        <v/>
      </c>
      <c r="K128" s="65" t="n"/>
    </row>
    <row r="129" ht="15" customHeight="1">
      <c r="A129" s="60">
        <f>IF(B129="","",IFERROR(DATE(RIGHT(B129,4),MID(B129,4,2),LEFT(B129,2))+1,""))</f>
        <v/>
      </c>
      <c r="B129" s="56" t="n"/>
      <c r="C129" s="58">
        <f>IF(B129="","",IFERROR(INDEX('21 2026 ÜRETİM'!$F$2:$F$501,MATCH(B129,'21 2026 ÜRETİM'!$A$2:$A$501,0)),""))</f>
        <v/>
      </c>
      <c r="D129" s="56" t="n"/>
      <c r="E129" s="58">
        <f>IF(D129="","",D129*0.5)</f>
        <v/>
      </c>
      <c r="F129" s="56" t="n"/>
      <c r="G129" s="58">
        <f>IF(F129="","",F129*2.5)</f>
        <v/>
      </c>
      <c r="H129" s="56" t="n"/>
      <c r="I129" s="58">
        <f>IF(C129="","",C129-E129-G129-IF(H129="",0,H129))</f>
        <v/>
      </c>
      <c r="J129" s="56">
        <f>IF(C129="","",IF(ABS(I129)&lt;0.001,"KAPALI","KONTROL"))</f>
        <v/>
      </c>
      <c r="K129" s="65" t="n"/>
    </row>
    <row r="130" ht="15" customHeight="1">
      <c r="A130" s="60">
        <f>IF(B130="","",IFERROR(DATE(RIGHT(B130,4),MID(B130,4,2),LEFT(B130,2))+1,""))</f>
        <v/>
      </c>
      <c r="B130" s="56" t="n"/>
      <c r="C130" s="58">
        <f>IF(B130="","",IFERROR(INDEX('21 2026 ÜRETİM'!$F$2:$F$501,MATCH(B130,'21 2026 ÜRETİM'!$A$2:$A$501,0)),""))</f>
        <v/>
      </c>
      <c r="D130" s="56" t="n"/>
      <c r="E130" s="58">
        <f>IF(D130="","",D130*0.5)</f>
        <v/>
      </c>
      <c r="F130" s="56" t="n"/>
      <c r="G130" s="58">
        <f>IF(F130="","",F130*2.5)</f>
        <v/>
      </c>
      <c r="H130" s="56" t="n"/>
      <c r="I130" s="58">
        <f>IF(C130="","",C130-E130-G130-IF(H130="",0,H130))</f>
        <v/>
      </c>
      <c r="J130" s="56">
        <f>IF(C130="","",IF(ABS(I130)&lt;0.001,"KAPALI","KONTROL"))</f>
        <v/>
      </c>
      <c r="K130" s="65" t="n"/>
    </row>
    <row r="131" ht="15" customHeight="1">
      <c r="A131" s="60">
        <f>IF(B131="","",IFERROR(DATE(RIGHT(B131,4),MID(B131,4,2),LEFT(B131,2))+1,""))</f>
        <v/>
      </c>
      <c r="B131" s="56" t="n"/>
      <c r="C131" s="58">
        <f>IF(B131="","",IFERROR(INDEX('21 2026 ÜRETİM'!$F$2:$F$501,MATCH(B131,'21 2026 ÜRETİM'!$A$2:$A$501,0)),""))</f>
        <v/>
      </c>
      <c r="D131" s="56" t="n"/>
      <c r="E131" s="58">
        <f>IF(D131="","",D131*0.5)</f>
        <v/>
      </c>
      <c r="F131" s="56" t="n"/>
      <c r="G131" s="58">
        <f>IF(F131="","",F131*2.5)</f>
        <v/>
      </c>
      <c r="H131" s="56" t="n"/>
      <c r="I131" s="58">
        <f>IF(C131="","",C131-E131-G131-IF(H131="",0,H131))</f>
        <v/>
      </c>
      <c r="J131" s="56">
        <f>IF(C131="","",IF(ABS(I131)&lt;0.001,"KAPALI","KONTROL"))</f>
        <v/>
      </c>
      <c r="K131" s="65" t="n"/>
    </row>
    <row r="132" ht="15" customHeight="1">
      <c r="A132" s="60">
        <f>IF(B132="","",IFERROR(DATE(RIGHT(B132,4),MID(B132,4,2),LEFT(B132,2))+1,""))</f>
        <v/>
      </c>
      <c r="B132" s="56" t="n"/>
      <c r="C132" s="58">
        <f>IF(B132="","",IFERROR(INDEX('21 2026 ÜRETİM'!$F$2:$F$501,MATCH(B132,'21 2026 ÜRETİM'!$A$2:$A$501,0)),""))</f>
        <v/>
      </c>
      <c r="D132" s="56" t="n"/>
      <c r="E132" s="58">
        <f>IF(D132="","",D132*0.5)</f>
        <v/>
      </c>
      <c r="F132" s="56" t="n"/>
      <c r="G132" s="58">
        <f>IF(F132="","",F132*2.5)</f>
        <v/>
      </c>
      <c r="H132" s="56" t="n"/>
      <c r="I132" s="58">
        <f>IF(C132="","",C132-E132-G132-IF(H132="",0,H132))</f>
        <v/>
      </c>
      <c r="J132" s="56">
        <f>IF(C132="","",IF(ABS(I132)&lt;0.001,"KAPALI","KONTROL"))</f>
        <v/>
      </c>
      <c r="K132" s="65" t="n"/>
    </row>
    <row r="133" ht="15" customHeight="1">
      <c r="A133" s="60">
        <f>IF(B133="","",IFERROR(DATE(RIGHT(B133,4),MID(B133,4,2),LEFT(B133,2))+1,""))</f>
        <v/>
      </c>
      <c r="B133" s="56" t="n"/>
      <c r="C133" s="58">
        <f>IF(B133="","",IFERROR(INDEX('21 2026 ÜRETİM'!$F$2:$F$501,MATCH(B133,'21 2026 ÜRETİM'!$A$2:$A$501,0)),""))</f>
        <v/>
      </c>
      <c r="D133" s="56" t="n"/>
      <c r="E133" s="58">
        <f>IF(D133="","",D133*0.5)</f>
        <v/>
      </c>
      <c r="F133" s="56" t="n"/>
      <c r="G133" s="58">
        <f>IF(F133="","",F133*2.5)</f>
        <v/>
      </c>
      <c r="H133" s="56" t="n"/>
      <c r="I133" s="58">
        <f>IF(C133="","",C133-E133-G133-IF(H133="",0,H133))</f>
        <v/>
      </c>
      <c r="J133" s="56">
        <f>IF(C133="","",IF(ABS(I133)&lt;0.001,"KAPALI","KONTROL"))</f>
        <v/>
      </c>
      <c r="K133" s="65" t="n"/>
    </row>
    <row r="134" ht="15" customHeight="1">
      <c r="A134" s="60">
        <f>IF(B134="","",IFERROR(DATE(RIGHT(B134,4),MID(B134,4,2),LEFT(B134,2))+1,""))</f>
        <v/>
      </c>
      <c r="B134" s="56" t="n"/>
      <c r="C134" s="58">
        <f>IF(B134="","",IFERROR(INDEX('21 2026 ÜRETİM'!$F$2:$F$501,MATCH(B134,'21 2026 ÜRETİM'!$A$2:$A$501,0)),""))</f>
        <v/>
      </c>
      <c r="D134" s="56" t="n"/>
      <c r="E134" s="58">
        <f>IF(D134="","",D134*0.5)</f>
        <v/>
      </c>
      <c r="F134" s="56" t="n"/>
      <c r="G134" s="58">
        <f>IF(F134="","",F134*2.5)</f>
        <v/>
      </c>
      <c r="H134" s="56" t="n"/>
      <c r="I134" s="58">
        <f>IF(C134="","",C134-E134-G134-IF(H134="",0,H134))</f>
        <v/>
      </c>
      <c r="J134" s="56">
        <f>IF(C134="","",IF(ABS(I134)&lt;0.001,"KAPALI","KONTROL"))</f>
        <v/>
      </c>
      <c r="K134" s="65" t="n"/>
    </row>
    <row r="135" ht="15" customHeight="1">
      <c r="A135" s="60">
        <f>IF(B135="","",IFERROR(DATE(RIGHT(B135,4),MID(B135,4,2),LEFT(B135,2))+1,""))</f>
        <v/>
      </c>
      <c r="B135" s="56" t="n"/>
      <c r="C135" s="58">
        <f>IF(B135="","",IFERROR(INDEX('21 2026 ÜRETİM'!$F$2:$F$501,MATCH(B135,'21 2026 ÜRETİM'!$A$2:$A$501,0)),""))</f>
        <v/>
      </c>
      <c r="D135" s="56" t="n"/>
      <c r="E135" s="58">
        <f>IF(D135="","",D135*0.5)</f>
        <v/>
      </c>
      <c r="F135" s="56" t="n"/>
      <c r="G135" s="58">
        <f>IF(F135="","",F135*2.5)</f>
        <v/>
      </c>
      <c r="H135" s="56" t="n"/>
      <c r="I135" s="58">
        <f>IF(C135="","",C135-E135-G135-IF(H135="",0,H135))</f>
        <v/>
      </c>
      <c r="J135" s="56">
        <f>IF(C135="","",IF(ABS(I135)&lt;0.001,"KAPALI","KONTROL"))</f>
        <v/>
      </c>
      <c r="K135" s="65" t="n"/>
    </row>
    <row r="136" ht="15" customHeight="1">
      <c r="A136" s="60">
        <f>IF(B136="","",IFERROR(DATE(RIGHT(B136,4),MID(B136,4,2),LEFT(B136,2))+1,""))</f>
        <v/>
      </c>
      <c r="B136" s="56" t="n"/>
      <c r="C136" s="58">
        <f>IF(B136="","",IFERROR(INDEX('21 2026 ÜRETİM'!$F$2:$F$501,MATCH(B136,'21 2026 ÜRETİM'!$A$2:$A$501,0)),""))</f>
        <v/>
      </c>
      <c r="D136" s="56" t="n"/>
      <c r="E136" s="58">
        <f>IF(D136="","",D136*0.5)</f>
        <v/>
      </c>
      <c r="F136" s="56" t="n"/>
      <c r="G136" s="58">
        <f>IF(F136="","",F136*2.5)</f>
        <v/>
      </c>
      <c r="H136" s="56" t="n"/>
      <c r="I136" s="58">
        <f>IF(C136="","",C136-E136-G136-IF(H136="",0,H136))</f>
        <v/>
      </c>
      <c r="J136" s="56">
        <f>IF(C136="","",IF(ABS(I136)&lt;0.001,"KAPALI","KONTROL"))</f>
        <v/>
      </c>
      <c r="K136" s="65" t="n"/>
    </row>
    <row r="137" ht="15" customHeight="1">
      <c r="A137" s="60">
        <f>IF(B137="","",IFERROR(DATE(RIGHT(B137,4),MID(B137,4,2),LEFT(B137,2))+1,""))</f>
        <v/>
      </c>
      <c r="B137" s="56" t="n"/>
      <c r="C137" s="58">
        <f>IF(B137="","",IFERROR(INDEX('21 2026 ÜRETİM'!$F$2:$F$501,MATCH(B137,'21 2026 ÜRETİM'!$A$2:$A$501,0)),""))</f>
        <v/>
      </c>
      <c r="D137" s="56" t="n"/>
      <c r="E137" s="58">
        <f>IF(D137="","",D137*0.5)</f>
        <v/>
      </c>
      <c r="F137" s="56" t="n"/>
      <c r="G137" s="58">
        <f>IF(F137="","",F137*2.5)</f>
        <v/>
      </c>
      <c r="H137" s="56" t="n"/>
      <c r="I137" s="58">
        <f>IF(C137="","",C137-E137-G137-IF(H137="",0,H137))</f>
        <v/>
      </c>
      <c r="J137" s="56">
        <f>IF(C137="","",IF(ABS(I137)&lt;0.001,"KAPALI","KONTROL"))</f>
        <v/>
      </c>
      <c r="K137" s="65" t="n"/>
    </row>
    <row r="138" ht="15" customHeight="1">
      <c r="A138" s="60">
        <f>IF(B138="","",IFERROR(DATE(RIGHT(B138,4),MID(B138,4,2),LEFT(B138,2))+1,""))</f>
        <v/>
      </c>
      <c r="B138" s="56" t="n"/>
      <c r="C138" s="58">
        <f>IF(B138="","",IFERROR(INDEX('21 2026 ÜRETİM'!$F$2:$F$501,MATCH(B138,'21 2026 ÜRETİM'!$A$2:$A$501,0)),""))</f>
        <v/>
      </c>
      <c r="D138" s="56" t="n"/>
      <c r="E138" s="58">
        <f>IF(D138="","",D138*0.5)</f>
        <v/>
      </c>
      <c r="F138" s="56" t="n"/>
      <c r="G138" s="58">
        <f>IF(F138="","",F138*2.5)</f>
        <v/>
      </c>
      <c r="H138" s="56" t="n"/>
      <c r="I138" s="58">
        <f>IF(C138="","",C138-E138-G138-IF(H138="",0,H138))</f>
        <v/>
      </c>
      <c r="J138" s="56">
        <f>IF(C138="","",IF(ABS(I138)&lt;0.001,"KAPALI","KONTROL"))</f>
        <v/>
      </c>
      <c r="K138" s="65" t="n"/>
    </row>
    <row r="139" ht="15" customHeight="1">
      <c r="A139" s="60">
        <f>IF(B139="","",IFERROR(DATE(RIGHT(B139,4),MID(B139,4,2),LEFT(B139,2))+1,""))</f>
        <v/>
      </c>
      <c r="B139" s="56" t="n"/>
      <c r="C139" s="58">
        <f>IF(B139="","",IFERROR(INDEX('21 2026 ÜRETİM'!$F$2:$F$501,MATCH(B139,'21 2026 ÜRETİM'!$A$2:$A$501,0)),""))</f>
        <v/>
      </c>
      <c r="D139" s="56" t="n"/>
      <c r="E139" s="58">
        <f>IF(D139="","",D139*0.5)</f>
        <v/>
      </c>
      <c r="F139" s="56" t="n"/>
      <c r="G139" s="58">
        <f>IF(F139="","",F139*2.5)</f>
        <v/>
      </c>
      <c r="H139" s="56" t="n"/>
      <c r="I139" s="58">
        <f>IF(C139="","",C139-E139-G139-IF(H139="",0,H139))</f>
        <v/>
      </c>
      <c r="J139" s="56">
        <f>IF(C139="","",IF(ABS(I139)&lt;0.001,"KAPALI","KONTROL"))</f>
        <v/>
      </c>
      <c r="K139" s="65" t="n"/>
    </row>
    <row r="140" ht="15" customHeight="1">
      <c r="A140" s="60">
        <f>IF(B140="","",IFERROR(DATE(RIGHT(B140,4),MID(B140,4,2),LEFT(B140,2))+1,""))</f>
        <v/>
      </c>
      <c r="B140" s="56" t="n"/>
      <c r="C140" s="58">
        <f>IF(B140="","",IFERROR(INDEX('21 2026 ÜRETİM'!$F$2:$F$501,MATCH(B140,'21 2026 ÜRETİM'!$A$2:$A$501,0)),""))</f>
        <v/>
      </c>
      <c r="D140" s="56" t="n"/>
      <c r="E140" s="58">
        <f>IF(D140="","",D140*0.5)</f>
        <v/>
      </c>
      <c r="F140" s="56" t="n"/>
      <c r="G140" s="58">
        <f>IF(F140="","",F140*2.5)</f>
        <v/>
      </c>
      <c r="H140" s="56" t="n"/>
      <c r="I140" s="58">
        <f>IF(C140="","",C140-E140-G140-IF(H140="",0,H140))</f>
        <v/>
      </c>
      <c r="J140" s="56">
        <f>IF(C140="","",IF(ABS(I140)&lt;0.001,"KAPALI","KONTROL"))</f>
        <v/>
      </c>
      <c r="K140" s="65" t="n"/>
    </row>
    <row r="141" ht="15" customHeight="1">
      <c r="A141" s="60">
        <f>IF(B141="","",IFERROR(DATE(RIGHT(B141,4),MID(B141,4,2),LEFT(B141,2))+1,""))</f>
        <v/>
      </c>
      <c r="B141" s="56" t="n"/>
      <c r="C141" s="58">
        <f>IF(B141="","",IFERROR(INDEX('21 2026 ÜRETİM'!$F$2:$F$501,MATCH(B141,'21 2026 ÜRETİM'!$A$2:$A$501,0)),""))</f>
        <v/>
      </c>
      <c r="D141" s="56" t="n"/>
      <c r="E141" s="58">
        <f>IF(D141="","",D141*0.5)</f>
        <v/>
      </c>
      <c r="F141" s="56" t="n"/>
      <c r="G141" s="58">
        <f>IF(F141="","",F141*2.5)</f>
        <v/>
      </c>
      <c r="H141" s="56" t="n"/>
      <c r="I141" s="58">
        <f>IF(C141="","",C141-E141-G141-IF(H141="",0,H141))</f>
        <v/>
      </c>
      <c r="J141" s="56">
        <f>IF(C141="","",IF(ABS(I141)&lt;0.001,"KAPALI","KONTROL"))</f>
        <v/>
      </c>
      <c r="K141" s="65" t="n"/>
    </row>
    <row r="142" ht="15" customHeight="1">
      <c r="A142" s="60">
        <f>IF(B142="","",IFERROR(DATE(RIGHT(B142,4),MID(B142,4,2),LEFT(B142,2))+1,""))</f>
        <v/>
      </c>
      <c r="B142" s="56" t="n"/>
      <c r="C142" s="58">
        <f>IF(B142="","",IFERROR(INDEX('21 2026 ÜRETİM'!$F$2:$F$501,MATCH(B142,'21 2026 ÜRETİM'!$A$2:$A$501,0)),""))</f>
        <v/>
      </c>
      <c r="D142" s="56" t="n"/>
      <c r="E142" s="58">
        <f>IF(D142="","",D142*0.5)</f>
        <v/>
      </c>
      <c r="F142" s="56" t="n"/>
      <c r="G142" s="58">
        <f>IF(F142="","",F142*2.5)</f>
        <v/>
      </c>
      <c r="H142" s="56" t="n"/>
      <c r="I142" s="58">
        <f>IF(C142="","",C142-E142-G142-IF(H142="",0,H142))</f>
        <v/>
      </c>
      <c r="J142" s="56">
        <f>IF(C142="","",IF(ABS(I142)&lt;0.001,"KAPALI","KONTROL"))</f>
        <v/>
      </c>
      <c r="K142" s="65" t="n"/>
    </row>
    <row r="143" ht="15" customHeight="1">
      <c r="A143" s="60">
        <f>IF(B143="","",IFERROR(DATE(RIGHT(B143,4),MID(B143,4,2),LEFT(B143,2))+1,""))</f>
        <v/>
      </c>
      <c r="B143" s="56" t="n"/>
      <c r="C143" s="58">
        <f>IF(B143="","",IFERROR(INDEX('21 2026 ÜRETİM'!$F$2:$F$501,MATCH(B143,'21 2026 ÜRETİM'!$A$2:$A$501,0)),""))</f>
        <v/>
      </c>
      <c r="D143" s="56" t="n"/>
      <c r="E143" s="58">
        <f>IF(D143="","",D143*0.5)</f>
        <v/>
      </c>
      <c r="F143" s="56" t="n"/>
      <c r="G143" s="58">
        <f>IF(F143="","",F143*2.5)</f>
        <v/>
      </c>
      <c r="H143" s="56" t="n"/>
      <c r="I143" s="58">
        <f>IF(C143="","",C143-E143-G143-IF(H143="",0,H143))</f>
        <v/>
      </c>
      <c r="J143" s="56">
        <f>IF(C143="","",IF(ABS(I143)&lt;0.001,"KAPALI","KONTROL"))</f>
        <v/>
      </c>
      <c r="K143" s="65" t="n"/>
    </row>
    <row r="144" ht="15" customHeight="1">
      <c r="A144" s="60">
        <f>IF(B144="","",IFERROR(DATE(RIGHT(B144,4),MID(B144,4,2),LEFT(B144,2))+1,""))</f>
        <v/>
      </c>
      <c r="B144" s="56" t="n"/>
      <c r="C144" s="58">
        <f>IF(B144="","",IFERROR(INDEX('21 2026 ÜRETİM'!$F$2:$F$501,MATCH(B144,'21 2026 ÜRETİM'!$A$2:$A$501,0)),""))</f>
        <v/>
      </c>
      <c r="D144" s="56" t="n"/>
      <c r="E144" s="58">
        <f>IF(D144="","",D144*0.5)</f>
        <v/>
      </c>
      <c r="F144" s="56" t="n"/>
      <c r="G144" s="58">
        <f>IF(F144="","",F144*2.5)</f>
        <v/>
      </c>
      <c r="H144" s="56" t="n"/>
      <c r="I144" s="58">
        <f>IF(C144="","",C144-E144-G144-IF(H144="",0,H144))</f>
        <v/>
      </c>
      <c r="J144" s="56">
        <f>IF(C144="","",IF(ABS(I144)&lt;0.001,"KAPALI","KONTROL"))</f>
        <v/>
      </c>
      <c r="K144" s="65" t="n"/>
    </row>
    <row r="145" ht="15" customHeight="1">
      <c r="A145" s="60">
        <f>IF(B145="","",IFERROR(DATE(RIGHT(B145,4),MID(B145,4,2),LEFT(B145,2))+1,""))</f>
        <v/>
      </c>
      <c r="B145" s="56" t="n"/>
      <c r="C145" s="58">
        <f>IF(B145="","",IFERROR(INDEX('21 2026 ÜRETİM'!$F$2:$F$501,MATCH(B145,'21 2026 ÜRETİM'!$A$2:$A$501,0)),""))</f>
        <v/>
      </c>
      <c r="D145" s="56" t="n"/>
      <c r="E145" s="58">
        <f>IF(D145="","",D145*0.5)</f>
        <v/>
      </c>
      <c r="F145" s="56" t="n"/>
      <c r="G145" s="58">
        <f>IF(F145="","",F145*2.5)</f>
        <v/>
      </c>
      <c r="H145" s="56" t="n"/>
      <c r="I145" s="58">
        <f>IF(C145="","",C145-E145-G145-IF(H145="",0,H145))</f>
        <v/>
      </c>
      <c r="J145" s="56">
        <f>IF(C145="","",IF(ABS(I145)&lt;0.001,"KAPALI","KONTROL"))</f>
        <v/>
      </c>
      <c r="K145" s="65" t="n"/>
    </row>
    <row r="146" ht="15" customHeight="1">
      <c r="A146" s="60">
        <f>IF(B146="","",IFERROR(DATE(RIGHT(B146,4),MID(B146,4,2),LEFT(B146,2))+1,""))</f>
        <v/>
      </c>
      <c r="B146" s="56" t="n"/>
      <c r="C146" s="58">
        <f>IF(B146="","",IFERROR(INDEX('21 2026 ÜRETİM'!$F$2:$F$501,MATCH(B146,'21 2026 ÜRETİM'!$A$2:$A$501,0)),""))</f>
        <v/>
      </c>
      <c r="D146" s="56" t="n"/>
      <c r="E146" s="58">
        <f>IF(D146="","",D146*0.5)</f>
        <v/>
      </c>
      <c r="F146" s="56" t="n"/>
      <c r="G146" s="58">
        <f>IF(F146="","",F146*2.5)</f>
        <v/>
      </c>
      <c r="H146" s="56" t="n"/>
      <c r="I146" s="58">
        <f>IF(C146="","",C146-E146-G146-IF(H146="",0,H146))</f>
        <v/>
      </c>
      <c r="J146" s="56">
        <f>IF(C146="","",IF(ABS(I146)&lt;0.001,"KAPALI","KONTROL"))</f>
        <v/>
      </c>
      <c r="K146" s="65" t="n"/>
    </row>
    <row r="147" ht="15" customHeight="1">
      <c r="A147" s="60">
        <f>IF(B147="","",IFERROR(DATE(RIGHT(B147,4),MID(B147,4,2),LEFT(B147,2))+1,""))</f>
        <v/>
      </c>
      <c r="B147" s="56" t="n"/>
      <c r="C147" s="58">
        <f>IF(B147="","",IFERROR(INDEX('21 2026 ÜRETİM'!$F$2:$F$501,MATCH(B147,'21 2026 ÜRETİM'!$A$2:$A$501,0)),""))</f>
        <v/>
      </c>
      <c r="D147" s="56" t="n"/>
      <c r="E147" s="58">
        <f>IF(D147="","",D147*0.5)</f>
        <v/>
      </c>
      <c r="F147" s="56" t="n"/>
      <c r="G147" s="58">
        <f>IF(F147="","",F147*2.5)</f>
        <v/>
      </c>
      <c r="H147" s="56" t="n"/>
      <c r="I147" s="58">
        <f>IF(C147="","",C147-E147-G147-IF(H147="",0,H147))</f>
        <v/>
      </c>
      <c r="J147" s="56">
        <f>IF(C147="","",IF(ABS(I147)&lt;0.001,"KAPALI","KONTROL"))</f>
        <v/>
      </c>
      <c r="K147" s="65" t="n"/>
    </row>
    <row r="148" ht="15" customHeight="1">
      <c r="A148" s="60">
        <f>IF(B148="","",IFERROR(DATE(RIGHT(B148,4),MID(B148,4,2),LEFT(B148,2))+1,""))</f>
        <v/>
      </c>
      <c r="B148" s="56" t="n"/>
      <c r="C148" s="58">
        <f>IF(B148="","",IFERROR(INDEX('21 2026 ÜRETİM'!$F$2:$F$501,MATCH(B148,'21 2026 ÜRETİM'!$A$2:$A$501,0)),""))</f>
        <v/>
      </c>
      <c r="D148" s="56" t="n"/>
      <c r="E148" s="58">
        <f>IF(D148="","",D148*0.5)</f>
        <v/>
      </c>
      <c r="F148" s="56" t="n"/>
      <c r="G148" s="58">
        <f>IF(F148="","",F148*2.5)</f>
        <v/>
      </c>
      <c r="H148" s="56" t="n"/>
      <c r="I148" s="58">
        <f>IF(C148="","",C148-E148-G148-IF(H148="",0,H148))</f>
        <v/>
      </c>
      <c r="J148" s="56">
        <f>IF(C148="","",IF(ABS(I148)&lt;0.001,"KAPALI","KONTROL"))</f>
        <v/>
      </c>
      <c r="K148" s="65" t="n"/>
    </row>
    <row r="149" ht="15" customHeight="1">
      <c r="A149" s="60">
        <f>IF(B149="","",IFERROR(DATE(RIGHT(B149,4),MID(B149,4,2),LEFT(B149,2))+1,""))</f>
        <v/>
      </c>
      <c r="B149" s="56" t="n"/>
      <c r="C149" s="58">
        <f>IF(B149="","",IFERROR(INDEX('21 2026 ÜRETİM'!$F$2:$F$501,MATCH(B149,'21 2026 ÜRETİM'!$A$2:$A$501,0)),""))</f>
        <v/>
      </c>
      <c r="D149" s="56" t="n"/>
      <c r="E149" s="58">
        <f>IF(D149="","",D149*0.5)</f>
        <v/>
      </c>
      <c r="F149" s="56" t="n"/>
      <c r="G149" s="58">
        <f>IF(F149="","",F149*2.5)</f>
        <v/>
      </c>
      <c r="H149" s="56" t="n"/>
      <c r="I149" s="58">
        <f>IF(C149="","",C149-E149-G149-IF(H149="",0,H149))</f>
        <v/>
      </c>
      <c r="J149" s="56">
        <f>IF(C149="","",IF(ABS(I149)&lt;0.001,"KAPALI","KONTROL"))</f>
        <v/>
      </c>
      <c r="K149" s="65" t="n"/>
    </row>
    <row r="150" ht="15" customHeight="1">
      <c r="A150" s="60">
        <f>IF(B150="","",IFERROR(DATE(RIGHT(B150,4),MID(B150,4,2),LEFT(B150,2))+1,""))</f>
        <v/>
      </c>
      <c r="B150" s="56" t="n"/>
      <c r="C150" s="58">
        <f>IF(B150="","",IFERROR(INDEX('21 2026 ÜRETİM'!$F$2:$F$501,MATCH(B150,'21 2026 ÜRETİM'!$A$2:$A$501,0)),""))</f>
        <v/>
      </c>
      <c r="D150" s="56" t="n"/>
      <c r="E150" s="58">
        <f>IF(D150="","",D150*0.5)</f>
        <v/>
      </c>
      <c r="F150" s="56" t="n"/>
      <c r="G150" s="58">
        <f>IF(F150="","",F150*2.5)</f>
        <v/>
      </c>
      <c r="H150" s="56" t="n"/>
      <c r="I150" s="58">
        <f>IF(C150="","",C150-E150-G150-IF(H150="",0,H150))</f>
        <v/>
      </c>
      <c r="J150" s="56">
        <f>IF(C150="","",IF(ABS(I150)&lt;0.001,"KAPALI","KONTROL"))</f>
        <v/>
      </c>
      <c r="K150" s="65" t="n"/>
    </row>
    <row r="151" ht="15" customHeight="1">
      <c r="A151" s="60">
        <f>IF(B151="","",IFERROR(DATE(RIGHT(B151,4),MID(B151,4,2),LEFT(B151,2))+1,""))</f>
        <v/>
      </c>
      <c r="B151" s="56" t="n"/>
      <c r="C151" s="58">
        <f>IF(B151="","",IFERROR(INDEX('21 2026 ÜRETİM'!$F$2:$F$501,MATCH(B151,'21 2026 ÜRETİM'!$A$2:$A$501,0)),""))</f>
        <v/>
      </c>
      <c r="D151" s="56" t="n"/>
      <c r="E151" s="58">
        <f>IF(D151="","",D151*0.5)</f>
        <v/>
      </c>
      <c r="F151" s="56" t="n"/>
      <c r="G151" s="58">
        <f>IF(F151="","",F151*2.5)</f>
        <v/>
      </c>
      <c r="H151" s="56" t="n"/>
      <c r="I151" s="58">
        <f>IF(C151="","",C151-E151-G151-IF(H151="",0,H151))</f>
        <v/>
      </c>
      <c r="J151" s="56">
        <f>IF(C151="","",IF(ABS(I151)&lt;0.001,"KAPALI","KONTROL"))</f>
        <v/>
      </c>
      <c r="K151" s="65" t="n"/>
    </row>
    <row r="152" ht="15" customHeight="1">
      <c r="A152" s="60">
        <f>IF(B152="","",IFERROR(DATE(RIGHT(B152,4),MID(B152,4,2),LEFT(B152,2))+1,""))</f>
        <v/>
      </c>
      <c r="B152" s="56" t="n"/>
      <c r="C152" s="58">
        <f>IF(B152="","",IFERROR(INDEX('21 2026 ÜRETİM'!$F$2:$F$501,MATCH(B152,'21 2026 ÜRETİM'!$A$2:$A$501,0)),""))</f>
        <v/>
      </c>
      <c r="D152" s="56" t="n"/>
      <c r="E152" s="58">
        <f>IF(D152="","",D152*0.5)</f>
        <v/>
      </c>
      <c r="F152" s="56" t="n"/>
      <c r="G152" s="58">
        <f>IF(F152="","",F152*2.5)</f>
        <v/>
      </c>
      <c r="H152" s="56" t="n"/>
      <c r="I152" s="58">
        <f>IF(C152="","",C152-E152-G152-IF(H152="",0,H152))</f>
        <v/>
      </c>
      <c r="J152" s="56">
        <f>IF(C152="","",IF(ABS(I152)&lt;0.001,"KAPALI","KONTROL"))</f>
        <v/>
      </c>
      <c r="K152" s="65" t="n"/>
    </row>
    <row r="153" ht="15" customHeight="1">
      <c r="A153" s="60">
        <f>IF(B153="","",IFERROR(DATE(RIGHT(B153,4),MID(B153,4,2),LEFT(B153,2))+1,""))</f>
        <v/>
      </c>
      <c r="B153" s="56" t="n"/>
      <c r="C153" s="58">
        <f>IF(B153="","",IFERROR(INDEX('21 2026 ÜRETİM'!$F$2:$F$501,MATCH(B153,'21 2026 ÜRETİM'!$A$2:$A$501,0)),""))</f>
        <v/>
      </c>
      <c r="D153" s="56" t="n"/>
      <c r="E153" s="58">
        <f>IF(D153="","",D153*0.5)</f>
        <v/>
      </c>
      <c r="F153" s="56" t="n"/>
      <c r="G153" s="58">
        <f>IF(F153="","",F153*2.5)</f>
        <v/>
      </c>
      <c r="H153" s="56" t="n"/>
      <c r="I153" s="58">
        <f>IF(C153="","",C153-E153-G153-IF(H153="",0,H153))</f>
        <v/>
      </c>
      <c r="J153" s="56">
        <f>IF(C153="","",IF(ABS(I153)&lt;0.001,"KAPALI","KONTROL"))</f>
        <v/>
      </c>
      <c r="K153" s="65" t="n"/>
    </row>
    <row r="154" ht="15" customHeight="1">
      <c r="A154" s="60">
        <f>IF(B154="","",IFERROR(DATE(RIGHT(B154,4),MID(B154,4,2),LEFT(B154,2))+1,""))</f>
        <v/>
      </c>
      <c r="B154" s="56" t="n"/>
      <c r="C154" s="58">
        <f>IF(B154="","",IFERROR(INDEX('21 2026 ÜRETİM'!$F$2:$F$501,MATCH(B154,'21 2026 ÜRETİM'!$A$2:$A$501,0)),""))</f>
        <v/>
      </c>
      <c r="D154" s="56" t="n"/>
      <c r="E154" s="58">
        <f>IF(D154="","",D154*0.5)</f>
        <v/>
      </c>
      <c r="F154" s="56" t="n"/>
      <c r="G154" s="58">
        <f>IF(F154="","",F154*2.5)</f>
        <v/>
      </c>
      <c r="H154" s="56" t="n"/>
      <c r="I154" s="58">
        <f>IF(C154="","",C154-E154-G154-IF(H154="",0,H154))</f>
        <v/>
      </c>
      <c r="J154" s="56">
        <f>IF(C154="","",IF(ABS(I154)&lt;0.001,"KAPALI","KONTROL"))</f>
        <v/>
      </c>
      <c r="K154" s="65" t="n"/>
    </row>
    <row r="155" ht="15" customHeight="1">
      <c r="A155" s="60">
        <f>IF(B155="","",IFERROR(DATE(RIGHT(B155,4),MID(B155,4,2),LEFT(B155,2))+1,""))</f>
        <v/>
      </c>
      <c r="B155" s="56" t="n"/>
      <c r="C155" s="58">
        <f>IF(B155="","",IFERROR(INDEX('21 2026 ÜRETİM'!$F$2:$F$501,MATCH(B155,'21 2026 ÜRETİM'!$A$2:$A$501,0)),""))</f>
        <v/>
      </c>
      <c r="D155" s="56" t="n"/>
      <c r="E155" s="58">
        <f>IF(D155="","",D155*0.5)</f>
        <v/>
      </c>
      <c r="F155" s="56" t="n"/>
      <c r="G155" s="58">
        <f>IF(F155="","",F155*2.5)</f>
        <v/>
      </c>
      <c r="H155" s="56" t="n"/>
      <c r="I155" s="58">
        <f>IF(C155="","",C155-E155-G155-IF(H155="",0,H155))</f>
        <v/>
      </c>
      <c r="J155" s="56">
        <f>IF(C155="","",IF(ABS(I155)&lt;0.001,"KAPALI","KONTROL"))</f>
        <v/>
      </c>
      <c r="K155" s="65" t="n"/>
    </row>
    <row r="156" ht="15" customHeight="1">
      <c r="A156" s="60">
        <f>IF(B156="","",IFERROR(DATE(RIGHT(B156,4),MID(B156,4,2),LEFT(B156,2))+1,""))</f>
        <v/>
      </c>
      <c r="B156" s="56" t="n"/>
      <c r="C156" s="58">
        <f>IF(B156="","",IFERROR(INDEX('21 2026 ÜRETİM'!$F$2:$F$501,MATCH(B156,'21 2026 ÜRETİM'!$A$2:$A$501,0)),""))</f>
        <v/>
      </c>
      <c r="D156" s="56" t="n"/>
      <c r="E156" s="58">
        <f>IF(D156="","",D156*0.5)</f>
        <v/>
      </c>
      <c r="F156" s="56" t="n"/>
      <c r="G156" s="58">
        <f>IF(F156="","",F156*2.5)</f>
        <v/>
      </c>
      <c r="H156" s="56" t="n"/>
      <c r="I156" s="58">
        <f>IF(C156="","",C156-E156-G156-IF(H156="",0,H156))</f>
        <v/>
      </c>
      <c r="J156" s="56">
        <f>IF(C156="","",IF(ABS(I156)&lt;0.001,"KAPALI","KONTROL"))</f>
        <v/>
      </c>
      <c r="K156" s="65" t="n"/>
    </row>
    <row r="157" ht="15" customHeight="1">
      <c r="A157" s="60">
        <f>IF(B157="","",IFERROR(DATE(RIGHT(B157,4),MID(B157,4,2),LEFT(B157,2))+1,""))</f>
        <v/>
      </c>
      <c r="B157" s="56" t="n"/>
      <c r="C157" s="58">
        <f>IF(B157="","",IFERROR(INDEX('21 2026 ÜRETİM'!$F$2:$F$501,MATCH(B157,'21 2026 ÜRETİM'!$A$2:$A$501,0)),""))</f>
        <v/>
      </c>
      <c r="D157" s="56" t="n"/>
      <c r="E157" s="58">
        <f>IF(D157="","",D157*0.5)</f>
        <v/>
      </c>
      <c r="F157" s="56" t="n"/>
      <c r="G157" s="58">
        <f>IF(F157="","",F157*2.5)</f>
        <v/>
      </c>
      <c r="H157" s="56" t="n"/>
      <c r="I157" s="58">
        <f>IF(C157="","",C157-E157-G157-IF(H157="",0,H157))</f>
        <v/>
      </c>
      <c r="J157" s="56">
        <f>IF(C157="","",IF(ABS(I157)&lt;0.001,"KAPALI","KONTROL"))</f>
        <v/>
      </c>
      <c r="K157" s="65" t="n"/>
    </row>
    <row r="158" ht="15" customHeight="1">
      <c r="A158" s="60">
        <f>IF(B158="","",IFERROR(DATE(RIGHT(B158,4),MID(B158,4,2),LEFT(B158,2))+1,""))</f>
        <v/>
      </c>
      <c r="B158" s="56" t="n"/>
      <c r="C158" s="58">
        <f>IF(B158="","",IFERROR(INDEX('21 2026 ÜRETİM'!$F$2:$F$501,MATCH(B158,'21 2026 ÜRETİM'!$A$2:$A$501,0)),""))</f>
        <v/>
      </c>
      <c r="D158" s="56" t="n"/>
      <c r="E158" s="58">
        <f>IF(D158="","",D158*0.5)</f>
        <v/>
      </c>
      <c r="F158" s="56" t="n"/>
      <c r="G158" s="58">
        <f>IF(F158="","",F158*2.5)</f>
        <v/>
      </c>
      <c r="H158" s="56" t="n"/>
      <c r="I158" s="58">
        <f>IF(C158="","",C158-E158-G158-IF(H158="",0,H158))</f>
        <v/>
      </c>
      <c r="J158" s="56">
        <f>IF(C158="","",IF(ABS(I158)&lt;0.001,"KAPALI","KONTROL"))</f>
        <v/>
      </c>
      <c r="K158" s="65" t="n"/>
    </row>
    <row r="159" ht="15" customHeight="1">
      <c r="A159" s="60">
        <f>IF(B159="","",IFERROR(DATE(RIGHT(B159,4),MID(B159,4,2),LEFT(B159,2))+1,""))</f>
        <v/>
      </c>
      <c r="B159" s="56" t="n"/>
      <c r="C159" s="58">
        <f>IF(B159="","",IFERROR(INDEX('21 2026 ÜRETİM'!$F$2:$F$501,MATCH(B159,'21 2026 ÜRETİM'!$A$2:$A$501,0)),""))</f>
        <v/>
      </c>
      <c r="D159" s="56" t="n"/>
      <c r="E159" s="58">
        <f>IF(D159="","",D159*0.5)</f>
        <v/>
      </c>
      <c r="F159" s="56" t="n"/>
      <c r="G159" s="58">
        <f>IF(F159="","",F159*2.5)</f>
        <v/>
      </c>
      <c r="H159" s="56" t="n"/>
      <c r="I159" s="58">
        <f>IF(C159="","",C159-E159-G159-IF(H159="",0,H159))</f>
        <v/>
      </c>
      <c r="J159" s="56">
        <f>IF(C159="","",IF(ABS(I159)&lt;0.001,"KAPALI","KONTROL"))</f>
        <v/>
      </c>
      <c r="K159" s="65" t="n"/>
    </row>
    <row r="160" ht="15" customHeight="1">
      <c r="A160" s="60">
        <f>IF(B160="","",IFERROR(DATE(RIGHT(B160,4),MID(B160,4,2),LEFT(B160,2))+1,""))</f>
        <v/>
      </c>
      <c r="B160" s="56" t="n"/>
      <c r="C160" s="58">
        <f>IF(B160="","",IFERROR(INDEX('21 2026 ÜRETİM'!$F$2:$F$501,MATCH(B160,'21 2026 ÜRETİM'!$A$2:$A$501,0)),""))</f>
        <v/>
      </c>
      <c r="D160" s="56" t="n"/>
      <c r="E160" s="58">
        <f>IF(D160="","",D160*0.5)</f>
        <v/>
      </c>
      <c r="F160" s="56" t="n"/>
      <c r="G160" s="58">
        <f>IF(F160="","",F160*2.5)</f>
        <v/>
      </c>
      <c r="H160" s="56" t="n"/>
      <c r="I160" s="58">
        <f>IF(C160="","",C160-E160-G160-IF(H160="",0,H160))</f>
        <v/>
      </c>
      <c r="J160" s="56">
        <f>IF(C160="","",IF(ABS(I160)&lt;0.001,"KAPALI","KONTROL"))</f>
        <v/>
      </c>
      <c r="K160" s="65" t="n"/>
    </row>
    <row r="161" ht="15" customHeight="1">
      <c r="A161" s="60">
        <f>IF(B161="","",IFERROR(DATE(RIGHT(B161,4),MID(B161,4,2),LEFT(B161,2))+1,""))</f>
        <v/>
      </c>
      <c r="B161" s="56" t="n"/>
      <c r="C161" s="58">
        <f>IF(B161="","",IFERROR(INDEX('21 2026 ÜRETİM'!$F$2:$F$501,MATCH(B161,'21 2026 ÜRETİM'!$A$2:$A$501,0)),""))</f>
        <v/>
      </c>
      <c r="D161" s="56" t="n"/>
      <c r="E161" s="58">
        <f>IF(D161="","",D161*0.5)</f>
        <v/>
      </c>
      <c r="F161" s="56" t="n"/>
      <c r="G161" s="58">
        <f>IF(F161="","",F161*2.5)</f>
        <v/>
      </c>
      <c r="H161" s="56" t="n"/>
      <c r="I161" s="58">
        <f>IF(C161="","",C161-E161-G161-IF(H161="",0,H161))</f>
        <v/>
      </c>
      <c r="J161" s="56">
        <f>IF(C161="","",IF(ABS(I161)&lt;0.001,"KAPALI","KONTROL"))</f>
        <v/>
      </c>
      <c r="K161" s="65" t="n"/>
    </row>
    <row r="162" ht="15" customHeight="1">
      <c r="A162" s="60">
        <f>IF(B162="","",IFERROR(DATE(RIGHT(B162,4),MID(B162,4,2),LEFT(B162,2))+1,""))</f>
        <v/>
      </c>
      <c r="B162" s="56" t="n"/>
      <c r="C162" s="58">
        <f>IF(B162="","",IFERROR(INDEX('21 2026 ÜRETİM'!$F$2:$F$501,MATCH(B162,'21 2026 ÜRETİM'!$A$2:$A$501,0)),""))</f>
        <v/>
      </c>
      <c r="D162" s="56" t="n"/>
      <c r="E162" s="58">
        <f>IF(D162="","",D162*0.5)</f>
        <v/>
      </c>
      <c r="F162" s="56" t="n"/>
      <c r="G162" s="58">
        <f>IF(F162="","",F162*2.5)</f>
        <v/>
      </c>
      <c r="H162" s="56" t="n"/>
      <c r="I162" s="58">
        <f>IF(C162="","",C162-E162-G162-IF(H162="",0,H162))</f>
        <v/>
      </c>
      <c r="J162" s="56">
        <f>IF(C162="","",IF(ABS(I162)&lt;0.001,"KAPALI","KONTROL"))</f>
        <v/>
      </c>
      <c r="K162" s="65" t="n"/>
    </row>
    <row r="163" ht="15" customHeight="1">
      <c r="A163" s="60">
        <f>IF(B163="","",IFERROR(DATE(RIGHT(B163,4),MID(B163,4,2),LEFT(B163,2))+1,""))</f>
        <v/>
      </c>
      <c r="B163" s="56" t="n"/>
      <c r="C163" s="58">
        <f>IF(B163="","",IFERROR(INDEX('21 2026 ÜRETİM'!$F$2:$F$501,MATCH(B163,'21 2026 ÜRETİM'!$A$2:$A$501,0)),""))</f>
        <v/>
      </c>
      <c r="D163" s="56" t="n"/>
      <c r="E163" s="58">
        <f>IF(D163="","",D163*0.5)</f>
        <v/>
      </c>
      <c r="F163" s="56" t="n"/>
      <c r="G163" s="58">
        <f>IF(F163="","",F163*2.5)</f>
        <v/>
      </c>
      <c r="H163" s="56" t="n"/>
      <c r="I163" s="58">
        <f>IF(C163="","",C163-E163-G163-IF(H163="",0,H163))</f>
        <v/>
      </c>
      <c r="J163" s="56">
        <f>IF(C163="","",IF(ABS(I163)&lt;0.001,"KAPALI","KONTROL"))</f>
        <v/>
      </c>
      <c r="K163" s="65" t="n"/>
    </row>
    <row r="164" ht="15" customHeight="1">
      <c r="A164" s="60">
        <f>IF(B164="","",IFERROR(DATE(RIGHT(B164,4),MID(B164,4,2),LEFT(B164,2))+1,""))</f>
        <v/>
      </c>
      <c r="B164" s="56" t="n"/>
      <c r="C164" s="58">
        <f>IF(B164="","",IFERROR(INDEX('21 2026 ÜRETİM'!$F$2:$F$501,MATCH(B164,'21 2026 ÜRETİM'!$A$2:$A$501,0)),""))</f>
        <v/>
      </c>
      <c r="D164" s="56" t="n"/>
      <c r="E164" s="58">
        <f>IF(D164="","",D164*0.5)</f>
        <v/>
      </c>
      <c r="F164" s="56" t="n"/>
      <c r="G164" s="58">
        <f>IF(F164="","",F164*2.5)</f>
        <v/>
      </c>
      <c r="H164" s="56" t="n"/>
      <c r="I164" s="58">
        <f>IF(C164="","",C164-E164-G164-IF(H164="",0,H164))</f>
        <v/>
      </c>
      <c r="J164" s="56">
        <f>IF(C164="","",IF(ABS(I164)&lt;0.001,"KAPALI","KONTROL"))</f>
        <v/>
      </c>
      <c r="K164" s="65" t="n"/>
    </row>
    <row r="165" ht="15" customHeight="1">
      <c r="A165" s="60">
        <f>IF(B165="","",IFERROR(DATE(RIGHT(B165,4),MID(B165,4,2),LEFT(B165,2))+1,""))</f>
        <v/>
      </c>
      <c r="B165" s="56" t="n"/>
      <c r="C165" s="58">
        <f>IF(B165="","",IFERROR(INDEX('21 2026 ÜRETİM'!$F$2:$F$501,MATCH(B165,'21 2026 ÜRETİM'!$A$2:$A$501,0)),""))</f>
        <v/>
      </c>
      <c r="D165" s="56" t="n"/>
      <c r="E165" s="58">
        <f>IF(D165="","",D165*0.5)</f>
        <v/>
      </c>
      <c r="F165" s="56" t="n"/>
      <c r="G165" s="58">
        <f>IF(F165="","",F165*2.5)</f>
        <v/>
      </c>
      <c r="H165" s="56" t="n"/>
      <c r="I165" s="58">
        <f>IF(C165="","",C165-E165-G165-IF(H165="",0,H165))</f>
        <v/>
      </c>
      <c r="J165" s="56">
        <f>IF(C165="","",IF(ABS(I165)&lt;0.001,"KAPALI","KONTROL"))</f>
        <v/>
      </c>
      <c r="K165" s="65" t="n"/>
    </row>
    <row r="166" ht="15" customHeight="1">
      <c r="A166" s="60">
        <f>IF(B166="","",IFERROR(DATE(RIGHT(B166,4),MID(B166,4,2),LEFT(B166,2))+1,""))</f>
        <v/>
      </c>
      <c r="B166" s="56" t="n"/>
      <c r="C166" s="58">
        <f>IF(B166="","",IFERROR(INDEX('21 2026 ÜRETİM'!$F$2:$F$501,MATCH(B166,'21 2026 ÜRETİM'!$A$2:$A$501,0)),""))</f>
        <v/>
      </c>
      <c r="D166" s="56" t="n"/>
      <c r="E166" s="58">
        <f>IF(D166="","",D166*0.5)</f>
        <v/>
      </c>
      <c r="F166" s="56" t="n"/>
      <c r="G166" s="58">
        <f>IF(F166="","",F166*2.5)</f>
        <v/>
      </c>
      <c r="H166" s="56" t="n"/>
      <c r="I166" s="58">
        <f>IF(C166="","",C166-E166-G166-IF(H166="",0,H166))</f>
        <v/>
      </c>
      <c r="J166" s="56">
        <f>IF(C166="","",IF(ABS(I166)&lt;0.001,"KAPALI","KONTROL"))</f>
        <v/>
      </c>
      <c r="K166" s="65" t="n"/>
    </row>
    <row r="167" ht="15" customHeight="1">
      <c r="A167" s="60">
        <f>IF(B167="","",IFERROR(DATE(RIGHT(B167,4),MID(B167,4,2),LEFT(B167,2))+1,""))</f>
        <v/>
      </c>
      <c r="B167" s="56" t="n"/>
      <c r="C167" s="58">
        <f>IF(B167="","",IFERROR(INDEX('21 2026 ÜRETİM'!$F$2:$F$501,MATCH(B167,'21 2026 ÜRETİM'!$A$2:$A$501,0)),""))</f>
        <v/>
      </c>
      <c r="D167" s="56" t="n"/>
      <c r="E167" s="58">
        <f>IF(D167="","",D167*0.5)</f>
        <v/>
      </c>
      <c r="F167" s="56" t="n"/>
      <c r="G167" s="58">
        <f>IF(F167="","",F167*2.5)</f>
        <v/>
      </c>
      <c r="H167" s="56" t="n"/>
      <c r="I167" s="58">
        <f>IF(C167="","",C167-E167-G167-IF(H167="",0,H167))</f>
        <v/>
      </c>
      <c r="J167" s="56">
        <f>IF(C167="","",IF(ABS(I167)&lt;0.001,"KAPALI","KONTROL"))</f>
        <v/>
      </c>
      <c r="K167" s="65" t="n"/>
    </row>
    <row r="168" ht="15" customHeight="1">
      <c r="A168" s="60">
        <f>IF(B168="","",IFERROR(DATE(RIGHT(B168,4),MID(B168,4,2),LEFT(B168,2))+1,""))</f>
        <v/>
      </c>
      <c r="B168" s="56" t="n"/>
      <c r="C168" s="58">
        <f>IF(B168="","",IFERROR(INDEX('21 2026 ÜRETİM'!$F$2:$F$501,MATCH(B168,'21 2026 ÜRETİM'!$A$2:$A$501,0)),""))</f>
        <v/>
      </c>
      <c r="D168" s="56" t="n"/>
      <c r="E168" s="58">
        <f>IF(D168="","",D168*0.5)</f>
        <v/>
      </c>
      <c r="F168" s="56" t="n"/>
      <c r="G168" s="58">
        <f>IF(F168="","",F168*2.5)</f>
        <v/>
      </c>
      <c r="H168" s="56" t="n"/>
      <c r="I168" s="58">
        <f>IF(C168="","",C168-E168-G168-IF(H168="",0,H168))</f>
        <v/>
      </c>
      <c r="J168" s="56">
        <f>IF(C168="","",IF(ABS(I168)&lt;0.001,"KAPALI","KONTROL"))</f>
        <v/>
      </c>
      <c r="K168" s="65" t="n"/>
    </row>
    <row r="169" ht="15" customHeight="1">
      <c r="A169" s="60">
        <f>IF(B169="","",IFERROR(DATE(RIGHT(B169,4),MID(B169,4,2),LEFT(B169,2))+1,""))</f>
        <v/>
      </c>
      <c r="B169" s="56" t="n"/>
      <c r="C169" s="58">
        <f>IF(B169="","",IFERROR(INDEX('21 2026 ÜRETİM'!$F$2:$F$501,MATCH(B169,'21 2026 ÜRETİM'!$A$2:$A$501,0)),""))</f>
        <v/>
      </c>
      <c r="D169" s="56" t="n"/>
      <c r="E169" s="58">
        <f>IF(D169="","",D169*0.5)</f>
        <v/>
      </c>
      <c r="F169" s="56" t="n"/>
      <c r="G169" s="58">
        <f>IF(F169="","",F169*2.5)</f>
        <v/>
      </c>
      <c r="H169" s="56" t="n"/>
      <c r="I169" s="58">
        <f>IF(C169="","",C169-E169-G169-IF(H169="",0,H169))</f>
        <v/>
      </c>
      <c r="J169" s="56">
        <f>IF(C169="","",IF(ABS(I169)&lt;0.001,"KAPALI","KONTROL"))</f>
        <v/>
      </c>
      <c r="K169" s="65" t="n"/>
    </row>
    <row r="170" ht="15" customHeight="1">
      <c r="A170" s="60">
        <f>IF(B170="","",IFERROR(DATE(RIGHT(B170,4),MID(B170,4,2),LEFT(B170,2))+1,""))</f>
        <v/>
      </c>
      <c r="B170" s="56" t="n"/>
      <c r="C170" s="58">
        <f>IF(B170="","",IFERROR(INDEX('21 2026 ÜRETİM'!$F$2:$F$501,MATCH(B170,'21 2026 ÜRETİM'!$A$2:$A$501,0)),""))</f>
        <v/>
      </c>
      <c r="D170" s="56" t="n"/>
      <c r="E170" s="58">
        <f>IF(D170="","",D170*0.5)</f>
        <v/>
      </c>
      <c r="F170" s="56" t="n"/>
      <c r="G170" s="58">
        <f>IF(F170="","",F170*2.5)</f>
        <v/>
      </c>
      <c r="H170" s="56" t="n"/>
      <c r="I170" s="58">
        <f>IF(C170="","",C170-E170-G170-IF(H170="",0,H170))</f>
        <v/>
      </c>
      <c r="J170" s="56">
        <f>IF(C170="","",IF(ABS(I170)&lt;0.001,"KAPALI","KONTROL"))</f>
        <v/>
      </c>
      <c r="K170" s="65" t="n"/>
    </row>
    <row r="171" ht="15" customHeight="1">
      <c r="A171" s="60">
        <f>IF(B171="","",IFERROR(DATE(RIGHT(B171,4),MID(B171,4,2),LEFT(B171,2))+1,""))</f>
        <v/>
      </c>
      <c r="B171" s="56" t="n"/>
      <c r="C171" s="58">
        <f>IF(B171="","",IFERROR(INDEX('21 2026 ÜRETİM'!$F$2:$F$501,MATCH(B171,'21 2026 ÜRETİM'!$A$2:$A$501,0)),""))</f>
        <v/>
      </c>
      <c r="D171" s="56" t="n"/>
      <c r="E171" s="58">
        <f>IF(D171="","",D171*0.5)</f>
        <v/>
      </c>
      <c r="F171" s="56" t="n"/>
      <c r="G171" s="58">
        <f>IF(F171="","",F171*2.5)</f>
        <v/>
      </c>
      <c r="H171" s="56" t="n"/>
      <c r="I171" s="58">
        <f>IF(C171="","",C171-E171-G171-IF(H171="",0,H171))</f>
        <v/>
      </c>
      <c r="J171" s="56">
        <f>IF(C171="","",IF(ABS(I171)&lt;0.001,"KAPALI","KONTROL"))</f>
        <v/>
      </c>
      <c r="K171" s="65" t="n"/>
    </row>
    <row r="172" ht="15" customHeight="1">
      <c r="A172" s="60">
        <f>IF(B172="","",IFERROR(DATE(RIGHT(B172,4),MID(B172,4,2),LEFT(B172,2))+1,""))</f>
        <v/>
      </c>
      <c r="B172" s="56" t="n"/>
      <c r="C172" s="58">
        <f>IF(B172="","",IFERROR(INDEX('21 2026 ÜRETİM'!$F$2:$F$501,MATCH(B172,'21 2026 ÜRETİM'!$A$2:$A$501,0)),""))</f>
        <v/>
      </c>
      <c r="D172" s="56" t="n"/>
      <c r="E172" s="58">
        <f>IF(D172="","",D172*0.5)</f>
        <v/>
      </c>
      <c r="F172" s="56" t="n"/>
      <c r="G172" s="58">
        <f>IF(F172="","",F172*2.5)</f>
        <v/>
      </c>
      <c r="H172" s="56" t="n"/>
      <c r="I172" s="58">
        <f>IF(C172="","",C172-E172-G172-IF(H172="",0,H172))</f>
        <v/>
      </c>
      <c r="J172" s="56">
        <f>IF(C172="","",IF(ABS(I172)&lt;0.001,"KAPALI","KONTROL"))</f>
        <v/>
      </c>
      <c r="K172" s="65" t="n"/>
    </row>
    <row r="173" ht="15" customHeight="1">
      <c r="A173" s="60">
        <f>IF(B173="","",IFERROR(DATE(RIGHT(B173,4),MID(B173,4,2),LEFT(B173,2))+1,""))</f>
        <v/>
      </c>
      <c r="B173" s="56" t="n"/>
      <c r="C173" s="58">
        <f>IF(B173="","",IFERROR(INDEX('21 2026 ÜRETİM'!$F$2:$F$501,MATCH(B173,'21 2026 ÜRETİM'!$A$2:$A$501,0)),""))</f>
        <v/>
      </c>
      <c r="D173" s="56" t="n"/>
      <c r="E173" s="58">
        <f>IF(D173="","",D173*0.5)</f>
        <v/>
      </c>
      <c r="F173" s="56" t="n"/>
      <c r="G173" s="58">
        <f>IF(F173="","",F173*2.5)</f>
        <v/>
      </c>
      <c r="H173" s="56" t="n"/>
      <c r="I173" s="58">
        <f>IF(C173="","",C173-E173-G173-IF(H173="",0,H173))</f>
        <v/>
      </c>
      <c r="J173" s="56">
        <f>IF(C173="","",IF(ABS(I173)&lt;0.001,"KAPALI","KONTROL"))</f>
        <v/>
      </c>
      <c r="K173" s="65" t="n"/>
    </row>
    <row r="174" ht="15" customHeight="1">
      <c r="A174" s="60">
        <f>IF(B174="","",IFERROR(DATE(RIGHT(B174,4),MID(B174,4,2),LEFT(B174,2))+1,""))</f>
        <v/>
      </c>
      <c r="B174" s="56" t="n"/>
      <c r="C174" s="58">
        <f>IF(B174="","",IFERROR(INDEX('21 2026 ÜRETİM'!$F$2:$F$501,MATCH(B174,'21 2026 ÜRETİM'!$A$2:$A$501,0)),""))</f>
        <v/>
      </c>
      <c r="D174" s="56" t="n"/>
      <c r="E174" s="58">
        <f>IF(D174="","",D174*0.5)</f>
        <v/>
      </c>
      <c r="F174" s="56" t="n"/>
      <c r="G174" s="58">
        <f>IF(F174="","",F174*2.5)</f>
        <v/>
      </c>
      <c r="H174" s="56" t="n"/>
      <c r="I174" s="58">
        <f>IF(C174="","",C174-E174-G174-IF(H174="",0,H174))</f>
        <v/>
      </c>
      <c r="J174" s="56">
        <f>IF(C174="","",IF(ABS(I174)&lt;0.001,"KAPALI","KONTROL"))</f>
        <v/>
      </c>
      <c r="K174" s="65" t="n"/>
    </row>
    <row r="175" ht="15" customHeight="1">
      <c r="A175" s="60">
        <f>IF(B175="","",IFERROR(DATE(RIGHT(B175,4),MID(B175,4,2),LEFT(B175,2))+1,""))</f>
        <v/>
      </c>
      <c r="B175" s="56" t="n"/>
      <c r="C175" s="58">
        <f>IF(B175="","",IFERROR(INDEX('21 2026 ÜRETİM'!$F$2:$F$501,MATCH(B175,'21 2026 ÜRETİM'!$A$2:$A$501,0)),""))</f>
        <v/>
      </c>
      <c r="D175" s="56" t="n"/>
      <c r="E175" s="58">
        <f>IF(D175="","",D175*0.5)</f>
        <v/>
      </c>
      <c r="F175" s="56" t="n"/>
      <c r="G175" s="58">
        <f>IF(F175="","",F175*2.5)</f>
        <v/>
      </c>
      <c r="H175" s="56" t="n"/>
      <c r="I175" s="58">
        <f>IF(C175="","",C175-E175-G175-IF(H175="",0,H175))</f>
        <v/>
      </c>
      <c r="J175" s="56">
        <f>IF(C175="","",IF(ABS(I175)&lt;0.001,"KAPALI","KONTROL"))</f>
        <v/>
      </c>
      <c r="K175" s="65" t="n"/>
    </row>
    <row r="176" ht="15" customHeight="1">
      <c r="A176" s="60">
        <f>IF(B176="","",IFERROR(DATE(RIGHT(B176,4),MID(B176,4,2),LEFT(B176,2))+1,""))</f>
        <v/>
      </c>
      <c r="B176" s="56" t="n"/>
      <c r="C176" s="58">
        <f>IF(B176="","",IFERROR(INDEX('21 2026 ÜRETİM'!$F$2:$F$501,MATCH(B176,'21 2026 ÜRETİM'!$A$2:$A$501,0)),""))</f>
        <v/>
      </c>
      <c r="D176" s="56" t="n"/>
      <c r="E176" s="58">
        <f>IF(D176="","",D176*0.5)</f>
        <v/>
      </c>
      <c r="F176" s="56" t="n"/>
      <c r="G176" s="58">
        <f>IF(F176="","",F176*2.5)</f>
        <v/>
      </c>
      <c r="H176" s="56" t="n"/>
      <c r="I176" s="58">
        <f>IF(C176="","",C176-E176-G176-IF(H176="",0,H176))</f>
        <v/>
      </c>
      <c r="J176" s="56">
        <f>IF(C176="","",IF(ABS(I176)&lt;0.001,"KAPALI","KONTROL"))</f>
        <v/>
      </c>
      <c r="K176" s="65" t="n"/>
    </row>
    <row r="177" ht="15" customHeight="1">
      <c r="A177" s="60">
        <f>IF(B177="","",IFERROR(DATE(RIGHT(B177,4),MID(B177,4,2),LEFT(B177,2))+1,""))</f>
        <v/>
      </c>
      <c r="B177" s="56" t="n"/>
      <c r="C177" s="58">
        <f>IF(B177="","",IFERROR(INDEX('21 2026 ÜRETİM'!$F$2:$F$501,MATCH(B177,'21 2026 ÜRETİM'!$A$2:$A$501,0)),""))</f>
        <v/>
      </c>
      <c r="D177" s="56" t="n"/>
      <c r="E177" s="58">
        <f>IF(D177="","",D177*0.5)</f>
        <v/>
      </c>
      <c r="F177" s="56" t="n"/>
      <c r="G177" s="58">
        <f>IF(F177="","",F177*2.5)</f>
        <v/>
      </c>
      <c r="H177" s="56" t="n"/>
      <c r="I177" s="58">
        <f>IF(C177="","",C177-E177-G177-IF(H177="",0,H177))</f>
        <v/>
      </c>
      <c r="J177" s="56">
        <f>IF(C177="","",IF(ABS(I177)&lt;0.001,"KAPALI","KONTROL"))</f>
        <v/>
      </c>
      <c r="K177" s="65" t="n"/>
    </row>
    <row r="178" ht="15" customHeight="1">
      <c r="A178" s="60">
        <f>IF(B178="","",IFERROR(DATE(RIGHT(B178,4),MID(B178,4,2),LEFT(B178,2))+1,""))</f>
        <v/>
      </c>
      <c r="B178" s="56" t="n"/>
      <c r="C178" s="58">
        <f>IF(B178="","",IFERROR(INDEX('21 2026 ÜRETİM'!$F$2:$F$501,MATCH(B178,'21 2026 ÜRETİM'!$A$2:$A$501,0)),""))</f>
        <v/>
      </c>
      <c r="D178" s="56" t="n"/>
      <c r="E178" s="58">
        <f>IF(D178="","",D178*0.5)</f>
        <v/>
      </c>
      <c r="F178" s="56" t="n"/>
      <c r="G178" s="58">
        <f>IF(F178="","",F178*2.5)</f>
        <v/>
      </c>
      <c r="H178" s="56" t="n"/>
      <c r="I178" s="58">
        <f>IF(C178="","",C178-E178-G178-IF(H178="",0,H178))</f>
        <v/>
      </c>
      <c r="J178" s="56">
        <f>IF(C178="","",IF(ABS(I178)&lt;0.001,"KAPALI","KONTROL"))</f>
        <v/>
      </c>
      <c r="K178" s="65" t="n"/>
    </row>
    <row r="179" ht="15" customHeight="1">
      <c r="A179" s="60">
        <f>IF(B179="","",IFERROR(DATE(RIGHT(B179,4),MID(B179,4,2),LEFT(B179,2))+1,""))</f>
        <v/>
      </c>
      <c r="B179" s="56" t="n"/>
      <c r="C179" s="58">
        <f>IF(B179="","",IFERROR(INDEX('21 2026 ÜRETİM'!$F$2:$F$501,MATCH(B179,'21 2026 ÜRETİM'!$A$2:$A$501,0)),""))</f>
        <v/>
      </c>
      <c r="D179" s="56" t="n"/>
      <c r="E179" s="58">
        <f>IF(D179="","",D179*0.5)</f>
        <v/>
      </c>
      <c r="F179" s="56" t="n"/>
      <c r="G179" s="58">
        <f>IF(F179="","",F179*2.5)</f>
        <v/>
      </c>
      <c r="H179" s="56" t="n"/>
      <c r="I179" s="58">
        <f>IF(C179="","",C179-E179-G179-IF(H179="",0,H179))</f>
        <v/>
      </c>
      <c r="J179" s="56">
        <f>IF(C179="","",IF(ABS(I179)&lt;0.001,"KAPALI","KONTROL"))</f>
        <v/>
      </c>
      <c r="K179" s="65" t="n"/>
    </row>
    <row r="180" ht="15" customHeight="1">
      <c r="A180" s="60">
        <f>IF(B180="","",IFERROR(DATE(RIGHT(B180,4),MID(B180,4,2),LEFT(B180,2))+1,""))</f>
        <v/>
      </c>
      <c r="B180" s="56" t="n"/>
      <c r="C180" s="58">
        <f>IF(B180="","",IFERROR(INDEX('21 2026 ÜRETİM'!$F$2:$F$501,MATCH(B180,'21 2026 ÜRETİM'!$A$2:$A$501,0)),""))</f>
        <v/>
      </c>
      <c r="D180" s="56" t="n"/>
      <c r="E180" s="58">
        <f>IF(D180="","",D180*0.5)</f>
        <v/>
      </c>
      <c r="F180" s="56" t="n"/>
      <c r="G180" s="58">
        <f>IF(F180="","",F180*2.5)</f>
        <v/>
      </c>
      <c r="H180" s="56" t="n"/>
      <c r="I180" s="58">
        <f>IF(C180="","",C180-E180-G180-IF(H180="",0,H180))</f>
        <v/>
      </c>
      <c r="J180" s="56">
        <f>IF(C180="","",IF(ABS(I180)&lt;0.001,"KAPALI","KONTROL"))</f>
        <v/>
      </c>
      <c r="K180" s="65" t="n"/>
    </row>
    <row r="181" ht="15" customHeight="1">
      <c r="A181" s="60">
        <f>IF(B181="","",IFERROR(DATE(RIGHT(B181,4),MID(B181,4,2),LEFT(B181,2))+1,""))</f>
        <v/>
      </c>
      <c r="B181" s="56" t="n"/>
      <c r="C181" s="58">
        <f>IF(B181="","",IFERROR(INDEX('21 2026 ÜRETİM'!$F$2:$F$501,MATCH(B181,'21 2026 ÜRETİM'!$A$2:$A$501,0)),""))</f>
        <v/>
      </c>
      <c r="D181" s="56" t="n"/>
      <c r="E181" s="58">
        <f>IF(D181="","",D181*0.5)</f>
        <v/>
      </c>
      <c r="F181" s="56" t="n"/>
      <c r="G181" s="58">
        <f>IF(F181="","",F181*2.5)</f>
        <v/>
      </c>
      <c r="H181" s="56" t="n"/>
      <c r="I181" s="58">
        <f>IF(C181="","",C181-E181-G181-IF(H181="",0,H181))</f>
        <v/>
      </c>
      <c r="J181" s="56">
        <f>IF(C181="","",IF(ABS(I181)&lt;0.001,"KAPALI","KONTROL"))</f>
        <v/>
      </c>
      <c r="K181" s="65" t="n"/>
    </row>
    <row r="182" ht="15" customHeight="1">
      <c r="A182" s="60">
        <f>IF(B182="","",IFERROR(DATE(RIGHT(B182,4),MID(B182,4,2),LEFT(B182,2))+1,""))</f>
        <v/>
      </c>
      <c r="B182" s="56" t="n"/>
      <c r="C182" s="58">
        <f>IF(B182="","",IFERROR(INDEX('21 2026 ÜRETİM'!$F$2:$F$501,MATCH(B182,'21 2026 ÜRETİM'!$A$2:$A$501,0)),""))</f>
        <v/>
      </c>
      <c r="D182" s="56" t="n"/>
      <c r="E182" s="58">
        <f>IF(D182="","",D182*0.5)</f>
        <v/>
      </c>
      <c r="F182" s="56" t="n"/>
      <c r="G182" s="58">
        <f>IF(F182="","",F182*2.5)</f>
        <v/>
      </c>
      <c r="H182" s="56" t="n"/>
      <c r="I182" s="58">
        <f>IF(C182="","",C182-E182-G182-IF(H182="",0,H182))</f>
        <v/>
      </c>
      <c r="J182" s="56">
        <f>IF(C182="","",IF(ABS(I182)&lt;0.001,"KAPALI","KONTROL"))</f>
        <v/>
      </c>
      <c r="K182" s="65" t="n"/>
    </row>
    <row r="183" ht="15" customHeight="1">
      <c r="A183" s="60">
        <f>IF(B183="","",IFERROR(DATE(RIGHT(B183,4),MID(B183,4,2),LEFT(B183,2))+1,""))</f>
        <v/>
      </c>
      <c r="B183" s="56" t="n"/>
      <c r="C183" s="58">
        <f>IF(B183="","",IFERROR(INDEX('21 2026 ÜRETİM'!$F$2:$F$501,MATCH(B183,'21 2026 ÜRETİM'!$A$2:$A$501,0)),""))</f>
        <v/>
      </c>
      <c r="D183" s="56" t="n"/>
      <c r="E183" s="58">
        <f>IF(D183="","",D183*0.5)</f>
        <v/>
      </c>
      <c r="F183" s="56" t="n"/>
      <c r="G183" s="58">
        <f>IF(F183="","",F183*2.5)</f>
        <v/>
      </c>
      <c r="H183" s="56" t="n"/>
      <c r="I183" s="58">
        <f>IF(C183="","",C183-E183-G183-IF(H183="",0,H183))</f>
        <v/>
      </c>
      <c r="J183" s="56">
        <f>IF(C183="","",IF(ABS(I183)&lt;0.001,"KAPALI","KONTROL"))</f>
        <v/>
      </c>
      <c r="K183" s="65" t="n"/>
    </row>
    <row r="184" ht="15" customHeight="1">
      <c r="A184" s="60">
        <f>IF(B184="","",IFERROR(DATE(RIGHT(B184,4),MID(B184,4,2),LEFT(B184,2))+1,""))</f>
        <v/>
      </c>
      <c r="B184" s="56" t="n"/>
      <c r="C184" s="58">
        <f>IF(B184="","",IFERROR(INDEX('21 2026 ÜRETİM'!$F$2:$F$501,MATCH(B184,'21 2026 ÜRETİM'!$A$2:$A$501,0)),""))</f>
        <v/>
      </c>
      <c r="D184" s="56" t="n"/>
      <c r="E184" s="58">
        <f>IF(D184="","",D184*0.5)</f>
        <v/>
      </c>
      <c r="F184" s="56" t="n"/>
      <c r="G184" s="58">
        <f>IF(F184="","",F184*2.5)</f>
        <v/>
      </c>
      <c r="H184" s="56" t="n"/>
      <c r="I184" s="58">
        <f>IF(C184="","",C184-E184-G184-IF(H184="",0,H184))</f>
        <v/>
      </c>
      <c r="J184" s="56">
        <f>IF(C184="","",IF(ABS(I184)&lt;0.001,"KAPALI","KONTROL"))</f>
        <v/>
      </c>
      <c r="K184" s="65" t="n"/>
    </row>
    <row r="185" ht="15" customHeight="1">
      <c r="A185" s="60">
        <f>IF(B185="","",IFERROR(DATE(RIGHT(B185,4),MID(B185,4,2),LEFT(B185,2))+1,""))</f>
        <v/>
      </c>
      <c r="B185" s="56" t="n"/>
      <c r="C185" s="58">
        <f>IF(B185="","",IFERROR(INDEX('21 2026 ÜRETİM'!$F$2:$F$501,MATCH(B185,'21 2026 ÜRETİM'!$A$2:$A$501,0)),""))</f>
        <v/>
      </c>
      <c r="D185" s="56" t="n"/>
      <c r="E185" s="58">
        <f>IF(D185="","",D185*0.5)</f>
        <v/>
      </c>
      <c r="F185" s="56" t="n"/>
      <c r="G185" s="58">
        <f>IF(F185="","",F185*2.5)</f>
        <v/>
      </c>
      <c r="H185" s="56" t="n"/>
      <c r="I185" s="58">
        <f>IF(C185="","",C185-E185-G185-IF(H185="",0,H185))</f>
        <v/>
      </c>
      <c r="J185" s="56">
        <f>IF(C185="","",IF(ABS(I185)&lt;0.001,"KAPALI","KONTROL"))</f>
        <v/>
      </c>
      <c r="K185" s="65" t="n"/>
    </row>
    <row r="186" ht="15" customHeight="1">
      <c r="A186" s="60">
        <f>IF(B186="","",IFERROR(DATE(RIGHT(B186,4),MID(B186,4,2),LEFT(B186,2))+1,""))</f>
        <v/>
      </c>
      <c r="B186" s="56" t="n"/>
      <c r="C186" s="58">
        <f>IF(B186="","",IFERROR(INDEX('21 2026 ÜRETİM'!$F$2:$F$501,MATCH(B186,'21 2026 ÜRETİM'!$A$2:$A$501,0)),""))</f>
        <v/>
      </c>
      <c r="D186" s="56" t="n"/>
      <c r="E186" s="58">
        <f>IF(D186="","",D186*0.5)</f>
        <v/>
      </c>
      <c r="F186" s="56" t="n"/>
      <c r="G186" s="58">
        <f>IF(F186="","",F186*2.5)</f>
        <v/>
      </c>
      <c r="H186" s="56" t="n"/>
      <c r="I186" s="58">
        <f>IF(C186="","",C186-E186-G186-IF(H186="",0,H186))</f>
        <v/>
      </c>
      <c r="J186" s="56">
        <f>IF(C186="","",IF(ABS(I186)&lt;0.001,"KAPALI","KONTROL"))</f>
        <v/>
      </c>
      <c r="K186" s="65" t="n"/>
    </row>
    <row r="187" ht="15" customHeight="1">
      <c r="A187" s="60">
        <f>IF(B187="","",IFERROR(DATE(RIGHT(B187,4),MID(B187,4,2),LEFT(B187,2))+1,""))</f>
        <v/>
      </c>
      <c r="B187" s="56" t="n"/>
      <c r="C187" s="58">
        <f>IF(B187="","",IFERROR(INDEX('21 2026 ÜRETİM'!$F$2:$F$501,MATCH(B187,'21 2026 ÜRETİM'!$A$2:$A$501,0)),""))</f>
        <v/>
      </c>
      <c r="D187" s="56" t="n"/>
      <c r="E187" s="58">
        <f>IF(D187="","",D187*0.5)</f>
        <v/>
      </c>
      <c r="F187" s="56" t="n"/>
      <c r="G187" s="58">
        <f>IF(F187="","",F187*2.5)</f>
        <v/>
      </c>
      <c r="H187" s="56" t="n"/>
      <c r="I187" s="58">
        <f>IF(C187="","",C187-E187-G187-IF(H187="",0,H187))</f>
        <v/>
      </c>
      <c r="J187" s="56">
        <f>IF(C187="","",IF(ABS(I187)&lt;0.001,"KAPALI","KONTROL"))</f>
        <v/>
      </c>
      <c r="K187" s="65" t="n"/>
    </row>
    <row r="188" ht="15" customHeight="1">
      <c r="A188" s="60">
        <f>IF(B188="","",IFERROR(DATE(RIGHT(B188,4),MID(B188,4,2),LEFT(B188,2))+1,""))</f>
        <v/>
      </c>
      <c r="B188" s="56" t="n"/>
      <c r="C188" s="58">
        <f>IF(B188="","",IFERROR(INDEX('21 2026 ÜRETİM'!$F$2:$F$501,MATCH(B188,'21 2026 ÜRETİM'!$A$2:$A$501,0)),""))</f>
        <v/>
      </c>
      <c r="D188" s="56" t="n"/>
      <c r="E188" s="58">
        <f>IF(D188="","",D188*0.5)</f>
        <v/>
      </c>
      <c r="F188" s="56" t="n"/>
      <c r="G188" s="58">
        <f>IF(F188="","",F188*2.5)</f>
        <v/>
      </c>
      <c r="H188" s="56" t="n"/>
      <c r="I188" s="58">
        <f>IF(C188="","",C188-E188-G188-IF(H188="",0,H188))</f>
        <v/>
      </c>
      <c r="J188" s="56">
        <f>IF(C188="","",IF(ABS(I188)&lt;0.001,"KAPALI","KONTROL"))</f>
        <v/>
      </c>
      <c r="K188" s="65" t="n"/>
    </row>
    <row r="189" ht="15" customHeight="1">
      <c r="A189" s="60">
        <f>IF(B189="","",IFERROR(DATE(RIGHT(B189,4),MID(B189,4,2),LEFT(B189,2))+1,""))</f>
        <v/>
      </c>
      <c r="B189" s="56" t="n"/>
      <c r="C189" s="58">
        <f>IF(B189="","",IFERROR(INDEX('21 2026 ÜRETİM'!$F$2:$F$501,MATCH(B189,'21 2026 ÜRETİM'!$A$2:$A$501,0)),""))</f>
        <v/>
      </c>
      <c r="D189" s="56" t="n"/>
      <c r="E189" s="58">
        <f>IF(D189="","",D189*0.5)</f>
        <v/>
      </c>
      <c r="F189" s="56" t="n"/>
      <c r="G189" s="58">
        <f>IF(F189="","",F189*2.5)</f>
        <v/>
      </c>
      <c r="H189" s="56" t="n"/>
      <c r="I189" s="58">
        <f>IF(C189="","",C189-E189-G189-IF(H189="",0,H189))</f>
        <v/>
      </c>
      <c r="J189" s="56">
        <f>IF(C189="","",IF(ABS(I189)&lt;0.001,"KAPALI","KONTROL"))</f>
        <v/>
      </c>
      <c r="K189" s="65" t="n"/>
    </row>
    <row r="190" ht="15" customHeight="1">
      <c r="A190" s="60">
        <f>IF(B190="","",IFERROR(DATE(RIGHT(B190,4),MID(B190,4,2),LEFT(B190,2))+1,""))</f>
        <v/>
      </c>
      <c r="B190" s="56" t="n"/>
      <c r="C190" s="58">
        <f>IF(B190="","",IFERROR(INDEX('21 2026 ÜRETİM'!$F$2:$F$501,MATCH(B190,'21 2026 ÜRETİM'!$A$2:$A$501,0)),""))</f>
        <v/>
      </c>
      <c r="D190" s="56" t="n"/>
      <c r="E190" s="58">
        <f>IF(D190="","",D190*0.5)</f>
        <v/>
      </c>
      <c r="F190" s="56" t="n"/>
      <c r="G190" s="58">
        <f>IF(F190="","",F190*2.5)</f>
        <v/>
      </c>
      <c r="H190" s="56" t="n"/>
      <c r="I190" s="58">
        <f>IF(C190="","",C190-E190-G190-IF(H190="",0,H190))</f>
        <v/>
      </c>
      <c r="J190" s="56">
        <f>IF(C190="","",IF(ABS(I190)&lt;0.001,"KAPALI","KONTROL"))</f>
        <v/>
      </c>
      <c r="K190" s="65" t="n"/>
    </row>
    <row r="191" ht="15" customHeight="1">
      <c r="A191" s="60">
        <f>IF(B191="","",IFERROR(DATE(RIGHT(B191,4),MID(B191,4,2),LEFT(B191,2))+1,""))</f>
        <v/>
      </c>
      <c r="B191" s="56" t="n"/>
      <c r="C191" s="58">
        <f>IF(B191="","",IFERROR(INDEX('21 2026 ÜRETİM'!$F$2:$F$501,MATCH(B191,'21 2026 ÜRETİM'!$A$2:$A$501,0)),""))</f>
        <v/>
      </c>
      <c r="D191" s="56" t="n"/>
      <c r="E191" s="58">
        <f>IF(D191="","",D191*0.5)</f>
        <v/>
      </c>
      <c r="F191" s="56" t="n"/>
      <c r="G191" s="58">
        <f>IF(F191="","",F191*2.5)</f>
        <v/>
      </c>
      <c r="H191" s="56" t="n"/>
      <c r="I191" s="58">
        <f>IF(C191="","",C191-E191-G191-IF(H191="",0,H191))</f>
        <v/>
      </c>
      <c r="J191" s="56">
        <f>IF(C191="","",IF(ABS(I191)&lt;0.001,"KAPALI","KONTROL"))</f>
        <v/>
      </c>
      <c r="K191" s="65" t="n"/>
    </row>
    <row r="192" ht="15" customHeight="1">
      <c r="A192" s="60">
        <f>IF(B192="","",IFERROR(DATE(RIGHT(B192,4),MID(B192,4,2),LEFT(B192,2))+1,""))</f>
        <v/>
      </c>
      <c r="B192" s="56" t="n"/>
      <c r="C192" s="58">
        <f>IF(B192="","",IFERROR(INDEX('21 2026 ÜRETİM'!$F$2:$F$501,MATCH(B192,'21 2026 ÜRETİM'!$A$2:$A$501,0)),""))</f>
        <v/>
      </c>
      <c r="D192" s="56" t="n"/>
      <c r="E192" s="58">
        <f>IF(D192="","",D192*0.5)</f>
        <v/>
      </c>
      <c r="F192" s="56" t="n"/>
      <c r="G192" s="58">
        <f>IF(F192="","",F192*2.5)</f>
        <v/>
      </c>
      <c r="H192" s="56" t="n"/>
      <c r="I192" s="58">
        <f>IF(C192="","",C192-E192-G192-IF(H192="",0,H192))</f>
        <v/>
      </c>
      <c r="J192" s="56">
        <f>IF(C192="","",IF(ABS(I192)&lt;0.001,"KAPALI","KONTROL"))</f>
        <v/>
      </c>
      <c r="K192" s="65" t="n"/>
    </row>
    <row r="193" ht="15" customHeight="1">
      <c r="A193" s="60">
        <f>IF(B193="","",IFERROR(DATE(RIGHT(B193,4),MID(B193,4,2),LEFT(B193,2))+1,""))</f>
        <v/>
      </c>
      <c r="B193" s="56" t="n"/>
      <c r="C193" s="58">
        <f>IF(B193="","",IFERROR(INDEX('21 2026 ÜRETİM'!$F$2:$F$501,MATCH(B193,'21 2026 ÜRETİM'!$A$2:$A$501,0)),""))</f>
        <v/>
      </c>
      <c r="D193" s="56" t="n"/>
      <c r="E193" s="58">
        <f>IF(D193="","",D193*0.5)</f>
        <v/>
      </c>
      <c r="F193" s="56" t="n"/>
      <c r="G193" s="58">
        <f>IF(F193="","",F193*2.5)</f>
        <v/>
      </c>
      <c r="H193" s="56" t="n"/>
      <c r="I193" s="58">
        <f>IF(C193="","",C193-E193-G193-IF(H193="",0,H193))</f>
        <v/>
      </c>
      <c r="J193" s="56">
        <f>IF(C193="","",IF(ABS(I193)&lt;0.001,"KAPALI","KONTROL"))</f>
        <v/>
      </c>
      <c r="K193" s="65" t="n"/>
    </row>
    <row r="194" ht="15" customHeight="1">
      <c r="A194" s="60">
        <f>IF(B194="","",IFERROR(DATE(RIGHT(B194,4),MID(B194,4,2),LEFT(B194,2))+1,""))</f>
        <v/>
      </c>
      <c r="B194" s="56" t="n"/>
      <c r="C194" s="58">
        <f>IF(B194="","",IFERROR(INDEX('21 2026 ÜRETİM'!$F$2:$F$501,MATCH(B194,'21 2026 ÜRETİM'!$A$2:$A$501,0)),""))</f>
        <v/>
      </c>
      <c r="D194" s="56" t="n"/>
      <c r="E194" s="58">
        <f>IF(D194="","",D194*0.5)</f>
        <v/>
      </c>
      <c r="F194" s="56" t="n"/>
      <c r="G194" s="58">
        <f>IF(F194="","",F194*2.5)</f>
        <v/>
      </c>
      <c r="H194" s="56" t="n"/>
      <c r="I194" s="58">
        <f>IF(C194="","",C194-E194-G194-IF(H194="",0,H194))</f>
        <v/>
      </c>
      <c r="J194" s="56">
        <f>IF(C194="","",IF(ABS(I194)&lt;0.001,"KAPALI","KONTROL"))</f>
        <v/>
      </c>
      <c r="K194" s="65" t="n"/>
    </row>
    <row r="195" ht="15" customHeight="1">
      <c r="A195" s="60">
        <f>IF(B195="","",IFERROR(DATE(RIGHT(B195,4),MID(B195,4,2),LEFT(B195,2))+1,""))</f>
        <v/>
      </c>
      <c r="B195" s="56" t="n"/>
      <c r="C195" s="58">
        <f>IF(B195="","",IFERROR(INDEX('21 2026 ÜRETİM'!$F$2:$F$501,MATCH(B195,'21 2026 ÜRETİM'!$A$2:$A$501,0)),""))</f>
        <v/>
      </c>
      <c r="D195" s="56" t="n"/>
      <c r="E195" s="58">
        <f>IF(D195="","",D195*0.5)</f>
        <v/>
      </c>
      <c r="F195" s="56" t="n"/>
      <c r="G195" s="58">
        <f>IF(F195="","",F195*2.5)</f>
        <v/>
      </c>
      <c r="H195" s="56" t="n"/>
      <c r="I195" s="58">
        <f>IF(C195="","",C195-E195-G195-IF(H195="",0,H195))</f>
        <v/>
      </c>
      <c r="J195" s="56">
        <f>IF(C195="","",IF(ABS(I195)&lt;0.001,"KAPALI","KONTROL"))</f>
        <v/>
      </c>
      <c r="K195" s="65" t="n"/>
    </row>
    <row r="196" ht="15" customHeight="1">
      <c r="A196" s="60">
        <f>IF(B196="","",IFERROR(DATE(RIGHT(B196,4),MID(B196,4,2),LEFT(B196,2))+1,""))</f>
        <v/>
      </c>
      <c r="B196" s="56" t="n"/>
      <c r="C196" s="58">
        <f>IF(B196="","",IFERROR(INDEX('21 2026 ÜRETİM'!$F$2:$F$501,MATCH(B196,'21 2026 ÜRETİM'!$A$2:$A$501,0)),""))</f>
        <v/>
      </c>
      <c r="D196" s="56" t="n"/>
      <c r="E196" s="58">
        <f>IF(D196="","",D196*0.5)</f>
        <v/>
      </c>
      <c r="F196" s="56" t="n"/>
      <c r="G196" s="58">
        <f>IF(F196="","",F196*2.5)</f>
        <v/>
      </c>
      <c r="H196" s="56" t="n"/>
      <c r="I196" s="58">
        <f>IF(C196="","",C196-E196-G196-IF(H196="",0,H196))</f>
        <v/>
      </c>
      <c r="J196" s="56">
        <f>IF(C196="","",IF(ABS(I196)&lt;0.001,"KAPALI","KONTROL"))</f>
        <v/>
      </c>
      <c r="K196" s="65" t="n"/>
    </row>
    <row r="197" ht="15" customHeight="1">
      <c r="A197" s="60">
        <f>IF(B197="","",IFERROR(DATE(RIGHT(B197,4),MID(B197,4,2),LEFT(B197,2))+1,""))</f>
        <v/>
      </c>
      <c r="B197" s="56" t="n"/>
      <c r="C197" s="58">
        <f>IF(B197="","",IFERROR(INDEX('21 2026 ÜRETİM'!$F$2:$F$501,MATCH(B197,'21 2026 ÜRETİM'!$A$2:$A$501,0)),""))</f>
        <v/>
      </c>
      <c r="D197" s="56" t="n"/>
      <c r="E197" s="58">
        <f>IF(D197="","",D197*0.5)</f>
        <v/>
      </c>
      <c r="F197" s="56" t="n"/>
      <c r="G197" s="58">
        <f>IF(F197="","",F197*2.5)</f>
        <v/>
      </c>
      <c r="H197" s="56" t="n"/>
      <c r="I197" s="58">
        <f>IF(C197="","",C197-E197-G197-IF(H197="",0,H197))</f>
        <v/>
      </c>
      <c r="J197" s="56">
        <f>IF(C197="","",IF(ABS(I197)&lt;0.001,"KAPALI","KONTROL"))</f>
        <v/>
      </c>
      <c r="K197" s="65" t="n"/>
    </row>
    <row r="198" ht="15" customHeight="1">
      <c r="A198" s="60">
        <f>IF(B198="","",IFERROR(DATE(RIGHT(B198,4),MID(B198,4,2),LEFT(B198,2))+1,""))</f>
        <v/>
      </c>
      <c r="B198" s="56" t="n"/>
      <c r="C198" s="58">
        <f>IF(B198="","",IFERROR(INDEX('21 2026 ÜRETİM'!$F$2:$F$501,MATCH(B198,'21 2026 ÜRETİM'!$A$2:$A$501,0)),""))</f>
        <v/>
      </c>
      <c r="D198" s="56" t="n"/>
      <c r="E198" s="58">
        <f>IF(D198="","",D198*0.5)</f>
        <v/>
      </c>
      <c r="F198" s="56" t="n"/>
      <c r="G198" s="58">
        <f>IF(F198="","",F198*2.5)</f>
        <v/>
      </c>
      <c r="H198" s="56" t="n"/>
      <c r="I198" s="58">
        <f>IF(C198="","",C198-E198-G198-IF(H198="",0,H198))</f>
        <v/>
      </c>
      <c r="J198" s="56">
        <f>IF(C198="","",IF(ABS(I198)&lt;0.001,"KAPALI","KONTROL"))</f>
        <v/>
      </c>
      <c r="K198" s="65" t="n"/>
    </row>
    <row r="199" ht="15" customHeight="1">
      <c r="A199" s="60">
        <f>IF(B199="","",IFERROR(DATE(RIGHT(B199,4),MID(B199,4,2),LEFT(B199,2))+1,""))</f>
        <v/>
      </c>
      <c r="B199" s="56" t="n"/>
      <c r="C199" s="58">
        <f>IF(B199="","",IFERROR(INDEX('21 2026 ÜRETİM'!$F$2:$F$501,MATCH(B199,'21 2026 ÜRETİM'!$A$2:$A$501,0)),""))</f>
        <v/>
      </c>
      <c r="D199" s="56" t="n"/>
      <c r="E199" s="58">
        <f>IF(D199="","",D199*0.5)</f>
        <v/>
      </c>
      <c r="F199" s="56" t="n"/>
      <c r="G199" s="58">
        <f>IF(F199="","",F199*2.5)</f>
        <v/>
      </c>
      <c r="H199" s="56" t="n"/>
      <c r="I199" s="58">
        <f>IF(C199="","",C199-E199-G199-IF(H199="",0,H199))</f>
        <v/>
      </c>
      <c r="J199" s="56">
        <f>IF(C199="","",IF(ABS(I199)&lt;0.001,"KAPALI","KONTROL"))</f>
        <v/>
      </c>
      <c r="K199" s="65" t="n"/>
    </row>
    <row r="200" ht="15" customHeight="1">
      <c r="A200" s="60">
        <f>IF(B200="","",IFERROR(DATE(RIGHT(B200,4),MID(B200,4,2),LEFT(B200,2))+1,""))</f>
        <v/>
      </c>
      <c r="B200" s="56" t="n"/>
      <c r="C200" s="58">
        <f>IF(B200="","",IFERROR(INDEX('21 2026 ÜRETİM'!$F$2:$F$501,MATCH(B200,'21 2026 ÜRETİM'!$A$2:$A$501,0)),""))</f>
        <v/>
      </c>
      <c r="D200" s="56" t="n"/>
      <c r="E200" s="58">
        <f>IF(D200="","",D200*0.5)</f>
        <v/>
      </c>
      <c r="F200" s="56" t="n"/>
      <c r="G200" s="58">
        <f>IF(F200="","",F200*2.5)</f>
        <v/>
      </c>
      <c r="H200" s="56" t="n"/>
      <c r="I200" s="58">
        <f>IF(C200="","",C200-E200-G200-IF(H200="",0,H200))</f>
        <v/>
      </c>
      <c r="J200" s="56">
        <f>IF(C200="","",IF(ABS(I200)&lt;0.001,"KAPALI","KONTROL"))</f>
        <v/>
      </c>
      <c r="K200" s="65" t="n"/>
    </row>
    <row r="201" ht="15" customHeight="1">
      <c r="A201" s="60">
        <f>IF(B201="","",IFERROR(DATE(RIGHT(B201,4),MID(B201,4,2),LEFT(B201,2))+1,""))</f>
        <v/>
      </c>
      <c r="B201" s="56" t="n"/>
      <c r="C201" s="58">
        <f>IF(B201="","",IFERROR(INDEX('21 2026 ÜRETİM'!$F$2:$F$501,MATCH(B201,'21 2026 ÜRETİM'!$A$2:$A$501,0)),""))</f>
        <v/>
      </c>
      <c r="D201" s="56" t="n"/>
      <c r="E201" s="58">
        <f>IF(D201="","",D201*0.5)</f>
        <v/>
      </c>
      <c r="F201" s="56" t="n"/>
      <c r="G201" s="58">
        <f>IF(F201="","",F201*2.5)</f>
        <v/>
      </c>
      <c r="H201" s="56" t="n"/>
      <c r="I201" s="58">
        <f>IF(C201="","",C201-E201-G201-IF(H201="",0,H201))</f>
        <v/>
      </c>
      <c r="J201" s="56">
        <f>IF(C201="","",IF(ABS(I201)&lt;0.001,"KAPALI","KONTROL"))</f>
        <v/>
      </c>
      <c r="K201" s="65" t="n"/>
    </row>
    <row r="202" ht="15" customHeight="1">
      <c r="A202" s="60">
        <f>IF(B202="","",IFERROR(DATE(RIGHT(B202,4),MID(B202,4,2),LEFT(B202,2))+1,""))</f>
        <v/>
      </c>
      <c r="B202" s="56" t="n"/>
      <c r="C202" s="58">
        <f>IF(B202="","",IFERROR(INDEX('21 2026 ÜRETİM'!$F$2:$F$501,MATCH(B202,'21 2026 ÜRETİM'!$A$2:$A$501,0)),""))</f>
        <v/>
      </c>
      <c r="D202" s="56" t="n"/>
      <c r="E202" s="58">
        <f>IF(D202="","",D202*0.5)</f>
        <v/>
      </c>
      <c r="F202" s="56" t="n"/>
      <c r="G202" s="58">
        <f>IF(F202="","",F202*2.5)</f>
        <v/>
      </c>
      <c r="H202" s="56" t="n"/>
      <c r="I202" s="58">
        <f>IF(C202="","",C202-E202-G202-IF(H202="",0,H202))</f>
        <v/>
      </c>
      <c r="J202" s="56">
        <f>IF(C202="","",IF(ABS(I202)&lt;0.001,"KAPALI","KONTROL"))</f>
        <v/>
      </c>
      <c r="K202" s="65" t="n"/>
    </row>
    <row r="203" ht="15" customHeight="1">
      <c r="A203" s="60">
        <f>IF(B203="","",IFERROR(DATE(RIGHT(B203,4),MID(B203,4,2),LEFT(B203,2))+1,""))</f>
        <v/>
      </c>
      <c r="B203" s="56" t="n"/>
      <c r="C203" s="58">
        <f>IF(B203="","",IFERROR(INDEX('21 2026 ÜRETİM'!$F$2:$F$501,MATCH(B203,'21 2026 ÜRETİM'!$A$2:$A$501,0)),""))</f>
        <v/>
      </c>
      <c r="D203" s="56" t="n"/>
      <c r="E203" s="58">
        <f>IF(D203="","",D203*0.5)</f>
        <v/>
      </c>
      <c r="F203" s="56" t="n"/>
      <c r="G203" s="58">
        <f>IF(F203="","",F203*2.5)</f>
        <v/>
      </c>
      <c r="H203" s="56" t="n"/>
      <c r="I203" s="58">
        <f>IF(C203="","",C203-E203-G203-IF(H203="",0,H203))</f>
        <v/>
      </c>
      <c r="J203" s="56">
        <f>IF(C203="","",IF(ABS(I203)&lt;0.001,"KAPALI","KONTROL"))</f>
        <v/>
      </c>
      <c r="K203" s="65" t="n"/>
    </row>
    <row r="204" ht="15" customHeight="1">
      <c r="A204" s="60">
        <f>IF(B204="","",IFERROR(DATE(RIGHT(B204,4),MID(B204,4,2),LEFT(B204,2))+1,""))</f>
        <v/>
      </c>
      <c r="B204" s="56" t="n"/>
      <c r="C204" s="58">
        <f>IF(B204="","",IFERROR(INDEX('21 2026 ÜRETİM'!$F$2:$F$501,MATCH(B204,'21 2026 ÜRETİM'!$A$2:$A$501,0)),""))</f>
        <v/>
      </c>
      <c r="D204" s="56" t="n"/>
      <c r="E204" s="58">
        <f>IF(D204="","",D204*0.5)</f>
        <v/>
      </c>
      <c r="F204" s="56" t="n"/>
      <c r="G204" s="58">
        <f>IF(F204="","",F204*2.5)</f>
        <v/>
      </c>
      <c r="H204" s="56" t="n"/>
      <c r="I204" s="58">
        <f>IF(C204="","",C204-E204-G204-IF(H204="",0,H204))</f>
        <v/>
      </c>
      <c r="J204" s="56">
        <f>IF(C204="","",IF(ABS(I204)&lt;0.001,"KAPALI","KONTROL"))</f>
        <v/>
      </c>
      <c r="K204" s="65" t="n"/>
    </row>
    <row r="205" ht="15" customHeight="1">
      <c r="A205" s="60">
        <f>IF(B205="","",IFERROR(DATE(RIGHT(B205,4),MID(B205,4,2),LEFT(B205,2))+1,""))</f>
        <v/>
      </c>
      <c r="B205" s="56" t="n"/>
      <c r="C205" s="58">
        <f>IF(B205="","",IFERROR(INDEX('21 2026 ÜRETİM'!$F$2:$F$501,MATCH(B205,'21 2026 ÜRETİM'!$A$2:$A$501,0)),""))</f>
        <v/>
      </c>
      <c r="D205" s="56" t="n"/>
      <c r="E205" s="58">
        <f>IF(D205="","",D205*0.5)</f>
        <v/>
      </c>
      <c r="F205" s="56" t="n"/>
      <c r="G205" s="58">
        <f>IF(F205="","",F205*2.5)</f>
        <v/>
      </c>
      <c r="H205" s="56" t="n"/>
      <c r="I205" s="58">
        <f>IF(C205="","",C205-E205-G205-IF(H205="",0,H205))</f>
        <v/>
      </c>
      <c r="J205" s="56">
        <f>IF(C205="","",IF(ABS(I205)&lt;0.001,"KAPALI","KONTROL"))</f>
        <v/>
      </c>
      <c r="K205" s="65" t="n"/>
    </row>
    <row r="206" ht="15" customHeight="1">
      <c r="A206" s="60">
        <f>IF(B206="","",IFERROR(DATE(RIGHT(B206,4),MID(B206,4,2),LEFT(B206,2))+1,""))</f>
        <v/>
      </c>
      <c r="B206" s="56" t="n"/>
      <c r="C206" s="58">
        <f>IF(B206="","",IFERROR(INDEX('21 2026 ÜRETİM'!$F$2:$F$501,MATCH(B206,'21 2026 ÜRETİM'!$A$2:$A$501,0)),""))</f>
        <v/>
      </c>
      <c r="D206" s="56" t="n"/>
      <c r="E206" s="58">
        <f>IF(D206="","",D206*0.5)</f>
        <v/>
      </c>
      <c r="F206" s="56" t="n"/>
      <c r="G206" s="58">
        <f>IF(F206="","",F206*2.5)</f>
        <v/>
      </c>
      <c r="H206" s="56" t="n"/>
      <c r="I206" s="58">
        <f>IF(C206="","",C206-E206-G206-IF(H206="",0,H206))</f>
        <v/>
      </c>
      <c r="J206" s="56">
        <f>IF(C206="","",IF(ABS(I206)&lt;0.001,"KAPALI","KONTROL"))</f>
        <v/>
      </c>
      <c r="K206" s="65" t="n"/>
    </row>
    <row r="207" ht="15" customHeight="1">
      <c r="A207" s="60">
        <f>IF(B207="","",IFERROR(DATE(RIGHT(B207,4),MID(B207,4,2),LEFT(B207,2))+1,""))</f>
        <v/>
      </c>
      <c r="B207" s="56" t="n"/>
      <c r="C207" s="58">
        <f>IF(B207="","",IFERROR(INDEX('21 2026 ÜRETİM'!$F$2:$F$501,MATCH(B207,'21 2026 ÜRETİM'!$A$2:$A$501,0)),""))</f>
        <v/>
      </c>
      <c r="D207" s="56" t="n"/>
      <c r="E207" s="58">
        <f>IF(D207="","",D207*0.5)</f>
        <v/>
      </c>
      <c r="F207" s="56" t="n"/>
      <c r="G207" s="58">
        <f>IF(F207="","",F207*2.5)</f>
        <v/>
      </c>
      <c r="H207" s="56" t="n"/>
      <c r="I207" s="58">
        <f>IF(C207="","",C207-E207-G207-IF(H207="",0,H207))</f>
        <v/>
      </c>
      <c r="J207" s="56">
        <f>IF(C207="","",IF(ABS(I207)&lt;0.001,"KAPALI","KONTROL"))</f>
        <v/>
      </c>
      <c r="K207" s="65" t="n"/>
    </row>
    <row r="208" ht="15" customHeight="1">
      <c r="A208" s="60">
        <f>IF(B208="","",IFERROR(DATE(RIGHT(B208,4),MID(B208,4,2),LEFT(B208,2))+1,""))</f>
        <v/>
      </c>
      <c r="B208" s="56" t="n"/>
      <c r="C208" s="58">
        <f>IF(B208="","",IFERROR(INDEX('21 2026 ÜRETİM'!$F$2:$F$501,MATCH(B208,'21 2026 ÜRETİM'!$A$2:$A$501,0)),""))</f>
        <v/>
      </c>
      <c r="D208" s="56" t="n"/>
      <c r="E208" s="58">
        <f>IF(D208="","",D208*0.5)</f>
        <v/>
      </c>
      <c r="F208" s="56" t="n"/>
      <c r="G208" s="58">
        <f>IF(F208="","",F208*2.5)</f>
        <v/>
      </c>
      <c r="H208" s="56" t="n"/>
      <c r="I208" s="58">
        <f>IF(C208="","",C208-E208-G208-IF(H208="",0,H208))</f>
        <v/>
      </c>
      <c r="J208" s="56">
        <f>IF(C208="","",IF(ABS(I208)&lt;0.001,"KAPALI","KONTROL"))</f>
        <v/>
      </c>
      <c r="K208" s="65" t="n"/>
    </row>
    <row r="209" ht="15" customHeight="1">
      <c r="A209" s="60">
        <f>IF(B209="","",IFERROR(DATE(RIGHT(B209,4),MID(B209,4,2),LEFT(B209,2))+1,""))</f>
        <v/>
      </c>
      <c r="B209" s="56" t="n"/>
      <c r="C209" s="58">
        <f>IF(B209="","",IFERROR(INDEX('21 2026 ÜRETİM'!$F$2:$F$501,MATCH(B209,'21 2026 ÜRETİM'!$A$2:$A$501,0)),""))</f>
        <v/>
      </c>
      <c r="D209" s="56" t="n"/>
      <c r="E209" s="58">
        <f>IF(D209="","",D209*0.5)</f>
        <v/>
      </c>
      <c r="F209" s="56" t="n"/>
      <c r="G209" s="58">
        <f>IF(F209="","",F209*2.5)</f>
        <v/>
      </c>
      <c r="H209" s="56" t="n"/>
      <c r="I209" s="58">
        <f>IF(C209="","",C209-E209-G209-IF(H209="",0,H209))</f>
        <v/>
      </c>
      <c r="J209" s="56">
        <f>IF(C209="","",IF(ABS(I209)&lt;0.001,"KAPALI","KONTROL"))</f>
        <v/>
      </c>
      <c r="K209" s="65" t="n"/>
    </row>
    <row r="210" ht="15" customHeight="1">
      <c r="A210" s="60">
        <f>IF(B210="","",IFERROR(DATE(RIGHT(B210,4),MID(B210,4,2),LEFT(B210,2))+1,""))</f>
        <v/>
      </c>
      <c r="B210" s="56" t="n"/>
      <c r="C210" s="58">
        <f>IF(B210="","",IFERROR(INDEX('21 2026 ÜRETİM'!$F$2:$F$501,MATCH(B210,'21 2026 ÜRETİM'!$A$2:$A$501,0)),""))</f>
        <v/>
      </c>
      <c r="D210" s="56" t="n"/>
      <c r="E210" s="58">
        <f>IF(D210="","",D210*0.5)</f>
        <v/>
      </c>
      <c r="F210" s="56" t="n"/>
      <c r="G210" s="58">
        <f>IF(F210="","",F210*2.5)</f>
        <v/>
      </c>
      <c r="H210" s="56" t="n"/>
      <c r="I210" s="58">
        <f>IF(C210="","",C210-E210-G210-IF(H210="",0,H210))</f>
        <v/>
      </c>
      <c r="J210" s="56">
        <f>IF(C210="","",IF(ABS(I210)&lt;0.001,"KAPALI","KONTROL"))</f>
        <v/>
      </c>
      <c r="K210" s="65" t="n"/>
    </row>
    <row r="211" ht="15" customHeight="1">
      <c r="A211" s="60">
        <f>IF(B211="","",IFERROR(DATE(RIGHT(B211,4),MID(B211,4,2),LEFT(B211,2))+1,""))</f>
        <v/>
      </c>
      <c r="B211" s="56" t="n"/>
      <c r="C211" s="58">
        <f>IF(B211="","",IFERROR(INDEX('21 2026 ÜRETİM'!$F$2:$F$501,MATCH(B211,'21 2026 ÜRETİM'!$A$2:$A$501,0)),""))</f>
        <v/>
      </c>
      <c r="D211" s="56" t="n"/>
      <c r="E211" s="58">
        <f>IF(D211="","",D211*0.5)</f>
        <v/>
      </c>
      <c r="F211" s="56" t="n"/>
      <c r="G211" s="58">
        <f>IF(F211="","",F211*2.5)</f>
        <v/>
      </c>
      <c r="H211" s="56" t="n"/>
      <c r="I211" s="58">
        <f>IF(C211="","",C211-E211-G211-IF(H211="",0,H211))</f>
        <v/>
      </c>
      <c r="J211" s="56">
        <f>IF(C211="","",IF(ABS(I211)&lt;0.001,"KAPALI","KONTROL"))</f>
        <v/>
      </c>
      <c r="K211" s="65" t="n"/>
    </row>
    <row r="212" ht="15" customHeight="1">
      <c r="A212" s="60">
        <f>IF(B212="","",IFERROR(DATE(RIGHT(B212,4),MID(B212,4,2),LEFT(B212,2))+1,""))</f>
        <v/>
      </c>
      <c r="B212" s="56" t="n"/>
      <c r="C212" s="58">
        <f>IF(B212="","",IFERROR(INDEX('21 2026 ÜRETİM'!$F$2:$F$501,MATCH(B212,'21 2026 ÜRETİM'!$A$2:$A$501,0)),""))</f>
        <v/>
      </c>
      <c r="D212" s="56" t="n"/>
      <c r="E212" s="58">
        <f>IF(D212="","",D212*0.5)</f>
        <v/>
      </c>
      <c r="F212" s="56" t="n"/>
      <c r="G212" s="58">
        <f>IF(F212="","",F212*2.5)</f>
        <v/>
      </c>
      <c r="H212" s="56" t="n"/>
      <c r="I212" s="58">
        <f>IF(C212="","",C212-E212-G212-IF(H212="",0,H212))</f>
        <v/>
      </c>
      <c r="J212" s="56">
        <f>IF(C212="","",IF(ABS(I212)&lt;0.001,"KAPALI","KONTROL"))</f>
        <v/>
      </c>
      <c r="K212" s="65" t="n"/>
    </row>
    <row r="213" ht="15" customHeight="1">
      <c r="A213" s="60">
        <f>IF(B213="","",IFERROR(DATE(RIGHT(B213,4),MID(B213,4,2),LEFT(B213,2))+1,""))</f>
        <v/>
      </c>
      <c r="B213" s="56" t="n"/>
      <c r="C213" s="58">
        <f>IF(B213="","",IFERROR(INDEX('21 2026 ÜRETİM'!$F$2:$F$501,MATCH(B213,'21 2026 ÜRETİM'!$A$2:$A$501,0)),""))</f>
        <v/>
      </c>
      <c r="D213" s="56" t="n"/>
      <c r="E213" s="58">
        <f>IF(D213="","",D213*0.5)</f>
        <v/>
      </c>
      <c r="F213" s="56" t="n"/>
      <c r="G213" s="58">
        <f>IF(F213="","",F213*2.5)</f>
        <v/>
      </c>
      <c r="H213" s="56" t="n"/>
      <c r="I213" s="58">
        <f>IF(C213="","",C213-E213-G213-IF(H213="",0,H213))</f>
        <v/>
      </c>
      <c r="J213" s="56">
        <f>IF(C213="","",IF(ABS(I213)&lt;0.001,"KAPALI","KONTROL"))</f>
        <v/>
      </c>
      <c r="K213" s="65" t="n"/>
    </row>
    <row r="214" ht="15" customHeight="1">
      <c r="A214" s="60">
        <f>IF(B214="","",IFERROR(DATE(RIGHT(B214,4),MID(B214,4,2),LEFT(B214,2))+1,""))</f>
        <v/>
      </c>
      <c r="B214" s="56" t="n"/>
      <c r="C214" s="58">
        <f>IF(B214="","",IFERROR(INDEX('21 2026 ÜRETİM'!$F$2:$F$501,MATCH(B214,'21 2026 ÜRETİM'!$A$2:$A$501,0)),""))</f>
        <v/>
      </c>
      <c r="D214" s="56" t="n"/>
      <c r="E214" s="58">
        <f>IF(D214="","",D214*0.5)</f>
        <v/>
      </c>
      <c r="F214" s="56" t="n"/>
      <c r="G214" s="58">
        <f>IF(F214="","",F214*2.5)</f>
        <v/>
      </c>
      <c r="H214" s="56" t="n"/>
      <c r="I214" s="58">
        <f>IF(C214="","",C214-E214-G214-IF(H214="",0,H214))</f>
        <v/>
      </c>
      <c r="J214" s="56">
        <f>IF(C214="","",IF(ABS(I214)&lt;0.001,"KAPALI","KONTROL"))</f>
        <v/>
      </c>
      <c r="K214" s="65" t="n"/>
    </row>
    <row r="215" ht="15" customHeight="1">
      <c r="A215" s="60">
        <f>IF(B215="","",IFERROR(DATE(RIGHT(B215,4),MID(B215,4,2),LEFT(B215,2))+1,""))</f>
        <v/>
      </c>
      <c r="B215" s="56" t="n"/>
      <c r="C215" s="58">
        <f>IF(B215="","",IFERROR(INDEX('21 2026 ÜRETİM'!$F$2:$F$501,MATCH(B215,'21 2026 ÜRETİM'!$A$2:$A$501,0)),""))</f>
        <v/>
      </c>
      <c r="D215" s="56" t="n"/>
      <c r="E215" s="58">
        <f>IF(D215="","",D215*0.5)</f>
        <v/>
      </c>
      <c r="F215" s="56" t="n"/>
      <c r="G215" s="58">
        <f>IF(F215="","",F215*2.5)</f>
        <v/>
      </c>
      <c r="H215" s="56" t="n"/>
      <c r="I215" s="58">
        <f>IF(C215="","",C215-E215-G215-IF(H215="",0,H215))</f>
        <v/>
      </c>
      <c r="J215" s="56">
        <f>IF(C215="","",IF(ABS(I215)&lt;0.001,"KAPALI","KONTROL"))</f>
        <v/>
      </c>
      <c r="K215" s="65" t="n"/>
    </row>
    <row r="216" ht="15" customHeight="1">
      <c r="A216" s="60">
        <f>IF(B216="","",IFERROR(DATE(RIGHT(B216,4),MID(B216,4,2),LEFT(B216,2))+1,""))</f>
        <v/>
      </c>
      <c r="B216" s="56" t="n"/>
      <c r="C216" s="58">
        <f>IF(B216="","",IFERROR(INDEX('21 2026 ÜRETİM'!$F$2:$F$501,MATCH(B216,'21 2026 ÜRETİM'!$A$2:$A$501,0)),""))</f>
        <v/>
      </c>
      <c r="D216" s="56" t="n"/>
      <c r="E216" s="58">
        <f>IF(D216="","",D216*0.5)</f>
        <v/>
      </c>
      <c r="F216" s="56" t="n"/>
      <c r="G216" s="58">
        <f>IF(F216="","",F216*2.5)</f>
        <v/>
      </c>
      <c r="H216" s="56" t="n"/>
      <c r="I216" s="58">
        <f>IF(C216="","",C216-E216-G216-IF(H216="",0,H216))</f>
        <v/>
      </c>
      <c r="J216" s="56">
        <f>IF(C216="","",IF(ABS(I216)&lt;0.001,"KAPALI","KONTROL"))</f>
        <v/>
      </c>
      <c r="K216" s="65" t="n"/>
    </row>
    <row r="217" ht="15" customHeight="1">
      <c r="A217" s="60">
        <f>IF(B217="","",IFERROR(DATE(RIGHT(B217,4),MID(B217,4,2),LEFT(B217,2))+1,""))</f>
        <v/>
      </c>
      <c r="B217" s="56" t="n"/>
      <c r="C217" s="58">
        <f>IF(B217="","",IFERROR(INDEX('21 2026 ÜRETİM'!$F$2:$F$501,MATCH(B217,'21 2026 ÜRETİM'!$A$2:$A$501,0)),""))</f>
        <v/>
      </c>
      <c r="D217" s="56" t="n"/>
      <c r="E217" s="58">
        <f>IF(D217="","",D217*0.5)</f>
        <v/>
      </c>
      <c r="F217" s="56" t="n"/>
      <c r="G217" s="58">
        <f>IF(F217="","",F217*2.5)</f>
        <v/>
      </c>
      <c r="H217" s="56" t="n"/>
      <c r="I217" s="58">
        <f>IF(C217="","",C217-E217-G217-IF(H217="",0,H217))</f>
        <v/>
      </c>
      <c r="J217" s="56">
        <f>IF(C217="","",IF(ABS(I217)&lt;0.001,"KAPALI","KONTROL"))</f>
        <v/>
      </c>
      <c r="K217" s="65" t="n"/>
    </row>
    <row r="218" ht="15" customHeight="1">
      <c r="A218" s="60">
        <f>IF(B218="","",IFERROR(DATE(RIGHT(B218,4),MID(B218,4,2),LEFT(B218,2))+1,""))</f>
        <v/>
      </c>
      <c r="B218" s="56" t="n"/>
      <c r="C218" s="58">
        <f>IF(B218="","",IFERROR(INDEX('21 2026 ÜRETİM'!$F$2:$F$501,MATCH(B218,'21 2026 ÜRETİM'!$A$2:$A$501,0)),""))</f>
        <v/>
      </c>
      <c r="D218" s="56" t="n"/>
      <c r="E218" s="58">
        <f>IF(D218="","",D218*0.5)</f>
        <v/>
      </c>
      <c r="F218" s="56" t="n"/>
      <c r="G218" s="58">
        <f>IF(F218="","",F218*2.5)</f>
        <v/>
      </c>
      <c r="H218" s="56" t="n"/>
      <c r="I218" s="58">
        <f>IF(C218="","",C218-E218-G218-IF(H218="",0,H218))</f>
        <v/>
      </c>
      <c r="J218" s="56">
        <f>IF(C218="","",IF(ABS(I218)&lt;0.001,"KAPALI","KONTROL"))</f>
        <v/>
      </c>
      <c r="K218" s="65" t="n"/>
    </row>
    <row r="219" ht="15" customHeight="1">
      <c r="A219" s="60">
        <f>IF(B219="","",IFERROR(DATE(RIGHT(B219,4),MID(B219,4,2),LEFT(B219,2))+1,""))</f>
        <v/>
      </c>
      <c r="B219" s="56" t="n"/>
      <c r="C219" s="58">
        <f>IF(B219="","",IFERROR(INDEX('21 2026 ÜRETİM'!$F$2:$F$501,MATCH(B219,'21 2026 ÜRETİM'!$A$2:$A$501,0)),""))</f>
        <v/>
      </c>
      <c r="D219" s="56" t="n"/>
      <c r="E219" s="58">
        <f>IF(D219="","",D219*0.5)</f>
        <v/>
      </c>
      <c r="F219" s="56" t="n"/>
      <c r="G219" s="58">
        <f>IF(F219="","",F219*2.5)</f>
        <v/>
      </c>
      <c r="H219" s="56" t="n"/>
      <c r="I219" s="58">
        <f>IF(C219="","",C219-E219-G219-IF(H219="",0,H219))</f>
        <v/>
      </c>
      <c r="J219" s="56">
        <f>IF(C219="","",IF(ABS(I219)&lt;0.001,"KAPALI","KONTROL"))</f>
        <v/>
      </c>
      <c r="K219" s="65" t="n"/>
    </row>
    <row r="220" ht="15" customHeight="1">
      <c r="A220" s="60">
        <f>IF(B220="","",IFERROR(DATE(RIGHT(B220,4),MID(B220,4,2),LEFT(B220,2))+1,""))</f>
        <v/>
      </c>
      <c r="B220" s="56" t="n"/>
      <c r="C220" s="58">
        <f>IF(B220="","",IFERROR(INDEX('21 2026 ÜRETİM'!$F$2:$F$501,MATCH(B220,'21 2026 ÜRETİM'!$A$2:$A$501,0)),""))</f>
        <v/>
      </c>
      <c r="D220" s="56" t="n"/>
      <c r="E220" s="58">
        <f>IF(D220="","",D220*0.5)</f>
        <v/>
      </c>
      <c r="F220" s="56" t="n"/>
      <c r="G220" s="58">
        <f>IF(F220="","",F220*2.5)</f>
        <v/>
      </c>
      <c r="H220" s="56" t="n"/>
      <c r="I220" s="58">
        <f>IF(C220="","",C220-E220-G220-IF(H220="",0,H220))</f>
        <v/>
      </c>
      <c r="J220" s="56">
        <f>IF(C220="","",IF(ABS(I220)&lt;0.001,"KAPALI","KONTROL"))</f>
        <v/>
      </c>
      <c r="K220" s="65" t="n"/>
    </row>
    <row r="221" ht="15" customHeight="1">
      <c r="A221" s="60">
        <f>IF(B221="","",IFERROR(DATE(RIGHT(B221,4),MID(B221,4,2),LEFT(B221,2))+1,""))</f>
        <v/>
      </c>
      <c r="B221" s="56" t="n"/>
      <c r="C221" s="58">
        <f>IF(B221="","",IFERROR(INDEX('21 2026 ÜRETİM'!$F$2:$F$501,MATCH(B221,'21 2026 ÜRETİM'!$A$2:$A$501,0)),""))</f>
        <v/>
      </c>
      <c r="D221" s="56" t="n"/>
      <c r="E221" s="58">
        <f>IF(D221="","",D221*0.5)</f>
        <v/>
      </c>
      <c r="F221" s="56" t="n"/>
      <c r="G221" s="58">
        <f>IF(F221="","",F221*2.5)</f>
        <v/>
      </c>
      <c r="H221" s="56" t="n"/>
      <c r="I221" s="58">
        <f>IF(C221="","",C221-E221-G221-IF(H221="",0,H221))</f>
        <v/>
      </c>
      <c r="J221" s="56">
        <f>IF(C221="","",IF(ABS(I221)&lt;0.001,"KAPALI","KONTROL"))</f>
        <v/>
      </c>
      <c r="K221" s="65" t="n"/>
    </row>
    <row r="222" ht="15" customHeight="1">
      <c r="A222" s="60">
        <f>IF(B222="","",IFERROR(DATE(RIGHT(B222,4),MID(B222,4,2),LEFT(B222,2))+1,""))</f>
        <v/>
      </c>
      <c r="B222" s="56" t="n"/>
      <c r="C222" s="58">
        <f>IF(B222="","",IFERROR(INDEX('21 2026 ÜRETİM'!$F$2:$F$501,MATCH(B222,'21 2026 ÜRETİM'!$A$2:$A$501,0)),""))</f>
        <v/>
      </c>
      <c r="D222" s="56" t="n"/>
      <c r="E222" s="58">
        <f>IF(D222="","",D222*0.5)</f>
        <v/>
      </c>
      <c r="F222" s="56" t="n"/>
      <c r="G222" s="58">
        <f>IF(F222="","",F222*2.5)</f>
        <v/>
      </c>
      <c r="H222" s="56" t="n"/>
      <c r="I222" s="58">
        <f>IF(C222="","",C222-E222-G222-IF(H222="",0,H222))</f>
        <v/>
      </c>
      <c r="J222" s="56">
        <f>IF(C222="","",IF(ABS(I222)&lt;0.001,"KAPALI","KONTROL"))</f>
        <v/>
      </c>
      <c r="K222" s="65" t="n"/>
    </row>
    <row r="223" ht="15" customHeight="1">
      <c r="A223" s="60">
        <f>IF(B223="","",IFERROR(DATE(RIGHT(B223,4),MID(B223,4,2),LEFT(B223,2))+1,""))</f>
        <v/>
      </c>
      <c r="B223" s="56" t="n"/>
      <c r="C223" s="58">
        <f>IF(B223="","",IFERROR(INDEX('21 2026 ÜRETİM'!$F$2:$F$501,MATCH(B223,'21 2026 ÜRETİM'!$A$2:$A$501,0)),""))</f>
        <v/>
      </c>
      <c r="D223" s="56" t="n"/>
      <c r="E223" s="58">
        <f>IF(D223="","",D223*0.5)</f>
        <v/>
      </c>
      <c r="F223" s="56" t="n"/>
      <c r="G223" s="58">
        <f>IF(F223="","",F223*2.5)</f>
        <v/>
      </c>
      <c r="H223" s="56" t="n"/>
      <c r="I223" s="58">
        <f>IF(C223="","",C223-E223-G223-IF(H223="",0,H223))</f>
        <v/>
      </c>
      <c r="J223" s="56">
        <f>IF(C223="","",IF(ABS(I223)&lt;0.001,"KAPALI","KONTROL"))</f>
        <v/>
      </c>
      <c r="K223" s="65" t="n"/>
    </row>
    <row r="224" ht="15" customHeight="1">
      <c r="A224" s="60">
        <f>IF(B224="","",IFERROR(DATE(RIGHT(B224,4),MID(B224,4,2),LEFT(B224,2))+1,""))</f>
        <v/>
      </c>
      <c r="B224" s="56" t="n"/>
      <c r="C224" s="58">
        <f>IF(B224="","",IFERROR(INDEX('21 2026 ÜRETİM'!$F$2:$F$501,MATCH(B224,'21 2026 ÜRETİM'!$A$2:$A$501,0)),""))</f>
        <v/>
      </c>
      <c r="D224" s="56" t="n"/>
      <c r="E224" s="58">
        <f>IF(D224="","",D224*0.5)</f>
        <v/>
      </c>
      <c r="F224" s="56" t="n"/>
      <c r="G224" s="58">
        <f>IF(F224="","",F224*2.5)</f>
        <v/>
      </c>
      <c r="H224" s="56" t="n"/>
      <c r="I224" s="58">
        <f>IF(C224="","",C224-E224-G224-IF(H224="",0,H224))</f>
        <v/>
      </c>
      <c r="J224" s="56">
        <f>IF(C224="","",IF(ABS(I224)&lt;0.001,"KAPALI","KONTROL"))</f>
        <v/>
      </c>
      <c r="K224" s="65" t="n"/>
    </row>
    <row r="225" ht="15" customHeight="1">
      <c r="A225" s="60">
        <f>IF(B225="","",IFERROR(DATE(RIGHT(B225,4),MID(B225,4,2),LEFT(B225,2))+1,""))</f>
        <v/>
      </c>
      <c r="B225" s="56" t="n"/>
      <c r="C225" s="58">
        <f>IF(B225="","",IFERROR(INDEX('21 2026 ÜRETİM'!$F$2:$F$501,MATCH(B225,'21 2026 ÜRETİM'!$A$2:$A$501,0)),""))</f>
        <v/>
      </c>
      <c r="D225" s="56" t="n"/>
      <c r="E225" s="58">
        <f>IF(D225="","",D225*0.5)</f>
        <v/>
      </c>
      <c r="F225" s="56" t="n"/>
      <c r="G225" s="58">
        <f>IF(F225="","",F225*2.5)</f>
        <v/>
      </c>
      <c r="H225" s="56" t="n"/>
      <c r="I225" s="58">
        <f>IF(C225="","",C225-E225-G225-IF(H225="",0,H225))</f>
        <v/>
      </c>
      <c r="J225" s="56">
        <f>IF(C225="","",IF(ABS(I225)&lt;0.001,"KAPALI","KONTROL"))</f>
        <v/>
      </c>
      <c r="K225" s="65" t="n"/>
    </row>
    <row r="226" ht="15" customHeight="1">
      <c r="A226" s="60">
        <f>IF(B226="","",IFERROR(DATE(RIGHT(B226,4),MID(B226,4,2),LEFT(B226,2))+1,""))</f>
        <v/>
      </c>
      <c r="B226" s="56" t="n"/>
      <c r="C226" s="58">
        <f>IF(B226="","",IFERROR(INDEX('21 2026 ÜRETİM'!$F$2:$F$501,MATCH(B226,'21 2026 ÜRETİM'!$A$2:$A$501,0)),""))</f>
        <v/>
      </c>
      <c r="D226" s="56" t="n"/>
      <c r="E226" s="58">
        <f>IF(D226="","",D226*0.5)</f>
        <v/>
      </c>
      <c r="F226" s="56" t="n"/>
      <c r="G226" s="58">
        <f>IF(F226="","",F226*2.5)</f>
        <v/>
      </c>
      <c r="H226" s="56" t="n"/>
      <c r="I226" s="58">
        <f>IF(C226="","",C226-E226-G226-IF(H226="",0,H226))</f>
        <v/>
      </c>
      <c r="J226" s="56">
        <f>IF(C226="","",IF(ABS(I226)&lt;0.001,"KAPALI","KONTROL"))</f>
        <v/>
      </c>
      <c r="K226" s="65" t="n"/>
    </row>
    <row r="227" ht="15" customHeight="1">
      <c r="A227" s="60">
        <f>IF(B227="","",IFERROR(DATE(RIGHT(B227,4),MID(B227,4,2),LEFT(B227,2))+1,""))</f>
        <v/>
      </c>
      <c r="B227" s="56" t="n"/>
      <c r="C227" s="58">
        <f>IF(B227="","",IFERROR(INDEX('21 2026 ÜRETİM'!$F$2:$F$501,MATCH(B227,'21 2026 ÜRETİM'!$A$2:$A$501,0)),""))</f>
        <v/>
      </c>
      <c r="D227" s="56" t="n"/>
      <c r="E227" s="58">
        <f>IF(D227="","",D227*0.5)</f>
        <v/>
      </c>
      <c r="F227" s="56" t="n"/>
      <c r="G227" s="58">
        <f>IF(F227="","",F227*2.5)</f>
        <v/>
      </c>
      <c r="H227" s="56" t="n"/>
      <c r="I227" s="58">
        <f>IF(C227="","",C227-E227-G227-IF(H227="",0,H227))</f>
        <v/>
      </c>
      <c r="J227" s="56">
        <f>IF(C227="","",IF(ABS(I227)&lt;0.001,"KAPALI","KONTROL"))</f>
        <v/>
      </c>
      <c r="K227" s="65" t="n"/>
    </row>
    <row r="228" ht="15" customHeight="1">
      <c r="A228" s="60">
        <f>IF(B228="","",IFERROR(DATE(RIGHT(B228,4),MID(B228,4,2),LEFT(B228,2))+1,""))</f>
        <v/>
      </c>
      <c r="B228" s="56" t="n"/>
      <c r="C228" s="58">
        <f>IF(B228="","",IFERROR(INDEX('21 2026 ÜRETİM'!$F$2:$F$501,MATCH(B228,'21 2026 ÜRETİM'!$A$2:$A$501,0)),""))</f>
        <v/>
      </c>
      <c r="D228" s="56" t="n"/>
      <c r="E228" s="58">
        <f>IF(D228="","",D228*0.5)</f>
        <v/>
      </c>
      <c r="F228" s="56" t="n"/>
      <c r="G228" s="58">
        <f>IF(F228="","",F228*2.5)</f>
        <v/>
      </c>
      <c r="H228" s="56" t="n"/>
      <c r="I228" s="58">
        <f>IF(C228="","",C228-E228-G228-IF(H228="",0,H228))</f>
        <v/>
      </c>
      <c r="J228" s="56">
        <f>IF(C228="","",IF(ABS(I228)&lt;0.001,"KAPALI","KONTROL"))</f>
        <v/>
      </c>
      <c r="K228" s="65" t="n"/>
    </row>
    <row r="229" ht="15" customHeight="1">
      <c r="A229" s="60">
        <f>IF(B229="","",IFERROR(DATE(RIGHT(B229,4),MID(B229,4,2),LEFT(B229,2))+1,""))</f>
        <v/>
      </c>
      <c r="B229" s="56" t="n"/>
      <c r="C229" s="58">
        <f>IF(B229="","",IFERROR(INDEX('21 2026 ÜRETİM'!$F$2:$F$501,MATCH(B229,'21 2026 ÜRETİM'!$A$2:$A$501,0)),""))</f>
        <v/>
      </c>
      <c r="D229" s="56" t="n"/>
      <c r="E229" s="58">
        <f>IF(D229="","",D229*0.5)</f>
        <v/>
      </c>
      <c r="F229" s="56" t="n"/>
      <c r="G229" s="58">
        <f>IF(F229="","",F229*2.5)</f>
        <v/>
      </c>
      <c r="H229" s="56" t="n"/>
      <c r="I229" s="58">
        <f>IF(C229="","",C229-E229-G229-IF(H229="",0,H229))</f>
        <v/>
      </c>
      <c r="J229" s="56">
        <f>IF(C229="","",IF(ABS(I229)&lt;0.001,"KAPALI","KONTROL"))</f>
        <v/>
      </c>
      <c r="K229" s="65" t="n"/>
    </row>
    <row r="230" ht="15" customHeight="1">
      <c r="A230" s="60">
        <f>IF(B230="","",IFERROR(DATE(RIGHT(B230,4),MID(B230,4,2),LEFT(B230,2))+1,""))</f>
        <v/>
      </c>
      <c r="B230" s="56" t="n"/>
      <c r="C230" s="58">
        <f>IF(B230="","",IFERROR(INDEX('21 2026 ÜRETİM'!$F$2:$F$501,MATCH(B230,'21 2026 ÜRETİM'!$A$2:$A$501,0)),""))</f>
        <v/>
      </c>
      <c r="D230" s="56" t="n"/>
      <c r="E230" s="58">
        <f>IF(D230="","",D230*0.5)</f>
        <v/>
      </c>
      <c r="F230" s="56" t="n"/>
      <c r="G230" s="58">
        <f>IF(F230="","",F230*2.5)</f>
        <v/>
      </c>
      <c r="H230" s="56" t="n"/>
      <c r="I230" s="58">
        <f>IF(C230="","",C230-E230-G230-IF(H230="",0,H230))</f>
        <v/>
      </c>
      <c r="J230" s="56">
        <f>IF(C230="","",IF(ABS(I230)&lt;0.001,"KAPALI","KONTROL"))</f>
        <v/>
      </c>
      <c r="K230" s="65" t="n"/>
    </row>
    <row r="231" ht="15" customHeight="1">
      <c r="A231" s="60">
        <f>IF(B231="","",IFERROR(DATE(RIGHT(B231,4),MID(B231,4,2),LEFT(B231,2))+1,""))</f>
        <v/>
      </c>
      <c r="B231" s="56" t="n"/>
      <c r="C231" s="58">
        <f>IF(B231="","",IFERROR(INDEX('21 2026 ÜRETİM'!$F$2:$F$501,MATCH(B231,'21 2026 ÜRETİM'!$A$2:$A$501,0)),""))</f>
        <v/>
      </c>
      <c r="D231" s="56" t="n"/>
      <c r="E231" s="58">
        <f>IF(D231="","",D231*0.5)</f>
        <v/>
      </c>
      <c r="F231" s="56" t="n"/>
      <c r="G231" s="58">
        <f>IF(F231="","",F231*2.5)</f>
        <v/>
      </c>
      <c r="H231" s="56" t="n"/>
      <c r="I231" s="58">
        <f>IF(C231="","",C231-E231-G231-IF(H231="",0,H231))</f>
        <v/>
      </c>
      <c r="J231" s="56">
        <f>IF(C231="","",IF(ABS(I231)&lt;0.001,"KAPALI","KONTROL"))</f>
        <v/>
      </c>
      <c r="K231" s="65" t="n"/>
    </row>
    <row r="232" ht="15" customHeight="1">
      <c r="A232" s="60">
        <f>IF(B232="","",IFERROR(DATE(RIGHT(B232,4),MID(B232,4,2),LEFT(B232,2))+1,""))</f>
        <v/>
      </c>
      <c r="B232" s="56" t="n"/>
      <c r="C232" s="58">
        <f>IF(B232="","",IFERROR(INDEX('21 2026 ÜRETİM'!$F$2:$F$501,MATCH(B232,'21 2026 ÜRETİM'!$A$2:$A$501,0)),""))</f>
        <v/>
      </c>
      <c r="D232" s="56" t="n"/>
      <c r="E232" s="58">
        <f>IF(D232="","",D232*0.5)</f>
        <v/>
      </c>
      <c r="F232" s="56" t="n"/>
      <c r="G232" s="58">
        <f>IF(F232="","",F232*2.5)</f>
        <v/>
      </c>
      <c r="H232" s="56" t="n"/>
      <c r="I232" s="58">
        <f>IF(C232="","",C232-E232-G232-IF(H232="",0,H232))</f>
        <v/>
      </c>
      <c r="J232" s="56">
        <f>IF(C232="","",IF(ABS(I232)&lt;0.001,"KAPALI","KONTROL"))</f>
        <v/>
      </c>
      <c r="K232" s="65" t="n"/>
    </row>
    <row r="233" ht="15" customHeight="1">
      <c r="A233" s="60">
        <f>IF(B233="","",IFERROR(DATE(RIGHT(B233,4),MID(B233,4,2),LEFT(B233,2))+1,""))</f>
        <v/>
      </c>
      <c r="B233" s="56" t="n"/>
      <c r="C233" s="58">
        <f>IF(B233="","",IFERROR(INDEX('21 2026 ÜRETİM'!$F$2:$F$501,MATCH(B233,'21 2026 ÜRETİM'!$A$2:$A$501,0)),""))</f>
        <v/>
      </c>
      <c r="D233" s="56" t="n"/>
      <c r="E233" s="58">
        <f>IF(D233="","",D233*0.5)</f>
        <v/>
      </c>
      <c r="F233" s="56" t="n"/>
      <c r="G233" s="58">
        <f>IF(F233="","",F233*2.5)</f>
        <v/>
      </c>
      <c r="H233" s="56" t="n"/>
      <c r="I233" s="58">
        <f>IF(C233="","",C233-E233-G233-IF(H233="",0,H233))</f>
        <v/>
      </c>
      <c r="J233" s="56">
        <f>IF(C233="","",IF(ABS(I233)&lt;0.001,"KAPALI","KONTROL"))</f>
        <v/>
      </c>
      <c r="K233" s="65" t="n"/>
    </row>
    <row r="234" ht="15" customHeight="1">
      <c r="A234" s="60">
        <f>IF(B234="","",IFERROR(DATE(RIGHT(B234,4),MID(B234,4,2),LEFT(B234,2))+1,""))</f>
        <v/>
      </c>
      <c r="B234" s="56" t="n"/>
      <c r="C234" s="58">
        <f>IF(B234="","",IFERROR(INDEX('21 2026 ÜRETİM'!$F$2:$F$501,MATCH(B234,'21 2026 ÜRETİM'!$A$2:$A$501,0)),""))</f>
        <v/>
      </c>
      <c r="D234" s="56" t="n"/>
      <c r="E234" s="58">
        <f>IF(D234="","",D234*0.5)</f>
        <v/>
      </c>
      <c r="F234" s="56" t="n"/>
      <c r="G234" s="58">
        <f>IF(F234="","",F234*2.5)</f>
        <v/>
      </c>
      <c r="H234" s="56" t="n"/>
      <c r="I234" s="58">
        <f>IF(C234="","",C234-E234-G234-IF(H234="",0,H234))</f>
        <v/>
      </c>
      <c r="J234" s="56">
        <f>IF(C234="","",IF(ABS(I234)&lt;0.001,"KAPALI","KONTROL"))</f>
        <v/>
      </c>
      <c r="K234" s="65" t="n"/>
    </row>
    <row r="235" ht="15" customHeight="1">
      <c r="A235" s="60">
        <f>IF(B235="","",IFERROR(DATE(RIGHT(B235,4),MID(B235,4,2),LEFT(B235,2))+1,""))</f>
        <v/>
      </c>
      <c r="B235" s="56" t="n"/>
      <c r="C235" s="58">
        <f>IF(B235="","",IFERROR(INDEX('21 2026 ÜRETİM'!$F$2:$F$501,MATCH(B235,'21 2026 ÜRETİM'!$A$2:$A$501,0)),""))</f>
        <v/>
      </c>
      <c r="D235" s="56" t="n"/>
      <c r="E235" s="58">
        <f>IF(D235="","",D235*0.5)</f>
        <v/>
      </c>
      <c r="F235" s="56" t="n"/>
      <c r="G235" s="58">
        <f>IF(F235="","",F235*2.5)</f>
        <v/>
      </c>
      <c r="H235" s="56" t="n"/>
      <c r="I235" s="58">
        <f>IF(C235="","",C235-E235-G235-IF(H235="",0,H235))</f>
        <v/>
      </c>
      <c r="J235" s="56">
        <f>IF(C235="","",IF(ABS(I235)&lt;0.001,"KAPALI","KONTROL"))</f>
        <v/>
      </c>
      <c r="K235" s="65" t="n"/>
    </row>
    <row r="236" ht="15" customHeight="1">
      <c r="A236" s="60">
        <f>IF(B236="","",IFERROR(DATE(RIGHT(B236,4),MID(B236,4,2),LEFT(B236,2))+1,""))</f>
        <v/>
      </c>
      <c r="B236" s="56" t="n"/>
      <c r="C236" s="58">
        <f>IF(B236="","",IFERROR(INDEX('21 2026 ÜRETİM'!$F$2:$F$501,MATCH(B236,'21 2026 ÜRETİM'!$A$2:$A$501,0)),""))</f>
        <v/>
      </c>
      <c r="D236" s="56" t="n"/>
      <c r="E236" s="58">
        <f>IF(D236="","",D236*0.5)</f>
        <v/>
      </c>
      <c r="F236" s="56" t="n"/>
      <c r="G236" s="58">
        <f>IF(F236="","",F236*2.5)</f>
        <v/>
      </c>
      <c r="H236" s="56" t="n"/>
      <c r="I236" s="58">
        <f>IF(C236="","",C236-E236-G236-IF(H236="",0,H236))</f>
        <v/>
      </c>
      <c r="J236" s="56">
        <f>IF(C236="","",IF(ABS(I236)&lt;0.001,"KAPALI","KONTROL"))</f>
        <v/>
      </c>
      <c r="K236" s="65" t="n"/>
    </row>
    <row r="237" ht="15" customHeight="1">
      <c r="A237" s="60">
        <f>IF(B237="","",IFERROR(DATE(RIGHT(B237,4),MID(B237,4,2),LEFT(B237,2))+1,""))</f>
        <v/>
      </c>
      <c r="B237" s="56" t="n"/>
      <c r="C237" s="58">
        <f>IF(B237="","",IFERROR(INDEX('21 2026 ÜRETİM'!$F$2:$F$501,MATCH(B237,'21 2026 ÜRETİM'!$A$2:$A$501,0)),""))</f>
        <v/>
      </c>
      <c r="D237" s="56" t="n"/>
      <c r="E237" s="58">
        <f>IF(D237="","",D237*0.5)</f>
        <v/>
      </c>
      <c r="F237" s="56" t="n"/>
      <c r="G237" s="58">
        <f>IF(F237="","",F237*2.5)</f>
        <v/>
      </c>
      <c r="H237" s="56" t="n"/>
      <c r="I237" s="58">
        <f>IF(C237="","",C237-E237-G237-IF(H237="",0,H237))</f>
        <v/>
      </c>
      <c r="J237" s="56">
        <f>IF(C237="","",IF(ABS(I237)&lt;0.001,"KAPALI","KONTROL"))</f>
        <v/>
      </c>
      <c r="K237" s="65" t="n"/>
    </row>
    <row r="238" ht="15" customHeight="1">
      <c r="A238" s="60">
        <f>IF(B238="","",IFERROR(DATE(RIGHT(B238,4),MID(B238,4,2),LEFT(B238,2))+1,""))</f>
        <v/>
      </c>
      <c r="B238" s="56" t="n"/>
      <c r="C238" s="58">
        <f>IF(B238="","",IFERROR(INDEX('21 2026 ÜRETİM'!$F$2:$F$501,MATCH(B238,'21 2026 ÜRETİM'!$A$2:$A$501,0)),""))</f>
        <v/>
      </c>
      <c r="D238" s="56" t="n"/>
      <c r="E238" s="58">
        <f>IF(D238="","",D238*0.5)</f>
        <v/>
      </c>
      <c r="F238" s="56" t="n"/>
      <c r="G238" s="58">
        <f>IF(F238="","",F238*2.5)</f>
        <v/>
      </c>
      <c r="H238" s="56" t="n"/>
      <c r="I238" s="58">
        <f>IF(C238="","",C238-E238-G238-IF(H238="",0,H238))</f>
        <v/>
      </c>
      <c r="J238" s="56">
        <f>IF(C238="","",IF(ABS(I238)&lt;0.001,"KAPALI","KONTROL"))</f>
        <v/>
      </c>
      <c r="K238" s="65" t="n"/>
    </row>
    <row r="239" ht="15" customHeight="1">
      <c r="A239" s="60">
        <f>IF(B239="","",IFERROR(DATE(RIGHT(B239,4),MID(B239,4,2),LEFT(B239,2))+1,""))</f>
        <v/>
      </c>
      <c r="B239" s="56" t="n"/>
      <c r="C239" s="58">
        <f>IF(B239="","",IFERROR(INDEX('21 2026 ÜRETİM'!$F$2:$F$501,MATCH(B239,'21 2026 ÜRETİM'!$A$2:$A$501,0)),""))</f>
        <v/>
      </c>
      <c r="D239" s="56" t="n"/>
      <c r="E239" s="58">
        <f>IF(D239="","",D239*0.5)</f>
        <v/>
      </c>
      <c r="F239" s="56" t="n"/>
      <c r="G239" s="58">
        <f>IF(F239="","",F239*2.5)</f>
        <v/>
      </c>
      <c r="H239" s="56" t="n"/>
      <c r="I239" s="58">
        <f>IF(C239="","",C239-E239-G239-IF(H239="",0,H239))</f>
        <v/>
      </c>
      <c r="J239" s="56">
        <f>IF(C239="","",IF(ABS(I239)&lt;0.001,"KAPALI","KONTROL"))</f>
        <v/>
      </c>
      <c r="K239" s="65" t="n"/>
    </row>
    <row r="240" ht="15" customHeight="1">
      <c r="A240" s="60">
        <f>IF(B240="","",IFERROR(DATE(RIGHT(B240,4),MID(B240,4,2),LEFT(B240,2))+1,""))</f>
        <v/>
      </c>
      <c r="B240" s="56" t="n"/>
      <c r="C240" s="58">
        <f>IF(B240="","",IFERROR(INDEX('21 2026 ÜRETİM'!$F$2:$F$501,MATCH(B240,'21 2026 ÜRETİM'!$A$2:$A$501,0)),""))</f>
        <v/>
      </c>
      <c r="D240" s="56" t="n"/>
      <c r="E240" s="58">
        <f>IF(D240="","",D240*0.5)</f>
        <v/>
      </c>
      <c r="F240" s="56" t="n"/>
      <c r="G240" s="58">
        <f>IF(F240="","",F240*2.5)</f>
        <v/>
      </c>
      <c r="H240" s="56" t="n"/>
      <c r="I240" s="58">
        <f>IF(C240="","",C240-E240-G240-IF(H240="",0,H240))</f>
        <v/>
      </c>
      <c r="J240" s="56">
        <f>IF(C240="","",IF(ABS(I240)&lt;0.001,"KAPALI","KONTROL"))</f>
        <v/>
      </c>
      <c r="K240" s="65" t="n"/>
    </row>
    <row r="241" ht="15" customHeight="1">
      <c r="A241" s="60">
        <f>IF(B241="","",IFERROR(DATE(RIGHT(B241,4),MID(B241,4,2),LEFT(B241,2))+1,""))</f>
        <v/>
      </c>
      <c r="B241" s="56" t="n"/>
      <c r="C241" s="58">
        <f>IF(B241="","",IFERROR(INDEX('21 2026 ÜRETİM'!$F$2:$F$501,MATCH(B241,'21 2026 ÜRETİM'!$A$2:$A$501,0)),""))</f>
        <v/>
      </c>
      <c r="D241" s="56" t="n"/>
      <c r="E241" s="58">
        <f>IF(D241="","",D241*0.5)</f>
        <v/>
      </c>
      <c r="F241" s="56" t="n"/>
      <c r="G241" s="58">
        <f>IF(F241="","",F241*2.5)</f>
        <v/>
      </c>
      <c r="H241" s="56" t="n"/>
      <c r="I241" s="58">
        <f>IF(C241="","",C241-E241-G241-IF(H241="",0,H241))</f>
        <v/>
      </c>
      <c r="J241" s="56">
        <f>IF(C241="","",IF(ABS(I241)&lt;0.001,"KAPALI","KONTROL"))</f>
        <v/>
      </c>
      <c r="K241" s="65" t="n"/>
    </row>
    <row r="242" ht="15" customHeight="1">
      <c r="A242" s="60">
        <f>IF(B242="","",IFERROR(DATE(RIGHT(B242,4),MID(B242,4,2),LEFT(B242,2))+1,""))</f>
        <v/>
      </c>
      <c r="B242" s="56" t="n"/>
      <c r="C242" s="58">
        <f>IF(B242="","",IFERROR(INDEX('21 2026 ÜRETİM'!$F$2:$F$501,MATCH(B242,'21 2026 ÜRETİM'!$A$2:$A$501,0)),""))</f>
        <v/>
      </c>
      <c r="D242" s="56" t="n"/>
      <c r="E242" s="58">
        <f>IF(D242="","",D242*0.5)</f>
        <v/>
      </c>
      <c r="F242" s="56" t="n"/>
      <c r="G242" s="58">
        <f>IF(F242="","",F242*2.5)</f>
        <v/>
      </c>
      <c r="H242" s="56" t="n"/>
      <c r="I242" s="58">
        <f>IF(C242="","",C242-E242-G242-IF(H242="",0,H242))</f>
        <v/>
      </c>
      <c r="J242" s="56">
        <f>IF(C242="","",IF(ABS(I242)&lt;0.001,"KAPALI","KONTROL"))</f>
        <v/>
      </c>
      <c r="K242" s="65" t="n"/>
    </row>
    <row r="243" ht="15" customHeight="1">
      <c r="A243" s="60">
        <f>IF(B243="","",IFERROR(DATE(RIGHT(B243,4),MID(B243,4,2),LEFT(B243,2))+1,""))</f>
        <v/>
      </c>
      <c r="B243" s="56" t="n"/>
      <c r="C243" s="58">
        <f>IF(B243="","",IFERROR(INDEX('21 2026 ÜRETİM'!$F$2:$F$501,MATCH(B243,'21 2026 ÜRETİM'!$A$2:$A$501,0)),""))</f>
        <v/>
      </c>
      <c r="D243" s="56" t="n"/>
      <c r="E243" s="58">
        <f>IF(D243="","",D243*0.5)</f>
        <v/>
      </c>
      <c r="F243" s="56" t="n"/>
      <c r="G243" s="58">
        <f>IF(F243="","",F243*2.5)</f>
        <v/>
      </c>
      <c r="H243" s="56" t="n"/>
      <c r="I243" s="58">
        <f>IF(C243="","",C243-E243-G243-IF(H243="",0,H243))</f>
        <v/>
      </c>
      <c r="J243" s="56">
        <f>IF(C243="","",IF(ABS(I243)&lt;0.001,"KAPALI","KONTROL"))</f>
        <v/>
      </c>
      <c r="K243" s="65" t="n"/>
    </row>
    <row r="244" ht="15" customHeight="1">
      <c r="A244" s="60">
        <f>IF(B244="","",IFERROR(DATE(RIGHT(B244,4),MID(B244,4,2),LEFT(B244,2))+1,""))</f>
        <v/>
      </c>
      <c r="B244" s="56" t="n"/>
      <c r="C244" s="58">
        <f>IF(B244="","",IFERROR(INDEX('21 2026 ÜRETİM'!$F$2:$F$501,MATCH(B244,'21 2026 ÜRETİM'!$A$2:$A$501,0)),""))</f>
        <v/>
      </c>
      <c r="D244" s="56" t="n"/>
      <c r="E244" s="58">
        <f>IF(D244="","",D244*0.5)</f>
        <v/>
      </c>
      <c r="F244" s="56" t="n"/>
      <c r="G244" s="58">
        <f>IF(F244="","",F244*2.5)</f>
        <v/>
      </c>
      <c r="H244" s="56" t="n"/>
      <c r="I244" s="58">
        <f>IF(C244="","",C244-E244-G244-IF(H244="",0,H244))</f>
        <v/>
      </c>
      <c r="J244" s="56">
        <f>IF(C244="","",IF(ABS(I244)&lt;0.001,"KAPALI","KONTROL"))</f>
        <v/>
      </c>
      <c r="K244" s="65" t="n"/>
    </row>
    <row r="245" ht="15" customHeight="1">
      <c r="A245" s="60">
        <f>IF(B245="","",IFERROR(DATE(RIGHT(B245,4),MID(B245,4,2),LEFT(B245,2))+1,""))</f>
        <v/>
      </c>
      <c r="B245" s="56" t="n"/>
      <c r="C245" s="58">
        <f>IF(B245="","",IFERROR(INDEX('21 2026 ÜRETİM'!$F$2:$F$501,MATCH(B245,'21 2026 ÜRETİM'!$A$2:$A$501,0)),""))</f>
        <v/>
      </c>
      <c r="D245" s="56" t="n"/>
      <c r="E245" s="58">
        <f>IF(D245="","",D245*0.5)</f>
        <v/>
      </c>
      <c r="F245" s="56" t="n"/>
      <c r="G245" s="58">
        <f>IF(F245="","",F245*2.5)</f>
        <v/>
      </c>
      <c r="H245" s="56" t="n"/>
      <c r="I245" s="58">
        <f>IF(C245="","",C245-E245-G245-IF(H245="",0,H245))</f>
        <v/>
      </c>
      <c r="J245" s="56">
        <f>IF(C245="","",IF(ABS(I245)&lt;0.001,"KAPALI","KONTROL"))</f>
        <v/>
      </c>
      <c r="K245" s="65" t="n"/>
    </row>
    <row r="246" ht="15" customHeight="1">
      <c r="A246" s="60">
        <f>IF(B246="","",IFERROR(DATE(RIGHT(B246,4),MID(B246,4,2),LEFT(B246,2))+1,""))</f>
        <v/>
      </c>
      <c r="B246" s="56" t="n"/>
      <c r="C246" s="58">
        <f>IF(B246="","",IFERROR(INDEX('21 2026 ÜRETİM'!$F$2:$F$501,MATCH(B246,'21 2026 ÜRETİM'!$A$2:$A$501,0)),""))</f>
        <v/>
      </c>
      <c r="D246" s="56" t="n"/>
      <c r="E246" s="58">
        <f>IF(D246="","",D246*0.5)</f>
        <v/>
      </c>
      <c r="F246" s="56" t="n"/>
      <c r="G246" s="58">
        <f>IF(F246="","",F246*2.5)</f>
        <v/>
      </c>
      <c r="H246" s="56" t="n"/>
      <c r="I246" s="58">
        <f>IF(C246="","",C246-E246-G246-IF(H246="",0,H246))</f>
        <v/>
      </c>
      <c r="J246" s="56">
        <f>IF(C246="","",IF(ABS(I246)&lt;0.001,"KAPALI","KONTROL"))</f>
        <v/>
      </c>
      <c r="K246" s="65" t="n"/>
    </row>
    <row r="247" ht="15" customHeight="1">
      <c r="A247" s="60">
        <f>IF(B247="","",IFERROR(DATE(RIGHT(B247,4),MID(B247,4,2),LEFT(B247,2))+1,""))</f>
        <v/>
      </c>
      <c r="B247" s="56" t="n"/>
      <c r="C247" s="58">
        <f>IF(B247="","",IFERROR(INDEX('21 2026 ÜRETİM'!$F$2:$F$501,MATCH(B247,'21 2026 ÜRETİM'!$A$2:$A$501,0)),""))</f>
        <v/>
      </c>
      <c r="D247" s="56" t="n"/>
      <c r="E247" s="58">
        <f>IF(D247="","",D247*0.5)</f>
        <v/>
      </c>
      <c r="F247" s="56" t="n"/>
      <c r="G247" s="58">
        <f>IF(F247="","",F247*2.5)</f>
        <v/>
      </c>
      <c r="H247" s="56" t="n"/>
      <c r="I247" s="58">
        <f>IF(C247="","",C247-E247-G247-IF(H247="",0,H247))</f>
        <v/>
      </c>
      <c r="J247" s="56">
        <f>IF(C247="","",IF(ABS(I247)&lt;0.001,"KAPALI","KONTROL"))</f>
        <v/>
      </c>
      <c r="K247" s="65" t="n"/>
    </row>
    <row r="248" ht="15" customHeight="1">
      <c r="A248" s="60">
        <f>IF(B248="","",IFERROR(DATE(RIGHT(B248,4),MID(B248,4,2),LEFT(B248,2))+1,""))</f>
        <v/>
      </c>
      <c r="B248" s="56" t="n"/>
      <c r="C248" s="58">
        <f>IF(B248="","",IFERROR(INDEX('21 2026 ÜRETİM'!$F$2:$F$501,MATCH(B248,'21 2026 ÜRETİM'!$A$2:$A$501,0)),""))</f>
        <v/>
      </c>
      <c r="D248" s="56" t="n"/>
      <c r="E248" s="58">
        <f>IF(D248="","",D248*0.5)</f>
        <v/>
      </c>
      <c r="F248" s="56" t="n"/>
      <c r="G248" s="58">
        <f>IF(F248="","",F248*2.5)</f>
        <v/>
      </c>
      <c r="H248" s="56" t="n"/>
      <c r="I248" s="58">
        <f>IF(C248="","",C248-E248-G248-IF(H248="",0,H248))</f>
        <v/>
      </c>
      <c r="J248" s="56">
        <f>IF(C248="","",IF(ABS(I248)&lt;0.001,"KAPALI","KONTROL"))</f>
        <v/>
      </c>
      <c r="K248" s="65" t="n"/>
    </row>
    <row r="249" ht="15" customHeight="1">
      <c r="A249" s="60">
        <f>IF(B249="","",IFERROR(DATE(RIGHT(B249,4),MID(B249,4,2),LEFT(B249,2))+1,""))</f>
        <v/>
      </c>
      <c r="B249" s="56" t="n"/>
      <c r="C249" s="58">
        <f>IF(B249="","",IFERROR(INDEX('21 2026 ÜRETİM'!$F$2:$F$501,MATCH(B249,'21 2026 ÜRETİM'!$A$2:$A$501,0)),""))</f>
        <v/>
      </c>
      <c r="D249" s="56" t="n"/>
      <c r="E249" s="58">
        <f>IF(D249="","",D249*0.5)</f>
        <v/>
      </c>
      <c r="F249" s="56" t="n"/>
      <c r="G249" s="58">
        <f>IF(F249="","",F249*2.5)</f>
        <v/>
      </c>
      <c r="H249" s="56" t="n"/>
      <c r="I249" s="58">
        <f>IF(C249="","",C249-E249-G249-IF(H249="",0,H249))</f>
        <v/>
      </c>
      <c r="J249" s="56">
        <f>IF(C249="","",IF(ABS(I249)&lt;0.001,"KAPALI","KONTROL"))</f>
        <v/>
      </c>
      <c r="K249" s="65" t="n"/>
    </row>
    <row r="250" ht="15" customHeight="1">
      <c r="A250" s="60">
        <f>IF(B250="","",IFERROR(DATE(RIGHT(B250,4),MID(B250,4,2),LEFT(B250,2))+1,""))</f>
        <v/>
      </c>
      <c r="B250" s="56" t="n"/>
      <c r="C250" s="58">
        <f>IF(B250="","",IFERROR(INDEX('21 2026 ÜRETİM'!$F$2:$F$501,MATCH(B250,'21 2026 ÜRETİM'!$A$2:$A$501,0)),""))</f>
        <v/>
      </c>
      <c r="D250" s="56" t="n"/>
      <c r="E250" s="58">
        <f>IF(D250="","",D250*0.5)</f>
        <v/>
      </c>
      <c r="F250" s="56" t="n"/>
      <c r="G250" s="58">
        <f>IF(F250="","",F250*2.5)</f>
        <v/>
      </c>
      <c r="H250" s="56" t="n"/>
      <c r="I250" s="58">
        <f>IF(C250="","",C250-E250-G250-IF(H250="",0,H250))</f>
        <v/>
      </c>
      <c r="J250" s="56">
        <f>IF(C250="","",IF(ABS(I250)&lt;0.001,"KAPALI","KONTROL"))</f>
        <v/>
      </c>
      <c r="K250" s="65" t="n"/>
    </row>
    <row r="251" ht="15" customHeight="1">
      <c r="A251" s="60">
        <f>IF(B251="","",IFERROR(DATE(RIGHT(B251,4),MID(B251,4,2),LEFT(B251,2))+1,""))</f>
        <v/>
      </c>
      <c r="B251" s="56" t="n"/>
      <c r="C251" s="58">
        <f>IF(B251="","",IFERROR(INDEX('21 2026 ÜRETİM'!$F$2:$F$501,MATCH(B251,'21 2026 ÜRETİM'!$A$2:$A$501,0)),""))</f>
        <v/>
      </c>
      <c r="D251" s="56" t="n"/>
      <c r="E251" s="58">
        <f>IF(D251="","",D251*0.5)</f>
        <v/>
      </c>
      <c r="F251" s="56" t="n"/>
      <c r="G251" s="58">
        <f>IF(F251="","",F251*2.5)</f>
        <v/>
      </c>
      <c r="H251" s="56" t="n"/>
      <c r="I251" s="58">
        <f>IF(C251="","",C251-E251-G251-IF(H251="",0,H251))</f>
        <v/>
      </c>
      <c r="J251" s="56">
        <f>IF(C251="","",IF(ABS(I251)&lt;0.001,"KAPALI","KONTROL"))</f>
        <v/>
      </c>
      <c r="K251" s="65" t="n"/>
    </row>
    <row r="252" ht="15" customHeight="1">
      <c r="A252" s="60">
        <f>IF(B252="","",IFERROR(DATE(RIGHT(B252,4),MID(B252,4,2),LEFT(B252,2))+1,""))</f>
        <v/>
      </c>
      <c r="B252" s="56" t="n"/>
      <c r="C252" s="58">
        <f>IF(B252="","",IFERROR(INDEX('21 2026 ÜRETİM'!$F$2:$F$501,MATCH(B252,'21 2026 ÜRETİM'!$A$2:$A$501,0)),""))</f>
        <v/>
      </c>
      <c r="D252" s="56" t="n"/>
      <c r="E252" s="58">
        <f>IF(D252="","",D252*0.5)</f>
        <v/>
      </c>
      <c r="F252" s="56" t="n"/>
      <c r="G252" s="58">
        <f>IF(F252="","",F252*2.5)</f>
        <v/>
      </c>
      <c r="H252" s="56" t="n"/>
      <c r="I252" s="58">
        <f>IF(C252="","",C252-E252-G252-IF(H252="",0,H252))</f>
        <v/>
      </c>
      <c r="J252" s="56">
        <f>IF(C252="","",IF(ABS(I252)&lt;0.001,"KAPALI","KONTROL"))</f>
        <v/>
      </c>
      <c r="K252" s="65" t="n"/>
    </row>
    <row r="253" ht="15" customHeight="1">
      <c r="A253" s="60">
        <f>IF(B253="","",IFERROR(DATE(RIGHT(B253,4),MID(B253,4,2),LEFT(B253,2))+1,""))</f>
        <v/>
      </c>
      <c r="B253" s="56" t="n"/>
      <c r="C253" s="58">
        <f>IF(B253="","",IFERROR(INDEX('21 2026 ÜRETİM'!$F$2:$F$501,MATCH(B253,'21 2026 ÜRETİM'!$A$2:$A$501,0)),""))</f>
        <v/>
      </c>
      <c r="D253" s="56" t="n"/>
      <c r="E253" s="58">
        <f>IF(D253="","",D253*0.5)</f>
        <v/>
      </c>
      <c r="F253" s="56" t="n"/>
      <c r="G253" s="58">
        <f>IF(F253="","",F253*2.5)</f>
        <v/>
      </c>
      <c r="H253" s="56" t="n"/>
      <c r="I253" s="58">
        <f>IF(C253="","",C253-E253-G253-IF(H253="",0,H253))</f>
        <v/>
      </c>
      <c r="J253" s="56">
        <f>IF(C253="","",IF(ABS(I253)&lt;0.001,"KAPALI","KONTROL"))</f>
        <v/>
      </c>
      <c r="K253" s="65" t="n"/>
    </row>
    <row r="254" ht="15" customHeight="1">
      <c r="A254" s="60">
        <f>IF(B254="","",IFERROR(DATE(RIGHT(B254,4),MID(B254,4,2),LEFT(B254,2))+1,""))</f>
        <v/>
      </c>
      <c r="B254" s="56" t="n"/>
      <c r="C254" s="58">
        <f>IF(B254="","",IFERROR(INDEX('21 2026 ÜRETİM'!$F$2:$F$501,MATCH(B254,'21 2026 ÜRETİM'!$A$2:$A$501,0)),""))</f>
        <v/>
      </c>
      <c r="D254" s="56" t="n"/>
      <c r="E254" s="58">
        <f>IF(D254="","",D254*0.5)</f>
        <v/>
      </c>
      <c r="F254" s="56" t="n"/>
      <c r="G254" s="58">
        <f>IF(F254="","",F254*2.5)</f>
        <v/>
      </c>
      <c r="H254" s="56" t="n"/>
      <c r="I254" s="58">
        <f>IF(C254="","",C254-E254-G254-IF(H254="",0,H254))</f>
        <v/>
      </c>
      <c r="J254" s="56">
        <f>IF(C254="","",IF(ABS(I254)&lt;0.001,"KAPALI","KONTROL"))</f>
        <v/>
      </c>
      <c r="K254" s="65" t="n"/>
    </row>
    <row r="255" ht="15" customHeight="1">
      <c r="A255" s="60">
        <f>IF(B255="","",IFERROR(DATE(RIGHT(B255,4),MID(B255,4,2),LEFT(B255,2))+1,""))</f>
        <v/>
      </c>
      <c r="B255" s="56" t="n"/>
      <c r="C255" s="58">
        <f>IF(B255="","",IFERROR(INDEX('21 2026 ÜRETİM'!$F$2:$F$501,MATCH(B255,'21 2026 ÜRETİM'!$A$2:$A$501,0)),""))</f>
        <v/>
      </c>
      <c r="D255" s="56" t="n"/>
      <c r="E255" s="58">
        <f>IF(D255="","",D255*0.5)</f>
        <v/>
      </c>
      <c r="F255" s="56" t="n"/>
      <c r="G255" s="58">
        <f>IF(F255="","",F255*2.5)</f>
        <v/>
      </c>
      <c r="H255" s="56" t="n"/>
      <c r="I255" s="58">
        <f>IF(C255="","",C255-E255-G255-IF(H255="",0,H255))</f>
        <v/>
      </c>
      <c r="J255" s="56">
        <f>IF(C255="","",IF(ABS(I255)&lt;0.001,"KAPALI","KONTROL"))</f>
        <v/>
      </c>
      <c r="K255" s="65" t="n"/>
    </row>
    <row r="256" ht="15" customHeight="1">
      <c r="A256" s="60">
        <f>IF(B256="","",IFERROR(DATE(RIGHT(B256,4),MID(B256,4,2),LEFT(B256,2))+1,""))</f>
        <v/>
      </c>
      <c r="B256" s="56" t="n"/>
      <c r="C256" s="58">
        <f>IF(B256="","",IFERROR(INDEX('21 2026 ÜRETİM'!$F$2:$F$501,MATCH(B256,'21 2026 ÜRETİM'!$A$2:$A$501,0)),""))</f>
        <v/>
      </c>
      <c r="D256" s="56" t="n"/>
      <c r="E256" s="58">
        <f>IF(D256="","",D256*0.5)</f>
        <v/>
      </c>
      <c r="F256" s="56" t="n"/>
      <c r="G256" s="58">
        <f>IF(F256="","",F256*2.5)</f>
        <v/>
      </c>
      <c r="H256" s="56" t="n"/>
      <c r="I256" s="58">
        <f>IF(C256="","",C256-E256-G256-IF(H256="",0,H256))</f>
        <v/>
      </c>
      <c r="J256" s="56">
        <f>IF(C256="","",IF(ABS(I256)&lt;0.001,"KAPALI","KONTROL"))</f>
        <v/>
      </c>
      <c r="K256" s="65" t="n"/>
    </row>
    <row r="257" ht="15" customHeight="1">
      <c r="A257" s="60">
        <f>IF(B257="","",IFERROR(DATE(RIGHT(B257,4),MID(B257,4,2),LEFT(B257,2))+1,""))</f>
        <v/>
      </c>
      <c r="B257" s="56" t="n"/>
      <c r="C257" s="58">
        <f>IF(B257="","",IFERROR(INDEX('21 2026 ÜRETİM'!$F$2:$F$501,MATCH(B257,'21 2026 ÜRETİM'!$A$2:$A$501,0)),""))</f>
        <v/>
      </c>
      <c r="D257" s="56" t="n"/>
      <c r="E257" s="58">
        <f>IF(D257="","",D257*0.5)</f>
        <v/>
      </c>
      <c r="F257" s="56" t="n"/>
      <c r="G257" s="58">
        <f>IF(F257="","",F257*2.5)</f>
        <v/>
      </c>
      <c r="H257" s="56" t="n"/>
      <c r="I257" s="58">
        <f>IF(C257="","",C257-E257-G257-IF(H257="",0,H257))</f>
        <v/>
      </c>
      <c r="J257" s="56">
        <f>IF(C257="","",IF(ABS(I257)&lt;0.001,"KAPALI","KONTROL"))</f>
        <v/>
      </c>
      <c r="K257" s="65" t="n"/>
    </row>
    <row r="258" ht="15" customHeight="1">
      <c r="A258" s="60">
        <f>IF(B258="","",IFERROR(DATE(RIGHT(B258,4),MID(B258,4,2),LEFT(B258,2))+1,""))</f>
        <v/>
      </c>
      <c r="B258" s="56" t="n"/>
      <c r="C258" s="58">
        <f>IF(B258="","",IFERROR(INDEX('21 2026 ÜRETİM'!$F$2:$F$501,MATCH(B258,'21 2026 ÜRETİM'!$A$2:$A$501,0)),""))</f>
        <v/>
      </c>
      <c r="D258" s="56" t="n"/>
      <c r="E258" s="58">
        <f>IF(D258="","",D258*0.5)</f>
        <v/>
      </c>
      <c r="F258" s="56" t="n"/>
      <c r="G258" s="58">
        <f>IF(F258="","",F258*2.5)</f>
        <v/>
      </c>
      <c r="H258" s="56" t="n"/>
      <c r="I258" s="58">
        <f>IF(C258="","",C258-E258-G258-IF(H258="",0,H258))</f>
        <v/>
      </c>
      <c r="J258" s="56">
        <f>IF(C258="","",IF(ABS(I258)&lt;0.001,"KAPALI","KONTROL"))</f>
        <v/>
      </c>
      <c r="K258" s="65" t="n"/>
    </row>
    <row r="259" ht="15" customHeight="1">
      <c r="A259" s="60">
        <f>IF(B259="","",IFERROR(DATE(RIGHT(B259,4),MID(B259,4,2),LEFT(B259,2))+1,""))</f>
        <v/>
      </c>
      <c r="B259" s="56" t="n"/>
      <c r="C259" s="58">
        <f>IF(B259="","",IFERROR(INDEX('21 2026 ÜRETİM'!$F$2:$F$501,MATCH(B259,'21 2026 ÜRETİM'!$A$2:$A$501,0)),""))</f>
        <v/>
      </c>
      <c r="D259" s="56" t="n"/>
      <c r="E259" s="58">
        <f>IF(D259="","",D259*0.5)</f>
        <v/>
      </c>
      <c r="F259" s="56" t="n"/>
      <c r="G259" s="58">
        <f>IF(F259="","",F259*2.5)</f>
        <v/>
      </c>
      <c r="H259" s="56" t="n"/>
      <c r="I259" s="58">
        <f>IF(C259="","",C259-E259-G259-IF(H259="",0,H259))</f>
        <v/>
      </c>
      <c r="J259" s="56">
        <f>IF(C259="","",IF(ABS(I259)&lt;0.001,"KAPALI","KONTROL"))</f>
        <v/>
      </c>
      <c r="K259" s="65" t="n"/>
    </row>
    <row r="260" ht="15" customHeight="1">
      <c r="A260" s="60">
        <f>IF(B260="","",IFERROR(DATE(RIGHT(B260,4),MID(B260,4,2),LEFT(B260,2))+1,""))</f>
        <v/>
      </c>
      <c r="B260" s="56" t="n"/>
      <c r="C260" s="58">
        <f>IF(B260="","",IFERROR(INDEX('21 2026 ÜRETİM'!$F$2:$F$501,MATCH(B260,'21 2026 ÜRETİM'!$A$2:$A$501,0)),""))</f>
        <v/>
      </c>
      <c r="D260" s="56" t="n"/>
      <c r="E260" s="58">
        <f>IF(D260="","",D260*0.5)</f>
        <v/>
      </c>
      <c r="F260" s="56" t="n"/>
      <c r="G260" s="58">
        <f>IF(F260="","",F260*2.5)</f>
        <v/>
      </c>
      <c r="H260" s="56" t="n"/>
      <c r="I260" s="58">
        <f>IF(C260="","",C260-E260-G260-IF(H260="",0,H260))</f>
        <v/>
      </c>
      <c r="J260" s="56">
        <f>IF(C260="","",IF(ABS(I260)&lt;0.001,"KAPALI","KONTROL"))</f>
        <v/>
      </c>
      <c r="K260" s="65" t="n"/>
    </row>
    <row r="261" ht="15" customHeight="1">
      <c r="A261" s="60">
        <f>IF(B261="","",IFERROR(DATE(RIGHT(B261,4),MID(B261,4,2),LEFT(B261,2))+1,""))</f>
        <v/>
      </c>
      <c r="B261" s="56" t="n"/>
      <c r="C261" s="58">
        <f>IF(B261="","",IFERROR(INDEX('21 2026 ÜRETİM'!$F$2:$F$501,MATCH(B261,'21 2026 ÜRETİM'!$A$2:$A$501,0)),""))</f>
        <v/>
      </c>
      <c r="D261" s="56" t="n"/>
      <c r="E261" s="58">
        <f>IF(D261="","",D261*0.5)</f>
        <v/>
      </c>
      <c r="F261" s="56" t="n"/>
      <c r="G261" s="58">
        <f>IF(F261="","",F261*2.5)</f>
        <v/>
      </c>
      <c r="H261" s="56" t="n"/>
      <c r="I261" s="58">
        <f>IF(C261="","",C261-E261-G261-IF(H261="",0,H261))</f>
        <v/>
      </c>
      <c r="J261" s="56">
        <f>IF(C261="","",IF(ABS(I261)&lt;0.001,"KAPALI","KONTROL"))</f>
        <v/>
      </c>
      <c r="K261" s="65" t="n"/>
    </row>
    <row r="262" ht="15" customHeight="1">
      <c r="A262" s="60">
        <f>IF(B262="","",IFERROR(DATE(RIGHT(B262,4),MID(B262,4,2),LEFT(B262,2))+1,""))</f>
        <v/>
      </c>
      <c r="B262" s="56" t="n"/>
      <c r="C262" s="58">
        <f>IF(B262="","",IFERROR(INDEX('21 2026 ÜRETİM'!$F$2:$F$501,MATCH(B262,'21 2026 ÜRETİM'!$A$2:$A$501,0)),""))</f>
        <v/>
      </c>
      <c r="D262" s="56" t="n"/>
      <c r="E262" s="58">
        <f>IF(D262="","",D262*0.5)</f>
        <v/>
      </c>
      <c r="F262" s="56" t="n"/>
      <c r="G262" s="58">
        <f>IF(F262="","",F262*2.5)</f>
        <v/>
      </c>
      <c r="H262" s="56" t="n"/>
      <c r="I262" s="58">
        <f>IF(C262="","",C262-E262-G262-IF(H262="",0,H262))</f>
        <v/>
      </c>
      <c r="J262" s="56">
        <f>IF(C262="","",IF(ABS(I262)&lt;0.001,"KAPALI","KONTROL"))</f>
        <v/>
      </c>
      <c r="K262" s="65" t="n"/>
    </row>
    <row r="263" ht="15" customHeight="1">
      <c r="A263" s="60">
        <f>IF(B263="","",IFERROR(DATE(RIGHT(B263,4),MID(B263,4,2),LEFT(B263,2))+1,""))</f>
        <v/>
      </c>
      <c r="B263" s="56" t="n"/>
      <c r="C263" s="58">
        <f>IF(B263="","",IFERROR(INDEX('21 2026 ÜRETİM'!$F$2:$F$501,MATCH(B263,'21 2026 ÜRETİM'!$A$2:$A$501,0)),""))</f>
        <v/>
      </c>
      <c r="D263" s="56" t="n"/>
      <c r="E263" s="58">
        <f>IF(D263="","",D263*0.5)</f>
        <v/>
      </c>
      <c r="F263" s="56" t="n"/>
      <c r="G263" s="58">
        <f>IF(F263="","",F263*2.5)</f>
        <v/>
      </c>
      <c r="H263" s="56" t="n"/>
      <c r="I263" s="58">
        <f>IF(C263="","",C263-E263-G263-IF(H263="",0,H263))</f>
        <v/>
      </c>
      <c r="J263" s="56">
        <f>IF(C263="","",IF(ABS(I263)&lt;0.001,"KAPALI","KONTROL"))</f>
        <v/>
      </c>
      <c r="K263" s="65" t="n"/>
    </row>
    <row r="264" ht="15" customHeight="1">
      <c r="A264" s="60">
        <f>IF(B264="","",IFERROR(DATE(RIGHT(B264,4),MID(B264,4,2),LEFT(B264,2))+1,""))</f>
        <v/>
      </c>
      <c r="B264" s="56" t="n"/>
      <c r="C264" s="58">
        <f>IF(B264="","",IFERROR(INDEX('21 2026 ÜRETİM'!$F$2:$F$501,MATCH(B264,'21 2026 ÜRETİM'!$A$2:$A$501,0)),""))</f>
        <v/>
      </c>
      <c r="D264" s="56" t="n"/>
      <c r="E264" s="58">
        <f>IF(D264="","",D264*0.5)</f>
        <v/>
      </c>
      <c r="F264" s="56" t="n"/>
      <c r="G264" s="58">
        <f>IF(F264="","",F264*2.5)</f>
        <v/>
      </c>
      <c r="H264" s="56" t="n"/>
      <c r="I264" s="58">
        <f>IF(C264="","",C264-E264-G264-IF(H264="",0,H264))</f>
        <v/>
      </c>
      <c r="J264" s="56">
        <f>IF(C264="","",IF(ABS(I264)&lt;0.001,"KAPALI","KONTROL"))</f>
        <v/>
      </c>
      <c r="K264" s="65" t="n"/>
    </row>
    <row r="265" ht="15" customHeight="1">
      <c r="A265" s="60">
        <f>IF(B265="","",IFERROR(DATE(RIGHT(B265,4),MID(B265,4,2),LEFT(B265,2))+1,""))</f>
        <v/>
      </c>
      <c r="B265" s="56" t="n"/>
      <c r="C265" s="58">
        <f>IF(B265="","",IFERROR(INDEX('21 2026 ÜRETİM'!$F$2:$F$501,MATCH(B265,'21 2026 ÜRETİM'!$A$2:$A$501,0)),""))</f>
        <v/>
      </c>
      <c r="D265" s="56" t="n"/>
      <c r="E265" s="58">
        <f>IF(D265="","",D265*0.5)</f>
        <v/>
      </c>
      <c r="F265" s="56" t="n"/>
      <c r="G265" s="58">
        <f>IF(F265="","",F265*2.5)</f>
        <v/>
      </c>
      <c r="H265" s="56" t="n"/>
      <c r="I265" s="58">
        <f>IF(C265="","",C265-E265-G265-IF(H265="",0,H265))</f>
        <v/>
      </c>
      <c r="J265" s="56">
        <f>IF(C265="","",IF(ABS(I265)&lt;0.001,"KAPALI","KONTROL"))</f>
        <v/>
      </c>
      <c r="K265" s="65" t="n"/>
    </row>
    <row r="266" ht="15" customHeight="1">
      <c r="A266" s="60">
        <f>IF(B266="","",IFERROR(DATE(RIGHT(B266,4),MID(B266,4,2),LEFT(B266,2))+1,""))</f>
        <v/>
      </c>
      <c r="B266" s="56" t="n"/>
      <c r="C266" s="58">
        <f>IF(B266="","",IFERROR(INDEX('21 2026 ÜRETİM'!$F$2:$F$501,MATCH(B266,'21 2026 ÜRETİM'!$A$2:$A$501,0)),""))</f>
        <v/>
      </c>
      <c r="D266" s="56" t="n"/>
      <c r="E266" s="58">
        <f>IF(D266="","",D266*0.5)</f>
        <v/>
      </c>
      <c r="F266" s="56" t="n"/>
      <c r="G266" s="58">
        <f>IF(F266="","",F266*2.5)</f>
        <v/>
      </c>
      <c r="H266" s="56" t="n"/>
      <c r="I266" s="58">
        <f>IF(C266="","",C266-E266-G266-IF(H266="",0,H266))</f>
        <v/>
      </c>
      <c r="J266" s="56">
        <f>IF(C266="","",IF(ABS(I266)&lt;0.001,"KAPALI","KONTROL"))</f>
        <v/>
      </c>
      <c r="K266" s="65" t="n"/>
    </row>
    <row r="267" ht="15" customHeight="1">
      <c r="A267" s="60">
        <f>IF(B267="","",IFERROR(DATE(RIGHT(B267,4),MID(B267,4,2),LEFT(B267,2))+1,""))</f>
        <v/>
      </c>
      <c r="B267" s="56" t="n"/>
      <c r="C267" s="58">
        <f>IF(B267="","",IFERROR(INDEX('21 2026 ÜRETİM'!$F$2:$F$501,MATCH(B267,'21 2026 ÜRETİM'!$A$2:$A$501,0)),""))</f>
        <v/>
      </c>
      <c r="D267" s="56" t="n"/>
      <c r="E267" s="58">
        <f>IF(D267="","",D267*0.5)</f>
        <v/>
      </c>
      <c r="F267" s="56" t="n"/>
      <c r="G267" s="58">
        <f>IF(F267="","",F267*2.5)</f>
        <v/>
      </c>
      <c r="H267" s="56" t="n"/>
      <c r="I267" s="58">
        <f>IF(C267="","",C267-E267-G267-IF(H267="",0,H267))</f>
        <v/>
      </c>
      <c r="J267" s="56">
        <f>IF(C267="","",IF(ABS(I267)&lt;0.001,"KAPALI","KONTROL"))</f>
        <v/>
      </c>
      <c r="K267" s="65" t="n"/>
    </row>
    <row r="268" ht="15" customHeight="1">
      <c r="A268" s="60">
        <f>IF(B268="","",IFERROR(DATE(RIGHT(B268,4),MID(B268,4,2),LEFT(B268,2))+1,""))</f>
        <v/>
      </c>
      <c r="B268" s="56" t="n"/>
      <c r="C268" s="58">
        <f>IF(B268="","",IFERROR(INDEX('21 2026 ÜRETİM'!$F$2:$F$501,MATCH(B268,'21 2026 ÜRETİM'!$A$2:$A$501,0)),""))</f>
        <v/>
      </c>
      <c r="D268" s="56" t="n"/>
      <c r="E268" s="58">
        <f>IF(D268="","",D268*0.5)</f>
        <v/>
      </c>
      <c r="F268" s="56" t="n"/>
      <c r="G268" s="58">
        <f>IF(F268="","",F268*2.5)</f>
        <v/>
      </c>
      <c r="H268" s="56" t="n"/>
      <c r="I268" s="58">
        <f>IF(C268="","",C268-E268-G268-IF(H268="",0,H268))</f>
        <v/>
      </c>
      <c r="J268" s="56">
        <f>IF(C268="","",IF(ABS(I268)&lt;0.001,"KAPALI","KONTROL"))</f>
        <v/>
      </c>
      <c r="K268" s="65" t="n"/>
    </row>
    <row r="269" ht="15" customHeight="1">
      <c r="A269" s="60">
        <f>IF(B269="","",IFERROR(DATE(RIGHT(B269,4),MID(B269,4,2),LEFT(B269,2))+1,""))</f>
        <v/>
      </c>
      <c r="B269" s="56" t="n"/>
      <c r="C269" s="58">
        <f>IF(B269="","",IFERROR(INDEX('21 2026 ÜRETİM'!$F$2:$F$501,MATCH(B269,'21 2026 ÜRETİM'!$A$2:$A$501,0)),""))</f>
        <v/>
      </c>
      <c r="D269" s="56" t="n"/>
      <c r="E269" s="58">
        <f>IF(D269="","",D269*0.5)</f>
        <v/>
      </c>
      <c r="F269" s="56" t="n"/>
      <c r="G269" s="58">
        <f>IF(F269="","",F269*2.5)</f>
        <v/>
      </c>
      <c r="H269" s="56" t="n"/>
      <c r="I269" s="58">
        <f>IF(C269="","",C269-E269-G269-IF(H269="",0,H269))</f>
        <v/>
      </c>
      <c r="J269" s="56">
        <f>IF(C269="","",IF(ABS(I269)&lt;0.001,"KAPALI","KONTROL"))</f>
        <v/>
      </c>
      <c r="K269" s="65" t="n"/>
    </row>
    <row r="270" ht="15" customHeight="1">
      <c r="A270" s="60">
        <f>IF(B270="","",IFERROR(DATE(RIGHT(B270,4),MID(B270,4,2),LEFT(B270,2))+1,""))</f>
        <v/>
      </c>
      <c r="B270" s="56" t="n"/>
      <c r="C270" s="58">
        <f>IF(B270="","",IFERROR(INDEX('21 2026 ÜRETİM'!$F$2:$F$501,MATCH(B270,'21 2026 ÜRETİM'!$A$2:$A$501,0)),""))</f>
        <v/>
      </c>
      <c r="D270" s="56" t="n"/>
      <c r="E270" s="58">
        <f>IF(D270="","",D270*0.5)</f>
        <v/>
      </c>
      <c r="F270" s="56" t="n"/>
      <c r="G270" s="58">
        <f>IF(F270="","",F270*2.5)</f>
        <v/>
      </c>
      <c r="H270" s="56" t="n"/>
      <c r="I270" s="58">
        <f>IF(C270="","",C270-E270-G270-IF(H270="",0,H270))</f>
        <v/>
      </c>
      <c r="J270" s="56">
        <f>IF(C270="","",IF(ABS(I270)&lt;0.001,"KAPALI","KONTROL"))</f>
        <v/>
      </c>
      <c r="K270" s="65" t="n"/>
    </row>
    <row r="271" ht="15" customHeight="1">
      <c r="A271" s="60">
        <f>IF(B271="","",IFERROR(DATE(RIGHT(B271,4),MID(B271,4,2),LEFT(B271,2))+1,""))</f>
        <v/>
      </c>
      <c r="B271" s="56" t="n"/>
      <c r="C271" s="58">
        <f>IF(B271="","",IFERROR(INDEX('21 2026 ÜRETİM'!$F$2:$F$501,MATCH(B271,'21 2026 ÜRETİM'!$A$2:$A$501,0)),""))</f>
        <v/>
      </c>
      <c r="D271" s="56" t="n"/>
      <c r="E271" s="58">
        <f>IF(D271="","",D271*0.5)</f>
        <v/>
      </c>
      <c r="F271" s="56" t="n"/>
      <c r="G271" s="58">
        <f>IF(F271="","",F271*2.5)</f>
        <v/>
      </c>
      <c r="H271" s="56" t="n"/>
      <c r="I271" s="58">
        <f>IF(C271="","",C271-E271-G271-IF(H271="",0,H271))</f>
        <v/>
      </c>
      <c r="J271" s="56">
        <f>IF(C271="","",IF(ABS(I271)&lt;0.001,"KAPALI","KONTROL"))</f>
        <v/>
      </c>
      <c r="K271" s="65" t="n"/>
    </row>
    <row r="272" ht="15" customHeight="1">
      <c r="A272" s="60">
        <f>IF(B272="","",IFERROR(DATE(RIGHT(B272,4),MID(B272,4,2),LEFT(B272,2))+1,""))</f>
        <v/>
      </c>
      <c r="B272" s="56" t="n"/>
      <c r="C272" s="58">
        <f>IF(B272="","",IFERROR(INDEX('21 2026 ÜRETİM'!$F$2:$F$501,MATCH(B272,'21 2026 ÜRETİM'!$A$2:$A$501,0)),""))</f>
        <v/>
      </c>
      <c r="D272" s="56" t="n"/>
      <c r="E272" s="58">
        <f>IF(D272="","",D272*0.5)</f>
        <v/>
      </c>
      <c r="F272" s="56" t="n"/>
      <c r="G272" s="58">
        <f>IF(F272="","",F272*2.5)</f>
        <v/>
      </c>
      <c r="H272" s="56" t="n"/>
      <c r="I272" s="58">
        <f>IF(C272="","",C272-E272-G272-IF(H272="",0,H272))</f>
        <v/>
      </c>
      <c r="J272" s="56">
        <f>IF(C272="","",IF(ABS(I272)&lt;0.001,"KAPALI","KONTROL"))</f>
        <v/>
      </c>
      <c r="K272" s="65" t="n"/>
    </row>
    <row r="273" ht="15" customHeight="1">
      <c r="A273" s="60">
        <f>IF(B273="","",IFERROR(DATE(RIGHT(B273,4),MID(B273,4,2),LEFT(B273,2))+1,""))</f>
        <v/>
      </c>
      <c r="B273" s="56" t="n"/>
      <c r="C273" s="58">
        <f>IF(B273="","",IFERROR(INDEX('21 2026 ÜRETİM'!$F$2:$F$501,MATCH(B273,'21 2026 ÜRETİM'!$A$2:$A$501,0)),""))</f>
        <v/>
      </c>
      <c r="D273" s="56" t="n"/>
      <c r="E273" s="58">
        <f>IF(D273="","",D273*0.5)</f>
        <v/>
      </c>
      <c r="F273" s="56" t="n"/>
      <c r="G273" s="58">
        <f>IF(F273="","",F273*2.5)</f>
        <v/>
      </c>
      <c r="H273" s="56" t="n"/>
      <c r="I273" s="58">
        <f>IF(C273="","",C273-E273-G273-IF(H273="",0,H273))</f>
        <v/>
      </c>
      <c r="J273" s="56">
        <f>IF(C273="","",IF(ABS(I273)&lt;0.001,"KAPALI","KONTROL"))</f>
        <v/>
      </c>
      <c r="K273" s="65" t="n"/>
    </row>
    <row r="274" ht="15" customHeight="1">
      <c r="A274" s="60">
        <f>IF(B274="","",IFERROR(DATE(RIGHT(B274,4),MID(B274,4,2),LEFT(B274,2))+1,""))</f>
        <v/>
      </c>
      <c r="B274" s="56" t="n"/>
      <c r="C274" s="58">
        <f>IF(B274="","",IFERROR(INDEX('21 2026 ÜRETİM'!$F$2:$F$501,MATCH(B274,'21 2026 ÜRETİM'!$A$2:$A$501,0)),""))</f>
        <v/>
      </c>
      <c r="D274" s="56" t="n"/>
      <c r="E274" s="58">
        <f>IF(D274="","",D274*0.5)</f>
        <v/>
      </c>
      <c r="F274" s="56" t="n"/>
      <c r="G274" s="58">
        <f>IF(F274="","",F274*2.5)</f>
        <v/>
      </c>
      <c r="H274" s="56" t="n"/>
      <c r="I274" s="58">
        <f>IF(C274="","",C274-E274-G274-IF(H274="",0,H274))</f>
        <v/>
      </c>
      <c r="J274" s="56">
        <f>IF(C274="","",IF(ABS(I274)&lt;0.001,"KAPALI","KONTROL"))</f>
        <v/>
      </c>
      <c r="K274" s="65" t="n"/>
    </row>
    <row r="275" ht="15" customHeight="1">
      <c r="A275" s="60">
        <f>IF(B275="","",IFERROR(DATE(RIGHT(B275,4),MID(B275,4,2),LEFT(B275,2))+1,""))</f>
        <v/>
      </c>
      <c r="B275" s="56" t="n"/>
      <c r="C275" s="58">
        <f>IF(B275="","",IFERROR(INDEX('21 2026 ÜRETİM'!$F$2:$F$501,MATCH(B275,'21 2026 ÜRETİM'!$A$2:$A$501,0)),""))</f>
        <v/>
      </c>
      <c r="D275" s="56" t="n"/>
      <c r="E275" s="58">
        <f>IF(D275="","",D275*0.5)</f>
        <v/>
      </c>
      <c r="F275" s="56" t="n"/>
      <c r="G275" s="58">
        <f>IF(F275="","",F275*2.5)</f>
        <v/>
      </c>
      <c r="H275" s="56" t="n"/>
      <c r="I275" s="58">
        <f>IF(C275="","",C275-E275-G275-IF(H275="",0,H275))</f>
        <v/>
      </c>
      <c r="J275" s="56">
        <f>IF(C275="","",IF(ABS(I275)&lt;0.001,"KAPALI","KONTROL"))</f>
        <v/>
      </c>
      <c r="K275" s="65" t="n"/>
    </row>
    <row r="276" ht="15" customHeight="1">
      <c r="A276" s="60">
        <f>IF(B276="","",IFERROR(DATE(RIGHT(B276,4),MID(B276,4,2),LEFT(B276,2))+1,""))</f>
        <v/>
      </c>
      <c r="B276" s="56" t="n"/>
      <c r="C276" s="58">
        <f>IF(B276="","",IFERROR(INDEX('21 2026 ÜRETİM'!$F$2:$F$501,MATCH(B276,'21 2026 ÜRETİM'!$A$2:$A$501,0)),""))</f>
        <v/>
      </c>
      <c r="D276" s="56" t="n"/>
      <c r="E276" s="58">
        <f>IF(D276="","",D276*0.5)</f>
        <v/>
      </c>
      <c r="F276" s="56" t="n"/>
      <c r="G276" s="58">
        <f>IF(F276="","",F276*2.5)</f>
        <v/>
      </c>
      <c r="H276" s="56" t="n"/>
      <c r="I276" s="58">
        <f>IF(C276="","",C276-E276-G276-IF(H276="",0,H276))</f>
        <v/>
      </c>
      <c r="J276" s="56">
        <f>IF(C276="","",IF(ABS(I276)&lt;0.001,"KAPALI","KONTROL"))</f>
        <v/>
      </c>
      <c r="K276" s="65" t="n"/>
    </row>
    <row r="277" ht="15" customHeight="1">
      <c r="A277" s="60">
        <f>IF(B277="","",IFERROR(DATE(RIGHT(B277,4),MID(B277,4,2),LEFT(B277,2))+1,""))</f>
        <v/>
      </c>
      <c r="B277" s="56" t="n"/>
      <c r="C277" s="58">
        <f>IF(B277="","",IFERROR(INDEX('21 2026 ÜRETİM'!$F$2:$F$501,MATCH(B277,'21 2026 ÜRETİM'!$A$2:$A$501,0)),""))</f>
        <v/>
      </c>
      <c r="D277" s="56" t="n"/>
      <c r="E277" s="58">
        <f>IF(D277="","",D277*0.5)</f>
        <v/>
      </c>
      <c r="F277" s="56" t="n"/>
      <c r="G277" s="58">
        <f>IF(F277="","",F277*2.5)</f>
        <v/>
      </c>
      <c r="H277" s="56" t="n"/>
      <c r="I277" s="58">
        <f>IF(C277="","",C277-E277-G277-IF(H277="",0,H277))</f>
        <v/>
      </c>
      <c r="J277" s="56">
        <f>IF(C277="","",IF(ABS(I277)&lt;0.001,"KAPALI","KONTROL"))</f>
        <v/>
      </c>
      <c r="K277" s="65" t="n"/>
    </row>
    <row r="278" ht="15" customHeight="1">
      <c r="A278" s="60">
        <f>IF(B278="","",IFERROR(DATE(RIGHT(B278,4),MID(B278,4,2),LEFT(B278,2))+1,""))</f>
        <v/>
      </c>
      <c r="B278" s="56" t="n"/>
      <c r="C278" s="58">
        <f>IF(B278="","",IFERROR(INDEX('21 2026 ÜRETİM'!$F$2:$F$501,MATCH(B278,'21 2026 ÜRETİM'!$A$2:$A$501,0)),""))</f>
        <v/>
      </c>
      <c r="D278" s="56" t="n"/>
      <c r="E278" s="58">
        <f>IF(D278="","",D278*0.5)</f>
        <v/>
      </c>
      <c r="F278" s="56" t="n"/>
      <c r="G278" s="58">
        <f>IF(F278="","",F278*2.5)</f>
        <v/>
      </c>
      <c r="H278" s="56" t="n"/>
      <c r="I278" s="58">
        <f>IF(C278="","",C278-E278-G278-IF(H278="",0,H278))</f>
        <v/>
      </c>
      <c r="J278" s="56">
        <f>IF(C278="","",IF(ABS(I278)&lt;0.001,"KAPALI","KONTROL"))</f>
        <v/>
      </c>
      <c r="K278" s="65" t="n"/>
    </row>
    <row r="279" ht="15" customHeight="1">
      <c r="A279" s="60">
        <f>IF(B279="","",IFERROR(DATE(RIGHT(B279,4),MID(B279,4,2),LEFT(B279,2))+1,""))</f>
        <v/>
      </c>
      <c r="B279" s="56" t="n"/>
      <c r="C279" s="58">
        <f>IF(B279="","",IFERROR(INDEX('21 2026 ÜRETİM'!$F$2:$F$501,MATCH(B279,'21 2026 ÜRETİM'!$A$2:$A$501,0)),""))</f>
        <v/>
      </c>
      <c r="D279" s="56" t="n"/>
      <c r="E279" s="58">
        <f>IF(D279="","",D279*0.5)</f>
        <v/>
      </c>
      <c r="F279" s="56" t="n"/>
      <c r="G279" s="58">
        <f>IF(F279="","",F279*2.5)</f>
        <v/>
      </c>
      <c r="H279" s="56" t="n"/>
      <c r="I279" s="58">
        <f>IF(C279="","",C279-E279-G279-IF(H279="",0,H279))</f>
        <v/>
      </c>
      <c r="J279" s="56">
        <f>IF(C279="","",IF(ABS(I279)&lt;0.001,"KAPALI","KONTROL"))</f>
        <v/>
      </c>
      <c r="K279" s="65" t="n"/>
    </row>
    <row r="280" ht="15" customHeight="1">
      <c r="A280" s="60">
        <f>IF(B280="","",IFERROR(DATE(RIGHT(B280,4),MID(B280,4,2),LEFT(B280,2))+1,""))</f>
        <v/>
      </c>
      <c r="B280" s="56" t="n"/>
      <c r="C280" s="58">
        <f>IF(B280="","",IFERROR(INDEX('21 2026 ÜRETİM'!$F$2:$F$501,MATCH(B280,'21 2026 ÜRETİM'!$A$2:$A$501,0)),""))</f>
        <v/>
      </c>
      <c r="D280" s="56" t="n"/>
      <c r="E280" s="58">
        <f>IF(D280="","",D280*0.5)</f>
        <v/>
      </c>
      <c r="F280" s="56" t="n"/>
      <c r="G280" s="58">
        <f>IF(F280="","",F280*2.5)</f>
        <v/>
      </c>
      <c r="H280" s="56" t="n"/>
      <c r="I280" s="58">
        <f>IF(C280="","",C280-E280-G280-IF(H280="",0,H280))</f>
        <v/>
      </c>
      <c r="J280" s="56">
        <f>IF(C280="","",IF(ABS(I280)&lt;0.001,"KAPALI","KONTROL"))</f>
        <v/>
      </c>
      <c r="K280" s="65" t="n"/>
    </row>
    <row r="281" ht="15" customHeight="1">
      <c r="A281" s="60">
        <f>IF(B281="","",IFERROR(DATE(RIGHT(B281,4),MID(B281,4,2),LEFT(B281,2))+1,""))</f>
        <v/>
      </c>
      <c r="B281" s="56" t="n"/>
      <c r="C281" s="58">
        <f>IF(B281="","",IFERROR(INDEX('21 2026 ÜRETİM'!$F$2:$F$501,MATCH(B281,'21 2026 ÜRETİM'!$A$2:$A$501,0)),""))</f>
        <v/>
      </c>
      <c r="D281" s="56" t="n"/>
      <c r="E281" s="58">
        <f>IF(D281="","",D281*0.5)</f>
        <v/>
      </c>
      <c r="F281" s="56" t="n"/>
      <c r="G281" s="58">
        <f>IF(F281="","",F281*2.5)</f>
        <v/>
      </c>
      <c r="H281" s="56" t="n"/>
      <c r="I281" s="58">
        <f>IF(C281="","",C281-E281-G281-IF(H281="",0,H281))</f>
        <v/>
      </c>
      <c r="J281" s="56">
        <f>IF(C281="","",IF(ABS(I281)&lt;0.001,"KAPALI","KONTROL"))</f>
        <v/>
      </c>
      <c r="K281" s="65" t="n"/>
    </row>
    <row r="282" ht="15" customHeight="1">
      <c r="A282" s="60">
        <f>IF(B282="","",IFERROR(DATE(RIGHT(B282,4),MID(B282,4,2),LEFT(B282,2))+1,""))</f>
        <v/>
      </c>
      <c r="B282" s="56" t="n"/>
      <c r="C282" s="58">
        <f>IF(B282="","",IFERROR(INDEX('21 2026 ÜRETİM'!$F$2:$F$501,MATCH(B282,'21 2026 ÜRETİM'!$A$2:$A$501,0)),""))</f>
        <v/>
      </c>
      <c r="D282" s="56" t="n"/>
      <c r="E282" s="58">
        <f>IF(D282="","",D282*0.5)</f>
        <v/>
      </c>
      <c r="F282" s="56" t="n"/>
      <c r="G282" s="58">
        <f>IF(F282="","",F282*2.5)</f>
        <v/>
      </c>
      <c r="H282" s="56" t="n"/>
      <c r="I282" s="58">
        <f>IF(C282="","",C282-E282-G282-IF(H282="",0,H282))</f>
        <v/>
      </c>
      <c r="J282" s="56">
        <f>IF(C282="","",IF(ABS(I282)&lt;0.001,"KAPALI","KONTROL"))</f>
        <v/>
      </c>
      <c r="K282" s="65" t="n"/>
    </row>
    <row r="283" ht="15" customHeight="1">
      <c r="A283" s="60">
        <f>IF(B283="","",IFERROR(DATE(RIGHT(B283,4),MID(B283,4,2),LEFT(B283,2))+1,""))</f>
        <v/>
      </c>
      <c r="B283" s="56" t="n"/>
      <c r="C283" s="58">
        <f>IF(B283="","",IFERROR(INDEX('21 2026 ÜRETİM'!$F$2:$F$501,MATCH(B283,'21 2026 ÜRETİM'!$A$2:$A$501,0)),""))</f>
        <v/>
      </c>
      <c r="D283" s="56" t="n"/>
      <c r="E283" s="58">
        <f>IF(D283="","",D283*0.5)</f>
        <v/>
      </c>
      <c r="F283" s="56" t="n"/>
      <c r="G283" s="58">
        <f>IF(F283="","",F283*2.5)</f>
        <v/>
      </c>
      <c r="H283" s="56" t="n"/>
      <c r="I283" s="58">
        <f>IF(C283="","",C283-E283-G283-IF(H283="",0,H283))</f>
        <v/>
      </c>
      <c r="J283" s="56">
        <f>IF(C283="","",IF(ABS(I283)&lt;0.001,"KAPALI","KONTROL"))</f>
        <v/>
      </c>
      <c r="K283" s="65" t="n"/>
    </row>
    <row r="284" ht="15" customHeight="1">
      <c r="A284" s="60">
        <f>IF(B284="","",IFERROR(DATE(RIGHT(B284,4),MID(B284,4,2),LEFT(B284,2))+1,""))</f>
        <v/>
      </c>
      <c r="B284" s="56" t="n"/>
      <c r="C284" s="58">
        <f>IF(B284="","",IFERROR(INDEX('21 2026 ÜRETİM'!$F$2:$F$501,MATCH(B284,'21 2026 ÜRETİM'!$A$2:$A$501,0)),""))</f>
        <v/>
      </c>
      <c r="D284" s="56" t="n"/>
      <c r="E284" s="58">
        <f>IF(D284="","",D284*0.5)</f>
        <v/>
      </c>
      <c r="F284" s="56" t="n"/>
      <c r="G284" s="58">
        <f>IF(F284="","",F284*2.5)</f>
        <v/>
      </c>
      <c r="H284" s="56" t="n"/>
      <c r="I284" s="58">
        <f>IF(C284="","",C284-E284-G284-IF(H284="",0,H284))</f>
        <v/>
      </c>
      <c r="J284" s="56">
        <f>IF(C284="","",IF(ABS(I284)&lt;0.001,"KAPALI","KONTROL"))</f>
        <v/>
      </c>
      <c r="K284" s="65" t="n"/>
    </row>
    <row r="285" ht="15" customHeight="1">
      <c r="A285" s="60">
        <f>IF(B285="","",IFERROR(DATE(RIGHT(B285,4),MID(B285,4,2),LEFT(B285,2))+1,""))</f>
        <v/>
      </c>
      <c r="B285" s="56" t="n"/>
      <c r="C285" s="58">
        <f>IF(B285="","",IFERROR(INDEX('21 2026 ÜRETİM'!$F$2:$F$501,MATCH(B285,'21 2026 ÜRETİM'!$A$2:$A$501,0)),""))</f>
        <v/>
      </c>
      <c r="D285" s="56" t="n"/>
      <c r="E285" s="58">
        <f>IF(D285="","",D285*0.5)</f>
        <v/>
      </c>
      <c r="F285" s="56" t="n"/>
      <c r="G285" s="58">
        <f>IF(F285="","",F285*2.5)</f>
        <v/>
      </c>
      <c r="H285" s="56" t="n"/>
      <c r="I285" s="58">
        <f>IF(C285="","",C285-E285-G285-IF(H285="",0,H285))</f>
        <v/>
      </c>
      <c r="J285" s="56">
        <f>IF(C285="","",IF(ABS(I285)&lt;0.001,"KAPALI","KONTROL"))</f>
        <v/>
      </c>
      <c r="K285" s="65" t="n"/>
    </row>
    <row r="286" ht="15" customHeight="1">
      <c r="A286" s="60">
        <f>IF(B286="","",IFERROR(DATE(RIGHT(B286,4),MID(B286,4,2),LEFT(B286,2))+1,""))</f>
        <v/>
      </c>
      <c r="B286" s="56" t="n"/>
      <c r="C286" s="58">
        <f>IF(B286="","",IFERROR(INDEX('21 2026 ÜRETİM'!$F$2:$F$501,MATCH(B286,'21 2026 ÜRETİM'!$A$2:$A$501,0)),""))</f>
        <v/>
      </c>
      <c r="D286" s="56" t="n"/>
      <c r="E286" s="58">
        <f>IF(D286="","",D286*0.5)</f>
        <v/>
      </c>
      <c r="F286" s="56" t="n"/>
      <c r="G286" s="58">
        <f>IF(F286="","",F286*2.5)</f>
        <v/>
      </c>
      <c r="H286" s="56" t="n"/>
      <c r="I286" s="58">
        <f>IF(C286="","",C286-E286-G286-IF(H286="",0,H286))</f>
        <v/>
      </c>
      <c r="J286" s="56">
        <f>IF(C286="","",IF(ABS(I286)&lt;0.001,"KAPALI","KONTROL"))</f>
        <v/>
      </c>
      <c r="K286" s="65" t="n"/>
    </row>
    <row r="287" ht="15" customHeight="1">
      <c r="A287" s="60">
        <f>IF(B287="","",IFERROR(DATE(RIGHT(B287,4),MID(B287,4,2),LEFT(B287,2))+1,""))</f>
        <v/>
      </c>
      <c r="B287" s="56" t="n"/>
      <c r="C287" s="58">
        <f>IF(B287="","",IFERROR(INDEX('21 2026 ÜRETİM'!$F$2:$F$501,MATCH(B287,'21 2026 ÜRETİM'!$A$2:$A$501,0)),""))</f>
        <v/>
      </c>
      <c r="D287" s="56" t="n"/>
      <c r="E287" s="58">
        <f>IF(D287="","",D287*0.5)</f>
        <v/>
      </c>
      <c r="F287" s="56" t="n"/>
      <c r="G287" s="58">
        <f>IF(F287="","",F287*2.5)</f>
        <v/>
      </c>
      <c r="H287" s="56" t="n"/>
      <c r="I287" s="58">
        <f>IF(C287="","",C287-E287-G287-IF(H287="",0,H287))</f>
        <v/>
      </c>
      <c r="J287" s="56">
        <f>IF(C287="","",IF(ABS(I287)&lt;0.001,"KAPALI","KONTROL"))</f>
        <v/>
      </c>
      <c r="K287" s="65" t="n"/>
    </row>
    <row r="288" ht="15" customHeight="1">
      <c r="A288" s="60">
        <f>IF(B288="","",IFERROR(DATE(RIGHT(B288,4),MID(B288,4,2),LEFT(B288,2))+1,""))</f>
        <v/>
      </c>
      <c r="B288" s="56" t="n"/>
      <c r="C288" s="58">
        <f>IF(B288="","",IFERROR(INDEX('21 2026 ÜRETİM'!$F$2:$F$501,MATCH(B288,'21 2026 ÜRETİM'!$A$2:$A$501,0)),""))</f>
        <v/>
      </c>
      <c r="D288" s="56" t="n"/>
      <c r="E288" s="58">
        <f>IF(D288="","",D288*0.5)</f>
        <v/>
      </c>
      <c r="F288" s="56" t="n"/>
      <c r="G288" s="58">
        <f>IF(F288="","",F288*2.5)</f>
        <v/>
      </c>
      <c r="H288" s="56" t="n"/>
      <c r="I288" s="58">
        <f>IF(C288="","",C288-E288-G288-IF(H288="",0,H288))</f>
        <v/>
      </c>
      <c r="J288" s="56">
        <f>IF(C288="","",IF(ABS(I288)&lt;0.001,"KAPALI","KONTROL"))</f>
        <v/>
      </c>
      <c r="K288" s="65" t="n"/>
    </row>
    <row r="289" ht="15" customHeight="1">
      <c r="A289" s="60">
        <f>IF(B289="","",IFERROR(DATE(RIGHT(B289,4),MID(B289,4,2),LEFT(B289,2))+1,""))</f>
        <v/>
      </c>
      <c r="B289" s="56" t="n"/>
      <c r="C289" s="58">
        <f>IF(B289="","",IFERROR(INDEX('21 2026 ÜRETİM'!$F$2:$F$501,MATCH(B289,'21 2026 ÜRETİM'!$A$2:$A$501,0)),""))</f>
        <v/>
      </c>
      <c r="D289" s="56" t="n"/>
      <c r="E289" s="58">
        <f>IF(D289="","",D289*0.5)</f>
        <v/>
      </c>
      <c r="F289" s="56" t="n"/>
      <c r="G289" s="58">
        <f>IF(F289="","",F289*2.5)</f>
        <v/>
      </c>
      <c r="H289" s="56" t="n"/>
      <c r="I289" s="58">
        <f>IF(C289="","",C289-E289-G289-IF(H289="",0,H289))</f>
        <v/>
      </c>
      <c r="J289" s="56">
        <f>IF(C289="","",IF(ABS(I289)&lt;0.001,"KAPALI","KONTROL"))</f>
        <v/>
      </c>
      <c r="K289" s="65" t="n"/>
    </row>
    <row r="290" ht="15" customHeight="1">
      <c r="A290" s="60">
        <f>IF(B290="","",IFERROR(DATE(RIGHT(B290,4),MID(B290,4,2),LEFT(B290,2))+1,""))</f>
        <v/>
      </c>
      <c r="B290" s="56" t="n"/>
      <c r="C290" s="58">
        <f>IF(B290="","",IFERROR(INDEX('21 2026 ÜRETİM'!$F$2:$F$501,MATCH(B290,'21 2026 ÜRETİM'!$A$2:$A$501,0)),""))</f>
        <v/>
      </c>
      <c r="D290" s="56" t="n"/>
      <c r="E290" s="58">
        <f>IF(D290="","",D290*0.5)</f>
        <v/>
      </c>
      <c r="F290" s="56" t="n"/>
      <c r="G290" s="58">
        <f>IF(F290="","",F290*2.5)</f>
        <v/>
      </c>
      <c r="H290" s="56" t="n"/>
      <c r="I290" s="58">
        <f>IF(C290="","",C290-E290-G290-IF(H290="",0,H290))</f>
        <v/>
      </c>
      <c r="J290" s="56">
        <f>IF(C290="","",IF(ABS(I290)&lt;0.001,"KAPALI","KONTROL"))</f>
        <v/>
      </c>
      <c r="K290" s="65" t="n"/>
    </row>
    <row r="291" ht="15" customHeight="1">
      <c r="A291" s="60">
        <f>IF(B291="","",IFERROR(DATE(RIGHT(B291,4),MID(B291,4,2),LEFT(B291,2))+1,""))</f>
        <v/>
      </c>
      <c r="B291" s="56" t="n"/>
      <c r="C291" s="58">
        <f>IF(B291="","",IFERROR(INDEX('21 2026 ÜRETİM'!$F$2:$F$501,MATCH(B291,'21 2026 ÜRETİM'!$A$2:$A$501,0)),""))</f>
        <v/>
      </c>
      <c r="D291" s="56" t="n"/>
      <c r="E291" s="58">
        <f>IF(D291="","",D291*0.5)</f>
        <v/>
      </c>
      <c r="F291" s="56" t="n"/>
      <c r="G291" s="58">
        <f>IF(F291="","",F291*2.5)</f>
        <v/>
      </c>
      <c r="H291" s="56" t="n"/>
      <c r="I291" s="58">
        <f>IF(C291="","",C291-E291-G291-IF(H291="",0,H291))</f>
        <v/>
      </c>
      <c r="J291" s="56">
        <f>IF(C291="","",IF(ABS(I291)&lt;0.001,"KAPALI","KONTROL"))</f>
        <v/>
      </c>
      <c r="K291" s="65" t="n"/>
    </row>
    <row r="292" ht="15" customHeight="1">
      <c r="A292" s="60">
        <f>IF(B292="","",IFERROR(DATE(RIGHT(B292,4),MID(B292,4,2),LEFT(B292,2))+1,""))</f>
        <v/>
      </c>
      <c r="B292" s="56" t="n"/>
      <c r="C292" s="58">
        <f>IF(B292="","",IFERROR(INDEX('21 2026 ÜRETİM'!$F$2:$F$501,MATCH(B292,'21 2026 ÜRETİM'!$A$2:$A$501,0)),""))</f>
        <v/>
      </c>
      <c r="D292" s="56" t="n"/>
      <c r="E292" s="58">
        <f>IF(D292="","",D292*0.5)</f>
        <v/>
      </c>
      <c r="F292" s="56" t="n"/>
      <c r="G292" s="58">
        <f>IF(F292="","",F292*2.5)</f>
        <v/>
      </c>
      <c r="H292" s="56" t="n"/>
      <c r="I292" s="58">
        <f>IF(C292="","",C292-E292-G292-IF(H292="",0,H292))</f>
        <v/>
      </c>
      <c r="J292" s="56">
        <f>IF(C292="","",IF(ABS(I292)&lt;0.001,"KAPALI","KONTROL"))</f>
        <v/>
      </c>
      <c r="K292" s="65" t="n"/>
    </row>
    <row r="293" ht="15" customHeight="1">
      <c r="A293" s="60">
        <f>IF(B293="","",IFERROR(DATE(RIGHT(B293,4),MID(B293,4,2),LEFT(B293,2))+1,""))</f>
        <v/>
      </c>
      <c r="B293" s="56" t="n"/>
      <c r="C293" s="58">
        <f>IF(B293="","",IFERROR(INDEX('21 2026 ÜRETİM'!$F$2:$F$501,MATCH(B293,'21 2026 ÜRETİM'!$A$2:$A$501,0)),""))</f>
        <v/>
      </c>
      <c r="D293" s="56" t="n"/>
      <c r="E293" s="58">
        <f>IF(D293="","",D293*0.5)</f>
        <v/>
      </c>
      <c r="F293" s="56" t="n"/>
      <c r="G293" s="58">
        <f>IF(F293="","",F293*2.5)</f>
        <v/>
      </c>
      <c r="H293" s="56" t="n"/>
      <c r="I293" s="58">
        <f>IF(C293="","",C293-E293-G293-IF(H293="",0,H293))</f>
        <v/>
      </c>
      <c r="J293" s="56">
        <f>IF(C293="","",IF(ABS(I293)&lt;0.001,"KAPALI","KONTROL"))</f>
        <v/>
      </c>
      <c r="K293" s="65" t="n"/>
    </row>
    <row r="294" ht="15" customHeight="1">
      <c r="A294" s="60">
        <f>IF(B294="","",IFERROR(DATE(RIGHT(B294,4),MID(B294,4,2),LEFT(B294,2))+1,""))</f>
        <v/>
      </c>
      <c r="B294" s="56" t="n"/>
      <c r="C294" s="58">
        <f>IF(B294="","",IFERROR(INDEX('21 2026 ÜRETİM'!$F$2:$F$501,MATCH(B294,'21 2026 ÜRETİM'!$A$2:$A$501,0)),""))</f>
        <v/>
      </c>
      <c r="D294" s="56" t="n"/>
      <c r="E294" s="58">
        <f>IF(D294="","",D294*0.5)</f>
        <v/>
      </c>
      <c r="F294" s="56" t="n"/>
      <c r="G294" s="58">
        <f>IF(F294="","",F294*2.5)</f>
        <v/>
      </c>
      <c r="H294" s="56" t="n"/>
      <c r="I294" s="58">
        <f>IF(C294="","",C294-E294-G294-IF(H294="",0,H294))</f>
        <v/>
      </c>
      <c r="J294" s="56">
        <f>IF(C294="","",IF(ABS(I294)&lt;0.001,"KAPALI","KONTROL"))</f>
        <v/>
      </c>
      <c r="K294" s="65" t="n"/>
    </row>
    <row r="295" ht="15" customHeight="1">
      <c r="A295" s="60">
        <f>IF(B295="","",IFERROR(DATE(RIGHT(B295,4),MID(B295,4,2),LEFT(B295,2))+1,""))</f>
        <v/>
      </c>
      <c r="B295" s="56" t="n"/>
      <c r="C295" s="58">
        <f>IF(B295="","",IFERROR(INDEX('21 2026 ÜRETİM'!$F$2:$F$501,MATCH(B295,'21 2026 ÜRETİM'!$A$2:$A$501,0)),""))</f>
        <v/>
      </c>
      <c r="D295" s="56" t="n"/>
      <c r="E295" s="58">
        <f>IF(D295="","",D295*0.5)</f>
        <v/>
      </c>
      <c r="F295" s="56" t="n"/>
      <c r="G295" s="58">
        <f>IF(F295="","",F295*2.5)</f>
        <v/>
      </c>
      <c r="H295" s="56" t="n"/>
      <c r="I295" s="58">
        <f>IF(C295="","",C295-E295-G295-IF(H295="",0,H295))</f>
        <v/>
      </c>
      <c r="J295" s="56">
        <f>IF(C295="","",IF(ABS(I295)&lt;0.001,"KAPALI","KONTROL"))</f>
        <v/>
      </c>
      <c r="K295" s="65" t="n"/>
    </row>
    <row r="296" ht="15" customHeight="1">
      <c r="A296" s="60">
        <f>IF(B296="","",IFERROR(DATE(RIGHT(B296,4),MID(B296,4,2),LEFT(B296,2))+1,""))</f>
        <v/>
      </c>
      <c r="B296" s="56" t="n"/>
      <c r="C296" s="58">
        <f>IF(B296="","",IFERROR(INDEX('21 2026 ÜRETİM'!$F$2:$F$501,MATCH(B296,'21 2026 ÜRETİM'!$A$2:$A$501,0)),""))</f>
        <v/>
      </c>
      <c r="D296" s="56" t="n"/>
      <c r="E296" s="58">
        <f>IF(D296="","",D296*0.5)</f>
        <v/>
      </c>
      <c r="F296" s="56" t="n"/>
      <c r="G296" s="58">
        <f>IF(F296="","",F296*2.5)</f>
        <v/>
      </c>
      <c r="H296" s="56" t="n"/>
      <c r="I296" s="58">
        <f>IF(C296="","",C296-E296-G296-IF(H296="",0,H296))</f>
        <v/>
      </c>
      <c r="J296" s="56">
        <f>IF(C296="","",IF(ABS(I296)&lt;0.001,"KAPALI","KONTROL"))</f>
        <v/>
      </c>
      <c r="K296" s="65" t="n"/>
    </row>
    <row r="297" ht="15" customHeight="1">
      <c r="A297" s="60">
        <f>IF(B297="","",IFERROR(DATE(RIGHT(B297,4),MID(B297,4,2),LEFT(B297,2))+1,""))</f>
        <v/>
      </c>
      <c r="B297" s="56" t="n"/>
      <c r="C297" s="58">
        <f>IF(B297="","",IFERROR(INDEX('21 2026 ÜRETİM'!$F$2:$F$501,MATCH(B297,'21 2026 ÜRETİM'!$A$2:$A$501,0)),""))</f>
        <v/>
      </c>
      <c r="D297" s="56" t="n"/>
      <c r="E297" s="58">
        <f>IF(D297="","",D297*0.5)</f>
        <v/>
      </c>
      <c r="F297" s="56" t="n"/>
      <c r="G297" s="58">
        <f>IF(F297="","",F297*2.5)</f>
        <v/>
      </c>
      <c r="H297" s="56" t="n"/>
      <c r="I297" s="58">
        <f>IF(C297="","",C297-E297-G297-IF(H297="",0,H297))</f>
        <v/>
      </c>
      <c r="J297" s="56">
        <f>IF(C297="","",IF(ABS(I297)&lt;0.001,"KAPALI","KONTROL"))</f>
        <v/>
      </c>
      <c r="K297" s="65" t="n"/>
    </row>
    <row r="298" ht="15" customHeight="1">
      <c r="A298" s="60">
        <f>IF(B298="","",IFERROR(DATE(RIGHT(B298,4),MID(B298,4,2),LEFT(B298,2))+1,""))</f>
        <v/>
      </c>
      <c r="B298" s="56" t="n"/>
      <c r="C298" s="58">
        <f>IF(B298="","",IFERROR(INDEX('21 2026 ÜRETİM'!$F$2:$F$501,MATCH(B298,'21 2026 ÜRETİM'!$A$2:$A$501,0)),""))</f>
        <v/>
      </c>
      <c r="D298" s="56" t="n"/>
      <c r="E298" s="58">
        <f>IF(D298="","",D298*0.5)</f>
        <v/>
      </c>
      <c r="F298" s="56" t="n"/>
      <c r="G298" s="58">
        <f>IF(F298="","",F298*2.5)</f>
        <v/>
      </c>
      <c r="H298" s="56" t="n"/>
      <c r="I298" s="58">
        <f>IF(C298="","",C298-E298-G298-IF(H298="",0,H298))</f>
        <v/>
      </c>
      <c r="J298" s="56">
        <f>IF(C298="","",IF(ABS(I298)&lt;0.001,"KAPALI","KONTROL"))</f>
        <v/>
      </c>
      <c r="K298" s="65" t="n"/>
    </row>
    <row r="299" ht="15" customHeight="1">
      <c r="A299" s="60">
        <f>IF(B299="","",IFERROR(DATE(RIGHT(B299,4),MID(B299,4,2),LEFT(B299,2))+1,""))</f>
        <v/>
      </c>
      <c r="B299" s="56" t="n"/>
      <c r="C299" s="58">
        <f>IF(B299="","",IFERROR(INDEX('21 2026 ÜRETİM'!$F$2:$F$501,MATCH(B299,'21 2026 ÜRETİM'!$A$2:$A$501,0)),""))</f>
        <v/>
      </c>
      <c r="D299" s="56" t="n"/>
      <c r="E299" s="58">
        <f>IF(D299="","",D299*0.5)</f>
        <v/>
      </c>
      <c r="F299" s="56" t="n"/>
      <c r="G299" s="58">
        <f>IF(F299="","",F299*2.5)</f>
        <v/>
      </c>
      <c r="H299" s="56" t="n"/>
      <c r="I299" s="58">
        <f>IF(C299="","",C299-E299-G299-IF(H299="",0,H299))</f>
        <v/>
      </c>
      <c r="J299" s="56">
        <f>IF(C299="","",IF(ABS(I299)&lt;0.001,"KAPALI","KONTROL"))</f>
        <v/>
      </c>
      <c r="K299" s="65" t="n"/>
    </row>
    <row r="300" ht="15" customHeight="1">
      <c r="A300" s="60">
        <f>IF(B300="","",IFERROR(DATE(RIGHT(B300,4),MID(B300,4,2),LEFT(B300,2))+1,""))</f>
        <v/>
      </c>
      <c r="B300" s="56" t="n"/>
      <c r="C300" s="58">
        <f>IF(B300="","",IFERROR(INDEX('21 2026 ÜRETİM'!$F$2:$F$501,MATCH(B300,'21 2026 ÜRETİM'!$A$2:$A$501,0)),""))</f>
        <v/>
      </c>
      <c r="D300" s="56" t="n"/>
      <c r="E300" s="58">
        <f>IF(D300="","",D300*0.5)</f>
        <v/>
      </c>
      <c r="F300" s="56" t="n"/>
      <c r="G300" s="58">
        <f>IF(F300="","",F300*2.5)</f>
        <v/>
      </c>
      <c r="H300" s="56" t="n"/>
      <c r="I300" s="58">
        <f>IF(C300="","",C300-E300-G300-IF(H300="",0,H300))</f>
        <v/>
      </c>
      <c r="J300" s="56">
        <f>IF(C300="","",IF(ABS(I300)&lt;0.001,"KAPALI","KONTROL"))</f>
        <v/>
      </c>
      <c r="K300" s="65" t="n"/>
    </row>
    <row r="301" ht="15" customHeight="1">
      <c r="A301" s="60">
        <f>IF(B301="","",IFERROR(DATE(RIGHT(B301,4),MID(B301,4,2),LEFT(B301,2))+1,""))</f>
        <v/>
      </c>
      <c r="B301" s="56" t="n"/>
      <c r="C301" s="58">
        <f>IF(B301="","",IFERROR(INDEX('21 2026 ÜRETİM'!$F$2:$F$501,MATCH(B301,'21 2026 ÜRETİM'!$A$2:$A$501,0)),""))</f>
        <v/>
      </c>
      <c r="D301" s="56" t="n"/>
      <c r="E301" s="58">
        <f>IF(D301="","",D301*0.5)</f>
        <v/>
      </c>
      <c r="F301" s="56" t="n"/>
      <c r="G301" s="58">
        <f>IF(F301="","",F301*2.5)</f>
        <v/>
      </c>
      <c r="H301" s="56" t="n"/>
      <c r="I301" s="58">
        <f>IF(C301="","",C301-E301-G301-IF(H301="",0,H301))</f>
        <v/>
      </c>
      <c r="J301" s="56">
        <f>IF(C301="","",IF(ABS(I301)&lt;0.001,"KAPALI","KONTROL"))</f>
        <v/>
      </c>
      <c r="K301" s="65" t="n"/>
    </row>
    <row r="302" ht="15" customHeight="1">
      <c r="A302" s="60">
        <f>IF(B302="","",IFERROR(DATE(RIGHT(B302,4),MID(B302,4,2),LEFT(B302,2))+1,""))</f>
        <v/>
      </c>
      <c r="B302" s="56" t="n"/>
      <c r="C302" s="58">
        <f>IF(B302="","",IFERROR(INDEX('21 2026 ÜRETİM'!$F$2:$F$501,MATCH(B302,'21 2026 ÜRETİM'!$A$2:$A$501,0)),""))</f>
        <v/>
      </c>
      <c r="D302" s="56" t="n"/>
      <c r="E302" s="58">
        <f>IF(D302="","",D302*0.5)</f>
        <v/>
      </c>
      <c r="F302" s="56" t="n"/>
      <c r="G302" s="58">
        <f>IF(F302="","",F302*2.5)</f>
        <v/>
      </c>
      <c r="H302" s="56" t="n"/>
      <c r="I302" s="58">
        <f>IF(C302="","",C302-E302-G302-IF(H302="",0,H302))</f>
        <v/>
      </c>
      <c r="J302" s="56">
        <f>IF(C302="","",IF(ABS(I302)&lt;0.001,"KAPALI","KONTROL"))</f>
        <v/>
      </c>
      <c r="K302" s="65" t="n"/>
    </row>
    <row r="303" ht="15" customHeight="1">
      <c r="A303" s="60">
        <f>IF(B303="","",IFERROR(DATE(RIGHT(B303,4),MID(B303,4,2),LEFT(B303,2))+1,""))</f>
        <v/>
      </c>
      <c r="B303" s="56" t="n"/>
      <c r="C303" s="58">
        <f>IF(B303="","",IFERROR(INDEX('21 2026 ÜRETİM'!$F$2:$F$501,MATCH(B303,'21 2026 ÜRETİM'!$A$2:$A$501,0)),""))</f>
        <v/>
      </c>
      <c r="D303" s="56" t="n"/>
      <c r="E303" s="58">
        <f>IF(D303="","",D303*0.5)</f>
        <v/>
      </c>
      <c r="F303" s="56" t="n"/>
      <c r="G303" s="58">
        <f>IF(F303="","",F303*2.5)</f>
        <v/>
      </c>
      <c r="H303" s="56" t="n"/>
      <c r="I303" s="58">
        <f>IF(C303="","",C303-E303-G303-IF(H303="",0,H303))</f>
        <v/>
      </c>
      <c r="J303" s="56">
        <f>IF(C303="","",IF(ABS(I303)&lt;0.001,"KAPALI","KONTROL"))</f>
        <v/>
      </c>
      <c r="K303" s="65" t="n"/>
    </row>
    <row r="304" ht="15" customHeight="1">
      <c r="A304" s="60">
        <f>IF(B304="","",IFERROR(DATE(RIGHT(B304,4),MID(B304,4,2),LEFT(B304,2))+1,""))</f>
        <v/>
      </c>
      <c r="B304" s="56" t="n"/>
      <c r="C304" s="58">
        <f>IF(B304="","",IFERROR(INDEX('21 2026 ÜRETİM'!$F$2:$F$501,MATCH(B304,'21 2026 ÜRETİM'!$A$2:$A$501,0)),""))</f>
        <v/>
      </c>
      <c r="D304" s="56" t="n"/>
      <c r="E304" s="58">
        <f>IF(D304="","",D304*0.5)</f>
        <v/>
      </c>
      <c r="F304" s="56" t="n"/>
      <c r="G304" s="58">
        <f>IF(F304="","",F304*2.5)</f>
        <v/>
      </c>
      <c r="H304" s="56" t="n"/>
      <c r="I304" s="58">
        <f>IF(C304="","",C304-E304-G304-IF(H304="",0,H304))</f>
        <v/>
      </c>
      <c r="J304" s="56">
        <f>IF(C304="","",IF(ABS(I304)&lt;0.001,"KAPALI","KONTROL"))</f>
        <v/>
      </c>
      <c r="K304" s="65" t="n"/>
    </row>
    <row r="305" ht="15" customHeight="1">
      <c r="A305" s="60">
        <f>IF(B305="","",IFERROR(DATE(RIGHT(B305,4),MID(B305,4,2),LEFT(B305,2))+1,""))</f>
        <v/>
      </c>
      <c r="B305" s="56" t="n"/>
      <c r="C305" s="58">
        <f>IF(B305="","",IFERROR(INDEX('21 2026 ÜRETİM'!$F$2:$F$501,MATCH(B305,'21 2026 ÜRETİM'!$A$2:$A$501,0)),""))</f>
        <v/>
      </c>
      <c r="D305" s="56" t="n"/>
      <c r="E305" s="58">
        <f>IF(D305="","",D305*0.5)</f>
        <v/>
      </c>
      <c r="F305" s="56" t="n"/>
      <c r="G305" s="58">
        <f>IF(F305="","",F305*2.5)</f>
        <v/>
      </c>
      <c r="H305" s="56" t="n"/>
      <c r="I305" s="58">
        <f>IF(C305="","",C305-E305-G305-IF(H305="",0,H305))</f>
        <v/>
      </c>
      <c r="J305" s="56">
        <f>IF(C305="","",IF(ABS(I305)&lt;0.001,"KAPALI","KONTROL"))</f>
        <v/>
      </c>
      <c r="K305" s="65" t="n"/>
    </row>
    <row r="306" ht="15" customHeight="1">
      <c r="A306" s="60">
        <f>IF(B306="","",IFERROR(DATE(RIGHT(B306,4),MID(B306,4,2),LEFT(B306,2))+1,""))</f>
        <v/>
      </c>
      <c r="B306" s="56" t="n"/>
      <c r="C306" s="58">
        <f>IF(B306="","",IFERROR(INDEX('21 2026 ÜRETİM'!$F$2:$F$501,MATCH(B306,'21 2026 ÜRETİM'!$A$2:$A$501,0)),""))</f>
        <v/>
      </c>
      <c r="D306" s="56" t="n"/>
      <c r="E306" s="58">
        <f>IF(D306="","",D306*0.5)</f>
        <v/>
      </c>
      <c r="F306" s="56" t="n"/>
      <c r="G306" s="58">
        <f>IF(F306="","",F306*2.5)</f>
        <v/>
      </c>
      <c r="H306" s="56" t="n"/>
      <c r="I306" s="58">
        <f>IF(C306="","",C306-E306-G306-IF(H306="",0,H306))</f>
        <v/>
      </c>
      <c r="J306" s="56">
        <f>IF(C306="","",IF(ABS(I306)&lt;0.001,"KAPALI","KONTROL"))</f>
        <v/>
      </c>
      <c r="K306" s="65" t="n"/>
    </row>
    <row r="307" ht="15" customHeight="1">
      <c r="A307" s="60">
        <f>IF(B307="","",IFERROR(DATE(RIGHT(B307,4),MID(B307,4,2),LEFT(B307,2))+1,""))</f>
        <v/>
      </c>
      <c r="B307" s="56" t="n"/>
      <c r="C307" s="58">
        <f>IF(B307="","",IFERROR(INDEX('21 2026 ÜRETİM'!$F$2:$F$501,MATCH(B307,'21 2026 ÜRETİM'!$A$2:$A$501,0)),""))</f>
        <v/>
      </c>
      <c r="D307" s="56" t="n"/>
      <c r="E307" s="58">
        <f>IF(D307="","",D307*0.5)</f>
        <v/>
      </c>
      <c r="F307" s="56" t="n"/>
      <c r="G307" s="58">
        <f>IF(F307="","",F307*2.5)</f>
        <v/>
      </c>
      <c r="H307" s="56" t="n"/>
      <c r="I307" s="58">
        <f>IF(C307="","",C307-E307-G307-IF(H307="",0,H307))</f>
        <v/>
      </c>
      <c r="J307" s="56">
        <f>IF(C307="","",IF(ABS(I307)&lt;0.001,"KAPALI","KONTROL"))</f>
        <v/>
      </c>
      <c r="K307" s="65" t="n"/>
    </row>
    <row r="308" ht="15" customHeight="1">
      <c r="A308" s="60">
        <f>IF(B308="","",IFERROR(DATE(RIGHT(B308,4),MID(B308,4,2),LEFT(B308,2))+1,""))</f>
        <v/>
      </c>
      <c r="B308" s="56" t="n"/>
      <c r="C308" s="58">
        <f>IF(B308="","",IFERROR(INDEX('21 2026 ÜRETİM'!$F$2:$F$501,MATCH(B308,'21 2026 ÜRETİM'!$A$2:$A$501,0)),""))</f>
        <v/>
      </c>
      <c r="D308" s="56" t="n"/>
      <c r="E308" s="58">
        <f>IF(D308="","",D308*0.5)</f>
        <v/>
      </c>
      <c r="F308" s="56" t="n"/>
      <c r="G308" s="58">
        <f>IF(F308="","",F308*2.5)</f>
        <v/>
      </c>
      <c r="H308" s="56" t="n"/>
      <c r="I308" s="58">
        <f>IF(C308="","",C308-E308-G308-IF(H308="",0,H308))</f>
        <v/>
      </c>
      <c r="J308" s="56">
        <f>IF(C308="","",IF(ABS(I308)&lt;0.001,"KAPALI","KONTROL"))</f>
        <v/>
      </c>
      <c r="K308" s="65" t="n"/>
    </row>
    <row r="309" ht="15" customHeight="1">
      <c r="A309" s="60">
        <f>IF(B309="","",IFERROR(DATE(RIGHT(B309,4),MID(B309,4,2),LEFT(B309,2))+1,""))</f>
        <v/>
      </c>
      <c r="B309" s="56" t="n"/>
      <c r="C309" s="58">
        <f>IF(B309="","",IFERROR(INDEX('21 2026 ÜRETİM'!$F$2:$F$501,MATCH(B309,'21 2026 ÜRETİM'!$A$2:$A$501,0)),""))</f>
        <v/>
      </c>
      <c r="D309" s="56" t="n"/>
      <c r="E309" s="58">
        <f>IF(D309="","",D309*0.5)</f>
        <v/>
      </c>
      <c r="F309" s="56" t="n"/>
      <c r="G309" s="58">
        <f>IF(F309="","",F309*2.5)</f>
        <v/>
      </c>
      <c r="H309" s="56" t="n"/>
      <c r="I309" s="58">
        <f>IF(C309="","",C309-E309-G309-IF(H309="",0,H309))</f>
        <v/>
      </c>
      <c r="J309" s="56">
        <f>IF(C309="","",IF(ABS(I309)&lt;0.001,"KAPALI","KONTROL"))</f>
        <v/>
      </c>
      <c r="K309" s="65" t="n"/>
    </row>
    <row r="310" ht="15" customHeight="1">
      <c r="A310" s="60">
        <f>IF(B310="","",IFERROR(DATE(RIGHT(B310,4),MID(B310,4,2),LEFT(B310,2))+1,""))</f>
        <v/>
      </c>
      <c r="B310" s="56" t="n"/>
      <c r="C310" s="58">
        <f>IF(B310="","",IFERROR(INDEX('21 2026 ÜRETİM'!$F$2:$F$501,MATCH(B310,'21 2026 ÜRETİM'!$A$2:$A$501,0)),""))</f>
        <v/>
      </c>
      <c r="D310" s="56" t="n"/>
      <c r="E310" s="58">
        <f>IF(D310="","",D310*0.5)</f>
        <v/>
      </c>
      <c r="F310" s="56" t="n"/>
      <c r="G310" s="58">
        <f>IF(F310="","",F310*2.5)</f>
        <v/>
      </c>
      <c r="H310" s="56" t="n"/>
      <c r="I310" s="58">
        <f>IF(C310="","",C310-E310-G310-IF(H310="",0,H310))</f>
        <v/>
      </c>
      <c r="J310" s="56">
        <f>IF(C310="","",IF(ABS(I310)&lt;0.001,"KAPALI","KONTROL"))</f>
        <v/>
      </c>
      <c r="K310" s="65" t="n"/>
    </row>
    <row r="311" ht="15" customHeight="1">
      <c r="A311" s="60">
        <f>IF(B311="","",IFERROR(DATE(RIGHT(B311,4),MID(B311,4,2),LEFT(B311,2))+1,""))</f>
        <v/>
      </c>
      <c r="B311" s="56" t="n"/>
      <c r="C311" s="58">
        <f>IF(B311="","",IFERROR(INDEX('21 2026 ÜRETİM'!$F$2:$F$501,MATCH(B311,'21 2026 ÜRETİM'!$A$2:$A$501,0)),""))</f>
        <v/>
      </c>
      <c r="D311" s="56" t="n"/>
      <c r="E311" s="58">
        <f>IF(D311="","",D311*0.5)</f>
        <v/>
      </c>
      <c r="F311" s="56" t="n"/>
      <c r="G311" s="58">
        <f>IF(F311="","",F311*2.5)</f>
        <v/>
      </c>
      <c r="H311" s="56" t="n"/>
      <c r="I311" s="58">
        <f>IF(C311="","",C311-E311-G311-IF(H311="",0,H311))</f>
        <v/>
      </c>
      <c r="J311" s="56">
        <f>IF(C311="","",IF(ABS(I311)&lt;0.001,"KAPALI","KONTROL"))</f>
        <v/>
      </c>
      <c r="K311" s="65" t="n"/>
    </row>
    <row r="312" ht="15" customHeight="1">
      <c r="A312" s="60">
        <f>IF(B312="","",IFERROR(DATE(RIGHT(B312,4),MID(B312,4,2),LEFT(B312,2))+1,""))</f>
        <v/>
      </c>
      <c r="B312" s="56" t="n"/>
      <c r="C312" s="58">
        <f>IF(B312="","",IFERROR(INDEX('21 2026 ÜRETİM'!$F$2:$F$501,MATCH(B312,'21 2026 ÜRETİM'!$A$2:$A$501,0)),""))</f>
        <v/>
      </c>
      <c r="D312" s="56" t="n"/>
      <c r="E312" s="58">
        <f>IF(D312="","",D312*0.5)</f>
        <v/>
      </c>
      <c r="F312" s="56" t="n"/>
      <c r="G312" s="58">
        <f>IF(F312="","",F312*2.5)</f>
        <v/>
      </c>
      <c r="H312" s="56" t="n"/>
      <c r="I312" s="58">
        <f>IF(C312="","",C312-E312-G312-IF(H312="",0,H312))</f>
        <v/>
      </c>
      <c r="J312" s="56">
        <f>IF(C312="","",IF(ABS(I312)&lt;0.001,"KAPALI","KONTROL"))</f>
        <v/>
      </c>
      <c r="K312" s="65" t="n"/>
    </row>
    <row r="313" ht="15" customHeight="1">
      <c r="A313" s="60">
        <f>IF(B313="","",IFERROR(DATE(RIGHT(B313,4),MID(B313,4,2),LEFT(B313,2))+1,""))</f>
        <v/>
      </c>
      <c r="B313" s="56" t="n"/>
      <c r="C313" s="58">
        <f>IF(B313="","",IFERROR(INDEX('21 2026 ÜRETİM'!$F$2:$F$501,MATCH(B313,'21 2026 ÜRETİM'!$A$2:$A$501,0)),""))</f>
        <v/>
      </c>
      <c r="D313" s="56" t="n"/>
      <c r="E313" s="58">
        <f>IF(D313="","",D313*0.5)</f>
        <v/>
      </c>
      <c r="F313" s="56" t="n"/>
      <c r="G313" s="58">
        <f>IF(F313="","",F313*2.5)</f>
        <v/>
      </c>
      <c r="H313" s="56" t="n"/>
      <c r="I313" s="58">
        <f>IF(C313="","",C313-E313-G313-IF(H313="",0,H313))</f>
        <v/>
      </c>
      <c r="J313" s="56">
        <f>IF(C313="","",IF(ABS(I313)&lt;0.001,"KAPALI","KONTROL"))</f>
        <v/>
      </c>
      <c r="K313" s="65" t="n"/>
    </row>
    <row r="314" ht="15" customHeight="1">
      <c r="A314" s="60">
        <f>IF(B314="","",IFERROR(DATE(RIGHT(B314,4),MID(B314,4,2),LEFT(B314,2))+1,""))</f>
        <v/>
      </c>
      <c r="B314" s="56" t="n"/>
      <c r="C314" s="58">
        <f>IF(B314="","",IFERROR(INDEX('21 2026 ÜRETİM'!$F$2:$F$501,MATCH(B314,'21 2026 ÜRETİM'!$A$2:$A$501,0)),""))</f>
        <v/>
      </c>
      <c r="D314" s="56" t="n"/>
      <c r="E314" s="58">
        <f>IF(D314="","",D314*0.5)</f>
        <v/>
      </c>
      <c r="F314" s="56" t="n"/>
      <c r="G314" s="58">
        <f>IF(F314="","",F314*2.5)</f>
        <v/>
      </c>
      <c r="H314" s="56" t="n"/>
      <c r="I314" s="58">
        <f>IF(C314="","",C314-E314-G314-IF(H314="",0,H314))</f>
        <v/>
      </c>
      <c r="J314" s="56">
        <f>IF(C314="","",IF(ABS(I314)&lt;0.001,"KAPALI","KONTROL"))</f>
        <v/>
      </c>
      <c r="K314" s="65" t="n"/>
    </row>
    <row r="315" ht="15" customHeight="1">
      <c r="A315" s="60">
        <f>IF(B315="","",IFERROR(DATE(RIGHT(B315,4),MID(B315,4,2),LEFT(B315,2))+1,""))</f>
        <v/>
      </c>
      <c r="B315" s="56" t="n"/>
      <c r="C315" s="58">
        <f>IF(B315="","",IFERROR(INDEX('21 2026 ÜRETİM'!$F$2:$F$501,MATCH(B315,'21 2026 ÜRETİM'!$A$2:$A$501,0)),""))</f>
        <v/>
      </c>
      <c r="D315" s="56" t="n"/>
      <c r="E315" s="58">
        <f>IF(D315="","",D315*0.5)</f>
        <v/>
      </c>
      <c r="F315" s="56" t="n"/>
      <c r="G315" s="58">
        <f>IF(F315="","",F315*2.5)</f>
        <v/>
      </c>
      <c r="H315" s="56" t="n"/>
      <c r="I315" s="58">
        <f>IF(C315="","",C315-E315-G315-IF(H315="",0,H315))</f>
        <v/>
      </c>
      <c r="J315" s="56">
        <f>IF(C315="","",IF(ABS(I315)&lt;0.001,"KAPALI","KONTROL"))</f>
        <v/>
      </c>
      <c r="K315" s="65" t="n"/>
    </row>
    <row r="316" ht="15" customHeight="1">
      <c r="A316" s="60">
        <f>IF(B316="","",IFERROR(DATE(RIGHT(B316,4),MID(B316,4,2),LEFT(B316,2))+1,""))</f>
        <v/>
      </c>
      <c r="B316" s="56" t="n"/>
      <c r="C316" s="58">
        <f>IF(B316="","",IFERROR(INDEX('21 2026 ÜRETİM'!$F$2:$F$501,MATCH(B316,'21 2026 ÜRETİM'!$A$2:$A$501,0)),""))</f>
        <v/>
      </c>
      <c r="D316" s="56" t="n"/>
      <c r="E316" s="58">
        <f>IF(D316="","",D316*0.5)</f>
        <v/>
      </c>
      <c r="F316" s="56" t="n"/>
      <c r="G316" s="58">
        <f>IF(F316="","",F316*2.5)</f>
        <v/>
      </c>
      <c r="H316" s="56" t="n"/>
      <c r="I316" s="58">
        <f>IF(C316="","",C316-E316-G316-IF(H316="",0,H316))</f>
        <v/>
      </c>
      <c r="J316" s="56">
        <f>IF(C316="","",IF(ABS(I316)&lt;0.001,"KAPALI","KONTROL"))</f>
        <v/>
      </c>
      <c r="K316" s="65" t="n"/>
    </row>
    <row r="317" ht="15" customHeight="1">
      <c r="A317" s="60">
        <f>IF(B317="","",IFERROR(DATE(RIGHT(B317,4),MID(B317,4,2),LEFT(B317,2))+1,""))</f>
        <v/>
      </c>
      <c r="B317" s="56" t="n"/>
      <c r="C317" s="58">
        <f>IF(B317="","",IFERROR(INDEX('21 2026 ÜRETİM'!$F$2:$F$501,MATCH(B317,'21 2026 ÜRETİM'!$A$2:$A$501,0)),""))</f>
        <v/>
      </c>
      <c r="D317" s="56" t="n"/>
      <c r="E317" s="58">
        <f>IF(D317="","",D317*0.5)</f>
        <v/>
      </c>
      <c r="F317" s="56" t="n"/>
      <c r="G317" s="58">
        <f>IF(F317="","",F317*2.5)</f>
        <v/>
      </c>
      <c r="H317" s="56" t="n"/>
      <c r="I317" s="58">
        <f>IF(C317="","",C317-E317-G317-IF(H317="",0,H317))</f>
        <v/>
      </c>
      <c r="J317" s="56">
        <f>IF(C317="","",IF(ABS(I317)&lt;0.001,"KAPALI","KONTROL"))</f>
        <v/>
      </c>
      <c r="K317" s="65" t="n"/>
    </row>
    <row r="318" ht="15" customHeight="1">
      <c r="A318" s="60">
        <f>IF(B318="","",IFERROR(DATE(RIGHT(B318,4),MID(B318,4,2),LEFT(B318,2))+1,""))</f>
        <v/>
      </c>
      <c r="B318" s="56" t="n"/>
      <c r="C318" s="58">
        <f>IF(B318="","",IFERROR(INDEX('21 2026 ÜRETİM'!$F$2:$F$501,MATCH(B318,'21 2026 ÜRETİM'!$A$2:$A$501,0)),""))</f>
        <v/>
      </c>
      <c r="D318" s="56" t="n"/>
      <c r="E318" s="58">
        <f>IF(D318="","",D318*0.5)</f>
        <v/>
      </c>
      <c r="F318" s="56" t="n"/>
      <c r="G318" s="58">
        <f>IF(F318="","",F318*2.5)</f>
        <v/>
      </c>
      <c r="H318" s="56" t="n"/>
      <c r="I318" s="58">
        <f>IF(C318="","",C318-E318-G318-IF(H318="",0,H318))</f>
        <v/>
      </c>
      <c r="J318" s="56">
        <f>IF(C318="","",IF(ABS(I318)&lt;0.001,"KAPALI","KONTROL"))</f>
        <v/>
      </c>
      <c r="K318" s="65" t="n"/>
    </row>
    <row r="319" ht="15" customHeight="1">
      <c r="A319" s="60">
        <f>IF(B319="","",IFERROR(DATE(RIGHT(B319,4),MID(B319,4,2),LEFT(B319,2))+1,""))</f>
        <v/>
      </c>
      <c r="B319" s="56" t="n"/>
      <c r="C319" s="58">
        <f>IF(B319="","",IFERROR(INDEX('21 2026 ÜRETİM'!$F$2:$F$501,MATCH(B319,'21 2026 ÜRETİM'!$A$2:$A$501,0)),""))</f>
        <v/>
      </c>
      <c r="D319" s="56" t="n"/>
      <c r="E319" s="58">
        <f>IF(D319="","",D319*0.5)</f>
        <v/>
      </c>
      <c r="F319" s="56" t="n"/>
      <c r="G319" s="58">
        <f>IF(F319="","",F319*2.5)</f>
        <v/>
      </c>
      <c r="H319" s="56" t="n"/>
      <c r="I319" s="58">
        <f>IF(C319="","",C319-E319-G319-IF(H319="",0,H319))</f>
        <v/>
      </c>
      <c r="J319" s="56">
        <f>IF(C319="","",IF(ABS(I319)&lt;0.001,"KAPALI","KONTROL"))</f>
        <v/>
      </c>
      <c r="K319" s="65" t="n"/>
    </row>
    <row r="320" ht="15" customHeight="1">
      <c r="A320" s="60">
        <f>IF(B320="","",IFERROR(DATE(RIGHT(B320,4),MID(B320,4,2),LEFT(B320,2))+1,""))</f>
        <v/>
      </c>
      <c r="B320" s="56" t="n"/>
      <c r="C320" s="58">
        <f>IF(B320="","",IFERROR(INDEX('21 2026 ÜRETİM'!$F$2:$F$501,MATCH(B320,'21 2026 ÜRETİM'!$A$2:$A$501,0)),""))</f>
        <v/>
      </c>
      <c r="D320" s="56" t="n"/>
      <c r="E320" s="58">
        <f>IF(D320="","",D320*0.5)</f>
        <v/>
      </c>
      <c r="F320" s="56" t="n"/>
      <c r="G320" s="58">
        <f>IF(F320="","",F320*2.5)</f>
        <v/>
      </c>
      <c r="H320" s="56" t="n"/>
      <c r="I320" s="58">
        <f>IF(C320="","",C320-E320-G320-IF(H320="",0,H320))</f>
        <v/>
      </c>
      <c r="J320" s="56">
        <f>IF(C320="","",IF(ABS(I320)&lt;0.001,"KAPALI","KONTROL"))</f>
        <v/>
      </c>
      <c r="K320" s="65" t="n"/>
    </row>
    <row r="321" ht="15" customHeight="1">
      <c r="A321" s="60">
        <f>IF(B321="","",IFERROR(DATE(RIGHT(B321,4),MID(B321,4,2),LEFT(B321,2))+1,""))</f>
        <v/>
      </c>
      <c r="B321" s="56" t="n"/>
      <c r="C321" s="58">
        <f>IF(B321="","",IFERROR(INDEX('21 2026 ÜRETİM'!$F$2:$F$501,MATCH(B321,'21 2026 ÜRETİM'!$A$2:$A$501,0)),""))</f>
        <v/>
      </c>
      <c r="D321" s="56" t="n"/>
      <c r="E321" s="58">
        <f>IF(D321="","",D321*0.5)</f>
        <v/>
      </c>
      <c r="F321" s="56" t="n"/>
      <c r="G321" s="58">
        <f>IF(F321="","",F321*2.5)</f>
        <v/>
      </c>
      <c r="H321" s="56" t="n"/>
      <c r="I321" s="58">
        <f>IF(C321="","",C321-E321-G321-IF(H321="",0,H321))</f>
        <v/>
      </c>
      <c r="J321" s="56">
        <f>IF(C321="","",IF(ABS(I321)&lt;0.001,"KAPALI","KONTROL"))</f>
        <v/>
      </c>
      <c r="K321" s="65" t="n"/>
    </row>
    <row r="322" ht="15" customHeight="1">
      <c r="A322" s="60">
        <f>IF(B322="","",IFERROR(DATE(RIGHT(B322,4),MID(B322,4,2),LEFT(B322,2))+1,""))</f>
        <v/>
      </c>
      <c r="B322" s="56" t="n"/>
      <c r="C322" s="58">
        <f>IF(B322="","",IFERROR(INDEX('21 2026 ÜRETİM'!$F$2:$F$501,MATCH(B322,'21 2026 ÜRETİM'!$A$2:$A$501,0)),""))</f>
        <v/>
      </c>
      <c r="D322" s="56" t="n"/>
      <c r="E322" s="58">
        <f>IF(D322="","",D322*0.5)</f>
        <v/>
      </c>
      <c r="F322" s="56" t="n"/>
      <c r="G322" s="58">
        <f>IF(F322="","",F322*2.5)</f>
        <v/>
      </c>
      <c r="H322" s="56" t="n"/>
      <c r="I322" s="58">
        <f>IF(C322="","",C322-E322-G322-IF(H322="",0,H322))</f>
        <v/>
      </c>
      <c r="J322" s="56">
        <f>IF(C322="","",IF(ABS(I322)&lt;0.001,"KAPALI","KONTROL"))</f>
        <v/>
      </c>
      <c r="K322" s="65" t="n"/>
    </row>
    <row r="323" ht="15" customHeight="1">
      <c r="A323" s="60">
        <f>IF(B323="","",IFERROR(DATE(RIGHT(B323,4),MID(B323,4,2),LEFT(B323,2))+1,""))</f>
        <v/>
      </c>
      <c r="B323" s="56" t="n"/>
      <c r="C323" s="58">
        <f>IF(B323="","",IFERROR(INDEX('21 2026 ÜRETİM'!$F$2:$F$501,MATCH(B323,'21 2026 ÜRETİM'!$A$2:$A$501,0)),""))</f>
        <v/>
      </c>
      <c r="D323" s="56" t="n"/>
      <c r="E323" s="58">
        <f>IF(D323="","",D323*0.5)</f>
        <v/>
      </c>
      <c r="F323" s="56" t="n"/>
      <c r="G323" s="58">
        <f>IF(F323="","",F323*2.5)</f>
        <v/>
      </c>
      <c r="H323" s="56" t="n"/>
      <c r="I323" s="58">
        <f>IF(C323="","",C323-E323-G323-IF(H323="",0,H323))</f>
        <v/>
      </c>
      <c r="J323" s="56">
        <f>IF(C323="","",IF(ABS(I323)&lt;0.001,"KAPALI","KONTROL"))</f>
        <v/>
      </c>
      <c r="K323" s="65" t="n"/>
    </row>
    <row r="324" ht="15" customHeight="1">
      <c r="A324" s="60">
        <f>IF(B324="","",IFERROR(DATE(RIGHT(B324,4),MID(B324,4,2),LEFT(B324,2))+1,""))</f>
        <v/>
      </c>
      <c r="B324" s="56" t="n"/>
      <c r="C324" s="58">
        <f>IF(B324="","",IFERROR(INDEX('21 2026 ÜRETİM'!$F$2:$F$501,MATCH(B324,'21 2026 ÜRETİM'!$A$2:$A$501,0)),""))</f>
        <v/>
      </c>
      <c r="D324" s="56" t="n"/>
      <c r="E324" s="58">
        <f>IF(D324="","",D324*0.5)</f>
        <v/>
      </c>
      <c r="F324" s="56" t="n"/>
      <c r="G324" s="58">
        <f>IF(F324="","",F324*2.5)</f>
        <v/>
      </c>
      <c r="H324" s="56" t="n"/>
      <c r="I324" s="58">
        <f>IF(C324="","",C324-E324-G324-IF(H324="",0,H324))</f>
        <v/>
      </c>
      <c r="J324" s="56">
        <f>IF(C324="","",IF(ABS(I324)&lt;0.001,"KAPALI","KONTROL"))</f>
        <v/>
      </c>
      <c r="K324" s="65" t="n"/>
    </row>
    <row r="325" ht="15" customHeight="1">
      <c r="A325" s="60">
        <f>IF(B325="","",IFERROR(DATE(RIGHT(B325,4),MID(B325,4,2),LEFT(B325,2))+1,""))</f>
        <v/>
      </c>
      <c r="B325" s="56" t="n"/>
      <c r="C325" s="58">
        <f>IF(B325="","",IFERROR(INDEX('21 2026 ÜRETİM'!$F$2:$F$501,MATCH(B325,'21 2026 ÜRETİM'!$A$2:$A$501,0)),""))</f>
        <v/>
      </c>
      <c r="D325" s="56" t="n"/>
      <c r="E325" s="58">
        <f>IF(D325="","",D325*0.5)</f>
        <v/>
      </c>
      <c r="F325" s="56" t="n"/>
      <c r="G325" s="58">
        <f>IF(F325="","",F325*2.5)</f>
        <v/>
      </c>
      <c r="H325" s="56" t="n"/>
      <c r="I325" s="58">
        <f>IF(C325="","",C325-E325-G325-IF(H325="",0,H325))</f>
        <v/>
      </c>
      <c r="J325" s="56">
        <f>IF(C325="","",IF(ABS(I325)&lt;0.001,"KAPALI","KONTROL"))</f>
        <v/>
      </c>
      <c r="K325" s="65" t="n"/>
    </row>
    <row r="326" ht="15" customHeight="1">
      <c r="A326" s="60">
        <f>IF(B326="","",IFERROR(DATE(RIGHT(B326,4),MID(B326,4,2),LEFT(B326,2))+1,""))</f>
        <v/>
      </c>
      <c r="B326" s="56" t="n"/>
      <c r="C326" s="58">
        <f>IF(B326="","",IFERROR(INDEX('21 2026 ÜRETİM'!$F$2:$F$501,MATCH(B326,'21 2026 ÜRETİM'!$A$2:$A$501,0)),""))</f>
        <v/>
      </c>
      <c r="D326" s="56" t="n"/>
      <c r="E326" s="58">
        <f>IF(D326="","",D326*0.5)</f>
        <v/>
      </c>
      <c r="F326" s="56" t="n"/>
      <c r="G326" s="58">
        <f>IF(F326="","",F326*2.5)</f>
        <v/>
      </c>
      <c r="H326" s="56" t="n"/>
      <c r="I326" s="58">
        <f>IF(C326="","",C326-E326-G326-IF(H326="",0,H326))</f>
        <v/>
      </c>
      <c r="J326" s="56">
        <f>IF(C326="","",IF(ABS(I326)&lt;0.001,"KAPALI","KONTROL"))</f>
        <v/>
      </c>
      <c r="K326" s="65" t="n"/>
    </row>
    <row r="327" ht="15" customHeight="1">
      <c r="A327" s="60">
        <f>IF(B327="","",IFERROR(DATE(RIGHT(B327,4),MID(B327,4,2),LEFT(B327,2))+1,""))</f>
        <v/>
      </c>
      <c r="B327" s="56" t="n"/>
      <c r="C327" s="58">
        <f>IF(B327="","",IFERROR(INDEX('21 2026 ÜRETİM'!$F$2:$F$501,MATCH(B327,'21 2026 ÜRETİM'!$A$2:$A$501,0)),""))</f>
        <v/>
      </c>
      <c r="D327" s="56" t="n"/>
      <c r="E327" s="58">
        <f>IF(D327="","",D327*0.5)</f>
        <v/>
      </c>
      <c r="F327" s="56" t="n"/>
      <c r="G327" s="58">
        <f>IF(F327="","",F327*2.5)</f>
        <v/>
      </c>
      <c r="H327" s="56" t="n"/>
      <c r="I327" s="58">
        <f>IF(C327="","",C327-E327-G327-IF(H327="",0,H327))</f>
        <v/>
      </c>
      <c r="J327" s="56">
        <f>IF(C327="","",IF(ABS(I327)&lt;0.001,"KAPALI","KONTROL"))</f>
        <v/>
      </c>
      <c r="K327" s="65" t="n"/>
    </row>
    <row r="328" ht="15" customHeight="1">
      <c r="A328" s="60">
        <f>IF(B328="","",IFERROR(DATE(RIGHT(B328,4),MID(B328,4,2),LEFT(B328,2))+1,""))</f>
        <v/>
      </c>
      <c r="B328" s="56" t="n"/>
      <c r="C328" s="58">
        <f>IF(B328="","",IFERROR(INDEX('21 2026 ÜRETİM'!$F$2:$F$501,MATCH(B328,'21 2026 ÜRETİM'!$A$2:$A$501,0)),""))</f>
        <v/>
      </c>
      <c r="D328" s="56" t="n"/>
      <c r="E328" s="58">
        <f>IF(D328="","",D328*0.5)</f>
        <v/>
      </c>
      <c r="F328" s="56" t="n"/>
      <c r="G328" s="58">
        <f>IF(F328="","",F328*2.5)</f>
        <v/>
      </c>
      <c r="H328" s="56" t="n"/>
      <c r="I328" s="58">
        <f>IF(C328="","",C328-E328-G328-IF(H328="",0,H328))</f>
        <v/>
      </c>
      <c r="J328" s="56">
        <f>IF(C328="","",IF(ABS(I328)&lt;0.001,"KAPALI","KONTROL"))</f>
        <v/>
      </c>
      <c r="K328" s="65" t="n"/>
    </row>
    <row r="329" ht="15" customHeight="1">
      <c r="A329" s="60">
        <f>IF(B329="","",IFERROR(DATE(RIGHT(B329,4),MID(B329,4,2),LEFT(B329,2))+1,""))</f>
        <v/>
      </c>
      <c r="B329" s="56" t="n"/>
      <c r="C329" s="58">
        <f>IF(B329="","",IFERROR(INDEX('21 2026 ÜRETİM'!$F$2:$F$501,MATCH(B329,'21 2026 ÜRETİM'!$A$2:$A$501,0)),""))</f>
        <v/>
      </c>
      <c r="D329" s="56" t="n"/>
      <c r="E329" s="58">
        <f>IF(D329="","",D329*0.5)</f>
        <v/>
      </c>
      <c r="F329" s="56" t="n"/>
      <c r="G329" s="58">
        <f>IF(F329="","",F329*2.5)</f>
        <v/>
      </c>
      <c r="H329" s="56" t="n"/>
      <c r="I329" s="58">
        <f>IF(C329="","",C329-E329-G329-IF(H329="",0,H329))</f>
        <v/>
      </c>
      <c r="J329" s="56">
        <f>IF(C329="","",IF(ABS(I329)&lt;0.001,"KAPALI","KONTROL"))</f>
        <v/>
      </c>
      <c r="K329" s="65" t="n"/>
    </row>
    <row r="330" ht="15" customHeight="1">
      <c r="A330" s="60">
        <f>IF(B330="","",IFERROR(DATE(RIGHT(B330,4),MID(B330,4,2),LEFT(B330,2))+1,""))</f>
        <v/>
      </c>
      <c r="B330" s="56" t="n"/>
      <c r="C330" s="58">
        <f>IF(B330="","",IFERROR(INDEX('21 2026 ÜRETİM'!$F$2:$F$501,MATCH(B330,'21 2026 ÜRETİM'!$A$2:$A$501,0)),""))</f>
        <v/>
      </c>
      <c r="D330" s="56" t="n"/>
      <c r="E330" s="58">
        <f>IF(D330="","",D330*0.5)</f>
        <v/>
      </c>
      <c r="F330" s="56" t="n"/>
      <c r="G330" s="58">
        <f>IF(F330="","",F330*2.5)</f>
        <v/>
      </c>
      <c r="H330" s="56" t="n"/>
      <c r="I330" s="58">
        <f>IF(C330="","",C330-E330-G330-IF(H330="",0,H330))</f>
        <v/>
      </c>
      <c r="J330" s="56">
        <f>IF(C330="","",IF(ABS(I330)&lt;0.001,"KAPALI","KONTROL"))</f>
        <v/>
      </c>
      <c r="K330" s="65" t="n"/>
    </row>
    <row r="331" ht="15" customHeight="1">
      <c r="A331" s="60">
        <f>IF(B331="","",IFERROR(DATE(RIGHT(B331,4),MID(B331,4,2),LEFT(B331,2))+1,""))</f>
        <v/>
      </c>
      <c r="B331" s="56" t="n"/>
      <c r="C331" s="58">
        <f>IF(B331="","",IFERROR(INDEX('21 2026 ÜRETİM'!$F$2:$F$501,MATCH(B331,'21 2026 ÜRETİM'!$A$2:$A$501,0)),""))</f>
        <v/>
      </c>
      <c r="D331" s="56" t="n"/>
      <c r="E331" s="58">
        <f>IF(D331="","",D331*0.5)</f>
        <v/>
      </c>
      <c r="F331" s="56" t="n"/>
      <c r="G331" s="58">
        <f>IF(F331="","",F331*2.5)</f>
        <v/>
      </c>
      <c r="H331" s="56" t="n"/>
      <c r="I331" s="58">
        <f>IF(C331="","",C331-E331-G331-IF(H331="",0,H331))</f>
        <v/>
      </c>
      <c r="J331" s="56">
        <f>IF(C331="","",IF(ABS(I331)&lt;0.001,"KAPALI","KONTROL"))</f>
        <v/>
      </c>
      <c r="K331" s="65" t="n"/>
    </row>
    <row r="332" ht="15" customHeight="1">
      <c r="A332" s="60">
        <f>IF(B332="","",IFERROR(DATE(RIGHT(B332,4),MID(B332,4,2),LEFT(B332,2))+1,""))</f>
        <v/>
      </c>
      <c r="B332" s="56" t="n"/>
      <c r="C332" s="58">
        <f>IF(B332="","",IFERROR(INDEX('21 2026 ÜRETİM'!$F$2:$F$501,MATCH(B332,'21 2026 ÜRETİM'!$A$2:$A$501,0)),""))</f>
        <v/>
      </c>
      <c r="D332" s="56" t="n"/>
      <c r="E332" s="58">
        <f>IF(D332="","",D332*0.5)</f>
        <v/>
      </c>
      <c r="F332" s="56" t="n"/>
      <c r="G332" s="58">
        <f>IF(F332="","",F332*2.5)</f>
        <v/>
      </c>
      <c r="H332" s="56" t="n"/>
      <c r="I332" s="58">
        <f>IF(C332="","",C332-E332-G332-IF(H332="",0,H332))</f>
        <v/>
      </c>
      <c r="J332" s="56">
        <f>IF(C332="","",IF(ABS(I332)&lt;0.001,"KAPALI","KONTROL"))</f>
        <v/>
      </c>
      <c r="K332" s="65" t="n"/>
    </row>
    <row r="333" ht="15" customHeight="1">
      <c r="A333" s="60">
        <f>IF(B333="","",IFERROR(DATE(RIGHT(B333,4),MID(B333,4,2),LEFT(B333,2))+1,""))</f>
        <v/>
      </c>
      <c r="B333" s="56" t="n"/>
      <c r="C333" s="58">
        <f>IF(B333="","",IFERROR(INDEX('21 2026 ÜRETİM'!$F$2:$F$501,MATCH(B333,'21 2026 ÜRETİM'!$A$2:$A$501,0)),""))</f>
        <v/>
      </c>
      <c r="D333" s="56" t="n"/>
      <c r="E333" s="58">
        <f>IF(D333="","",D333*0.5)</f>
        <v/>
      </c>
      <c r="F333" s="56" t="n"/>
      <c r="G333" s="58">
        <f>IF(F333="","",F333*2.5)</f>
        <v/>
      </c>
      <c r="H333" s="56" t="n"/>
      <c r="I333" s="58">
        <f>IF(C333="","",C333-E333-G333-IF(H333="",0,H333))</f>
        <v/>
      </c>
      <c r="J333" s="56">
        <f>IF(C333="","",IF(ABS(I333)&lt;0.001,"KAPALI","KONTROL"))</f>
        <v/>
      </c>
      <c r="K333" s="65" t="n"/>
    </row>
    <row r="334" ht="15" customHeight="1">
      <c r="A334" s="60">
        <f>IF(B334="","",IFERROR(DATE(RIGHT(B334,4),MID(B334,4,2),LEFT(B334,2))+1,""))</f>
        <v/>
      </c>
      <c r="B334" s="56" t="n"/>
      <c r="C334" s="58">
        <f>IF(B334="","",IFERROR(INDEX('21 2026 ÜRETİM'!$F$2:$F$501,MATCH(B334,'21 2026 ÜRETİM'!$A$2:$A$501,0)),""))</f>
        <v/>
      </c>
      <c r="D334" s="56" t="n"/>
      <c r="E334" s="58">
        <f>IF(D334="","",D334*0.5)</f>
        <v/>
      </c>
      <c r="F334" s="56" t="n"/>
      <c r="G334" s="58">
        <f>IF(F334="","",F334*2.5)</f>
        <v/>
      </c>
      <c r="H334" s="56" t="n"/>
      <c r="I334" s="58">
        <f>IF(C334="","",C334-E334-G334-IF(H334="",0,H334))</f>
        <v/>
      </c>
      <c r="J334" s="56">
        <f>IF(C334="","",IF(ABS(I334)&lt;0.001,"KAPALI","KONTROL"))</f>
        <v/>
      </c>
      <c r="K334" s="65" t="n"/>
    </row>
    <row r="335" ht="15" customHeight="1">
      <c r="A335" s="60">
        <f>IF(B335="","",IFERROR(DATE(RIGHT(B335,4),MID(B335,4,2),LEFT(B335,2))+1,""))</f>
        <v/>
      </c>
      <c r="B335" s="56" t="n"/>
      <c r="C335" s="58">
        <f>IF(B335="","",IFERROR(INDEX('21 2026 ÜRETİM'!$F$2:$F$501,MATCH(B335,'21 2026 ÜRETİM'!$A$2:$A$501,0)),""))</f>
        <v/>
      </c>
      <c r="D335" s="56" t="n"/>
      <c r="E335" s="58">
        <f>IF(D335="","",D335*0.5)</f>
        <v/>
      </c>
      <c r="F335" s="56" t="n"/>
      <c r="G335" s="58">
        <f>IF(F335="","",F335*2.5)</f>
        <v/>
      </c>
      <c r="H335" s="56" t="n"/>
      <c r="I335" s="58">
        <f>IF(C335="","",C335-E335-G335-IF(H335="",0,H335))</f>
        <v/>
      </c>
      <c r="J335" s="56">
        <f>IF(C335="","",IF(ABS(I335)&lt;0.001,"KAPALI","KONTROL"))</f>
        <v/>
      </c>
      <c r="K335" s="65" t="n"/>
    </row>
    <row r="336" ht="15" customHeight="1">
      <c r="A336" s="60">
        <f>IF(B336="","",IFERROR(DATE(RIGHT(B336,4),MID(B336,4,2),LEFT(B336,2))+1,""))</f>
        <v/>
      </c>
      <c r="B336" s="56" t="n"/>
      <c r="C336" s="58">
        <f>IF(B336="","",IFERROR(INDEX('21 2026 ÜRETİM'!$F$2:$F$501,MATCH(B336,'21 2026 ÜRETİM'!$A$2:$A$501,0)),""))</f>
        <v/>
      </c>
      <c r="D336" s="56" t="n"/>
      <c r="E336" s="58">
        <f>IF(D336="","",D336*0.5)</f>
        <v/>
      </c>
      <c r="F336" s="56" t="n"/>
      <c r="G336" s="58">
        <f>IF(F336="","",F336*2.5)</f>
        <v/>
      </c>
      <c r="H336" s="56" t="n"/>
      <c r="I336" s="58">
        <f>IF(C336="","",C336-E336-G336-IF(H336="",0,H336))</f>
        <v/>
      </c>
      <c r="J336" s="56">
        <f>IF(C336="","",IF(ABS(I336)&lt;0.001,"KAPALI","KONTROL"))</f>
        <v/>
      </c>
      <c r="K336" s="65" t="n"/>
    </row>
    <row r="337" ht="15" customHeight="1">
      <c r="A337" s="60">
        <f>IF(B337="","",IFERROR(DATE(RIGHT(B337,4),MID(B337,4,2),LEFT(B337,2))+1,""))</f>
        <v/>
      </c>
      <c r="B337" s="56" t="n"/>
      <c r="C337" s="58">
        <f>IF(B337="","",IFERROR(INDEX('21 2026 ÜRETİM'!$F$2:$F$501,MATCH(B337,'21 2026 ÜRETİM'!$A$2:$A$501,0)),""))</f>
        <v/>
      </c>
      <c r="D337" s="56" t="n"/>
      <c r="E337" s="58">
        <f>IF(D337="","",D337*0.5)</f>
        <v/>
      </c>
      <c r="F337" s="56" t="n"/>
      <c r="G337" s="58">
        <f>IF(F337="","",F337*2.5)</f>
        <v/>
      </c>
      <c r="H337" s="56" t="n"/>
      <c r="I337" s="58">
        <f>IF(C337="","",C337-E337-G337-IF(H337="",0,H337))</f>
        <v/>
      </c>
      <c r="J337" s="56">
        <f>IF(C337="","",IF(ABS(I337)&lt;0.001,"KAPALI","KONTROL"))</f>
        <v/>
      </c>
      <c r="K337" s="65" t="n"/>
    </row>
    <row r="338" ht="15" customHeight="1">
      <c r="A338" s="60">
        <f>IF(B338="","",IFERROR(DATE(RIGHT(B338,4),MID(B338,4,2),LEFT(B338,2))+1,""))</f>
        <v/>
      </c>
      <c r="B338" s="56" t="n"/>
      <c r="C338" s="58">
        <f>IF(B338="","",IFERROR(INDEX('21 2026 ÜRETİM'!$F$2:$F$501,MATCH(B338,'21 2026 ÜRETİM'!$A$2:$A$501,0)),""))</f>
        <v/>
      </c>
      <c r="D338" s="56" t="n"/>
      <c r="E338" s="58">
        <f>IF(D338="","",D338*0.5)</f>
        <v/>
      </c>
      <c r="F338" s="56" t="n"/>
      <c r="G338" s="58">
        <f>IF(F338="","",F338*2.5)</f>
        <v/>
      </c>
      <c r="H338" s="56" t="n"/>
      <c r="I338" s="58">
        <f>IF(C338="","",C338-E338-G338-IF(H338="",0,H338))</f>
        <v/>
      </c>
      <c r="J338" s="56">
        <f>IF(C338="","",IF(ABS(I338)&lt;0.001,"KAPALI","KONTROL"))</f>
        <v/>
      </c>
      <c r="K338" s="65" t="n"/>
    </row>
    <row r="339" ht="15" customHeight="1">
      <c r="A339" s="60">
        <f>IF(B339="","",IFERROR(DATE(RIGHT(B339,4),MID(B339,4,2),LEFT(B339,2))+1,""))</f>
        <v/>
      </c>
      <c r="B339" s="56" t="n"/>
      <c r="C339" s="58">
        <f>IF(B339="","",IFERROR(INDEX('21 2026 ÜRETİM'!$F$2:$F$501,MATCH(B339,'21 2026 ÜRETİM'!$A$2:$A$501,0)),""))</f>
        <v/>
      </c>
      <c r="D339" s="56" t="n"/>
      <c r="E339" s="58">
        <f>IF(D339="","",D339*0.5)</f>
        <v/>
      </c>
      <c r="F339" s="56" t="n"/>
      <c r="G339" s="58">
        <f>IF(F339="","",F339*2.5)</f>
        <v/>
      </c>
      <c r="H339" s="56" t="n"/>
      <c r="I339" s="58">
        <f>IF(C339="","",C339-E339-G339-IF(H339="",0,H339))</f>
        <v/>
      </c>
      <c r="J339" s="56">
        <f>IF(C339="","",IF(ABS(I339)&lt;0.001,"KAPALI","KONTROL"))</f>
        <v/>
      </c>
      <c r="K339" s="65" t="n"/>
    </row>
    <row r="340" ht="15" customHeight="1">
      <c r="A340" s="60">
        <f>IF(B340="","",IFERROR(DATE(RIGHT(B340,4),MID(B340,4,2),LEFT(B340,2))+1,""))</f>
        <v/>
      </c>
      <c r="B340" s="56" t="n"/>
      <c r="C340" s="58">
        <f>IF(B340="","",IFERROR(INDEX('21 2026 ÜRETİM'!$F$2:$F$501,MATCH(B340,'21 2026 ÜRETİM'!$A$2:$A$501,0)),""))</f>
        <v/>
      </c>
      <c r="D340" s="56" t="n"/>
      <c r="E340" s="58">
        <f>IF(D340="","",D340*0.5)</f>
        <v/>
      </c>
      <c r="F340" s="56" t="n"/>
      <c r="G340" s="58">
        <f>IF(F340="","",F340*2.5)</f>
        <v/>
      </c>
      <c r="H340" s="56" t="n"/>
      <c r="I340" s="58">
        <f>IF(C340="","",C340-E340-G340-IF(H340="",0,H340))</f>
        <v/>
      </c>
      <c r="J340" s="56">
        <f>IF(C340="","",IF(ABS(I340)&lt;0.001,"KAPALI","KONTROL"))</f>
        <v/>
      </c>
      <c r="K340" s="65" t="n"/>
    </row>
    <row r="341" ht="15" customHeight="1">
      <c r="A341" s="60">
        <f>IF(B341="","",IFERROR(DATE(RIGHT(B341,4),MID(B341,4,2),LEFT(B341,2))+1,""))</f>
        <v/>
      </c>
      <c r="B341" s="56" t="n"/>
      <c r="C341" s="58">
        <f>IF(B341="","",IFERROR(INDEX('21 2026 ÜRETİM'!$F$2:$F$501,MATCH(B341,'21 2026 ÜRETİM'!$A$2:$A$501,0)),""))</f>
        <v/>
      </c>
      <c r="D341" s="56" t="n"/>
      <c r="E341" s="58">
        <f>IF(D341="","",D341*0.5)</f>
        <v/>
      </c>
      <c r="F341" s="56" t="n"/>
      <c r="G341" s="58">
        <f>IF(F341="","",F341*2.5)</f>
        <v/>
      </c>
      <c r="H341" s="56" t="n"/>
      <c r="I341" s="58">
        <f>IF(C341="","",C341-E341-G341-IF(H341="",0,H341))</f>
        <v/>
      </c>
      <c r="J341" s="56">
        <f>IF(C341="","",IF(ABS(I341)&lt;0.001,"KAPALI","KONTROL"))</f>
        <v/>
      </c>
      <c r="K341" s="65" t="n"/>
    </row>
    <row r="342" ht="15" customHeight="1">
      <c r="A342" s="60">
        <f>IF(B342="","",IFERROR(DATE(RIGHT(B342,4),MID(B342,4,2),LEFT(B342,2))+1,""))</f>
        <v/>
      </c>
      <c r="B342" s="56" t="n"/>
      <c r="C342" s="58">
        <f>IF(B342="","",IFERROR(INDEX('21 2026 ÜRETİM'!$F$2:$F$501,MATCH(B342,'21 2026 ÜRETİM'!$A$2:$A$501,0)),""))</f>
        <v/>
      </c>
      <c r="D342" s="56" t="n"/>
      <c r="E342" s="58">
        <f>IF(D342="","",D342*0.5)</f>
        <v/>
      </c>
      <c r="F342" s="56" t="n"/>
      <c r="G342" s="58">
        <f>IF(F342="","",F342*2.5)</f>
        <v/>
      </c>
      <c r="H342" s="56" t="n"/>
      <c r="I342" s="58">
        <f>IF(C342="","",C342-E342-G342-IF(H342="",0,H342))</f>
        <v/>
      </c>
      <c r="J342" s="56">
        <f>IF(C342="","",IF(ABS(I342)&lt;0.001,"KAPALI","KONTROL"))</f>
        <v/>
      </c>
      <c r="K342" s="65" t="n"/>
    </row>
    <row r="343" ht="15" customHeight="1">
      <c r="A343" s="60">
        <f>IF(B343="","",IFERROR(DATE(RIGHT(B343,4),MID(B343,4,2),LEFT(B343,2))+1,""))</f>
        <v/>
      </c>
      <c r="B343" s="56" t="n"/>
      <c r="C343" s="58">
        <f>IF(B343="","",IFERROR(INDEX('21 2026 ÜRETİM'!$F$2:$F$501,MATCH(B343,'21 2026 ÜRETİM'!$A$2:$A$501,0)),""))</f>
        <v/>
      </c>
      <c r="D343" s="56" t="n"/>
      <c r="E343" s="58">
        <f>IF(D343="","",D343*0.5)</f>
        <v/>
      </c>
      <c r="F343" s="56" t="n"/>
      <c r="G343" s="58">
        <f>IF(F343="","",F343*2.5)</f>
        <v/>
      </c>
      <c r="H343" s="56" t="n"/>
      <c r="I343" s="58">
        <f>IF(C343="","",C343-E343-G343-IF(H343="",0,H343))</f>
        <v/>
      </c>
      <c r="J343" s="56">
        <f>IF(C343="","",IF(ABS(I343)&lt;0.001,"KAPALI","KONTROL"))</f>
        <v/>
      </c>
      <c r="K343" s="65" t="n"/>
    </row>
    <row r="344" ht="15" customHeight="1">
      <c r="A344" s="60">
        <f>IF(B344="","",IFERROR(DATE(RIGHT(B344,4),MID(B344,4,2),LEFT(B344,2))+1,""))</f>
        <v/>
      </c>
      <c r="B344" s="56" t="n"/>
      <c r="C344" s="58">
        <f>IF(B344="","",IFERROR(INDEX('21 2026 ÜRETİM'!$F$2:$F$501,MATCH(B344,'21 2026 ÜRETİM'!$A$2:$A$501,0)),""))</f>
        <v/>
      </c>
      <c r="D344" s="56" t="n"/>
      <c r="E344" s="58">
        <f>IF(D344="","",D344*0.5)</f>
        <v/>
      </c>
      <c r="F344" s="56" t="n"/>
      <c r="G344" s="58">
        <f>IF(F344="","",F344*2.5)</f>
        <v/>
      </c>
      <c r="H344" s="56" t="n"/>
      <c r="I344" s="58">
        <f>IF(C344="","",C344-E344-G344-IF(H344="",0,H344))</f>
        <v/>
      </c>
      <c r="J344" s="56">
        <f>IF(C344="","",IF(ABS(I344)&lt;0.001,"KAPALI","KONTROL"))</f>
        <v/>
      </c>
      <c r="K344" s="65" t="n"/>
    </row>
    <row r="345" ht="15" customHeight="1">
      <c r="A345" s="60">
        <f>IF(B345="","",IFERROR(DATE(RIGHT(B345,4),MID(B345,4,2),LEFT(B345,2))+1,""))</f>
        <v/>
      </c>
      <c r="B345" s="56" t="n"/>
      <c r="C345" s="58">
        <f>IF(B345="","",IFERROR(INDEX('21 2026 ÜRETİM'!$F$2:$F$501,MATCH(B345,'21 2026 ÜRETİM'!$A$2:$A$501,0)),""))</f>
        <v/>
      </c>
      <c r="D345" s="56" t="n"/>
      <c r="E345" s="58">
        <f>IF(D345="","",D345*0.5)</f>
        <v/>
      </c>
      <c r="F345" s="56" t="n"/>
      <c r="G345" s="58">
        <f>IF(F345="","",F345*2.5)</f>
        <v/>
      </c>
      <c r="H345" s="56" t="n"/>
      <c r="I345" s="58">
        <f>IF(C345="","",C345-E345-G345-IF(H345="",0,H345))</f>
        <v/>
      </c>
      <c r="J345" s="56">
        <f>IF(C345="","",IF(ABS(I345)&lt;0.001,"KAPALI","KONTROL"))</f>
        <v/>
      </c>
      <c r="K345" s="65" t="n"/>
    </row>
    <row r="346" ht="15" customHeight="1">
      <c r="A346" s="60">
        <f>IF(B346="","",IFERROR(DATE(RIGHT(B346,4),MID(B346,4,2),LEFT(B346,2))+1,""))</f>
        <v/>
      </c>
      <c r="B346" s="56" t="n"/>
      <c r="C346" s="58">
        <f>IF(B346="","",IFERROR(INDEX('21 2026 ÜRETİM'!$F$2:$F$501,MATCH(B346,'21 2026 ÜRETİM'!$A$2:$A$501,0)),""))</f>
        <v/>
      </c>
      <c r="D346" s="56" t="n"/>
      <c r="E346" s="58">
        <f>IF(D346="","",D346*0.5)</f>
        <v/>
      </c>
      <c r="F346" s="56" t="n"/>
      <c r="G346" s="58">
        <f>IF(F346="","",F346*2.5)</f>
        <v/>
      </c>
      <c r="H346" s="56" t="n"/>
      <c r="I346" s="58">
        <f>IF(C346="","",C346-E346-G346-IF(H346="",0,H346))</f>
        <v/>
      </c>
      <c r="J346" s="56">
        <f>IF(C346="","",IF(ABS(I346)&lt;0.001,"KAPALI","KONTROL"))</f>
        <v/>
      </c>
      <c r="K346" s="65" t="n"/>
    </row>
    <row r="347" ht="15" customHeight="1">
      <c r="A347" s="60">
        <f>IF(B347="","",IFERROR(DATE(RIGHT(B347,4),MID(B347,4,2),LEFT(B347,2))+1,""))</f>
        <v/>
      </c>
      <c r="B347" s="56" t="n"/>
      <c r="C347" s="58">
        <f>IF(B347="","",IFERROR(INDEX('21 2026 ÜRETİM'!$F$2:$F$501,MATCH(B347,'21 2026 ÜRETİM'!$A$2:$A$501,0)),""))</f>
        <v/>
      </c>
      <c r="D347" s="56" t="n"/>
      <c r="E347" s="58">
        <f>IF(D347="","",D347*0.5)</f>
        <v/>
      </c>
      <c r="F347" s="56" t="n"/>
      <c r="G347" s="58">
        <f>IF(F347="","",F347*2.5)</f>
        <v/>
      </c>
      <c r="H347" s="56" t="n"/>
      <c r="I347" s="58">
        <f>IF(C347="","",C347-E347-G347-IF(H347="",0,H347))</f>
        <v/>
      </c>
      <c r="J347" s="56">
        <f>IF(C347="","",IF(ABS(I347)&lt;0.001,"KAPALI","KONTROL"))</f>
        <v/>
      </c>
      <c r="K347" s="65" t="n"/>
    </row>
    <row r="348" ht="15" customHeight="1">
      <c r="A348" s="60">
        <f>IF(B348="","",IFERROR(DATE(RIGHT(B348,4),MID(B348,4,2),LEFT(B348,2))+1,""))</f>
        <v/>
      </c>
      <c r="B348" s="56" t="n"/>
      <c r="C348" s="58">
        <f>IF(B348="","",IFERROR(INDEX('21 2026 ÜRETİM'!$F$2:$F$501,MATCH(B348,'21 2026 ÜRETİM'!$A$2:$A$501,0)),""))</f>
        <v/>
      </c>
      <c r="D348" s="56" t="n"/>
      <c r="E348" s="58">
        <f>IF(D348="","",D348*0.5)</f>
        <v/>
      </c>
      <c r="F348" s="56" t="n"/>
      <c r="G348" s="58">
        <f>IF(F348="","",F348*2.5)</f>
        <v/>
      </c>
      <c r="H348" s="56" t="n"/>
      <c r="I348" s="58">
        <f>IF(C348="","",C348-E348-G348-IF(H348="",0,H348))</f>
        <v/>
      </c>
      <c r="J348" s="56">
        <f>IF(C348="","",IF(ABS(I348)&lt;0.001,"KAPALI","KONTROL"))</f>
        <v/>
      </c>
      <c r="K348" s="65" t="n"/>
    </row>
    <row r="349" ht="15" customHeight="1">
      <c r="A349" s="60">
        <f>IF(B349="","",IFERROR(DATE(RIGHT(B349,4),MID(B349,4,2),LEFT(B349,2))+1,""))</f>
        <v/>
      </c>
      <c r="B349" s="56" t="n"/>
      <c r="C349" s="58">
        <f>IF(B349="","",IFERROR(INDEX('21 2026 ÜRETİM'!$F$2:$F$501,MATCH(B349,'21 2026 ÜRETİM'!$A$2:$A$501,0)),""))</f>
        <v/>
      </c>
      <c r="D349" s="56" t="n"/>
      <c r="E349" s="58">
        <f>IF(D349="","",D349*0.5)</f>
        <v/>
      </c>
      <c r="F349" s="56" t="n"/>
      <c r="G349" s="58">
        <f>IF(F349="","",F349*2.5)</f>
        <v/>
      </c>
      <c r="H349" s="56" t="n"/>
      <c r="I349" s="58">
        <f>IF(C349="","",C349-E349-G349-IF(H349="",0,H349))</f>
        <v/>
      </c>
      <c r="J349" s="56">
        <f>IF(C349="","",IF(ABS(I349)&lt;0.001,"KAPALI","KONTROL"))</f>
        <v/>
      </c>
      <c r="K349" s="65" t="n"/>
    </row>
    <row r="350" ht="15" customHeight="1">
      <c r="A350" s="60">
        <f>IF(B350="","",IFERROR(DATE(RIGHT(B350,4),MID(B350,4,2),LEFT(B350,2))+1,""))</f>
        <v/>
      </c>
      <c r="B350" s="56" t="n"/>
      <c r="C350" s="58">
        <f>IF(B350="","",IFERROR(INDEX('21 2026 ÜRETİM'!$F$2:$F$501,MATCH(B350,'21 2026 ÜRETİM'!$A$2:$A$501,0)),""))</f>
        <v/>
      </c>
      <c r="D350" s="56" t="n"/>
      <c r="E350" s="58">
        <f>IF(D350="","",D350*0.5)</f>
        <v/>
      </c>
      <c r="F350" s="56" t="n"/>
      <c r="G350" s="58">
        <f>IF(F350="","",F350*2.5)</f>
        <v/>
      </c>
      <c r="H350" s="56" t="n"/>
      <c r="I350" s="58">
        <f>IF(C350="","",C350-E350-G350-IF(H350="",0,H350))</f>
        <v/>
      </c>
      <c r="J350" s="56">
        <f>IF(C350="","",IF(ABS(I350)&lt;0.001,"KAPALI","KONTROL"))</f>
        <v/>
      </c>
      <c r="K350" s="65" t="n"/>
    </row>
    <row r="351" ht="15" customHeight="1">
      <c r="A351" s="60">
        <f>IF(B351="","",IFERROR(DATE(RIGHT(B351,4),MID(B351,4,2),LEFT(B351,2))+1,""))</f>
        <v/>
      </c>
      <c r="B351" s="56" t="n"/>
      <c r="C351" s="58">
        <f>IF(B351="","",IFERROR(INDEX('21 2026 ÜRETİM'!$F$2:$F$501,MATCH(B351,'21 2026 ÜRETİM'!$A$2:$A$501,0)),""))</f>
        <v/>
      </c>
      <c r="D351" s="56" t="n"/>
      <c r="E351" s="58">
        <f>IF(D351="","",D351*0.5)</f>
        <v/>
      </c>
      <c r="F351" s="56" t="n"/>
      <c r="G351" s="58">
        <f>IF(F351="","",F351*2.5)</f>
        <v/>
      </c>
      <c r="H351" s="56" t="n"/>
      <c r="I351" s="58">
        <f>IF(C351="","",C351-E351-G351-IF(H351="",0,H351))</f>
        <v/>
      </c>
      <c r="J351" s="56">
        <f>IF(C351="","",IF(ABS(I351)&lt;0.001,"KAPALI","KONTROL"))</f>
        <v/>
      </c>
      <c r="K351" s="65" t="n"/>
    </row>
    <row r="352" ht="15" customHeight="1">
      <c r="A352" s="60">
        <f>IF(B352="","",IFERROR(DATE(RIGHT(B352,4),MID(B352,4,2),LEFT(B352,2))+1,""))</f>
        <v/>
      </c>
      <c r="B352" s="56" t="n"/>
      <c r="C352" s="58">
        <f>IF(B352="","",IFERROR(INDEX('21 2026 ÜRETİM'!$F$2:$F$501,MATCH(B352,'21 2026 ÜRETİM'!$A$2:$A$501,0)),""))</f>
        <v/>
      </c>
      <c r="D352" s="56" t="n"/>
      <c r="E352" s="58">
        <f>IF(D352="","",D352*0.5)</f>
        <v/>
      </c>
      <c r="F352" s="56" t="n"/>
      <c r="G352" s="58">
        <f>IF(F352="","",F352*2.5)</f>
        <v/>
      </c>
      <c r="H352" s="56" t="n"/>
      <c r="I352" s="58">
        <f>IF(C352="","",C352-E352-G352-IF(H352="",0,H352))</f>
        <v/>
      </c>
      <c r="J352" s="56">
        <f>IF(C352="","",IF(ABS(I352)&lt;0.001,"KAPALI","KONTROL"))</f>
        <v/>
      </c>
      <c r="K352" s="65" t="n"/>
    </row>
    <row r="353" ht="15" customHeight="1">
      <c r="A353" s="60">
        <f>IF(B353="","",IFERROR(DATE(RIGHT(B353,4),MID(B353,4,2),LEFT(B353,2))+1,""))</f>
        <v/>
      </c>
      <c r="B353" s="56" t="n"/>
      <c r="C353" s="58">
        <f>IF(B353="","",IFERROR(INDEX('21 2026 ÜRETİM'!$F$2:$F$501,MATCH(B353,'21 2026 ÜRETİM'!$A$2:$A$501,0)),""))</f>
        <v/>
      </c>
      <c r="D353" s="56" t="n"/>
      <c r="E353" s="58">
        <f>IF(D353="","",D353*0.5)</f>
        <v/>
      </c>
      <c r="F353" s="56" t="n"/>
      <c r="G353" s="58">
        <f>IF(F353="","",F353*2.5)</f>
        <v/>
      </c>
      <c r="H353" s="56" t="n"/>
      <c r="I353" s="58">
        <f>IF(C353="","",C353-E353-G353-IF(H353="",0,H353))</f>
        <v/>
      </c>
      <c r="J353" s="56">
        <f>IF(C353="","",IF(ABS(I353)&lt;0.001,"KAPALI","KONTROL"))</f>
        <v/>
      </c>
      <c r="K353" s="65" t="n"/>
    </row>
    <row r="354" ht="15" customHeight="1">
      <c r="A354" s="60">
        <f>IF(B354="","",IFERROR(DATE(RIGHT(B354,4),MID(B354,4,2),LEFT(B354,2))+1,""))</f>
        <v/>
      </c>
      <c r="B354" s="56" t="n"/>
      <c r="C354" s="58">
        <f>IF(B354="","",IFERROR(INDEX('21 2026 ÜRETİM'!$F$2:$F$501,MATCH(B354,'21 2026 ÜRETİM'!$A$2:$A$501,0)),""))</f>
        <v/>
      </c>
      <c r="D354" s="56" t="n"/>
      <c r="E354" s="58">
        <f>IF(D354="","",D354*0.5)</f>
        <v/>
      </c>
      <c r="F354" s="56" t="n"/>
      <c r="G354" s="58">
        <f>IF(F354="","",F354*2.5)</f>
        <v/>
      </c>
      <c r="H354" s="56" t="n"/>
      <c r="I354" s="58">
        <f>IF(C354="","",C354-E354-G354-IF(H354="",0,H354))</f>
        <v/>
      </c>
      <c r="J354" s="56">
        <f>IF(C354="","",IF(ABS(I354)&lt;0.001,"KAPALI","KONTROL"))</f>
        <v/>
      </c>
      <c r="K354" s="65" t="n"/>
    </row>
    <row r="355" ht="15" customHeight="1">
      <c r="A355" s="60">
        <f>IF(B355="","",IFERROR(DATE(RIGHT(B355,4),MID(B355,4,2),LEFT(B355,2))+1,""))</f>
        <v/>
      </c>
      <c r="B355" s="56" t="n"/>
      <c r="C355" s="58">
        <f>IF(B355="","",IFERROR(INDEX('21 2026 ÜRETİM'!$F$2:$F$501,MATCH(B355,'21 2026 ÜRETİM'!$A$2:$A$501,0)),""))</f>
        <v/>
      </c>
      <c r="D355" s="56" t="n"/>
      <c r="E355" s="58">
        <f>IF(D355="","",D355*0.5)</f>
        <v/>
      </c>
      <c r="F355" s="56" t="n"/>
      <c r="G355" s="58">
        <f>IF(F355="","",F355*2.5)</f>
        <v/>
      </c>
      <c r="H355" s="56" t="n"/>
      <c r="I355" s="58">
        <f>IF(C355="","",C355-E355-G355-IF(H355="",0,H355))</f>
        <v/>
      </c>
      <c r="J355" s="56">
        <f>IF(C355="","",IF(ABS(I355)&lt;0.001,"KAPALI","KONTROL"))</f>
        <v/>
      </c>
      <c r="K355" s="65" t="n"/>
    </row>
    <row r="356" ht="15" customHeight="1">
      <c r="A356" s="60">
        <f>IF(B356="","",IFERROR(DATE(RIGHT(B356,4),MID(B356,4,2),LEFT(B356,2))+1,""))</f>
        <v/>
      </c>
      <c r="B356" s="56" t="n"/>
      <c r="C356" s="58">
        <f>IF(B356="","",IFERROR(INDEX('21 2026 ÜRETİM'!$F$2:$F$501,MATCH(B356,'21 2026 ÜRETİM'!$A$2:$A$501,0)),""))</f>
        <v/>
      </c>
      <c r="D356" s="56" t="n"/>
      <c r="E356" s="58">
        <f>IF(D356="","",D356*0.5)</f>
        <v/>
      </c>
      <c r="F356" s="56" t="n"/>
      <c r="G356" s="58">
        <f>IF(F356="","",F356*2.5)</f>
        <v/>
      </c>
      <c r="H356" s="56" t="n"/>
      <c r="I356" s="58">
        <f>IF(C356="","",C356-E356-G356-IF(H356="",0,H356))</f>
        <v/>
      </c>
      <c r="J356" s="56">
        <f>IF(C356="","",IF(ABS(I356)&lt;0.001,"KAPALI","KONTROL"))</f>
        <v/>
      </c>
      <c r="K356" s="65" t="n"/>
    </row>
    <row r="357" ht="15" customHeight="1">
      <c r="A357" s="60">
        <f>IF(B357="","",IFERROR(DATE(RIGHT(B357,4),MID(B357,4,2),LEFT(B357,2))+1,""))</f>
        <v/>
      </c>
      <c r="B357" s="56" t="n"/>
      <c r="C357" s="58">
        <f>IF(B357="","",IFERROR(INDEX('21 2026 ÜRETİM'!$F$2:$F$501,MATCH(B357,'21 2026 ÜRETİM'!$A$2:$A$501,0)),""))</f>
        <v/>
      </c>
      <c r="D357" s="56" t="n"/>
      <c r="E357" s="58">
        <f>IF(D357="","",D357*0.5)</f>
        <v/>
      </c>
      <c r="F357" s="56" t="n"/>
      <c r="G357" s="58">
        <f>IF(F357="","",F357*2.5)</f>
        <v/>
      </c>
      <c r="H357" s="56" t="n"/>
      <c r="I357" s="58">
        <f>IF(C357="","",C357-E357-G357-IF(H357="",0,H357))</f>
        <v/>
      </c>
      <c r="J357" s="56">
        <f>IF(C357="","",IF(ABS(I357)&lt;0.001,"KAPALI","KONTROL"))</f>
        <v/>
      </c>
      <c r="K357" s="65" t="n"/>
    </row>
    <row r="358" ht="15" customHeight="1">
      <c r="A358" s="60">
        <f>IF(B358="","",IFERROR(DATE(RIGHT(B358,4),MID(B358,4,2),LEFT(B358,2))+1,""))</f>
        <v/>
      </c>
      <c r="B358" s="56" t="n"/>
      <c r="C358" s="58">
        <f>IF(B358="","",IFERROR(INDEX('21 2026 ÜRETİM'!$F$2:$F$501,MATCH(B358,'21 2026 ÜRETİM'!$A$2:$A$501,0)),""))</f>
        <v/>
      </c>
      <c r="D358" s="56" t="n"/>
      <c r="E358" s="58">
        <f>IF(D358="","",D358*0.5)</f>
        <v/>
      </c>
      <c r="F358" s="56" t="n"/>
      <c r="G358" s="58">
        <f>IF(F358="","",F358*2.5)</f>
        <v/>
      </c>
      <c r="H358" s="56" t="n"/>
      <c r="I358" s="58">
        <f>IF(C358="","",C358-E358-G358-IF(H358="",0,H358))</f>
        <v/>
      </c>
      <c r="J358" s="56">
        <f>IF(C358="","",IF(ABS(I358)&lt;0.001,"KAPALI","KONTROL"))</f>
        <v/>
      </c>
      <c r="K358" s="65" t="n"/>
    </row>
    <row r="359" ht="15" customHeight="1">
      <c r="A359" s="60">
        <f>IF(B359="","",IFERROR(DATE(RIGHT(B359,4),MID(B359,4,2),LEFT(B359,2))+1,""))</f>
        <v/>
      </c>
      <c r="B359" s="56" t="n"/>
      <c r="C359" s="58">
        <f>IF(B359="","",IFERROR(INDEX('21 2026 ÜRETİM'!$F$2:$F$501,MATCH(B359,'21 2026 ÜRETİM'!$A$2:$A$501,0)),""))</f>
        <v/>
      </c>
      <c r="D359" s="56" t="n"/>
      <c r="E359" s="58">
        <f>IF(D359="","",D359*0.5)</f>
        <v/>
      </c>
      <c r="F359" s="56" t="n"/>
      <c r="G359" s="58">
        <f>IF(F359="","",F359*2.5)</f>
        <v/>
      </c>
      <c r="H359" s="56" t="n"/>
      <c r="I359" s="58">
        <f>IF(C359="","",C359-E359-G359-IF(H359="",0,H359))</f>
        <v/>
      </c>
      <c r="J359" s="56">
        <f>IF(C359="","",IF(ABS(I359)&lt;0.001,"KAPALI","KONTROL"))</f>
        <v/>
      </c>
      <c r="K359" s="65" t="n"/>
    </row>
    <row r="360" ht="15" customHeight="1">
      <c r="A360" s="60">
        <f>IF(B360="","",IFERROR(DATE(RIGHT(B360,4),MID(B360,4,2),LEFT(B360,2))+1,""))</f>
        <v/>
      </c>
      <c r="B360" s="56" t="n"/>
      <c r="C360" s="58">
        <f>IF(B360="","",IFERROR(INDEX('21 2026 ÜRETİM'!$F$2:$F$501,MATCH(B360,'21 2026 ÜRETİM'!$A$2:$A$501,0)),""))</f>
        <v/>
      </c>
      <c r="D360" s="56" t="n"/>
      <c r="E360" s="58">
        <f>IF(D360="","",D360*0.5)</f>
        <v/>
      </c>
      <c r="F360" s="56" t="n"/>
      <c r="G360" s="58">
        <f>IF(F360="","",F360*2.5)</f>
        <v/>
      </c>
      <c r="H360" s="56" t="n"/>
      <c r="I360" s="58">
        <f>IF(C360="","",C360-E360-G360-IF(H360="",0,H360))</f>
        <v/>
      </c>
      <c r="J360" s="56">
        <f>IF(C360="","",IF(ABS(I360)&lt;0.001,"KAPALI","KONTROL"))</f>
        <v/>
      </c>
      <c r="K360" s="65" t="n"/>
    </row>
    <row r="361" ht="15" customHeight="1">
      <c r="A361" s="60">
        <f>IF(B361="","",IFERROR(DATE(RIGHT(B361,4),MID(B361,4,2),LEFT(B361,2))+1,""))</f>
        <v/>
      </c>
      <c r="B361" s="56" t="n"/>
      <c r="C361" s="58">
        <f>IF(B361="","",IFERROR(INDEX('21 2026 ÜRETİM'!$F$2:$F$501,MATCH(B361,'21 2026 ÜRETİM'!$A$2:$A$501,0)),""))</f>
        <v/>
      </c>
      <c r="D361" s="56" t="n"/>
      <c r="E361" s="58">
        <f>IF(D361="","",D361*0.5)</f>
        <v/>
      </c>
      <c r="F361" s="56" t="n"/>
      <c r="G361" s="58">
        <f>IF(F361="","",F361*2.5)</f>
        <v/>
      </c>
      <c r="H361" s="56" t="n"/>
      <c r="I361" s="58">
        <f>IF(C361="","",C361-E361-G361-IF(H361="",0,H361))</f>
        <v/>
      </c>
      <c r="J361" s="56">
        <f>IF(C361="","",IF(ABS(I361)&lt;0.001,"KAPALI","KONTROL"))</f>
        <v/>
      </c>
      <c r="K361" s="65" t="n"/>
    </row>
    <row r="362" ht="15" customHeight="1">
      <c r="A362" s="60">
        <f>IF(B362="","",IFERROR(DATE(RIGHT(B362,4),MID(B362,4,2),LEFT(B362,2))+1,""))</f>
        <v/>
      </c>
      <c r="B362" s="56" t="n"/>
      <c r="C362" s="58">
        <f>IF(B362="","",IFERROR(INDEX('21 2026 ÜRETİM'!$F$2:$F$501,MATCH(B362,'21 2026 ÜRETİM'!$A$2:$A$501,0)),""))</f>
        <v/>
      </c>
      <c r="D362" s="56" t="n"/>
      <c r="E362" s="58">
        <f>IF(D362="","",D362*0.5)</f>
        <v/>
      </c>
      <c r="F362" s="56" t="n"/>
      <c r="G362" s="58">
        <f>IF(F362="","",F362*2.5)</f>
        <v/>
      </c>
      <c r="H362" s="56" t="n"/>
      <c r="I362" s="58">
        <f>IF(C362="","",C362-E362-G362-IF(H362="",0,H362))</f>
        <v/>
      </c>
      <c r="J362" s="56">
        <f>IF(C362="","",IF(ABS(I362)&lt;0.001,"KAPALI","KONTROL"))</f>
        <v/>
      </c>
      <c r="K362" s="65" t="n"/>
    </row>
    <row r="363" ht="15" customHeight="1">
      <c r="A363" s="60">
        <f>IF(B363="","",IFERROR(DATE(RIGHT(B363,4),MID(B363,4,2),LEFT(B363,2))+1,""))</f>
        <v/>
      </c>
      <c r="B363" s="56" t="n"/>
      <c r="C363" s="58">
        <f>IF(B363="","",IFERROR(INDEX('21 2026 ÜRETİM'!$F$2:$F$501,MATCH(B363,'21 2026 ÜRETİM'!$A$2:$A$501,0)),""))</f>
        <v/>
      </c>
      <c r="D363" s="56" t="n"/>
      <c r="E363" s="58">
        <f>IF(D363="","",D363*0.5)</f>
        <v/>
      </c>
      <c r="F363" s="56" t="n"/>
      <c r="G363" s="58">
        <f>IF(F363="","",F363*2.5)</f>
        <v/>
      </c>
      <c r="H363" s="56" t="n"/>
      <c r="I363" s="58">
        <f>IF(C363="","",C363-E363-G363-IF(H363="",0,H363))</f>
        <v/>
      </c>
      <c r="J363" s="56">
        <f>IF(C363="","",IF(ABS(I363)&lt;0.001,"KAPALI","KONTROL"))</f>
        <v/>
      </c>
      <c r="K363" s="65" t="n"/>
    </row>
    <row r="364" ht="15" customHeight="1">
      <c r="A364" s="60">
        <f>IF(B364="","",IFERROR(DATE(RIGHT(B364,4),MID(B364,4,2),LEFT(B364,2))+1,""))</f>
        <v/>
      </c>
      <c r="B364" s="56" t="n"/>
      <c r="C364" s="58">
        <f>IF(B364="","",IFERROR(INDEX('21 2026 ÜRETİM'!$F$2:$F$501,MATCH(B364,'21 2026 ÜRETİM'!$A$2:$A$501,0)),""))</f>
        <v/>
      </c>
      <c r="D364" s="56" t="n"/>
      <c r="E364" s="58">
        <f>IF(D364="","",D364*0.5)</f>
        <v/>
      </c>
      <c r="F364" s="56" t="n"/>
      <c r="G364" s="58">
        <f>IF(F364="","",F364*2.5)</f>
        <v/>
      </c>
      <c r="H364" s="56" t="n"/>
      <c r="I364" s="58">
        <f>IF(C364="","",C364-E364-G364-IF(H364="",0,H364))</f>
        <v/>
      </c>
      <c r="J364" s="56">
        <f>IF(C364="","",IF(ABS(I364)&lt;0.001,"KAPALI","KONTROL"))</f>
        <v/>
      </c>
      <c r="K364" s="65" t="n"/>
    </row>
    <row r="365" ht="15" customHeight="1">
      <c r="A365" s="60">
        <f>IF(B365="","",IFERROR(DATE(RIGHT(B365,4),MID(B365,4,2),LEFT(B365,2))+1,""))</f>
        <v/>
      </c>
      <c r="B365" s="56" t="n"/>
      <c r="C365" s="58">
        <f>IF(B365="","",IFERROR(INDEX('21 2026 ÜRETİM'!$F$2:$F$501,MATCH(B365,'21 2026 ÜRETİM'!$A$2:$A$501,0)),""))</f>
        <v/>
      </c>
      <c r="D365" s="56" t="n"/>
      <c r="E365" s="58">
        <f>IF(D365="","",D365*0.5)</f>
        <v/>
      </c>
      <c r="F365" s="56" t="n"/>
      <c r="G365" s="58">
        <f>IF(F365="","",F365*2.5)</f>
        <v/>
      </c>
      <c r="H365" s="56" t="n"/>
      <c r="I365" s="58">
        <f>IF(C365="","",C365-E365-G365-IF(H365="",0,H365))</f>
        <v/>
      </c>
      <c r="J365" s="56">
        <f>IF(C365="","",IF(ABS(I365)&lt;0.001,"KAPALI","KONTROL"))</f>
        <v/>
      </c>
      <c r="K365" s="65" t="n"/>
    </row>
    <row r="366" ht="15" customHeight="1">
      <c r="A366" s="60">
        <f>IF(B366="","",IFERROR(DATE(RIGHT(B366,4),MID(B366,4,2),LEFT(B366,2))+1,""))</f>
        <v/>
      </c>
      <c r="B366" s="56" t="n"/>
      <c r="C366" s="58">
        <f>IF(B366="","",IFERROR(INDEX('21 2026 ÜRETİM'!$F$2:$F$501,MATCH(B366,'21 2026 ÜRETİM'!$A$2:$A$501,0)),""))</f>
        <v/>
      </c>
      <c r="D366" s="56" t="n"/>
      <c r="E366" s="58">
        <f>IF(D366="","",D366*0.5)</f>
        <v/>
      </c>
      <c r="F366" s="56" t="n"/>
      <c r="G366" s="58">
        <f>IF(F366="","",F366*2.5)</f>
        <v/>
      </c>
      <c r="H366" s="56" t="n"/>
      <c r="I366" s="58">
        <f>IF(C366="","",C366-E366-G366-IF(H366="",0,H366))</f>
        <v/>
      </c>
      <c r="J366" s="56">
        <f>IF(C366="","",IF(ABS(I366)&lt;0.001,"KAPALI","KONTROL"))</f>
        <v/>
      </c>
      <c r="K366" s="65" t="n"/>
    </row>
    <row r="367" ht="15" customHeight="1">
      <c r="A367" s="60">
        <f>IF(B367="","",IFERROR(DATE(RIGHT(B367,4),MID(B367,4,2),LEFT(B367,2))+1,""))</f>
        <v/>
      </c>
      <c r="B367" s="56" t="n"/>
      <c r="C367" s="58">
        <f>IF(B367="","",IFERROR(INDEX('21 2026 ÜRETİM'!$F$2:$F$501,MATCH(B367,'21 2026 ÜRETİM'!$A$2:$A$501,0)),""))</f>
        <v/>
      </c>
      <c r="D367" s="56" t="n"/>
      <c r="E367" s="58">
        <f>IF(D367="","",D367*0.5)</f>
        <v/>
      </c>
      <c r="F367" s="56" t="n"/>
      <c r="G367" s="58">
        <f>IF(F367="","",F367*2.5)</f>
        <v/>
      </c>
      <c r="H367" s="56" t="n"/>
      <c r="I367" s="58">
        <f>IF(C367="","",C367-E367-G367-IF(H367="",0,H367))</f>
        <v/>
      </c>
      <c r="J367" s="56">
        <f>IF(C367="","",IF(ABS(I367)&lt;0.001,"KAPALI","KONTROL"))</f>
        <v/>
      </c>
      <c r="K367" s="65" t="n"/>
    </row>
    <row r="368" ht="15" customHeight="1">
      <c r="A368" s="60">
        <f>IF(B368="","",IFERROR(DATE(RIGHT(B368,4),MID(B368,4,2),LEFT(B368,2))+1,""))</f>
        <v/>
      </c>
      <c r="B368" s="56" t="n"/>
      <c r="C368" s="58">
        <f>IF(B368="","",IFERROR(INDEX('21 2026 ÜRETİM'!$F$2:$F$501,MATCH(B368,'21 2026 ÜRETİM'!$A$2:$A$501,0)),""))</f>
        <v/>
      </c>
      <c r="D368" s="56" t="n"/>
      <c r="E368" s="58">
        <f>IF(D368="","",D368*0.5)</f>
        <v/>
      </c>
      <c r="F368" s="56" t="n"/>
      <c r="G368" s="58">
        <f>IF(F368="","",F368*2.5)</f>
        <v/>
      </c>
      <c r="H368" s="56" t="n"/>
      <c r="I368" s="58">
        <f>IF(C368="","",C368-E368-G368-IF(H368="",0,H368))</f>
        <v/>
      </c>
      <c r="J368" s="56">
        <f>IF(C368="","",IF(ABS(I368)&lt;0.001,"KAPALI","KONTROL"))</f>
        <v/>
      </c>
      <c r="K368" s="65" t="n"/>
    </row>
    <row r="369" ht="15" customHeight="1">
      <c r="A369" s="60">
        <f>IF(B369="","",IFERROR(DATE(RIGHT(B369,4),MID(B369,4,2),LEFT(B369,2))+1,""))</f>
        <v/>
      </c>
      <c r="B369" s="56" t="n"/>
      <c r="C369" s="58">
        <f>IF(B369="","",IFERROR(INDEX('21 2026 ÜRETİM'!$F$2:$F$501,MATCH(B369,'21 2026 ÜRETİM'!$A$2:$A$501,0)),""))</f>
        <v/>
      </c>
      <c r="D369" s="56" t="n"/>
      <c r="E369" s="58">
        <f>IF(D369="","",D369*0.5)</f>
        <v/>
      </c>
      <c r="F369" s="56" t="n"/>
      <c r="G369" s="58">
        <f>IF(F369="","",F369*2.5)</f>
        <v/>
      </c>
      <c r="H369" s="56" t="n"/>
      <c r="I369" s="58">
        <f>IF(C369="","",C369-E369-G369-IF(H369="",0,H369))</f>
        <v/>
      </c>
      <c r="J369" s="56">
        <f>IF(C369="","",IF(ABS(I369)&lt;0.001,"KAPALI","KONTROL"))</f>
        <v/>
      </c>
      <c r="K369" s="65" t="n"/>
    </row>
    <row r="370" ht="15" customHeight="1">
      <c r="A370" s="60">
        <f>IF(B370="","",IFERROR(DATE(RIGHT(B370,4),MID(B370,4,2),LEFT(B370,2))+1,""))</f>
        <v/>
      </c>
      <c r="B370" s="56" t="n"/>
      <c r="C370" s="58">
        <f>IF(B370="","",IFERROR(INDEX('21 2026 ÜRETİM'!$F$2:$F$501,MATCH(B370,'21 2026 ÜRETİM'!$A$2:$A$501,0)),""))</f>
        <v/>
      </c>
      <c r="D370" s="56" t="n"/>
      <c r="E370" s="58">
        <f>IF(D370="","",D370*0.5)</f>
        <v/>
      </c>
      <c r="F370" s="56" t="n"/>
      <c r="G370" s="58">
        <f>IF(F370="","",F370*2.5)</f>
        <v/>
      </c>
      <c r="H370" s="56" t="n"/>
      <c r="I370" s="58">
        <f>IF(C370="","",C370-E370-G370-IF(H370="",0,H370))</f>
        <v/>
      </c>
      <c r="J370" s="56">
        <f>IF(C370="","",IF(ABS(I370)&lt;0.001,"KAPALI","KONTROL"))</f>
        <v/>
      </c>
      <c r="K370" s="65" t="n"/>
    </row>
    <row r="371" ht="15" customHeight="1">
      <c r="A371" s="60">
        <f>IF(B371="","",IFERROR(DATE(RIGHT(B371,4),MID(B371,4,2),LEFT(B371,2))+1,""))</f>
        <v/>
      </c>
      <c r="B371" s="56" t="n"/>
      <c r="C371" s="58">
        <f>IF(B371="","",IFERROR(INDEX('21 2026 ÜRETİM'!$F$2:$F$501,MATCH(B371,'21 2026 ÜRETİM'!$A$2:$A$501,0)),""))</f>
        <v/>
      </c>
      <c r="D371" s="56" t="n"/>
      <c r="E371" s="58">
        <f>IF(D371="","",D371*0.5)</f>
        <v/>
      </c>
      <c r="F371" s="56" t="n"/>
      <c r="G371" s="58">
        <f>IF(F371="","",F371*2.5)</f>
        <v/>
      </c>
      <c r="H371" s="56" t="n"/>
      <c r="I371" s="58">
        <f>IF(C371="","",C371-E371-G371-IF(H371="",0,H371))</f>
        <v/>
      </c>
      <c r="J371" s="56">
        <f>IF(C371="","",IF(ABS(I371)&lt;0.001,"KAPALI","KONTROL"))</f>
        <v/>
      </c>
      <c r="K371" s="65" t="n"/>
    </row>
    <row r="372" ht="15" customHeight="1">
      <c r="A372" s="60">
        <f>IF(B372="","",IFERROR(DATE(RIGHT(B372,4),MID(B372,4,2),LEFT(B372,2))+1,""))</f>
        <v/>
      </c>
      <c r="B372" s="56" t="n"/>
      <c r="C372" s="58">
        <f>IF(B372="","",IFERROR(INDEX('21 2026 ÜRETİM'!$F$2:$F$501,MATCH(B372,'21 2026 ÜRETİM'!$A$2:$A$501,0)),""))</f>
        <v/>
      </c>
      <c r="D372" s="56" t="n"/>
      <c r="E372" s="58">
        <f>IF(D372="","",D372*0.5)</f>
        <v/>
      </c>
      <c r="F372" s="56" t="n"/>
      <c r="G372" s="58">
        <f>IF(F372="","",F372*2.5)</f>
        <v/>
      </c>
      <c r="H372" s="56" t="n"/>
      <c r="I372" s="58">
        <f>IF(C372="","",C372-E372-G372-IF(H372="",0,H372))</f>
        <v/>
      </c>
      <c r="J372" s="56">
        <f>IF(C372="","",IF(ABS(I372)&lt;0.001,"KAPALI","KONTROL"))</f>
        <v/>
      </c>
      <c r="K372" s="65" t="n"/>
    </row>
    <row r="373" ht="15" customHeight="1">
      <c r="A373" s="60">
        <f>IF(B373="","",IFERROR(DATE(RIGHT(B373,4),MID(B373,4,2),LEFT(B373,2))+1,""))</f>
        <v/>
      </c>
      <c r="B373" s="56" t="n"/>
      <c r="C373" s="58">
        <f>IF(B373="","",IFERROR(INDEX('21 2026 ÜRETİM'!$F$2:$F$501,MATCH(B373,'21 2026 ÜRETİM'!$A$2:$A$501,0)),""))</f>
        <v/>
      </c>
      <c r="D373" s="56" t="n"/>
      <c r="E373" s="58">
        <f>IF(D373="","",D373*0.5)</f>
        <v/>
      </c>
      <c r="F373" s="56" t="n"/>
      <c r="G373" s="58">
        <f>IF(F373="","",F373*2.5)</f>
        <v/>
      </c>
      <c r="H373" s="56" t="n"/>
      <c r="I373" s="58">
        <f>IF(C373="","",C373-E373-G373-IF(H373="",0,H373))</f>
        <v/>
      </c>
      <c r="J373" s="56">
        <f>IF(C373="","",IF(ABS(I373)&lt;0.001,"KAPALI","KONTROL"))</f>
        <v/>
      </c>
      <c r="K373" s="65" t="n"/>
    </row>
    <row r="374" ht="15" customHeight="1">
      <c r="A374" s="60">
        <f>IF(B374="","",IFERROR(DATE(RIGHT(B374,4),MID(B374,4,2),LEFT(B374,2))+1,""))</f>
        <v/>
      </c>
      <c r="B374" s="56" t="n"/>
      <c r="C374" s="58">
        <f>IF(B374="","",IFERROR(INDEX('21 2026 ÜRETİM'!$F$2:$F$501,MATCH(B374,'21 2026 ÜRETİM'!$A$2:$A$501,0)),""))</f>
        <v/>
      </c>
      <c r="D374" s="56" t="n"/>
      <c r="E374" s="58">
        <f>IF(D374="","",D374*0.5)</f>
        <v/>
      </c>
      <c r="F374" s="56" t="n"/>
      <c r="G374" s="58">
        <f>IF(F374="","",F374*2.5)</f>
        <v/>
      </c>
      <c r="H374" s="56" t="n"/>
      <c r="I374" s="58">
        <f>IF(C374="","",C374-E374-G374-IF(H374="",0,H374))</f>
        <v/>
      </c>
      <c r="J374" s="56">
        <f>IF(C374="","",IF(ABS(I374)&lt;0.001,"KAPALI","KONTROL"))</f>
        <v/>
      </c>
      <c r="K374" s="65" t="n"/>
    </row>
    <row r="375" ht="15" customHeight="1">
      <c r="A375" s="60">
        <f>IF(B375="","",IFERROR(DATE(RIGHT(B375,4),MID(B375,4,2),LEFT(B375,2))+1,""))</f>
        <v/>
      </c>
      <c r="B375" s="56" t="n"/>
      <c r="C375" s="58">
        <f>IF(B375="","",IFERROR(INDEX('21 2026 ÜRETİM'!$F$2:$F$501,MATCH(B375,'21 2026 ÜRETİM'!$A$2:$A$501,0)),""))</f>
        <v/>
      </c>
      <c r="D375" s="56" t="n"/>
      <c r="E375" s="58">
        <f>IF(D375="","",D375*0.5)</f>
        <v/>
      </c>
      <c r="F375" s="56" t="n"/>
      <c r="G375" s="58">
        <f>IF(F375="","",F375*2.5)</f>
        <v/>
      </c>
      <c r="H375" s="56" t="n"/>
      <c r="I375" s="58">
        <f>IF(C375="","",C375-E375-G375-IF(H375="",0,H375))</f>
        <v/>
      </c>
      <c r="J375" s="56">
        <f>IF(C375="","",IF(ABS(I375)&lt;0.001,"KAPALI","KONTROL"))</f>
        <v/>
      </c>
      <c r="K375" s="65" t="n"/>
    </row>
    <row r="376" ht="15" customHeight="1">
      <c r="A376" s="60">
        <f>IF(B376="","",IFERROR(DATE(RIGHT(B376,4),MID(B376,4,2),LEFT(B376,2))+1,""))</f>
        <v/>
      </c>
      <c r="B376" s="56" t="n"/>
      <c r="C376" s="58">
        <f>IF(B376="","",IFERROR(INDEX('21 2026 ÜRETİM'!$F$2:$F$501,MATCH(B376,'21 2026 ÜRETİM'!$A$2:$A$501,0)),""))</f>
        <v/>
      </c>
      <c r="D376" s="56" t="n"/>
      <c r="E376" s="58">
        <f>IF(D376="","",D376*0.5)</f>
        <v/>
      </c>
      <c r="F376" s="56" t="n"/>
      <c r="G376" s="58">
        <f>IF(F376="","",F376*2.5)</f>
        <v/>
      </c>
      <c r="H376" s="56" t="n"/>
      <c r="I376" s="58">
        <f>IF(C376="","",C376-E376-G376-IF(H376="",0,H376))</f>
        <v/>
      </c>
      <c r="J376" s="56">
        <f>IF(C376="","",IF(ABS(I376)&lt;0.001,"KAPALI","KONTROL"))</f>
        <v/>
      </c>
      <c r="K376" s="65" t="n"/>
    </row>
    <row r="377" ht="15" customHeight="1">
      <c r="A377" s="60">
        <f>IF(B377="","",IFERROR(DATE(RIGHT(B377,4),MID(B377,4,2),LEFT(B377,2))+1,""))</f>
        <v/>
      </c>
      <c r="B377" s="56" t="n"/>
      <c r="C377" s="58">
        <f>IF(B377="","",IFERROR(INDEX('21 2026 ÜRETİM'!$F$2:$F$501,MATCH(B377,'21 2026 ÜRETİM'!$A$2:$A$501,0)),""))</f>
        <v/>
      </c>
      <c r="D377" s="56" t="n"/>
      <c r="E377" s="58">
        <f>IF(D377="","",D377*0.5)</f>
        <v/>
      </c>
      <c r="F377" s="56" t="n"/>
      <c r="G377" s="58">
        <f>IF(F377="","",F377*2.5)</f>
        <v/>
      </c>
      <c r="H377" s="56" t="n"/>
      <c r="I377" s="58">
        <f>IF(C377="","",C377-E377-G377-IF(H377="",0,H377))</f>
        <v/>
      </c>
      <c r="J377" s="56">
        <f>IF(C377="","",IF(ABS(I377)&lt;0.001,"KAPALI","KONTROL"))</f>
        <v/>
      </c>
      <c r="K377" s="65" t="n"/>
    </row>
    <row r="378" ht="15" customHeight="1">
      <c r="A378" s="60">
        <f>IF(B378="","",IFERROR(DATE(RIGHT(B378,4),MID(B378,4,2),LEFT(B378,2))+1,""))</f>
        <v/>
      </c>
      <c r="B378" s="56" t="n"/>
      <c r="C378" s="58">
        <f>IF(B378="","",IFERROR(INDEX('21 2026 ÜRETİM'!$F$2:$F$501,MATCH(B378,'21 2026 ÜRETİM'!$A$2:$A$501,0)),""))</f>
        <v/>
      </c>
      <c r="D378" s="56" t="n"/>
      <c r="E378" s="58">
        <f>IF(D378="","",D378*0.5)</f>
        <v/>
      </c>
      <c r="F378" s="56" t="n"/>
      <c r="G378" s="58">
        <f>IF(F378="","",F378*2.5)</f>
        <v/>
      </c>
      <c r="H378" s="56" t="n"/>
      <c r="I378" s="58">
        <f>IF(C378="","",C378-E378-G378-IF(H378="",0,H378))</f>
        <v/>
      </c>
      <c r="J378" s="56">
        <f>IF(C378="","",IF(ABS(I378)&lt;0.001,"KAPALI","KONTROL"))</f>
        <v/>
      </c>
      <c r="K378" s="65" t="n"/>
    </row>
    <row r="379" ht="15" customHeight="1">
      <c r="A379" s="60">
        <f>IF(B379="","",IFERROR(DATE(RIGHT(B379,4),MID(B379,4,2),LEFT(B379,2))+1,""))</f>
        <v/>
      </c>
      <c r="B379" s="56" t="n"/>
      <c r="C379" s="58">
        <f>IF(B379="","",IFERROR(INDEX('21 2026 ÜRETİM'!$F$2:$F$501,MATCH(B379,'21 2026 ÜRETİM'!$A$2:$A$501,0)),""))</f>
        <v/>
      </c>
      <c r="D379" s="56" t="n"/>
      <c r="E379" s="58">
        <f>IF(D379="","",D379*0.5)</f>
        <v/>
      </c>
      <c r="F379" s="56" t="n"/>
      <c r="G379" s="58">
        <f>IF(F379="","",F379*2.5)</f>
        <v/>
      </c>
      <c r="H379" s="56" t="n"/>
      <c r="I379" s="58">
        <f>IF(C379="","",C379-E379-G379-IF(H379="",0,H379))</f>
        <v/>
      </c>
      <c r="J379" s="56">
        <f>IF(C379="","",IF(ABS(I379)&lt;0.001,"KAPALI","KONTROL"))</f>
        <v/>
      </c>
      <c r="K379" s="65" t="n"/>
    </row>
    <row r="380" ht="15" customHeight="1">
      <c r="A380" s="60">
        <f>IF(B380="","",IFERROR(DATE(RIGHT(B380,4),MID(B380,4,2),LEFT(B380,2))+1,""))</f>
        <v/>
      </c>
      <c r="B380" s="56" t="n"/>
      <c r="C380" s="58">
        <f>IF(B380="","",IFERROR(INDEX('21 2026 ÜRETİM'!$F$2:$F$501,MATCH(B380,'21 2026 ÜRETİM'!$A$2:$A$501,0)),""))</f>
        <v/>
      </c>
      <c r="D380" s="56" t="n"/>
      <c r="E380" s="58">
        <f>IF(D380="","",D380*0.5)</f>
        <v/>
      </c>
      <c r="F380" s="56" t="n"/>
      <c r="G380" s="58">
        <f>IF(F380="","",F380*2.5)</f>
        <v/>
      </c>
      <c r="H380" s="56" t="n"/>
      <c r="I380" s="58">
        <f>IF(C380="","",C380-E380-G380-IF(H380="",0,H380))</f>
        <v/>
      </c>
      <c r="J380" s="56">
        <f>IF(C380="","",IF(ABS(I380)&lt;0.001,"KAPALI","KONTROL"))</f>
        <v/>
      </c>
      <c r="K380" s="65" t="n"/>
    </row>
    <row r="381" ht="15" customHeight="1">
      <c r="A381" s="60">
        <f>IF(B381="","",IFERROR(DATE(RIGHT(B381,4),MID(B381,4,2),LEFT(B381,2))+1,""))</f>
        <v/>
      </c>
      <c r="B381" s="56" t="n"/>
      <c r="C381" s="58">
        <f>IF(B381="","",IFERROR(INDEX('21 2026 ÜRETİM'!$F$2:$F$501,MATCH(B381,'21 2026 ÜRETİM'!$A$2:$A$501,0)),""))</f>
        <v/>
      </c>
      <c r="D381" s="56" t="n"/>
      <c r="E381" s="58">
        <f>IF(D381="","",D381*0.5)</f>
        <v/>
      </c>
      <c r="F381" s="56" t="n"/>
      <c r="G381" s="58">
        <f>IF(F381="","",F381*2.5)</f>
        <v/>
      </c>
      <c r="H381" s="56" t="n"/>
      <c r="I381" s="58">
        <f>IF(C381="","",C381-E381-G381-IF(H381="",0,H381))</f>
        <v/>
      </c>
      <c r="J381" s="56">
        <f>IF(C381="","",IF(ABS(I381)&lt;0.001,"KAPALI","KONTROL"))</f>
        <v/>
      </c>
      <c r="K381" s="65" t="n"/>
    </row>
    <row r="382" ht="15" customHeight="1">
      <c r="A382" s="60">
        <f>IF(B382="","",IFERROR(DATE(RIGHT(B382,4),MID(B382,4,2),LEFT(B382,2))+1,""))</f>
        <v/>
      </c>
      <c r="B382" s="56" t="n"/>
      <c r="C382" s="58">
        <f>IF(B382="","",IFERROR(INDEX('21 2026 ÜRETİM'!$F$2:$F$501,MATCH(B382,'21 2026 ÜRETİM'!$A$2:$A$501,0)),""))</f>
        <v/>
      </c>
      <c r="D382" s="56" t="n"/>
      <c r="E382" s="58">
        <f>IF(D382="","",D382*0.5)</f>
        <v/>
      </c>
      <c r="F382" s="56" t="n"/>
      <c r="G382" s="58">
        <f>IF(F382="","",F382*2.5)</f>
        <v/>
      </c>
      <c r="H382" s="56" t="n"/>
      <c r="I382" s="58">
        <f>IF(C382="","",C382-E382-G382-IF(H382="",0,H382))</f>
        <v/>
      </c>
      <c r="J382" s="56">
        <f>IF(C382="","",IF(ABS(I382)&lt;0.001,"KAPALI","KONTROL"))</f>
        <v/>
      </c>
      <c r="K382" s="65" t="n"/>
    </row>
    <row r="383" ht="15" customHeight="1">
      <c r="A383" s="60">
        <f>IF(B383="","",IFERROR(DATE(RIGHT(B383,4),MID(B383,4,2),LEFT(B383,2))+1,""))</f>
        <v/>
      </c>
      <c r="B383" s="56" t="n"/>
      <c r="C383" s="58">
        <f>IF(B383="","",IFERROR(INDEX('21 2026 ÜRETİM'!$F$2:$F$501,MATCH(B383,'21 2026 ÜRETİM'!$A$2:$A$501,0)),""))</f>
        <v/>
      </c>
      <c r="D383" s="56" t="n"/>
      <c r="E383" s="58">
        <f>IF(D383="","",D383*0.5)</f>
        <v/>
      </c>
      <c r="F383" s="56" t="n"/>
      <c r="G383" s="58">
        <f>IF(F383="","",F383*2.5)</f>
        <v/>
      </c>
      <c r="H383" s="56" t="n"/>
      <c r="I383" s="58">
        <f>IF(C383="","",C383-E383-G383-IF(H383="",0,H383))</f>
        <v/>
      </c>
      <c r="J383" s="56">
        <f>IF(C383="","",IF(ABS(I383)&lt;0.001,"KAPALI","KONTROL"))</f>
        <v/>
      </c>
      <c r="K383" s="65" t="n"/>
    </row>
    <row r="384" ht="15" customHeight="1">
      <c r="A384" s="60">
        <f>IF(B384="","",IFERROR(DATE(RIGHT(B384,4),MID(B384,4,2),LEFT(B384,2))+1,""))</f>
        <v/>
      </c>
      <c r="B384" s="56" t="n"/>
      <c r="C384" s="58">
        <f>IF(B384="","",IFERROR(INDEX('21 2026 ÜRETİM'!$F$2:$F$501,MATCH(B384,'21 2026 ÜRETİM'!$A$2:$A$501,0)),""))</f>
        <v/>
      </c>
      <c r="D384" s="56" t="n"/>
      <c r="E384" s="58">
        <f>IF(D384="","",D384*0.5)</f>
        <v/>
      </c>
      <c r="F384" s="56" t="n"/>
      <c r="G384" s="58">
        <f>IF(F384="","",F384*2.5)</f>
        <v/>
      </c>
      <c r="H384" s="56" t="n"/>
      <c r="I384" s="58">
        <f>IF(C384="","",C384-E384-G384-IF(H384="",0,H384))</f>
        <v/>
      </c>
      <c r="J384" s="56">
        <f>IF(C384="","",IF(ABS(I384)&lt;0.001,"KAPALI","KONTROL"))</f>
        <v/>
      </c>
      <c r="K384" s="65" t="n"/>
    </row>
    <row r="385" ht="15" customHeight="1">
      <c r="A385" s="60">
        <f>IF(B385="","",IFERROR(DATE(RIGHT(B385,4),MID(B385,4,2),LEFT(B385,2))+1,""))</f>
        <v/>
      </c>
      <c r="B385" s="56" t="n"/>
      <c r="C385" s="58">
        <f>IF(B385="","",IFERROR(INDEX('21 2026 ÜRETİM'!$F$2:$F$501,MATCH(B385,'21 2026 ÜRETİM'!$A$2:$A$501,0)),""))</f>
        <v/>
      </c>
      <c r="D385" s="56" t="n"/>
      <c r="E385" s="58">
        <f>IF(D385="","",D385*0.5)</f>
        <v/>
      </c>
      <c r="F385" s="56" t="n"/>
      <c r="G385" s="58">
        <f>IF(F385="","",F385*2.5)</f>
        <v/>
      </c>
      <c r="H385" s="56" t="n"/>
      <c r="I385" s="58">
        <f>IF(C385="","",C385-E385-G385-IF(H385="",0,H385))</f>
        <v/>
      </c>
      <c r="J385" s="56">
        <f>IF(C385="","",IF(ABS(I385)&lt;0.001,"KAPALI","KONTROL"))</f>
        <v/>
      </c>
      <c r="K385" s="65" t="n"/>
    </row>
    <row r="386" ht="15" customHeight="1">
      <c r="A386" s="60">
        <f>IF(B386="","",IFERROR(DATE(RIGHT(B386,4),MID(B386,4,2),LEFT(B386,2))+1,""))</f>
        <v/>
      </c>
      <c r="B386" s="56" t="n"/>
      <c r="C386" s="58">
        <f>IF(B386="","",IFERROR(INDEX('21 2026 ÜRETİM'!$F$2:$F$501,MATCH(B386,'21 2026 ÜRETİM'!$A$2:$A$501,0)),""))</f>
        <v/>
      </c>
      <c r="D386" s="56" t="n"/>
      <c r="E386" s="58">
        <f>IF(D386="","",D386*0.5)</f>
        <v/>
      </c>
      <c r="F386" s="56" t="n"/>
      <c r="G386" s="58">
        <f>IF(F386="","",F386*2.5)</f>
        <v/>
      </c>
      <c r="H386" s="56" t="n"/>
      <c r="I386" s="58">
        <f>IF(C386="","",C386-E386-G386-IF(H386="",0,H386))</f>
        <v/>
      </c>
      <c r="J386" s="56">
        <f>IF(C386="","",IF(ABS(I386)&lt;0.001,"KAPALI","KONTROL"))</f>
        <v/>
      </c>
      <c r="K386" s="65" t="n"/>
    </row>
    <row r="387" ht="15" customHeight="1">
      <c r="A387" s="60">
        <f>IF(B387="","",IFERROR(DATE(RIGHT(B387,4),MID(B387,4,2),LEFT(B387,2))+1,""))</f>
        <v/>
      </c>
      <c r="B387" s="56" t="n"/>
      <c r="C387" s="58">
        <f>IF(B387="","",IFERROR(INDEX('21 2026 ÜRETİM'!$F$2:$F$501,MATCH(B387,'21 2026 ÜRETİM'!$A$2:$A$501,0)),""))</f>
        <v/>
      </c>
      <c r="D387" s="56" t="n"/>
      <c r="E387" s="58">
        <f>IF(D387="","",D387*0.5)</f>
        <v/>
      </c>
      <c r="F387" s="56" t="n"/>
      <c r="G387" s="58">
        <f>IF(F387="","",F387*2.5)</f>
        <v/>
      </c>
      <c r="H387" s="56" t="n"/>
      <c r="I387" s="58">
        <f>IF(C387="","",C387-E387-G387-IF(H387="",0,H387))</f>
        <v/>
      </c>
      <c r="J387" s="56">
        <f>IF(C387="","",IF(ABS(I387)&lt;0.001,"KAPALI","KONTROL"))</f>
        <v/>
      </c>
      <c r="K387" s="65" t="n"/>
    </row>
    <row r="388" ht="15" customHeight="1">
      <c r="A388" s="60">
        <f>IF(B388="","",IFERROR(DATE(RIGHT(B388,4),MID(B388,4,2),LEFT(B388,2))+1,""))</f>
        <v/>
      </c>
      <c r="B388" s="56" t="n"/>
      <c r="C388" s="58">
        <f>IF(B388="","",IFERROR(INDEX('21 2026 ÜRETİM'!$F$2:$F$501,MATCH(B388,'21 2026 ÜRETİM'!$A$2:$A$501,0)),""))</f>
        <v/>
      </c>
      <c r="D388" s="56" t="n"/>
      <c r="E388" s="58">
        <f>IF(D388="","",D388*0.5)</f>
        <v/>
      </c>
      <c r="F388" s="56" t="n"/>
      <c r="G388" s="58">
        <f>IF(F388="","",F388*2.5)</f>
        <v/>
      </c>
      <c r="H388" s="56" t="n"/>
      <c r="I388" s="58">
        <f>IF(C388="","",C388-E388-G388-IF(H388="",0,H388))</f>
        <v/>
      </c>
      <c r="J388" s="56">
        <f>IF(C388="","",IF(ABS(I388)&lt;0.001,"KAPALI","KONTROL"))</f>
        <v/>
      </c>
      <c r="K388" s="65" t="n"/>
    </row>
    <row r="389" ht="15" customHeight="1">
      <c r="A389" s="60">
        <f>IF(B389="","",IFERROR(DATE(RIGHT(B389,4),MID(B389,4,2),LEFT(B389,2))+1,""))</f>
        <v/>
      </c>
      <c r="B389" s="56" t="n"/>
      <c r="C389" s="58">
        <f>IF(B389="","",IFERROR(INDEX('21 2026 ÜRETİM'!$F$2:$F$501,MATCH(B389,'21 2026 ÜRETİM'!$A$2:$A$501,0)),""))</f>
        <v/>
      </c>
      <c r="D389" s="56" t="n"/>
      <c r="E389" s="58">
        <f>IF(D389="","",D389*0.5)</f>
        <v/>
      </c>
      <c r="F389" s="56" t="n"/>
      <c r="G389" s="58">
        <f>IF(F389="","",F389*2.5)</f>
        <v/>
      </c>
      <c r="H389" s="56" t="n"/>
      <c r="I389" s="58">
        <f>IF(C389="","",C389-E389-G389-IF(H389="",0,H389))</f>
        <v/>
      </c>
      <c r="J389" s="56">
        <f>IF(C389="","",IF(ABS(I389)&lt;0.001,"KAPALI","KONTROL"))</f>
        <v/>
      </c>
      <c r="K389" s="65" t="n"/>
    </row>
    <row r="390" ht="15" customHeight="1">
      <c r="A390" s="60">
        <f>IF(B390="","",IFERROR(DATE(RIGHT(B390,4),MID(B390,4,2),LEFT(B390,2))+1,""))</f>
        <v/>
      </c>
      <c r="B390" s="56" t="n"/>
      <c r="C390" s="58">
        <f>IF(B390="","",IFERROR(INDEX('21 2026 ÜRETİM'!$F$2:$F$501,MATCH(B390,'21 2026 ÜRETİM'!$A$2:$A$501,0)),""))</f>
        <v/>
      </c>
      <c r="D390" s="56" t="n"/>
      <c r="E390" s="58">
        <f>IF(D390="","",D390*0.5)</f>
        <v/>
      </c>
      <c r="F390" s="56" t="n"/>
      <c r="G390" s="58">
        <f>IF(F390="","",F390*2.5)</f>
        <v/>
      </c>
      <c r="H390" s="56" t="n"/>
      <c r="I390" s="58">
        <f>IF(C390="","",C390-E390-G390-IF(H390="",0,H390))</f>
        <v/>
      </c>
      <c r="J390" s="56">
        <f>IF(C390="","",IF(ABS(I390)&lt;0.001,"KAPALI","KONTROL"))</f>
        <v/>
      </c>
      <c r="K390" s="65" t="n"/>
    </row>
    <row r="391" ht="15" customHeight="1">
      <c r="A391" s="60">
        <f>IF(B391="","",IFERROR(DATE(RIGHT(B391,4),MID(B391,4,2),LEFT(B391,2))+1,""))</f>
        <v/>
      </c>
      <c r="B391" s="56" t="n"/>
      <c r="C391" s="58">
        <f>IF(B391="","",IFERROR(INDEX('21 2026 ÜRETİM'!$F$2:$F$501,MATCH(B391,'21 2026 ÜRETİM'!$A$2:$A$501,0)),""))</f>
        <v/>
      </c>
      <c r="D391" s="56" t="n"/>
      <c r="E391" s="58">
        <f>IF(D391="","",D391*0.5)</f>
        <v/>
      </c>
      <c r="F391" s="56" t="n"/>
      <c r="G391" s="58">
        <f>IF(F391="","",F391*2.5)</f>
        <v/>
      </c>
      <c r="H391" s="56" t="n"/>
      <c r="I391" s="58">
        <f>IF(C391="","",C391-E391-G391-IF(H391="",0,H391))</f>
        <v/>
      </c>
      <c r="J391" s="56">
        <f>IF(C391="","",IF(ABS(I391)&lt;0.001,"KAPALI","KONTROL"))</f>
        <v/>
      </c>
      <c r="K391" s="65" t="n"/>
    </row>
    <row r="392" ht="15" customHeight="1">
      <c r="A392" s="60">
        <f>IF(B392="","",IFERROR(DATE(RIGHT(B392,4),MID(B392,4,2),LEFT(B392,2))+1,""))</f>
        <v/>
      </c>
      <c r="B392" s="56" t="n"/>
      <c r="C392" s="58">
        <f>IF(B392="","",IFERROR(INDEX('21 2026 ÜRETİM'!$F$2:$F$501,MATCH(B392,'21 2026 ÜRETİM'!$A$2:$A$501,0)),""))</f>
        <v/>
      </c>
      <c r="D392" s="56" t="n"/>
      <c r="E392" s="58">
        <f>IF(D392="","",D392*0.5)</f>
        <v/>
      </c>
      <c r="F392" s="56" t="n"/>
      <c r="G392" s="58">
        <f>IF(F392="","",F392*2.5)</f>
        <v/>
      </c>
      <c r="H392" s="56" t="n"/>
      <c r="I392" s="58">
        <f>IF(C392="","",C392-E392-G392-IF(H392="",0,H392))</f>
        <v/>
      </c>
      <c r="J392" s="56">
        <f>IF(C392="","",IF(ABS(I392)&lt;0.001,"KAPALI","KONTROL"))</f>
        <v/>
      </c>
      <c r="K392" s="65" t="n"/>
    </row>
    <row r="393" ht="15" customHeight="1">
      <c r="A393" s="60">
        <f>IF(B393="","",IFERROR(DATE(RIGHT(B393,4),MID(B393,4,2),LEFT(B393,2))+1,""))</f>
        <v/>
      </c>
      <c r="B393" s="56" t="n"/>
      <c r="C393" s="58">
        <f>IF(B393="","",IFERROR(INDEX('21 2026 ÜRETİM'!$F$2:$F$501,MATCH(B393,'21 2026 ÜRETİM'!$A$2:$A$501,0)),""))</f>
        <v/>
      </c>
      <c r="D393" s="56" t="n"/>
      <c r="E393" s="58">
        <f>IF(D393="","",D393*0.5)</f>
        <v/>
      </c>
      <c r="F393" s="56" t="n"/>
      <c r="G393" s="58">
        <f>IF(F393="","",F393*2.5)</f>
        <v/>
      </c>
      <c r="H393" s="56" t="n"/>
      <c r="I393" s="58">
        <f>IF(C393="","",C393-E393-G393-IF(H393="",0,H393))</f>
        <v/>
      </c>
      <c r="J393" s="56">
        <f>IF(C393="","",IF(ABS(I393)&lt;0.001,"KAPALI","KONTROL"))</f>
        <v/>
      </c>
      <c r="K393" s="65" t="n"/>
    </row>
    <row r="394" ht="15" customHeight="1">
      <c r="A394" s="60">
        <f>IF(B394="","",IFERROR(DATE(RIGHT(B394,4),MID(B394,4,2),LEFT(B394,2))+1,""))</f>
        <v/>
      </c>
      <c r="B394" s="56" t="n"/>
      <c r="C394" s="58">
        <f>IF(B394="","",IFERROR(INDEX('21 2026 ÜRETİM'!$F$2:$F$501,MATCH(B394,'21 2026 ÜRETİM'!$A$2:$A$501,0)),""))</f>
        <v/>
      </c>
      <c r="D394" s="56" t="n"/>
      <c r="E394" s="58">
        <f>IF(D394="","",D394*0.5)</f>
        <v/>
      </c>
      <c r="F394" s="56" t="n"/>
      <c r="G394" s="58">
        <f>IF(F394="","",F394*2.5)</f>
        <v/>
      </c>
      <c r="H394" s="56" t="n"/>
      <c r="I394" s="58">
        <f>IF(C394="","",C394-E394-G394-IF(H394="",0,H394))</f>
        <v/>
      </c>
      <c r="J394" s="56">
        <f>IF(C394="","",IF(ABS(I394)&lt;0.001,"KAPALI","KONTROL"))</f>
        <v/>
      </c>
      <c r="K394" s="65" t="n"/>
    </row>
    <row r="395" ht="15" customHeight="1">
      <c r="A395" s="60">
        <f>IF(B395="","",IFERROR(DATE(RIGHT(B395,4),MID(B395,4,2),LEFT(B395,2))+1,""))</f>
        <v/>
      </c>
      <c r="B395" s="56" t="n"/>
      <c r="C395" s="58">
        <f>IF(B395="","",IFERROR(INDEX('21 2026 ÜRETİM'!$F$2:$F$501,MATCH(B395,'21 2026 ÜRETİM'!$A$2:$A$501,0)),""))</f>
        <v/>
      </c>
      <c r="D395" s="56" t="n"/>
      <c r="E395" s="58">
        <f>IF(D395="","",D395*0.5)</f>
        <v/>
      </c>
      <c r="F395" s="56" t="n"/>
      <c r="G395" s="58">
        <f>IF(F395="","",F395*2.5)</f>
        <v/>
      </c>
      <c r="H395" s="56" t="n"/>
      <c r="I395" s="58">
        <f>IF(C395="","",C395-E395-G395-IF(H395="",0,H395))</f>
        <v/>
      </c>
      <c r="J395" s="56">
        <f>IF(C395="","",IF(ABS(I395)&lt;0.001,"KAPALI","KONTROL"))</f>
        <v/>
      </c>
      <c r="K395" s="65" t="n"/>
    </row>
    <row r="396" ht="15" customHeight="1">
      <c r="A396" s="60">
        <f>IF(B396="","",IFERROR(DATE(RIGHT(B396,4),MID(B396,4,2),LEFT(B396,2))+1,""))</f>
        <v/>
      </c>
      <c r="B396" s="56" t="n"/>
      <c r="C396" s="58">
        <f>IF(B396="","",IFERROR(INDEX('21 2026 ÜRETİM'!$F$2:$F$501,MATCH(B396,'21 2026 ÜRETİM'!$A$2:$A$501,0)),""))</f>
        <v/>
      </c>
      <c r="D396" s="56" t="n"/>
      <c r="E396" s="58">
        <f>IF(D396="","",D396*0.5)</f>
        <v/>
      </c>
      <c r="F396" s="56" t="n"/>
      <c r="G396" s="58">
        <f>IF(F396="","",F396*2.5)</f>
        <v/>
      </c>
      <c r="H396" s="56" t="n"/>
      <c r="I396" s="58">
        <f>IF(C396="","",C396-E396-G396-IF(H396="",0,H396))</f>
        <v/>
      </c>
      <c r="J396" s="56">
        <f>IF(C396="","",IF(ABS(I396)&lt;0.001,"KAPALI","KONTROL"))</f>
        <v/>
      </c>
      <c r="K396" s="65" t="n"/>
    </row>
    <row r="397" ht="15" customHeight="1">
      <c r="A397" s="60">
        <f>IF(B397="","",IFERROR(DATE(RIGHT(B397,4),MID(B397,4,2),LEFT(B397,2))+1,""))</f>
        <v/>
      </c>
      <c r="B397" s="56" t="n"/>
      <c r="C397" s="58">
        <f>IF(B397="","",IFERROR(INDEX('21 2026 ÜRETİM'!$F$2:$F$501,MATCH(B397,'21 2026 ÜRETİM'!$A$2:$A$501,0)),""))</f>
        <v/>
      </c>
      <c r="D397" s="56" t="n"/>
      <c r="E397" s="58">
        <f>IF(D397="","",D397*0.5)</f>
        <v/>
      </c>
      <c r="F397" s="56" t="n"/>
      <c r="G397" s="58">
        <f>IF(F397="","",F397*2.5)</f>
        <v/>
      </c>
      <c r="H397" s="56" t="n"/>
      <c r="I397" s="58">
        <f>IF(C397="","",C397-E397-G397-IF(H397="",0,H397))</f>
        <v/>
      </c>
      <c r="J397" s="56">
        <f>IF(C397="","",IF(ABS(I397)&lt;0.001,"KAPALI","KONTROL"))</f>
        <v/>
      </c>
      <c r="K397" s="65" t="n"/>
    </row>
    <row r="398" ht="15" customHeight="1">
      <c r="A398" s="60">
        <f>IF(B398="","",IFERROR(DATE(RIGHT(B398,4),MID(B398,4,2),LEFT(B398,2))+1,""))</f>
        <v/>
      </c>
      <c r="B398" s="56" t="n"/>
      <c r="C398" s="58">
        <f>IF(B398="","",IFERROR(INDEX('21 2026 ÜRETİM'!$F$2:$F$501,MATCH(B398,'21 2026 ÜRETİM'!$A$2:$A$501,0)),""))</f>
        <v/>
      </c>
      <c r="D398" s="56" t="n"/>
      <c r="E398" s="58">
        <f>IF(D398="","",D398*0.5)</f>
        <v/>
      </c>
      <c r="F398" s="56" t="n"/>
      <c r="G398" s="58">
        <f>IF(F398="","",F398*2.5)</f>
        <v/>
      </c>
      <c r="H398" s="56" t="n"/>
      <c r="I398" s="58">
        <f>IF(C398="","",C398-E398-G398-IF(H398="",0,H398))</f>
        <v/>
      </c>
      <c r="J398" s="56">
        <f>IF(C398="","",IF(ABS(I398)&lt;0.001,"KAPALI","KONTROL"))</f>
        <v/>
      </c>
      <c r="K398" s="65" t="n"/>
    </row>
    <row r="399" ht="15" customHeight="1">
      <c r="A399" s="60">
        <f>IF(B399="","",IFERROR(DATE(RIGHT(B399,4),MID(B399,4,2),LEFT(B399,2))+1,""))</f>
        <v/>
      </c>
      <c r="B399" s="56" t="n"/>
      <c r="C399" s="58">
        <f>IF(B399="","",IFERROR(INDEX('21 2026 ÜRETİM'!$F$2:$F$501,MATCH(B399,'21 2026 ÜRETİM'!$A$2:$A$501,0)),""))</f>
        <v/>
      </c>
      <c r="D399" s="56" t="n"/>
      <c r="E399" s="58">
        <f>IF(D399="","",D399*0.5)</f>
        <v/>
      </c>
      <c r="F399" s="56" t="n"/>
      <c r="G399" s="58">
        <f>IF(F399="","",F399*2.5)</f>
        <v/>
      </c>
      <c r="H399" s="56" t="n"/>
      <c r="I399" s="58">
        <f>IF(C399="","",C399-E399-G399-IF(H399="",0,H399))</f>
        <v/>
      </c>
      <c r="J399" s="56">
        <f>IF(C399="","",IF(ABS(I399)&lt;0.001,"KAPALI","KONTROL"))</f>
        <v/>
      </c>
      <c r="K399" s="65" t="n"/>
    </row>
    <row r="400" ht="15" customHeight="1">
      <c r="A400" s="60">
        <f>IF(B400="","",IFERROR(DATE(RIGHT(B400,4),MID(B400,4,2),LEFT(B400,2))+1,""))</f>
        <v/>
      </c>
      <c r="B400" s="56" t="n"/>
      <c r="C400" s="58">
        <f>IF(B400="","",IFERROR(INDEX('21 2026 ÜRETİM'!$F$2:$F$501,MATCH(B400,'21 2026 ÜRETİM'!$A$2:$A$501,0)),""))</f>
        <v/>
      </c>
      <c r="D400" s="56" t="n"/>
      <c r="E400" s="58">
        <f>IF(D400="","",D400*0.5)</f>
        <v/>
      </c>
      <c r="F400" s="56" t="n"/>
      <c r="G400" s="58">
        <f>IF(F400="","",F400*2.5)</f>
        <v/>
      </c>
      <c r="H400" s="56" t="n"/>
      <c r="I400" s="58">
        <f>IF(C400="","",C400-E400-G400-IF(H400="",0,H400))</f>
        <v/>
      </c>
      <c r="J400" s="56">
        <f>IF(C400="","",IF(ABS(I400)&lt;0.001,"KAPALI","KONTROL"))</f>
        <v/>
      </c>
      <c r="K400" s="65" t="n"/>
    </row>
    <row r="401" ht="15" customHeight="1">
      <c r="A401" s="60">
        <f>IF(B401="","",IFERROR(DATE(RIGHT(B401,4),MID(B401,4,2),LEFT(B401,2))+1,""))</f>
        <v/>
      </c>
      <c r="B401" s="56" t="n"/>
      <c r="C401" s="58">
        <f>IF(B401="","",IFERROR(INDEX('21 2026 ÜRETİM'!$F$2:$F$501,MATCH(B401,'21 2026 ÜRETİM'!$A$2:$A$501,0)),""))</f>
        <v/>
      </c>
      <c r="D401" s="56" t="n"/>
      <c r="E401" s="58">
        <f>IF(D401="","",D401*0.5)</f>
        <v/>
      </c>
      <c r="F401" s="56" t="n"/>
      <c r="G401" s="58">
        <f>IF(F401="","",F401*2.5)</f>
        <v/>
      </c>
      <c r="H401" s="56" t="n"/>
      <c r="I401" s="58">
        <f>IF(C401="","",C401-E401-G401-IF(H401="",0,H401))</f>
        <v/>
      </c>
      <c r="J401" s="56">
        <f>IF(C401="","",IF(ABS(I401)&lt;0.001,"KAPALI","KONTROL"))</f>
        <v/>
      </c>
      <c r="K401" s="65" t="n"/>
    </row>
    <row r="402" ht="15" customHeight="1">
      <c r="A402" s="60">
        <f>IF(B402="","",IFERROR(DATE(RIGHT(B402,4),MID(B402,4,2),LEFT(B402,2))+1,""))</f>
        <v/>
      </c>
      <c r="B402" s="56" t="n"/>
      <c r="C402" s="58">
        <f>IF(B402="","",IFERROR(INDEX('21 2026 ÜRETİM'!$F$2:$F$501,MATCH(B402,'21 2026 ÜRETİM'!$A$2:$A$501,0)),""))</f>
        <v/>
      </c>
      <c r="D402" s="56" t="n"/>
      <c r="E402" s="58">
        <f>IF(D402="","",D402*0.5)</f>
        <v/>
      </c>
      <c r="F402" s="56" t="n"/>
      <c r="G402" s="58">
        <f>IF(F402="","",F402*2.5)</f>
        <v/>
      </c>
      <c r="H402" s="56" t="n"/>
      <c r="I402" s="58">
        <f>IF(C402="","",C402-E402-G402-IF(H402="",0,H402))</f>
        <v/>
      </c>
      <c r="J402" s="56">
        <f>IF(C402="","",IF(ABS(I402)&lt;0.001,"KAPALI","KONTROL"))</f>
        <v/>
      </c>
      <c r="K402" s="65" t="n"/>
    </row>
    <row r="403" ht="15" customHeight="1">
      <c r="A403" s="60">
        <f>IF(B403="","",IFERROR(DATE(RIGHT(B403,4),MID(B403,4,2),LEFT(B403,2))+1,""))</f>
        <v/>
      </c>
      <c r="B403" s="56" t="n"/>
      <c r="C403" s="58">
        <f>IF(B403="","",IFERROR(INDEX('21 2026 ÜRETİM'!$F$2:$F$501,MATCH(B403,'21 2026 ÜRETİM'!$A$2:$A$501,0)),""))</f>
        <v/>
      </c>
      <c r="D403" s="56" t="n"/>
      <c r="E403" s="58">
        <f>IF(D403="","",D403*0.5)</f>
        <v/>
      </c>
      <c r="F403" s="56" t="n"/>
      <c r="G403" s="58">
        <f>IF(F403="","",F403*2.5)</f>
        <v/>
      </c>
      <c r="H403" s="56" t="n"/>
      <c r="I403" s="58">
        <f>IF(C403="","",C403-E403-G403-IF(H403="",0,H403))</f>
        <v/>
      </c>
      <c r="J403" s="56">
        <f>IF(C403="","",IF(ABS(I403)&lt;0.001,"KAPALI","KONTROL"))</f>
        <v/>
      </c>
      <c r="K403" s="65" t="n"/>
    </row>
    <row r="404" ht="15" customHeight="1">
      <c r="A404" s="60">
        <f>IF(B404="","",IFERROR(DATE(RIGHT(B404,4),MID(B404,4,2),LEFT(B404,2))+1,""))</f>
        <v/>
      </c>
      <c r="B404" s="56" t="n"/>
      <c r="C404" s="58">
        <f>IF(B404="","",IFERROR(INDEX('21 2026 ÜRETİM'!$F$2:$F$501,MATCH(B404,'21 2026 ÜRETİM'!$A$2:$A$501,0)),""))</f>
        <v/>
      </c>
      <c r="D404" s="56" t="n"/>
      <c r="E404" s="58">
        <f>IF(D404="","",D404*0.5)</f>
        <v/>
      </c>
      <c r="F404" s="56" t="n"/>
      <c r="G404" s="58">
        <f>IF(F404="","",F404*2.5)</f>
        <v/>
      </c>
      <c r="H404" s="56" t="n"/>
      <c r="I404" s="58">
        <f>IF(C404="","",C404-E404-G404-IF(H404="",0,H404))</f>
        <v/>
      </c>
      <c r="J404" s="56">
        <f>IF(C404="","",IF(ABS(I404)&lt;0.001,"KAPALI","KONTROL"))</f>
        <v/>
      </c>
      <c r="K404" s="65" t="n"/>
    </row>
    <row r="405" ht="15" customHeight="1">
      <c r="A405" s="60">
        <f>IF(B405="","",IFERROR(DATE(RIGHT(B405,4),MID(B405,4,2),LEFT(B405,2))+1,""))</f>
        <v/>
      </c>
      <c r="B405" s="56" t="n"/>
      <c r="C405" s="58">
        <f>IF(B405="","",IFERROR(INDEX('21 2026 ÜRETİM'!$F$2:$F$501,MATCH(B405,'21 2026 ÜRETİM'!$A$2:$A$501,0)),""))</f>
        <v/>
      </c>
      <c r="D405" s="56" t="n"/>
      <c r="E405" s="58">
        <f>IF(D405="","",D405*0.5)</f>
        <v/>
      </c>
      <c r="F405" s="56" t="n"/>
      <c r="G405" s="58">
        <f>IF(F405="","",F405*2.5)</f>
        <v/>
      </c>
      <c r="H405" s="56" t="n"/>
      <c r="I405" s="58">
        <f>IF(C405="","",C405-E405-G405-IF(H405="",0,H405))</f>
        <v/>
      </c>
      <c r="J405" s="56">
        <f>IF(C405="","",IF(ABS(I405)&lt;0.001,"KAPALI","KONTROL"))</f>
        <v/>
      </c>
      <c r="K405" s="65" t="n"/>
    </row>
    <row r="406" ht="15" customHeight="1">
      <c r="A406" s="60">
        <f>IF(B406="","",IFERROR(DATE(RIGHT(B406,4),MID(B406,4,2),LEFT(B406,2))+1,""))</f>
        <v/>
      </c>
      <c r="B406" s="56" t="n"/>
      <c r="C406" s="58">
        <f>IF(B406="","",IFERROR(INDEX('21 2026 ÜRETİM'!$F$2:$F$501,MATCH(B406,'21 2026 ÜRETİM'!$A$2:$A$501,0)),""))</f>
        <v/>
      </c>
      <c r="D406" s="56" t="n"/>
      <c r="E406" s="58">
        <f>IF(D406="","",D406*0.5)</f>
        <v/>
      </c>
      <c r="F406" s="56" t="n"/>
      <c r="G406" s="58">
        <f>IF(F406="","",F406*2.5)</f>
        <v/>
      </c>
      <c r="H406" s="56" t="n"/>
      <c r="I406" s="58">
        <f>IF(C406="","",C406-E406-G406-IF(H406="",0,H406))</f>
        <v/>
      </c>
      <c r="J406" s="56">
        <f>IF(C406="","",IF(ABS(I406)&lt;0.001,"KAPALI","KONTROL"))</f>
        <v/>
      </c>
      <c r="K406" s="65" t="n"/>
    </row>
    <row r="407" ht="15" customHeight="1">
      <c r="A407" s="60">
        <f>IF(B407="","",IFERROR(DATE(RIGHT(B407,4),MID(B407,4,2),LEFT(B407,2))+1,""))</f>
        <v/>
      </c>
      <c r="B407" s="56" t="n"/>
      <c r="C407" s="58">
        <f>IF(B407="","",IFERROR(INDEX('21 2026 ÜRETİM'!$F$2:$F$501,MATCH(B407,'21 2026 ÜRETİM'!$A$2:$A$501,0)),""))</f>
        <v/>
      </c>
      <c r="D407" s="56" t="n"/>
      <c r="E407" s="58">
        <f>IF(D407="","",D407*0.5)</f>
        <v/>
      </c>
      <c r="F407" s="56" t="n"/>
      <c r="G407" s="58">
        <f>IF(F407="","",F407*2.5)</f>
        <v/>
      </c>
      <c r="H407" s="56" t="n"/>
      <c r="I407" s="58">
        <f>IF(C407="","",C407-E407-G407-IF(H407="",0,H407))</f>
        <v/>
      </c>
      <c r="J407" s="56">
        <f>IF(C407="","",IF(ABS(I407)&lt;0.001,"KAPALI","KONTROL"))</f>
        <v/>
      </c>
      <c r="K407" s="65" t="n"/>
    </row>
    <row r="408" ht="15" customHeight="1">
      <c r="A408" s="60">
        <f>IF(B408="","",IFERROR(DATE(RIGHT(B408,4),MID(B408,4,2),LEFT(B408,2))+1,""))</f>
        <v/>
      </c>
      <c r="B408" s="56" t="n"/>
      <c r="C408" s="58">
        <f>IF(B408="","",IFERROR(INDEX('21 2026 ÜRETİM'!$F$2:$F$501,MATCH(B408,'21 2026 ÜRETİM'!$A$2:$A$501,0)),""))</f>
        <v/>
      </c>
      <c r="D408" s="56" t="n"/>
      <c r="E408" s="58">
        <f>IF(D408="","",D408*0.5)</f>
        <v/>
      </c>
      <c r="F408" s="56" t="n"/>
      <c r="G408" s="58">
        <f>IF(F408="","",F408*2.5)</f>
        <v/>
      </c>
      <c r="H408" s="56" t="n"/>
      <c r="I408" s="58">
        <f>IF(C408="","",C408-E408-G408-IF(H408="",0,H408))</f>
        <v/>
      </c>
      <c r="J408" s="56">
        <f>IF(C408="","",IF(ABS(I408)&lt;0.001,"KAPALI","KONTROL"))</f>
        <v/>
      </c>
      <c r="K408" s="65" t="n"/>
    </row>
    <row r="409" ht="15" customHeight="1">
      <c r="A409" s="60">
        <f>IF(B409="","",IFERROR(DATE(RIGHT(B409,4),MID(B409,4,2),LEFT(B409,2))+1,""))</f>
        <v/>
      </c>
      <c r="B409" s="56" t="n"/>
      <c r="C409" s="58">
        <f>IF(B409="","",IFERROR(INDEX('21 2026 ÜRETİM'!$F$2:$F$501,MATCH(B409,'21 2026 ÜRETİM'!$A$2:$A$501,0)),""))</f>
        <v/>
      </c>
      <c r="D409" s="56" t="n"/>
      <c r="E409" s="58">
        <f>IF(D409="","",D409*0.5)</f>
        <v/>
      </c>
      <c r="F409" s="56" t="n"/>
      <c r="G409" s="58">
        <f>IF(F409="","",F409*2.5)</f>
        <v/>
      </c>
      <c r="H409" s="56" t="n"/>
      <c r="I409" s="58">
        <f>IF(C409="","",C409-E409-G409-IF(H409="",0,H409))</f>
        <v/>
      </c>
      <c r="J409" s="56">
        <f>IF(C409="","",IF(ABS(I409)&lt;0.001,"KAPALI","KONTROL"))</f>
        <v/>
      </c>
      <c r="K409" s="65" t="n"/>
    </row>
    <row r="410" ht="15" customHeight="1">
      <c r="A410" s="60">
        <f>IF(B410="","",IFERROR(DATE(RIGHT(B410,4),MID(B410,4,2),LEFT(B410,2))+1,""))</f>
        <v/>
      </c>
      <c r="B410" s="56" t="n"/>
      <c r="C410" s="58">
        <f>IF(B410="","",IFERROR(INDEX('21 2026 ÜRETİM'!$F$2:$F$501,MATCH(B410,'21 2026 ÜRETİM'!$A$2:$A$501,0)),""))</f>
        <v/>
      </c>
      <c r="D410" s="56" t="n"/>
      <c r="E410" s="58">
        <f>IF(D410="","",D410*0.5)</f>
        <v/>
      </c>
      <c r="F410" s="56" t="n"/>
      <c r="G410" s="58">
        <f>IF(F410="","",F410*2.5)</f>
        <v/>
      </c>
      <c r="H410" s="56" t="n"/>
      <c r="I410" s="58">
        <f>IF(C410="","",C410-E410-G410-IF(H410="",0,H410))</f>
        <v/>
      </c>
      <c r="J410" s="56">
        <f>IF(C410="","",IF(ABS(I410)&lt;0.001,"KAPALI","KONTROL"))</f>
        <v/>
      </c>
      <c r="K410" s="65" t="n"/>
    </row>
    <row r="411" ht="15" customHeight="1">
      <c r="A411" s="60">
        <f>IF(B411="","",IFERROR(DATE(RIGHT(B411,4),MID(B411,4,2),LEFT(B411,2))+1,""))</f>
        <v/>
      </c>
      <c r="B411" s="56" t="n"/>
      <c r="C411" s="58">
        <f>IF(B411="","",IFERROR(INDEX('21 2026 ÜRETİM'!$F$2:$F$501,MATCH(B411,'21 2026 ÜRETİM'!$A$2:$A$501,0)),""))</f>
        <v/>
      </c>
      <c r="D411" s="56" t="n"/>
      <c r="E411" s="58">
        <f>IF(D411="","",D411*0.5)</f>
        <v/>
      </c>
      <c r="F411" s="56" t="n"/>
      <c r="G411" s="58">
        <f>IF(F411="","",F411*2.5)</f>
        <v/>
      </c>
      <c r="H411" s="56" t="n"/>
      <c r="I411" s="58">
        <f>IF(C411="","",C411-E411-G411-IF(H411="",0,H411))</f>
        <v/>
      </c>
      <c r="J411" s="56">
        <f>IF(C411="","",IF(ABS(I411)&lt;0.001,"KAPALI","KONTROL"))</f>
        <v/>
      </c>
      <c r="K411" s="65" t="n"/>
    </row>
    <row r="412" ht="15" customHeight="1">
      <c r="A412" s="60">
        <f>IF(B412="","",IFERROR(DATE(RIGHT(B412,4),MID(B412,4,2),LEFT(B412,2))+1,""))</f>
        <v/>
      </c>
      <c r="B412" s="56" t="n"/>
      <c r="C412" s="58">
        <f>IF(B412="","",IFERROR(INDEX('21 2026 ÜRETİM'!$F$2:$F$501,MATCH(B412,'21 2026 ÜRETİM'!$A$2:$A$501,0)),""))</f>
        <v/>
      </c>
      <c r="D412" s="56" t="n"/>
      <c r="E412" s="58">
        <f>IF(D412="","",D412*0.5)</f>
        <v/>
      </c>
      <c r="F412" s="56" t="n"/>
      <c r="G412" s="58">
        <f>IF(F412="","",F412*2.5)</f>
        <v/>
      </c>
      <c r="H412" s="56" t="n"/>
      <c r="I412" s="58">
        <f>IF(C412="","",C412-E412-G412-IF(H412="",0,H412))</f>
        <v/>
      </c>
      <c r="J412" s="56">
        <f>IF(C412="","",IF(ABS(I412)&lt;0.001,"KAPALI","KONTROL"))</f>
        <v/>
      </c>
      <c r="K412" s="65" t="n"/>
    </row>
    <row r="413" ht="15" customHeight="1">
      <c r="A413" s="60">
        <f>IF(B413="","",IFERROR(DATE(RIGHT(B413,4),MID(B413,4,2),LEFT(B413,2))+1,""))</f>
        <v/>
      </c>
      <c r="B413" s="56" t="n"/>
      <c r="C413" s="58">
        <f>IF(B413="","",IFERROR(INDEX('21 2026 ÜRETİM'!$F$2:$F$501,MATCH(B413,'21 2026 ÜRETİM'!$A$2:$A$501,0)),""))</f>
        <v/>
      </c>
      <c r="D413" s="56" t="n"/>
      <c r="E413" s="58">
        <f>IF(D413="","",D413*0.5)</f>
        <v/>
      </c>
      <c r="F413" s="56" t="n"/>
      <c r="G413" s="58">
        <f>IF(F413="","",F413*2.5)</f>
        <v/>
      </c>
      <c r="H413" s="56" t="n"/>
      <c r="I413" s="58">
        <f>IF(C413="","",C413-E413-G413-IF(H413="",0,H413))</f>
        <v/>
      </c>
      <c r="J413" s="56">
        <f>IF(C413="","",IF(ABS(I413)&lt;0.001,"KAPALI","KONTROL"))</f>
        <v/>
      </c>
      <c r="K413" s="65" t="n"/>
    </row>
    <row r="414" ht="15" customHeight="1">
      <c r="A414" s="60">
        <f>IF(B414="","",IFERROR(DATE(RIGHT(B414,4),MID(B414,4,2),LEFT(B414,2))+1,""))</f>
        <v/>
      </c>
      <c r="B414" s="56" t="n"/>
      <c r="C414" s="58">
        <f>IF(B414="","",IFERROR(INDEX('21 2026 ÜRETİM'!$F$2:$F$501,MATCH(B414,'21 2026 ÜRETİM'!$A$2:$A$501,0)),""))</f>
        <v/>
      </c>
      <c r="D414" s="56" t="n"/>
      <c r="E414" s="58">
        <f>IF(D414="","",D414*0.5)</f>
        <v/>
      </c>
      <c r="F414" s="56" t="n"/>
      <c r="G414" s="58">
        <f>IF(F414="","",F414*2.5)</f>
        <v/>
      </c>
      <c r="H414" s="56" t="n"/>
      <c r="I414" s="58">
        <f>IF(C414="","",C414-E414-G414-IF(H414="",0,H414))</f>
        <v/>
      </c>
      <c r="J414" s="56">
        <f>IF(C414="","",IF(ABS(I414)&lt;0.001,"KAPALI","KONTROL"))</f>
        <v/>
      </c>
      <c r="K414" s="65" t="n"/>
    </row>
    <row r="415" ht="15" customHeight="1">
      <c r="A415" s="60">
        <f>IF(B415="","",IFERROR(DATE(RIGHT(B415,4),MID(B415,4,2),LEFT(B415,2))+1,""))</f>
        <v/>
      </c>
      <c r="B415" s="56" t="n"/>
      <c r="C415" s="58">
        <f>IF(B415="","",IFERROR(INDEX('21 2026 ÜRETİM'!$F$2:$F$501,MATCH(B415,'21 2026 ÜRETİM'!$A$2:$A$501,0)),""))</f>
        <v/>
      </c>
      <c r="D415" s="56" t="n"/>
      <c r="E415" s="58">
        <f>IF(D415="","",D415*0.5)</f>
        <v/>
      </c>
      <c r="F415" s="56" t="n"/>
      <c r="G415" s="58">
        <f>IF(F415="","",F415*2.5)</f>
        <v/>
      </c>
      <c r="H415" s="56" t="n"/>
      <c r="I415" s="58">
        <f>IF(C415="","",C415-E415-G415-IF(H415="",0,H415))</f>
        <v/>
      </c>
      <c r="J415" s="56">
        <f>IF(C415="","",IF(ABS(I415)&lt;0.001,"KAPALI","KONTROL"))</f>
        <v/>
      </c>
      <c r="K415" s="65" t="n"/>
    </row>
    <row r="416" ht="15" customHeight="1">
      <c r="A416" s="60">
        <f>IF(B416="","",IFERROR(DATE(RIGHT(B416,4),MID(B416,4,2),LEFT(B416,2))+1,""))</f>
        <v/>
      </c>
      <c r="B416" s="56" t="n"/>
      <c r="C416" s="58">
        <f>IF(B416="","",IFERROR(INDEX('21 2026 ÜRETİM'!$F$2:$F$501,MATCH(B416,'21 2026 ÜRETİM'!$A$2:$A$501,0)),""))</f>
        <v/>
      </c>
      <c r="D416" s="56" t="n"/>
      <c r="E416" s="58">
        <f>IF(D416="","",D416*0.5)</f>
        <v/>
      </c>
      <c r="F416" s="56" t="n"/>
      <c r="G416" s="58">
        <f>IF(F416="","",F416*2.5)</f>
        <v/>
      </c>
      <c r="H416" s="56" t="n"/>
      <c r="I416" s="58">
        <f>IF(C416="","",C416-E416-G416-IF(H416="",0,H416))</f>
        <v/>
      </c>
      <c r="J416" s="56">
        <f>IF(C416="","",IF(ABS(I416)&lt;0.001,"KAPALI","KONTROL"))</f>
        <v/>
      </c>
      <c r="K416" s="65" t="n"/>
    </row>
    <row r="417" ht="15" customHeight="1">
      <c r="A417" s="60">
        <f>IF(B417="","",IFERROR(DATE(RIGHT(B417,4),MID(B417,4,2),LEFT(B417,2))+1,""))</f>
        <v/>
      </c>
      <c r="B417" s="56" t="n"/>
      <c r="C417" s="58">
        <f>IF(B417="","",IFERROR(INDEX('21 2026 ÜRETİM'!$F$2:$F$501,MATCH(B417,'21 2026 ÜRETİM'!$A$2:$A$501,0)),""))</f>
        <v/>
      </c>
      <c r="D417" s="56" t="n"/>
      <c r="E417" s="58">
        <f>IF(D417="","",D417*0.5)</f>
        <v/>
      </c>
      <c r="F417" s="56" t="n"/>
      <c r="G417" s="58">
        <f>IF(F417="","",F417*2.5)</f>
        <v/>
      </c>
      <c r="H417" s="56" t="n"/>
      <c r="I417" s="58">
        <f>IF(C417="","",C417-E417-G417-IF(H417="",0,H417))</f>
        <v/>
      </c>
      <c r="J417" s="56">
        <f>IF(C417="","",IF(ABS(I417)&lt;0.001,"KAPALI","KONTROL"))</f>
        <v/>
      </c>
      <c r="K417" s="65" t="n"/>
    </row>
    <row r="418" ht="15" customHeight="1">
      <c r="A418" s="60">
        <f>IF(B418="","",IFERROR(DATE(RIGHT(B418,4),MID(B418,4,2),LEFT(B418,2))+1,""))</f>
        <v/>
      </c>
      <c r="B418" s="56" t="n"/>
      <c r="C418" s="58">
        <f>IF(B418="","",IFERROR(INDEX('21 2026 ÜRETİM'!$F$2:$F$501,MATCH(B418,'21 2026 ÜRETİM'!$A$2:$A$501,0)),""))</f>
        <v/>
      </c>
      <c r="D418" s="56" t="n"/>
      <c r="E418" s="58">
        <f>IF(D418="","",D418*0.5)</f>
        <v/>
      </c>
      <c r="F418" s="56" t="n"/>
      <c r="G418" s="58">
        <f>IF(F418="","",F418*2.5)</f>
        <v/>
      </c>
      <c r="H418" s="56" t="n"/>
      <c r="I418" s="58">
        <f>IF(C418="","",C418-E418-G418-IF(H418="",0,H418))</f>
        <v/>
      </c>
      <c r="J418" s="56">
        <f>IF(C418="","",IF(ABS(I418)&lt;0.001,"KAPALI","KONTROL"))</f>
        <v/>
      </c>
      <c r="K418" s="65" t="n"/>
    </row>
    <row r="419" ht="15" customHeight="1">
      <c r="A419" s="60">
        <f>IF(B419="","",IFERROR(DATE(RIGHT(B419,4),MID(B419,4,2),LEFT(B419,2))+1,""))</f>
        <v/>
      </c>
      <c r="B419" s="56" t="n"/>
      <c r="C419" s="58">
        <f>IF(B419="","",IFERROR(INDEX('21 2026 ÜRETİM'!$F$2:$F$501,MATCH(B419,'21 2026 ÜRETİM'!$A$2:$A$501,0)),""))</f>
        <v/>
      </c>
      <c r="D419" s="56" t="n"/>
      <c r="E419" s="58">
        <f>IF(D419="","",D419*0.5)</f>
        <v/>
      </c>
      <c r="F419" s="56" t="n"/>
      <c r="G419" s="58">
        <f>IF(F419="","",F419*2.5)</f>
        <v/>
      </c>
      <c r="H419" s="56" t="n"/>
      <c r="I419" s="58">
        <f>IF(C419="","",C419-E419-G419-IF(H419="",0,H419))</f>
        <v/>
      </c>
      <c r="J419" s="56">
        <f>IF(C419="","",IF(ABS(I419)&lt;0.001,"KAPALI","KONTROL"))</f>
        <v/>
      </c>
      <c r="K419" s="65" t="n"/>
    </row>
    <row r="420" ht="15" customHeight="1">
      <c r="A420" s="60">
        <f>IF(B420="","",IFERROR(DATE(RIGHT(B420,4),MID(B420,4,2),LEFT(B420,2))+1,""))</f>
        <v/>
      </c>
      <c r="B420" s="56" t="n"/>
      <c r="C420" s="58">
        <f>IF(B420="","",IFERROR(INDEX('21 2026 ÜRETİM'!$F$2:$F$501,MATCH(B420,'21 2026 ÜRETİM'!$A$2:$A$501,0)),""))</f>
        <v/>
      </c>
      <c r="D420" s="56" t="n"/>
      <c r="E420" s="58">
        <f>IF(D420="","",D420*0.5)</f>
        <v/>
      </c>
      <c r="F420" s="56" t="n"/>
      <c r="G420" s="58">
        <f>IF(F420="","",F420*2.5)</f>
        <v/>
      </c>
      <c r="H420" s="56" t="n"/>
      <c r="I420" s="58">
        <f>IF(C420="","",C420-E420-G420-IF(H420="",0,H420))</f>
        <v/>
      </c>
      <c r="J420" s="56">
        <f>IF(C420="","",IF(ABS(I420)&lt;0.001,"KAPALI","KONTROL"))</f>
        <v/>
      </c>
      <c r="K420" s="65" t="n"/>
    </row>
    <row r="421" ht="15" customHeight="1">
      <c r="A421" s="60">
        <f>IF(B421="","",IFERROR(DATE(RIGHT(B421,4),MID(B421,4,2),LEFT(B421,2))+1,""))</f>
        <v/>
      </c>
      <c r="B421" s="56" t="n"/>
      <c r="C421" s="58">
        <f>IF(B421="","",IFERROR(INDEX('21 2026 ÜRETİM'!$F$2:$F$501,MATCH(B421,'21 2026 ÜRETİM'!$A$2:$A$501,0)),""))</f>
        <v/>
      </c>
      <c r="D421" s="56" t="n"/>
      <c r="E421" s="58">
        <f>IF(D421="","",D421*0.5)</f>
        <v/>
      </c>
      <c r="F421" s="56" t="n"/>
      <c r="G421" s="58">
        <f>IF(F421="","",F421*2.5)</f>
        <v/>
      </c>
      <c r="H421" s="56" t="n"/>
      <c r="I421" s="58">
        <f>IF(C421="","",C421-E421-G421-IF(H421="",0,H421))</f>
        <v/>
      </c>
      <c r="J421" s="56">
        <f>IF(C421="","",IF(ABS(I421)&lt;0.001,"KAPALI","KONTROL"))</f>
        <v/>
      </c>
      <c r="K421" s="65" t="n"/>
    </row>
    <row r="422" ht="15" customHeight="1">
      <c r="A422" s="60">
        <f>IF(B422="","",IFERROR(DATE(RIGHT(B422,4),MID(B422,4,2),LEFT(B422,2))+1,""))</f>
        <v/>
      </c>
      <c r="B422" s="56" t="n"/>
      <c r="C422" s="58">
        <f>IF(B422="","",IFERROR(INDEX('21 2026 ÜRETİM'!$F$2:$F$501,MATCH(B422,'21 2026 ÜRETİM'!$A$2:$A$501,0)),""))</f>
        <v/>
      </c>
      <c r="D422" s="56" t="n"/>
      <c r="E422" s="58">
        <f>IF(D422="","",D422*0.5)</f>
        <v/>
      </c>
      <c r="F422" s="56" t="n"/>
      <c r="G422" s="58">
        <f>IF(F422="","",F422*2.5)</f>
        <v/>
      </c>
      <c r="H422" s="56" t="n"/>
      <c r="I422" s="58">
        <f>IF(C422="","",C422-E422-G422-IF(H422="",0,H422))</f>
        <v/>
      </c>
      <c r="J422" s="56">
        <f>IF(C422="","",IF(ABS(I422)&lt;0.001,"KAPALI","KONTROL"))</f>
        <v/>
      </c>
      <c r="K422" s="65" t="n"/>
    </row>
    <row r="423" ht="15" customHeight="1">
      <c r="A423" s="60">
        <f>IF(B423="","",IFERROR(DATE(RIGHT(B423,4),MID(B423,4,2),LEFT(B423,2))+1,""))</f>
        <v/>
      </c>
      <c r="B423" s="56" t="n"/>
      <c r="C423" s="58">
        <f>IF(B423="","",IFERROR(INDEX('21 2026 ÜRETİM'!$F$2:$F$501,MATCH(B423,'21 2026 ÜRETİM'!$A$2:$A$501,0)),""))</f>
        <v/>
      </c>
      <c r="D423" s="56" t="n"/>
      <c r="E423" s="58">
        <f>IF(D423="","",D423*0.5)</f>
        <v/>
      </c>
      <c r="F423" s="56" t="n"/>
      <c r="G423" s="58">
        <f>IF(F423="","",F423*2.5)</f>
        <v/>
      </c>
      <c r="H423" s="56" t="n"/>
      <c r="I423" s="58">
        <f>IF(C423="","",C423-E423-G423-IF(H423="",0,H423))</f>
        <v/>
      </c>
      <c r="J423" s="56">
        <f>IF(C423="","",IF(ABS(I423)&lt;0.001,"KAPALI","KONTROL"))</f>
        <v/>
      </c>
      <c r="K423" s="65" t="n"/>
    </row>
    <row r="424" ht="15" customHeight="1">
      <c r="A424" s="60">
        <f>IF(B424="","",IFERROR(DATE(RIGHT(B424,4),MID(B424,4,2),LEFT(B424,2))+1,""))</f>
        <v/>
      </c>
      <c r="B424" s="56" t="n"/>
      <c r="C424" s="58">
        <f>IF(B424="","",IFERROR(INDEX('21 2026 ÜRETİM'!$F$2:$F$501,MATCH(B424,'21 2026 ÜRETİM'!$A$2:$A$501,0)),""))</f>
        <v/>
      </c>
      <c r="D424" s="56" t="n"/>
      <c r="E424" s="58">
        <f>IF(D424="","",D424*0.5)</f>
        <v/>
      </c>
      <c r="F424" s="56" t="n"/>
      <c r="G424" s="58">
        <f>IF(F424="","",F424*2.5)</f>
        <v/>
      </c>
      <c r="H424" s="56" t="n"/>
      <c r="I424" s="58">
        <f>IF(C424="","",C424-E424-G424-IF(H424="",0,H424))</f>
        <v/>
      </c>
      <c r="J424" s="56">
        <f>IF(C424="","",IF(ABS(I424)&lt;0.001,"KAPALI","KONTROL"))</f>
        <v/>
      </c>
      <c r="K424" s="65" t="n"/>
    </row>
    <row r="425" ht="15" customHeight="1">
      <c r="A425" s="60">
        <f>IF(B425="","",IFERROR(DATE(RIGHT(B425,4),MID(B425,4,2),LEFT(B425,2))+1,""))</f>
        <v/>
      </c>
      <c r="B425" s="56" t="n"/>
      <c r="C425" s="58">
        <f>IF(B425="","",IFERROR(INDEX('21 2026 ÜRETİM'!$F$2:$F$501,MATCH(B425,'21 2026 ÜRETİM'!$A$2:$A$501,0)),""))</f>
        <v/>
      </c>
      <c r="D425" s="56" t="n"/>
      <c r="E425" s="58">
        <f>IF(D425="","",D425*0.5)</f>
        <v/>
      </c>
      <c r="F425" s="56" t="n"/>
      <c r="G425" s="58">
        <f>IF(F425="","",F425*2.5)</f>
        <v/>
      </c>
      <c r="H425" s="56" t="n"/>
      <c r="I425" s="58">
        <f>IF(C425="","",C425-E425-G425-IF(H425="",0,H425))</f>
        <v/>
      </c>
      <c r="J425" s="56">
        <f>IF(C425="","",IF(ABS(I425)&lt;0.001,"KAPALI","KONTROL"))</f>
        <v/>
      </c>
      <c r="K425" s="65" t="n"/>
    </row>
    <row r="426" ht="15" customHeight="1">
      <c r="A426" s="60">
        <f>IF(B426="","",IFERROR(DATE(RIGHT(B426,4),MID(B426,4,2),LEFT(B426,2))+1,""))</f>
        <v/>
      </c>
      <c r="B426" s="56" t="n"/>
      <c r="C426" s="58">
        <f>IF(B426="","",IFERROR(INDEX('21 2026 ÜRETİM'!$F$2:$F$501,MATCH(B426,'21 2026 ÜRETİM'!$A$2:$A$501,0)),""))</f>
        <v/>
      </c>
      <c r="D426" s="56" t="n"/>
      <c r="E426" s="58">
        <f>IF(D426="","",D426*0.5)</f>
        <v/>
      </c>
      <c r="F426" s="56" t="n"/>
      <c r="G426" s="58">
        <f>IF(F426="","",F426*2.5)</f>
        <v/>
      </c>
      <c r="H426" s="56" t="n"/>
      <c r="I426" s="58">
        <f>IF(C426="","",C426-E426-G426-IF(H426="",0,H426))</f>
        <v/>
      </c>
      <c r="J426" s="56">
        <f>IF(C426="","",IF(ABS(I426)&lt;0.001,"KAPALI","KONTROL"))</f>
        <v/>
      </c>
      <c r="K426" s="65" t="n"/>
    </row>
    <row r="427" ht="15" customHeight="1">
      <c r="A427" s="60">
        <f>IF(B427="","",IFERROR(DATE(RIGHT(B427,4),MID(B427,4,2),LEFT(B427,2))+1,""))</f>
        <v/>
      </c>
      <c r="B427" s="56" t="n"/>
      <c r="C427" s="58">
        <f>IF(B427="","",IFERROR(INDEX('21 2026 ÜRETİM'!$F$2:$F$501,MATCH(B427,'21 2026 ÜRETİM'!$A$2:$A$501,0)),""))</f>
        <v/>
      </c>
      <c r="D427" s="56" t="n"/>
      <c r="E427" s="58">
        <f>IF(D427="","",D427*0.5)</f>
        <v/>
      </c>
      <c r="F427" s="56" t="n"/>
      <c r="G427" s="58">
        <f>IF(F427="","",F427*2.5)</f>
        <v/>
      </c>
      <c r="H427" s="56" t="n"/>
      <c r="I427" s="58">
        <f>IF(C427="","",C427-E427-G427-IF(H427="",0,H427))</f>
        <v/>
      </c>
      <c r="J427" s="56">
        <f>IF(C427="","",IF(ABS(I427)&lt;0.001,"KAPALI","KONTROL"))</f>
        <v/>
      </c>
      <c r="K427" s="65" t="n"/>
    </row>
    <row r="428" ht="15" customHeight="1">
      <c r="A428" s="60">
        <f>IF(B428="","",IFERROR(DATE(RIGHT(B428,4),MID(B428,4,2),LEFT(B428,2))+1,""))</f>
        <v/>
      </c>
      <c r="B428" s="56" t="n"/>
      <c r="C428" s="58">
        <f>IF(B428="","",IFERROR(INDEX('21 2026 ÜRETİM'!$F$2:$F$501,MATCH(B428,'21 2026 ÜRETİM'!$A$2:$A$501,0)),""))</f>
        <v/>
      </c>
      <c r="D428" s="56" t="n"/>
      <c r="E428" s="58">
        <f>IF(D428="","",D428*0.5)</f>
        <v/>
      </c>
      <c r="F428" s="56" t="n"/>
      <c r="G428" s="58">
        <f>IF(F428="","",F428*2.5)</f>
        <v/>
      </c>
      <c r="H428" s="56" t="n"/>
      <c r="I428" s="58">
        <f>IF(C428="","",C428-E428-G428-IF(H428="",0,H428))</f>
        <v/>
      </c>
      <c r="J428" s="56">
        <f>IF(C428="","",IF(ABS(I428)&lt;0.001,"KAPALI","KONTROL"))</f>
        <v/>
      </c>
      <c r="K428" s="65" t="n"/>
    </row>
    <row r="429" ht="15" customHeight="1">
      <c r="A429" s="60">
        <f>IF(B429="","",IFERROR(DATE(RIGHT(B429,4),MID(B429,4,2),LEFT(B429,2))+1,""))</f>
        <v/>
      </c>
      <c r="B429" s="56" t="n"/>
      <c r="C429" s="58">
        <f>IF(B429="","",IFERROR(INDEX('21 2026 ÜRETİM'!$F$2:$F$501,MATCH(B429,'21 2026 ÜRETİM'!$A$2:$A$501,0)),""))</f>
        <v/>
      </c>
      <c r="D429" s="56" t="n"/>
      <c r="E429" s="58">
        <f>IF(D429="","",D429*0.5)</f>
        <v/>
      </c>
      <c r="F429" s="56" t="n"/>
      <c r="G429" s="58">
        <f>IF(F429="","",F429*2.5)</f>
        <v/>
      </c>
      <c r="H429" s="56" t="n"/>
      <c r="I429" s="58">
        <f>IF(C429="","",C429-E429-G429-IF(H429="",0,H429))</f>
        <v/>
      </c>
      <c r="J429" s="56">
        <f>IF(C429="","",IF(ABS(I429)&lt;0.001,"KAPALI","KONTROL"))</f>
        <v/>
      </c>
      <c r="K429" s="65" t="n"/>
    </row>
    <row r="430" ht="15" customHeight="1">
      <c r="A430" s="60">
        <f>IF(B430="","",IFERROR(DATE(RIGHT(B430,4),MID(B430,4,2),LEFT(B430,2))+1,""))</f>
        <v/>
      </c>
      <c r="B430" s="56" t="n"/>
      <c r="C430" s="58">
        <f>IF(B430="","",IFERROR(INDEX('21 2026 ÜRETİM'!$F$2:$F$501,MATCH(B430,'21 2026 ÜRETİM'!$A$2:$A$501,0)),""))</f>
        <v/>
      </c>
      <c r="D430" s="56" t="n"/>
      <c r="E430" s="58">
        <f>IF(D430="","",D430*0.5)</f>
        <v/>
      </c>
      <c r="F430" s="56" t="n"/>
      <c r="G430" s="58">
        <f>IF(F430="","",F430*2.5)</f>
        <v/>
      </c>
      <c r="H430" s="56" t="n"/>
      <c r="I430" s="58">
        <f>IF(C430="","",C430-E430-G430-IF(H430="",0,H430))</f>
        <v/>
      </c>
      <c r="J430" s="56">
        <f>IF(C430="","",IF(ABS(I430)&lt;0.001,"KAPALI","KONTROL"))</f>
        <v/>
      </c>
      <c r="K430" s="65" t="n"/>
    </row>
    <row r="431" ht="15" customHeight="1">
      <c r="A431" s="60">
        <f>IF(B431="","",IFERROR(DATE(RIGHT(B431,4),MID(B431,4,2),LEFT(B431,2))+1,""))</f>
        <v/>
      </c>
      <c r="B431" s="56" t="n"/>
      <c r="C431" s="58">
        <f>IF(B431="","",IFERROR(INDEX('21 2026 ÜRETİM'!$F$2:$F$501,MATCH(B431,'21 2026 ÜRETİM'!$A$2:$A$501,0)),""))</f>
        <v/>
      </c>
      <c r="D431" s="56" t="n"/>
      <c r="E431" s="58">
        <f>IF(D431="","",D431*0.5)</f>
        <v/>
      </c>
      <c r="F431" s="56" t="n"/>
      <c r="G431" s="58">
        <f>IF(F431="","",F431*2.5)</f>
        <v/>
      </c>
      <c r="H431" s="56" t="n"/>
      <c r="I431" s="58">
        <f>IF(C431="","",C431-E431-G431-IF(H431="",0,H431))</f>
        <v/>
      </c>
      <c r="J431" s="56">
        <f>IF(C431="","",IF(ABS(I431)&lt;0.001,"KAPALI","KONTROL"))</f>
        <v/>
      </c>
      <c r="K431" s="65" t="n"/>
    </row>
    <row r="432" ht="15" customHeight="1">
      <c r="A432" s="60">
        <f>IF(B432="","",IFERROR(DATE(RIGHT(B432,4),MID(B432,4,2),LEFT(B432,2))+1,""))</f>
        <v/>
      </c>
      <c r="B432" s="56" t="n"/>
      <c r="C432" s="58">
        <f>IF(B432="","",IFERROR(INDEX('21 2026 ÜRETİM'!$F$2:$F$501,MATCH(B432,'21 2026 ÜRETİM'!$A$2:$A$501,0)),""))</f>
        <v/>
      </c>
      <c r="D432" s="56" t="n"/>
      <c r="E432" s="58">
        <f>IF(D432="","",D432*0.5)</f>
        <v/>
      </c>
      <c r="F432" s="56" t="n"/>
      <c r="G432" s="58">
        <f>IF(F432="","",F432*2.5)</f>
        <v/>
      </c>
      <c r="H432" s="56" t="n"/>
      <c r="I432" s="58">
        <f>IF(C432="","",C432-E432-G432-IF(H432="",0,H432))</f>
        <v/>
      </c>
      <c r="J432" s="56">
        <f>IF(C432="","",IF(ABS(I432)&lt;0.001,"KAPALI","KONTROL"))</f>
        <v/>
      </c>
      <c r="K432" s="65" t="n"/>
    </row>
    <row r="433" ht="15" customHeight="1">
      <c r="A433" s="60">
        <f>IF(B433="","",IFERROR(DATE(RIGHT(B433,4),MID(B433,4,2),LEFT(B433,2))+1,""))</f>
        <v/>
      </c>
      <c r="B433" s="56" t="n"/>
      <c r="C433" s="58">
        <f>IF(B433="","",IFERROR(INDEX('21 2026 ÜRETİM'!$F$2:$F$501,MATCH(B433,'21 2026 ÜRETİM'!$A$2:$A$501,0)),""))</f>
        <v/>
      </c>
      <c r="D433" s="56" t="n"/>
      <c r="E433" s="58">
        <f>IF(D433="","",D433*0.5)</f>
        <v/>
      </c>
      <c r="F433" s="56" t="n"/>
      <c r="G433" s="58">
        <f>IF(F433="","",F433*2.5)</f>
        <v/>
      </c>
      <c r="H433" s="56" t="n"/>
      <c r="I433" s="58">
        <f>IF(C433="","",C433-E433-G433-IF(H433="",0,H433))</f>
        <v/>
      </c>
      <c r="J433" s="56">
        <f>IF(C433="","",IF(ABS(I433)&lt;0.001,"KAPALI","KONTROL"))</f>
        <v/>
      </c>
      <c r="K433" s="65" t="n"/>
    </row>
    <row r="434" ht="15" customHeight="1">
      <c r="A434" s="60">
        <f>IF(B434="","",IFERROR(DATE(RIGHT(B434,4),MID(B434,4,2),LEFT(B434,2))+1,""))</f>
        <v/>
      </c>
      <c r="B434" s="56" t="n"/>
      <c r="C434" s="58">
        <f>IF(B434="","",IFERROR(INDEX('21 2026 ÜRETİM'!$F$2:$F$501,MATCH(B434,'21 2026 ÜRETİM'!$A$2:$A$501,0)),""))</f>
        <v/>
      </c>
      <c r="D434" s="56" t="n"/>
      <c r="E434" s="58">
        <f>IF(D434="","",D434*0.5)</f>
        <v/>
      </c>
      <c r="F434" s="56" t="n"/>
      <c r="G434" s="58">
        <f>IF(F434="","",F434*2.5)</f>
        <v/>
      </c>
      <c r="H434" s="56" t="n"/>
      <c r="I434" s="58">
        <f>IF(C434="","",C434-E434-G434-IF(H434="",0,H434))</f>
        <v/>
      </c>
      <c r="J434" s="56">
        <f>IF(C434="","",IF(ABS(I434)&lt;0.001,"KAPALI","KONTROL"))</f>
        <v/>
      </c>
      <c r="K434" s="65" t="n"/>
    </row>
    <row r="435" ht="15" customHeight="1">
      <c r="A435" s="60">
        <f>IF(B435="","",IFERROR(DATE(RIGHT(B435,4),MID(B435,4,2),LEFT(B435,2))+1,""))</f>
        <v/>
      </c>
      <c r="B435" s="56" t="n"/>
      <c r="C435" s="58">
        <f>IF(B435="","",IFERROR(INDEX('21 2026 ÜRETİM'!$F$2:$F$501,MATCH(B435,'21 2026 ÜRETİM'!$A$2:$A$501,0)),""))</f>
        <v/>
      </c>
      <c r="D435" s="56" t="n"/>
      <c r="E435" s="58">
        <f>IF(D435="","",D435*0.5)</f>
        <v/>
      </c>
      <c r="F435" s="56" t="n"/>
      <c r="G435" s="58">
        <f>IF(F435="","",F435*2.5)</f>
        <v/>
      </c>
      <c r="H435" s="56" t="n"/>
      <c r="I435" s="58">
        <f>IF(C435="","",C435-E435-G435-IF(H435="",0,H435))</f>
        <v/>
      </c>
      <c r="J435" s="56">
        <f>IF(C435="","",IF(ABS(I435)&lt;0.001,"KAPALI","KONTROL"))</f>
        <v/>
      </c>
      <c r="K435" s="65" t="n"/>
    </row>
    <row r="436" ht="15" customHeight="1">
      <c r="A436" s="60">
        <f>IF(B436="","",IFERROR(DATE(RIGHT(B436,4),MID(B436,4,2),LEFT(B436,2))+1,""))</f>
        <v/>
      </c>
      <c r="B436" s="56" t="n"/>
      <c r="C436" s="58">
        <f>IF(B436="","",IFERROR(INDEX('21 2026 ÜRETİM'!$F$2:$F$501,MATCH(B436,'21 2026 ÜRETİM'!$A$2:$A$501,0)),""))</f>
        <v/>
      </c>
      <c r="D436" s="56" t="n"/>
      <c r="E436" s="58">
        <f>IF(D436="","",D436*0.5)</f>
        <v/>
      </c>
      <c r="F436" s="56" t="n"/>
      <c r="G436" s="58">
        <f>IF(F436="","",F436*2.5)</f>
        <v/>
      </c>
      <c r="H436" s="56" t="n"/>
      <c r="I436" s="58">
        <f>IF(C436="","",C436-E436-G436-IF(H436="",0,H436))</f>
        <v/>
      </c>
      <c r="J436" s="56">
        <f>IF(C436="","",IF(ABS(I436)&lt;0.001,"KAPALI","KONTROL"))</f>
        <v/>
      </c>
      <c r="K436" s="65" t="n"/>
    </row>
    <row r="437" ht="15" customHeight="1">
      <c r="A437" s="60">
        <f>IF(B437="","",IFERROR(DATE(RIGHT(B437,4),MID(B437,4,2),LEFT(B437,2))+1,""))</f>
        <v/>
      </c>
      <c r="B437" s="56" t="n"/>
      <c r="C437" s="58">
        <f>IF(B437="","",IFERROR(INDEX('21 2026 ÜRETİM'!$F$2:$F$501,MATCH(B437,'21 2026 ÜRETİM'!$A$2:$A$501,0)),""))</f>
        <v/>
      </c>
      <c r="D437" s="56" t="n"/>
      <c r="E437" s="58">
        <f>IF(D437="","",D437*0.5)</f>
        <v/>
      </c>
      <c r="F437" s="56" t="n"/>
      <c r="G437" s="58">
        <f>IF(F437="","",F437*2.5)</f>
        <v/>
      </c>
      <c r="H437" s="56" t="n"/>
      <c r="I437" s="58">
        <f>IF(C437="","",C437-E437-G437-IF(H437="",0,H437))</f>
        <v/>
      </c>
      <c r="J437" s="56">
        <f>IF(C437="","",IF(ABS(I437)&lt;0.001,"KAPALI","KONTROL"))</f>
        <v/>
      </c>
      <c r="K437" s="65" t="n"/>
    </row>
    <row r="438" ht="15" customHeight="1">
      <c r="A438" s="60">
        <f>IF(B438="","",IFERROR(DATE(RIGHT(B438,4),MID(B438,4,2),LEFT(B438,2))+1,""))</f>
        <v/>
      </c>
      <c r="B438" s="56" t="n"/>
      <c r="C438" s="58">
        <f>IF(B438="","",IFERROR(INDEX('21 2026 ÜRETİM'!$F$2:$F$501,MATCH(B438,'21 2026 ÜRETİM'!$A$2:$A$501,0)),""))</f>
        <v/>
      </c>
      <c r="D438" s="56" t="n"/>
      <c r="E438" s="58">
        <f>IF(D438="","",D438*0.5)</f>
        <v/>
      </c>
      <c r="F438" s="56" t="n"/>
      <c r="G438" s="58">
        <f>IF(F438="","",F438*2.5)</f>
        <v/>
      </c>
      <c r="H438" s="56" t="n"/>
      <c r="I438" s="58">
        <f>IF(C438="","",C438-E438-G438-IF(H438="",0,H438))</f>
        <v/>
      </c>
      <c r="J438" s="56">
        <f>IF(C438="","",IF(ABS(I438)&lt;0.001,"KAPALI","KONTROL"))</f>
        <v/>
      </c>
      <c r="K438" s="65" t="n"/>
    </row>
    <row r="439" ht="15" customHeight="1">
      <c r="A439" s="60">
        <f>IF(B439="","",IFERROR(DATE(RIGHT(B439,4),MID(B439,4,2),LEFT(B439,2))+1,""))</f>
        <v/>
      </c>
      <c r="B439" s="56" t="n"/>
      <c r="C439" s="58">
        <f>IF(B439="","",IFERROR(INDEX('21 2026 ÜRETİM'!$F$2:$F$501,MATCH(B439,'21 2026 ÜRETİM'!$A$2:$A$501,0)),""))</f>
        <v/>
      </c>
      <c r="D439" s="56" t="n"/>
      <c r="E439" s="58">
        <f>IF(D439="","",D439*0.5)</f>
        <v/>
      </c>
      <c r="F439" s="56" t="n"/>
      <c r="G439" s="58">
        <f>IF(F439="","",F439*2.5)</f>
        <v/>
      </c>
      <c r="H439" s="56" t="n"/>
      <c r="I439" s="58">
        <f>IF(C439="","",C439-E439-G439-IF(H439="",0,H439))</f>
        <v/>
      </c>
      <c r="J439" s="56">
        <f>IF(C439="","",IF(ABS(I439)&lt;0.001,"KAPALI","KONTROL"))</f>
        <v/>
      </c>
      <c r="K439" s="65" t="n"/>
    </row>
    <row r="440" ht="15" customHeight="1">
      <c r="A440" s="60">
        <f>IF(B440="","",IFERROR(DATE(RIGHT(B440,4),MID(B440,4,2),LEFT(B440,2))+1,""))</f>
        <v/>
      </c>
      <c r="B440" s="56" t="n"/>
      <c r="C440" s="58">
        <f>IF(B440="","",IFERROR(INDEX('21 2026 ÜRETİM'!$F$2:$F$501,MATCH(B440,'21 2026 ÜRETİM'!$A$2:$A$501,0)),""))</f>
        <v/>
      </c>
      <c r="D440" s="56" t="n"/>
      <c r="E440" s="58">
        <f>IF(D440="","",D440*0.5)</f>
        <v/>
      </c>
      <c r="F440" s="56" t="n"/>
      <c r="G440" s="58">
        <f>IF(F440="","",F440*2.5)</f>
        <v/>
      </c>
      <c r="H440" s="56" t="n"/>
      <c r="I440" s="58">
        <f>IF(C440="","",C440-E440-G440-IF(H440="",0,H440))</f>
        <v/>
      </c>
      <c r="J440" s="56">
        <f>IF(C440="","",IF(ABS(I440)&lt;0.001,"KAPALI","KONTROL"))</f>
        <v/>
      </c>
      <c r="K440" s="65" t="n"/>
    </row>
    <row r="441" ht="15" customHeight="1">
      <c r="A441" s="60">
        <f>IF(B441="","",IFERROR(DATE(RIGHT(B441,4),MID(B441,4,2),LEFT(B441,2))+1,""))</f>
        <v/>
      </c>
      <c r="B441" s="56" t="n"/>
      <c r="C441" s="58">
        <f>IF(B441="","",IFERROR(INDEX('21 2026 ÜRETİM'!$F$2:$F$501,MATCH(B441,'21 2026 ÜRETİM'!$A$2:$A$501,0)),""))</f>
        <v/>
      </c>
      <c r="D441" s="56" t="n"/>
      <c r="E441" s="58">
        <f>IF(D441="","",D441*0.5)</f>
        <v/>
      </c>
      <c r="F441" s="56" t="n"/>
      <c r="G441" s="58">
        <f>IF(F441="","",F441*2.5)</f>
        <v/>
      </c>
      <c r="H441" s="56" t="n"/>
      <c r="I441" s="58">
        <f>IF(C441="","",C441-E441-G441-IF(H441="",0,H441))</f>
        <v/>
      </c>
      <c r="J441" s="56">
        <f>IF(C441="","",IF(ABS(I441)&lt;0.001,"KAPALI","KONTROL"))</f>
        <v/>
      </c>
      <c r="K441" s="65" t="n"/>
    </row>
    <row r="442" ht="15" customHeight="1">
      <c r="A442" s="60">
        <f>IF(B442="","",IFERROR(DATE(RIGHT(B442,4),MID(B442,4,2),LEFT(B442,2))+1,""))</f>
        <v/>
      </c>
      <c r="B442" s="56" t="n"/>
      <c r="C442" s="58">
        <f>IF(B442="","",IFERROR(INDEX('21 2026 ÜRETİM'!$F$2:$F$501,MATCH(B442,'21 2026 ÜRETİM'!$A$2:$A$501,0)),""))</f>
        <v/>
      </c>
      <c r="D442" s="56" t="n"/>
      <c r="E442" s="58">
        <f>IF(D442="","",D442*0.5)</f>
        <v/>
      </c>
      <c r="F442" s="56" t="n"/>
      <c r="G442" s="58">
        <f>IF(F442="","",F442*2.5)</f>
        <v/>
      </c>
      <c r="H442" s="56" t="n"/>
      <c r="I442" s="58">
        <f>IF(C442="","",C442-E442-G442-IF(H442="",0,H442))</f>
        <v/>
      </c>
      <c r="J442" s="56">
        <f>IF(C442="","",IF(ABS(I442)&lt;0.001,"KAPALI","KONTROL"))</f>
        <v/>
      </c>
      <c r="K442" s="65" t="n"/>
    </row>
    <row r="443" ht="15" customHeight="1">
      <c r="A443" s="60">
        <f>IF(B443="","",IFERROR(DATE(RIGHT(B443,4),MID(B443,4,2),LEFT(B443,2))+1,""))</f>
        <v/>
      </c>
      <c r="B443" s="56" t="n"/>
      <c r="C443" s="58">
        <f>IF(B443="","",IFERROR(INDEX('21 2026 ÜRETİM'!$F$2:$F$501,MATCH(B443,'21 2026 ÜRETİM'!$A$2:$A$501,0)),""))</f>
        <v/>
      </c>
      <c r="D443" s="56" t="n"/>
      <c r="E443" s="58">
        <f>IF(D443="","",D443*0.5)</f>
        <v/>
      </c>
      <c r="F443" s="56" t="n"/>
      <c r="G443" s="58">
        <f>IF(F443="","",F443*2.5)</f>
        <v/>
      </c>
      <c r="H443" s="56" t="n"/>
      <c r="I443" s="58">
        <f>IF(C443="","",C443-E443-G443-IF(H443="",0,H443))</f>
        <v/>
      </c>
      <c r="J443" s="56">
        <f>IF(C443="","",IF(ABS(I443)&lt;0.001,"KAPALI","KONTROL"))</f>
        <v/>
      </c>
      <c r="K443" s="65" t="n"/>
    </row>
    <row r="444" ht="15" customHeight="1">
      <c r="A444" s="60">
        <f>IF(B444="","",IFERROR(DATE(RIGHT(B444,4),MID(B444,4,2),LEFT(B444,2))+1,""))</f>
        <v/>
      </c>
      <c r="B444" s="56" t="n"/>
      <c r="C444" s="58">
        <f>IF(B444="","",IFERROR(INDEX('21 2026 ÜRETİM'!$F$2:$F$501,MATCH(B444,'21 2026 ÜRETİM'!$A$2:$A$501,0)),""))</f>
        <v/>
      </c>
      <c r="D444" s="56" t="n"/>
      <c r="E444" s="58">
        <f>IF(D444="","",D444*0.5)</f>
        <v/>
      </c>
      <c r="F444" s="56" t="n"/>
      <c r="G444" s="58">
        <f>IF(F444="","",F444*2.5)</f>
        <v/>
      </c>
      <c r="H444" s="56" t="n"/>
      <c r="I444" s="58">
        <f>IF(C444="","",C444-E444-G444-IF(H444="",0,H444))</f>
        <v/>
      </c>
      <c r="J444" s="56">
        <f>IF(C444="","",IF(ABS(I444)&lt;0.001,"KAPALI","KONTROL"))</f>
        <v/>
      </c>
      <c r="K444" s="65" t="n"/>
    </row>
    <row r="445" ht="15" customHeight="1">
      <c r="A445" s="60">
        <f>IF(B445="","",IFERROR(DATE(RIGHT(B445,4),MID(B445,4,2),LEFT(B445,2))+1,""))</f>
        <v/>
      </c>
      <c r="B445" s="56" t="n"/>
      <c r="C445" s="58">
        <f>IF(B445="","",IFERROR(INDEX('21 2026 ÜRETİM'!$F$2:$F$501,MATCH(B445,'21 2026 ÜRETİM'!$A$2:$A$501,0)),""))</f>
        <v/>
      </c>
      <c r="D445" s="56" t="n"/>
      <c r="E445" s="58">
        <f>IF(D445="","",D445*0.5)</f>
        <v/>
      </c>
      <c r="F445" s="56" t="n"/>
      <c r="G445" s="58">
        <f>IF(F445="","",F445*2.5)</f>
        <v/>
      </c>
      <c r="H445" s="56" t="n"/>
      <c r="I445" s="58">
        <f>IF(C445="","",C445-E445-G445-IF(H445="",0,H445))</f>
        <v/>
      </c>
      <c r="J445" s="56">
        <f>IF(C445="","",IF(ABS(I445)&lt;0.001,"KAPALI","KONTROL"))</f>
        <v/>
      </c>
      <c r="K445" s="65" t="n"/>
    </row>
    <row r="446" ht="15" customHeight="1">
      <c r="A446" s="60">
        <f>IF(B446="","",IFERROR(DATE(RIGHT(B446,4),MID(B446,4,2),LEFT(B446,2))+1,""))</f>
        <v/>
      </c>
      <c r="B446" s="56" t="n"/>
      <c r="C446" s="58">
        <f>IF(B446="","",IFERROR(INDEX('21 2026 ÜRETİM'!$F$2:$F$501,MATCH(B446,'21 2026 ÜRETİM'!$A$2:$A$501,0)),""))</f>
        <v/>
      </c>
      <c r="D446" s="56" t="n"/>
      <c r="E446" s="58">
        <f>IF(D446="","",D446*0.5)</f>
        <v/>
      </c>
      <c r="F446" s="56" t="n"/>
      <c r="G446" s="58">
        <f>IF(F446="","",F446*2.5)</f>
        <v/>
      </c>
      <c r="H446" s="56" t="n"/>
      <c r="I446" s="58">
        <f>IF(C446="","",C446-E446-G446-IF(H446="",0,H446))</f>
        <v/>
      </c>
      <c r="J446" s="56">
        <f>IF(C446="","",IF(ABS(I446)&lt;0.001,"KAPALI","KONTROL"))</f>
        <v/>
      </c>
      <c r="K446" s="65" t="n"/>
    </row>
    <row r="447" ht="15" customHeight="1">
      <c r="A447" s="60">
        <f>IF(B447="","",IFERROR(DATE(RIGHT(B447,4),MID(B447,4,2),LEFT(B447,2))+1,""))</f>
        <v/>
      </c>
      <c r="B447" s="56" t="n"/>
      <c r="C447" s="58">
        <f>IF(B447="","",IFERROR(INDEX('21 2026 ÜRETİM'!$F$2:$F$501,MATCH(B447,'21 2026 ÜRETİM'!$A$2:$A$501,0)),""))</f>
        <v/>
      </c>
      <c r="D447" s="56" t="n"/>
      <c r="E447" s="58">
        <f>IF(D447="","",D447*0.5)</f>
        <v/>
      </c>
      <c r="F447" s="56" t="n"/>
      <c r="G447" s="58">
        <f>IF(F447="","",F447*2.5)</f>
        <v/>
      </c>
      <c r="H447" s="56" t="n"/>
      <c r="I447" s="58">
        <f>IF(C447="","",C447-E447-G447-IF(H447="",0,H447))</f>
        <v/>
      </c>
      <c r="J447" s="56">
        <f>IF(C447="","",IF(ABS(I447)&lt;0.001,"KAPALI","KONTROL"))</f>
        <v/>
      </c>
      <c r="K447" s="65" t="n"/>
    </row>
    <row r="448" ht="15" customHeight="1">
      <c r="A448" s="60">
        <f>IF(B448="","",IFERROR(DATE(RIGHT(B448,4),MID(B448,4,2),LEFT(B448,2))+1,""))</f>
        <v/>
      </c>
      <c r="B448" s="56" t="n"/>
      <c r="C448" s="58">
        <f>IF(B448="","",IFERROR(INDEX('21 2026 ÜRETİM'!$F$2:$F$501,MATCH(B448,'21 2026 ÜRETİM'!$A$2:$A$501,0)),""))</f>
        <v/>
      </c>
      <c r="D448" s="56" t="n"/>
      <c r="E448" s="58">
        <f>IF(D448="","",D448*0.5)</f>
        <v/>
      </c>
      <c r="F448" s="56" t="n"/>
      <c r="G448" s="58">
        <f>IF(F448="","",F448*2.5)</f>
        <v/>
      </c>
      <c r="H448" s="56" t="n"/>
      <c r="I448" s="58">
        <f>IF(C448="","",C448-E448-G448-IF(H448="",0,H448))</f>
        <v/>
      </c>
      <c r="J448" s="56">
        <f>IF(C448="","",IF(ABS(I448)&lt;0.001,"KAPALI","KONTROL"))</f>
        <v/>
      </c>
      <c r="K448" s="65" t="n"/>
    </row>
    <row r="449" ht="15" customHeight="1">
      <c r="A449" s="60">
        <f>IF(B449="","",IFERROR(DATE(RIGHT(B449,4),MID(B449,4,2),LEFT(B449,2))+1,""))</f>
        <v/>
      </c>
      <c r="B449" s="56" t="n"/>
      <c r="C449" s="58">
        <f>IF(B449="","",IFERROR(INDEX('21 2026 ÜRETİM'!$F$2:$F$501,MATCH(B449,'21 2026 ÜRETİM'!$A$2:$A$501,0)),""))</f>
        <v/>
      </c>
      <c r="D449" s="56" t="n"/>
      <c r="E449" s="58">
        <f>IF(D449="","",D449*0.5)</f>
        <v/>
      </c>
      <c r="F449" s="56" t="n"/>
      <c r="G449" s="58">
        <f>IF(F449="","",F449*2.5)</f>
        <v/>
      </c>
      <c r="H449" s="56" t="n"/>
      <c r="I449" s="58">
        <f>IF(C449="","",C449-E449-G449-IF(H449="",0,H449))</f>
        <v/>
      </c>
      <c r="J449" s="56">
        <f>IF(C449="","",IF(ABS(I449)&lt;0.001,"KAPALI","KONTROL"))</f>
        <v/>
      </c>
      <c r="K449" s="65" t="n"/>
    </row>
    <row r="450" ht="15" customHeight="1">
      <c r="A450" s="60">
        <f>IF(B450="","",IFERROR(DATE(RIGHT(B450,4),MID(B450,4,2),LEFT(B450,2))+1,""))</f>
        <v/>
      </c>
      <c r="B450" s="56" t="n"/>
      <c r="C450" s="58">
        <f>IF(B450="","",IFERROR(INDEX('21 2026 ÜRETİM'!$F$2:$F$501,MATCH(B450,'21 2026 ÜRETİM'!$A$2:$A$501,0)),""))</f>
        <v/>
      </c>
      <c r="D450" s="56" t="n"/>
      <c r="E450" s="58">
        <f>IF(D450="","",D450*0.5)</f>
        <v/>
      </c>
      <c r="F450" s="56" t="n"/>
      <c r="G450" s="58">
        <f>IF(F450="","",F450*2.5)</f>
        <v/>
      </c>
      <c r="H450" s="56" t="n"/>
      <c r="I450" s="58">
        <f>IF(C450="","",C450-E450-G450-IF(H450="",0,H450))</f>
        <v/>
      </c>
      <c r="J450" s="56">
        <f>IF(C450="","",IF(ABS(I450)&lt;0.001,"KAPALI","KONTROL"))</f>
        <v/>
      </c>
      <c r="K450" s="65" t="n"/>
    </row>
    <row r="451" ht="15" customHeight="1">
      <c r="A451" s="60">
        <f>IF(B451="","",IFERROR(DATE(RIGHT(B451,4),MID(B451,4,2),LEFT(B451,2))+1,""))</f>
        <v/>
      </c>
      <c r="B451" s="56" t="n"/>
      <c r="C451" s="58">
        <f>IF(B451="","",IFERROR(INDEX('21 2026 ÜRETİM'!$F$2:$F$501,MATCH(B451,'21 2026 ÜRETİM'!$A$2:$A$501,0)),""))</f>
        <v/>
      </c>
      <c r="D451" s="56" t="n"/>
      <c r="E451" s="58">
        <f>IF(D451="","",D451*0.5)</f>
        <v/>
      </c>
      <c r="F451" s="56" t="n"/>
      <c r="G451" s="58">
        <f>IF(F451="","",F451*2.5)</f>
        <v/>
      </c>
      <c r="H451" s="56" t="n"/>
      <c r="I451" s="58">
        <f>IF(C451="","",C451-E451-G451-IF(H451="",0,H451))</f>
        <v/>
      </c>
      <c r="J451" s="56">
        <f>IF(C451="","",IF(ABS(I451)&lt;0.001,"KAPALI","KONTROL"))</f>
        <v/>
      </c>
      <c r="K451" s="65" t="n"/>
    </row>
    <row r="452" ht="15" customHeight="1">
      <c r="A452" s="60">
        <f>IF(B452="","",IFERROR(DATE(RIGHT(B452,4),MID(B452,4,2),LEFT(B452,2))+1,""))</f>
        <v/>
      </c>
      <c r="B452" s="56" t="n"/>
      <c r="C452" s="58">
        <f>IF(B452="","",IFERROR(INDEX('21 2026 ÜRETİM'!$F$2:$F$501,MATCH(B452,'21 2026 ÜRETİM'!$A$2:$A$501,0)),""))</f>
        <v/>
      </c>
      <c r="D452" s="56" t="n"/>
      <c r="E452" s="58">
        <f>IF(D452="","",D452*0.5)</f>
        <v/>
      </c>
      <c r="F452" s="56" t="n"/>
      <c r="G452" s="58">
        <f>IF(F452="","",F452*2.5)</f>
        <v/>
      </c>
      <c r="H452" s="56" t="n"/>
      <c r="I452" s="58">
        <f>IF(C452="","",C452-E452-G452-IF(H452="",0,H452))</f>
        <v/>
      </c>
      <c r="J452" s="56">
        <f>IF(C452="","",IF(ABS(I452)&lt;0.001,"KAPALI","KONTROL"))</f>
        <v/>
      </c>
      <c r="K452" s="65" t="n"/>
    </row>
    <row r="453" ht="15" customHeight="1">
      <c r="A453" s="60">
        <f>IF(B453="","",IFERROR(DATE(RIGHT(B453,4),MID(B453,4,2),LEFT(B453,2))+1,""))</f>
        <v/>
      </c>
      <c r="B453" s="56" t="n"/>
      <c r="C453" s="58">
        <f>IF(B453="","",IFERROR(INDEX('21 2026 ÜRETİM'!$F$2:$F$501,MATCH(B453,'21 2026 ÜRETİM'!$A$2:$A$501,0)),""))</f>
        <v/>
      </c>
      <c r="D453" s="56" t="n"/>
      <c r="E453" s="58">
        <f>IF(D453="","",D453*0.5)</f>
        <v/>
      </c>
      <c r="F453" s="56" t="n"/>
      <c r="G453" s="58">
        <f>IF(F453="","",F453*2.5)</f>
        <v/>
      </c>
      <c r="H453" s="56" t="n"/>
      <c r="I453" s="58">
        <f>IF(C453="","",C453-E453-G453-IF(H453="",0,H453))</f>
        <v/>
      </c>
      <c r="J453" s="56">
        <f>IF(C453="","",IF(ABS(I453)&lt;0.001,"KAPALI","KONTROL"))</f>
        <v/>
      </c>
      <c r="K453" s="65" t="n"/>
    </row>
    <row r="454" ht="15" customHeight="1">
      <c r="A454" s="60">
        <f>IF(B454="","",IFERROR(DATE(RIGHT(B454,4),MID(B454,4,2),LEFT(B454,2))+1,""))</f>
        <v/>
      </c>
      <c r="B454" s="56" t="n"/>
      <c r="C454" s="58">
        <f>IF(B454="","",IFERROR(INDEX('21 2026 ÜRETİM'!$F$2:$F$501,MATCH(B454,'21 2026 ÜRETİM'!$A$2:$A$501,0)),""))</f>
        <v/>
      </c>
      <c r="D454" s="56" t="n"/>
      <c r="E454" s="58">
        <f>IF(D454="","",D454*0.5)</f>
        <v/>
      </c>
      <c r="F454" s="56" t="n"/>
      <c r="G454" s="58">
        <f>IF(F454="","",F454*2.5)</f>
        <v/>
      </c>
      <c r="H454" s="56" t="n"/>
      <c r="I454" s="58">
        <f>IF(C454="","",C454-E454-G454-IF(H454="",0,H454))</f>
        <v/>
      </c>
      <c r="J454" s="56">
        <f>IF(C454="","",IF(ABS(I454)&lt;0.001,"KAPALI","KONTROL"))</f>
        <v/>
      </c>
      <c r="K454" s="65" t="n"/>
    </row>
    <row r="455" ht="15" customHeight="1">
      <c r="A455" s="60">
        <f>IF(B455="","",IFERROR(DATE(RIGHT(B455,4),MID(B455,4,2),LEFT(B455,2))+1,""))</f>
        <v/>
      </c>
      <c r="B455" s="56" t="n"/>
      <c r="C455" s="58">
        <f>IF(B455="","",IFERROR(INDEX('21 2026 ÜRETİM'!$F$2:$F$501,MATCH(B455,'21 2026 ÜRETİM'!$A$2:$A$501,0)),""))</f>
        <v/>
      </c>
      <c r="D455" s="56" t="n"/>
      <c r="E455" s="58">
        <f>IF(D455="","",D455*0.5)</f>
        <v/>
      </c>
      <c r="F455" s="56" t="n"/>
      <c r="G455" s="58">
        <f>IF(F455="","",F455*2.5)</f>
        <v/>
      </c>
      <c r="H455" s="56" t="n"/>
      <c r="I455" s="58">
        <f>IF(C455="","",C455-E455-G455-IF(H455="",0,H455))</f>
        <v/>
      </c>
      <c r="J455" s="56">
        <f>IF(C455="","",IF(ABS(I455)&lt;0.001,"KAPALI","KONTROL"))</f>
        <v/>
      </c>
      <c r="K455" s="65" t="n"/>
    </row>
    <row r="456" ht="15" customHeight="1">
      <c r="A456" s="60">
        <f>IF(B456="","",IFERROR(DATE(RIGHT(B456,4),MID(B456,4,2),LEFT(B456,2))+1,""))</f>
        <v/>
      </c>
      <c r="B456" s="56" t="n"/>
      <c r="C456" s="58">
        <f>IF(B456="","",IFERROR(INDEX('21 2026 ÜRETİM'!$F$2:$F$501,MATCH(B456,'21 2026 ÜRETİM'!$A$2:$A$501,0)),""))</f>
        <v/>
      </c>
      <c r="D456" s="56" t="n"/>
      <c r="E456" s="58">
        <f>IF(D456="","",D456*0.5)</f>
        <v/>
      </c>
      <c r="F456" s="56" t="n"/>
      <c r="G456" s="58">
        <f>IF(F456="","",F456*2.5)</f>
        <v/>
      </c>
      <c r="H456" s="56" t="n"/>
      <c r="I456" s="58">
        <f>IF(C456="","",C456-E456-G456-IF(H456="",0,H456))</f>
        <v/>
      </c>
      <c r="J456" s="56">
        <f>IF(C456="","",IF(ABS(I456)&lt;0.001,"KAPALI","KONTROL"))</f>
        <v/>
      </c>
      <c r="K456" s="65" t="n"/>
    </row>
    <row r="457" ht="15" customHeight="1">
      <c r="A457" s="60">
        <f>IF(B457="","",IFERROR(DATE(RIGHT(B457,4),MID(B457,4,2),LEFT(B457,2))+1,""))</f>
        <v/>
      </c>
      <c r="B457" s="56" t="n"/>
      <c r="C457" s="58">
        <f>IF(B457="","",IFERROR(INDEX('21 2026 ÜRETİM'!$F$2:$F$501,MATCH(B457,'21 2026 ÜRETİM'!$A$2:$A$501,0)),""))</f>
        <v/>
      </c>
      <c r="D457" s="56" t="n"/>
      <c r="E457" s="58">
        <f>IF(D457="","",D457*0.5)</f>
        <v/>
      </c>
      <c r="F457" s="56" t="n"/>
      <c r="G457" s="58">
        <f>IF(F457="","",F457*2.5)</f>
        <v/>
      </c>
      <c r="H457" s="56" t="n"/>
      <c r="I457" s="58">
        <f>IF(C457="","",C457-E457-G457-IF(H457="",0,H457))</f>
        <v/>
      </c>
      <c r="J457" s="56">
        <f>IF(C457="","",IF(ABS(I457)&lt;0.001,"KAPALI","KONTROL"))</f>
        <v/>
      </c>
      <c r="K457" s="65" t="n"/>
    </row>
    <row r="458" ht="15" customHeight="1">
      <c r="A458" s="60">
        <f>IF(B458="","",IFERROR(DATE(RIGHT(B458,4),MID(B458,4,2),LEFT(B458,2))+1,""))</f>
        <v/>
      </c>
      <c r="B458" s="56" t="n"/>
      <c r="C458" s="58">
        <f>IF(B458="","",IFERROR(INDEX('21 2026 ÜRETİM'!$F$2:$F$501,MATCH(B458,'21 2026 ÜRETİM'!$A$2:$A$501,0)),""))</f>
        <v/>
      </c>
      <c r="D458" s="56" t="n"/>
      <c r="E458" s="58">
        <f>IF(D458="","",D458*0.5)</f>
        <v/>
      </c>
      <c r="F458" s="56" t="n"/>
      <c r="G458" s="58">
        <f>IF(F458="","",F458*2.5)</f>
        <v/>
      </c>
      <c r="H458" s="56" t="n"/>
      <c r="I458" s="58">
        <f>IF(C458="","",C458-E458-G458-IF(H458="",0,H458))</f>
        <v/>
      </c>
      <c r="J458" s="56">
        <f>IF(C458="","",IF(ABS(I458)&lt;0.001,"KAPALI","KONTROL"))</f>
        <v/>
      </c>
      <c r="K458" s="65" t="n"/>
    </row>
    <row r="459" ht="15" customHeight="1">
      <c r="A459" s="60">
        <f>IF(B459="","",IFERROR(DATE(RIGHT(B459,4),MID(B459,4,2),LEFT(B459,2))+1,""))</f>
        <v/>
      </c>
      <c r="B459" s="56" t="n"/>
      <c r="C459" s="58">
        <f>IF(B459="","",IFERROR(INDEX('21 2026 ÜRETİM'!$F$2:$F$501,MATCH(B459,'21 2026 ÜRETİM'!$A$2:$A$501,0)),""))</f>
        <v/>
      </c>
      <c r="D459" s="56" t="n"/>
      <c r="E459" s="58">
        <f>IF(D459="","",D459*0.5)</f>
        <v/>
      </c>
      <c r="F459" s="56" t="n"/>
      <c r="G459" s="58">
        <f>IF(F459="","",F459*2.5)</f>
        <v/>
      </c>
      <c r="H459" s="56" t="n"/>
      <c r="I459" s="58">
        <f>IF(C459="","",C459-E459-G459-IF(H459="",0,H459))</f>
        <v/>
      </c>
      <c r="J459" s="56">
        <f>IF(C459="","",IF(ABS(I459)&lt;0.001,"KAPALI","KONTROL"))</f>
        <v/>
      </c>
      <c r="K459" s="65" t="n"/>
    </row>
    <row r="460" ht="15" customHeight="1">
      <c r="A460" s="60">
        <f>IF(B460="","",IFERROR(DATE(RIGHT(B460,4),MID(B460,4,2),LEFT(B460,2))+1,""))</f>
        <v/>
      </c>
      <c r="B460" s="56" t="n"/>
      <c r="C460" s="58">
        <f>IF(B460="","",IFERROR(INDEX('21 2026 ÜRETİM'!$F$2:$F$501,MATCH(B460,'21 2026 ÜRETİM'!$A$2:$A$501,0)),""))</f>
        <v/>
      </c>
      <c r="D460" s="56" t="n"/>
      <c r="E460" s="58">
        <f>IF(D460="","",D460*0.5)</f>
        <v/>
      </c>
      <c r="F460" s="56" t="n"/>
      <c r="G460" s="58">
        <f>IF(F460="","",F460*2.5)</f>
        <v/>
      </c>
      <c r="H460" s="56" t="n"/>
      <c r="I460" s="58">
        <f>IF(C460="","",C460-E460-G460-IF(H460="",0,H460))</f>
        <v/>
      </c>
      <c r="J460" s="56">
        <f>IF(C460="","",IF(ABS(I460)&lt;0.001,"KAPALI","KONTROL"))</f>
        <v/>
      </c>
      <c r="K460" s="65" t="n"/>
    </row>
    <row r="461" ht="15" customHeight="1">
      <c r="A461" s="60">
        <f>IF(B461="","",IFERROR(DATE(RIGHT(B461,4),MID(B461,4,2),LEFT(B461,2))+1,""))</f>
        <v/>
      </c>
      <c r="B461" s="56" t="n"/>
      <c r="C461" s="58">
        <f>IF(B461="","",IFERROR(INDEX('21 2026 ÜRETİM'!$F$2:$F$501,MATCH(B461,'21 2026 ÜRETİM'!$A$2:$A$501,0)),""))</f>
        <v/>
      </c>
      <c r="D461" s="56" t="n"/>
      <c r="E461" s="58">
        <f>IF(D461="","",D461*0.5)</f>
        <v/>
      </c>
      <c r="F461" s="56" t="n"/>
      <c r="G461" s="58">
        <f>IF(F461="","",F461*2.5)</f>
        <v/>
      </c>
      <c r="H461" s="56" t="n"/>
      <c r="I461" s="58">
        <f>IF(C461="","",C461-E461-G461-IF(H461="",0,H461))</f>
        <v/>
      </c>
      <c r="J461" s="56">
        <f>IF(C461="","",IF(ABS(I461)&lt;0.001,"KAPALI","KONTROL"))</f>
        <v/>
      </c>
      <c r="K461" s="65" t="n"/>
    </row>
    <row r="462" ht="15" customHeight="1">
      <c r="A462" s="60">
        <f>IF(B462="","",IFERROR(DATE(RIGHT(B462,4),MID(B462,4,2),LEFT(B462,2))+1,""))</f>
        <v/>
      </c>
      <c r="B462" s="56" t="n"/>
      <c r="C462" s="58">
        <f>IF(B462="","",IFERROR(INDEX('21 2026 ÜRETİM'!$F$2:$F$501,MATCH(B462,'21 2026 ÜRETİM'!$A$2:$A$501,0)),""))</f>
        <v/>
      </c>
      <c r="D462" s="56" t="n"/>
      <c r="E462" s="58">
        <f>IF(D462="","",D462*0.5)</f>
        <v/>
      </c>
      <c r="F462" s="56" t="n"/>
      <c r="G462" s="58">
        <f>IF(F462="","",F462*2.5)</f>
        <v/>
      </c>
      <c r="H462" s="56" t="n"/>
      <c r="I462" s="58">
        <f>IF(C462="","",C462-E462-G462-IF(H462="",0,H462))</f>
        <v/>
      </c>
      <c r="J462" s="56">
        <f>IF(C462="","",IF(ABS(I462)&lt;0.001,"KAPALI","KONTROL"))</f>
        <v/>
      </c>
      <c r="K462" s="65" t="n"/>
    </row>
    <row r="463" ht="15" customHeight="1">
      <c r="A463" s="60">
        <f>IF(B463="","",IFERROR(DATE(RIGHT(B463,4),MID(B463,4,2),LEFT(B463,2))+1,""))</f>
        <v/>
      </c>
      <c r="B463" s="56" t="n"/>
      <c r="C463" s="58">
        <f>IF(B463="","",IFERROR(INDEX('21 2026 ÜRETİM'!$F$2:$F$501,MATCH(B463,'21 2026 ÜRETİM'!$A$2:$A$501,0)),""))</f>
        <v/>
      </c>
      <c r="D463" s="56" t="n"/>
      <c r="E463" s="58">
        <f>IF(D463="","",D463*0.5)</f>
        <v/>
      </c>
      <c r="F463" s="56" t="n"/>
      <c r="G463" s="58">
        <f>IF(F463="","",F463*2.5)</f>
        <v/>
      </c>
      <c r="H463" s="56" t="n"/>
      <c r="I463" s="58">
        <f>IF(C463="","",C463-E463-G463-IF(H463="",0,H463))</f>
        <v/>
      </c>
      <c r="J463" s="56">
        <f>IF(C463="","",IF(ABS(I463)&lt;0.001,"KAPALI","KONTROL"))</f>
        <v/>
      </c>
      <c r="K463" s="65" t="n"/>
    </row>
    <row r="464" ht="15" customHeight="1">
      <c r="A464" s="60">
        <f>IF(B464="","",IFERROR(DATE(RIGHT(B464,4),MID(B464,4,2),LEFT(B464,2))+1,""))</f>
        <v/>
      </c>
      <c r="B464" s="56" t="n"/>
      <c r="C464" s="58">
        <f>IF(B464="","",IFERROR(INDEX('21 2026 ÜRETİM'!$F$2:$F$501,MATCH(B464,'21 2026 ÜRETİM'!$A$2:$A$501,0)),""))</f>
        <v/>
      </c>
      <c r="D464" s="56" t="n"/>
      <c r="E464" s="58">
        <f>IF(D464="","",D464*0.5)</f>
        <v/>
      </c>
      <c r="F464" s="56" t="n"/>
      <c r="G464" s="58">
        <f>IF(F464="","",F464*2.5)</f>
        <v/>
      </c>
      <c r="H464" s="56" t="n"/>
      <c r="I464" s="58">
        <f>IF(C464="","",C464-E464-G464-IF(H464="",0,H464))</f>
        <v/>
      </c>
      <c r="J464" s="56">
        <f>IF(C464="","",IF(ABS(I464)&lt;0.001,"KAPALI","KONTROL"))</f>
        <v/>
      </c>
      <c r="K464" s="65" t="n"/>
    </row>
    <row r="465" ht="15" customHeight="1">
      <c r="A465" s="60">
        <f>IF(B465="","",IFERROR(DATE(RIGHT(B465,4),MID(B465,4,2),LEFT(B465,2))+1,""))</f>
        <v/>
      </c>
      <c r="B465" s="56" t="n"/>
      <c r="C465" s="58">
        <f>IF(B465="","",IFERROR(INDEX('21 2026 ÜRETİM'!$F$2:$F$501,MATCH(B465,'21 2026 ÜRETİM'!$A$2:$A$501,0)),""))</f>
        <v/>
      </c>
      <c r="D465" s="56" t="n"/>
      <c r="E465" s="58">
        <f>IF(D465="","",D465*0.5)</f>
        <v/>
      </c>
      <c r="F465" s="56" t="n"/>
      <c r="G465" s="58">
        <f>IF(F465="","",F465*2.5)</f>
        <v/>
      </c>
      <c r="H465" s="56" t="n"/>
      <c r="I465" s="58">
        <f>IF(C465="","",C465-E465-G465-IF(H465="",0,H465))</f>
        <v/>
      </c>
      <c r="J465" s="56">
        <f>IF(C465="","",IF(ABS(I465)&lt;0.001,"KAPALI","KONTROL"))</f>
        <v/>
      </c>
      <c r="K465" s="65" t="n"/>
    </row>
    <row r="466" ht="15" customHeight="1">
      <c r="A466" s="60">
        <f>IF(B466="","",IFERROR(DATE(RIGHT(B466,4),MID(B466,4,2),LEFT(B466,2))+1,""))</f>
        <v/>
      </c>
      <c r="B466" s="56" t="n"/>
      <c r="C466" s="58">
        <f>IF(B466="","",IFERROR(INDEX('21 2026 ÜRETİM'!$F$2:$F$501,MATCH(B466,'21 2026 ÜRETİM'!$A$2:$A$501,0)),""))</f>
        <v/>
      </c>
      <c r="D466" s="56" t="n"/>
      <c r="E466" s="58">
        <f>IF(D466="","",D466*0.5)</f>
        <v/>
      </c>
      <c r="F466" s="56" t="n"/>
      <c r="G466" s="58">
        <f>IF(F466="","",F466*2.5)</f>
        <v/>
      </c>
      <c r="H466" s="56" t="n"/>
      <c r="I466" s="58">
        <f>IF(C466="","",C466-E466-G466-IF(H466="",0,H466))</f>
        <v/>
      </c>
      <c r="J466" s="56">
        <f>IF(C466="","",IF(ABS(I466)&lt;0.001,"KAPALI","KONTROL"))</f>
        <v/>
      </c>
      <c r="K466" s="65" t="n"/>
    </row>
    <row r="467" ht="15" customHeight="1">
      <c r="A467" s="60">
        <f>IF(B467="","",IFERROR(DATE(RIGHT(B467,4),MID(B467,4,2),LEFT(B467,2))+1,""))</f>
        <v/>
      </c>
      <c r="B467" s="56" t="n"/>
      <c r="C467" s="58">
        <f>IF(B467="","",IFERROR(INDEX('21 2026 ÜRETİM'!$F$2:$F$501,MATCH(B467,'21 2026 ÜRETİM'!$A$2:$A$501,0)),""))</f>
        <v/>
      </c>
      <c r="D467" s="56" t="n"/>
      <c r="E467" s="58">
        <f>IF(D467="","",D467*0.5)</f>
        <v/>
      </c>
      <c r="F467" s="56" t="n"/>
      <c r="G467" s="58">
        <f>IF(F467="","",F467*2.5)</f>
        <v/>
      </c>
      <c r="H467" s="56" t="n"/>
      <c r="I467" s="58">
        <f>IF(C467="","",C467-E467-G467-IF(H467="",0,H467))</f>
        <v/>
      </c>
      <c r="J467" s="56">
        <f>IF(C467="","",IF(ABS(I467)&lt;0.001,"KAPALI","KONTROL"))</f>
        <v/>
      </c>
      <c r="K467" s="65" t="n"/>
    </row>
    <row r="468" ht="15" customHeight="1">
      <c r="A468" s="60">
        <f>IF(B468="","",IFERROR(DATE(RIGHT(B468,4),MID(B468,4,2),LEFT(B468,2))+1,""))</f>
        <v/>
      </c>
      <c r="B468" s="56" t="n"/>
      <c r="C468" s="58">
        <f>IF(B468="","",IFERROR(INDEX('21 2026 ÜRETİM'!$F$2:$F$501,MATCH(B468,'21 2026 ÜRETİM'!$A$2:$A$501,0)),""))</f>
        <v/>
      </c>
      <c r="D468" s="56" t="n"/>
      <c r="E468" s="58">
        <f>IF(D468="","",D468*0.5)</f>
        <v/>
      </c>
      <c r="F468" s="56" t="n"/>
      <c r="G468" s="58">
        <f>IF(F468="","",F468*2.5)</f>
        <v/>
      </c>
      <c r="H468" s="56" t="n"/>
      <c r="I468" s="58">
        <f>IF(C468="","",C468-E468-G468-IF(H468="",0,H468))</f>
        <v/>
      </c>
      <c r="J468" s="56">
        <f>IF(C468="","",IF(ABS(I468)&lt;0.001,"KAPALI","KONTROL"))</f>
        <v/>
      </c>
      <c r="K468" s="65" t="n"/>
    </row>
    <row r="469" ht="15" customHeight="1">
      <c r="A469" s="60">
        <f>IF(B469="","",IFERROR(DATE(RIGHT(B469,4),MID(B469,4,2),LEFT(B469,2))+1,""))</f>
        <v/>
      </c>
      <c r="B469" s="56" t="n"/>
      <c r="C469" s="58">
        <f>IF(B469="","",IFERROR(INDEX('21 2026 ÜRETİM'!$F$2:$F$501,MATCH(B469,'21 2026 ÜRETİM'!$A$2:$A$501,0)),""))</f>
        <v/>
      </c>
      <c r="D469" s="56" t="n"/>
      <c r="E469" s="58">
        <f>IF(D469="","",D469*0.5)</f>
        <v/>
      </c>
      <c r="F469" s="56" t="n"/>
      <c r="G469" s="58">
        <f>IF(F469="","",F469*2.5)</f>
        <v/>
      </c>
      <c r="H469" s="56" t="n"/>
      <c r="I469" s="58">
        <f>IF(C469="","",C469-E469-G469-IF(H469="",0,H469))</f>
        <v/>
      </c>
      <c r="J469" s="56">
        <f>IF(C469="","",IF(ABS(I469)&lt;0.001,"KAPALI","KONTROL"))</f>
        <v/>
      </c>
      <c r="K469" s="65" t="n"/>
    </row>
    <row r="470" ht="15" customHeight="1">
      <c r="A470" s="60">
        <f>IF(B470="","",IFERROR(DATE(RIGHT(B470,4),MID(B470,4,2),LEFT(B470,2))+1,""))</f>
        <v/>
      </c>
      <c r="B470" s="56" t="n"/>
      <c r="C470" s="58">
        <f>IF(B470="","",IFERROR(INDEX('21 2026 ÜRETİM'!$F$2:$F$501,MATCH(B470,'21 2026 ÜRETİM'!$A$2:$A$501,0)),""))</f>
        <v/>
      </c>
      <c r="D470" s="56" t="n"/>
      <c r="E470" s="58">
        <f>IF(D470="","",D470*0.5)</f>
        <v/>
      </c>
      <c r="F470" s="56" t="n"/>
      <c r="G470" s="58">
        <f>IF(F470="","",F470*2.5)</f>
        <v/>
      </c>
      <c r="H470" s="56" t="n"/>
      <c r="I470" s="58">
        <f>IF(C470="","",C470-E470-G470-IF(H470="",0,H470))</f>
        <v/>
      </c>
      <c r="J470" s="56">
        <f>IF(C470="","",IF(ABS(I470)&lt;0.001,"KAPALI","KONTROL"))</f>
        <v/>
      </c>
      <c r="K470" s="65" t="n"/>
    </row>
    <row r="471" ht="15" customHeight="1">
      <c r="A471" s="60">
        <f>IF(B471="","",IFERROR(DATE(RIGHT(B471,4),MID(B471,4,2),LEFT(B471,2))+1,""))</f>
        <v/>
      </c>
      <c r="B471" s="56" t="n"/>
      <c r="C471" s="58">
        <f>IF(B471="","",IFERROR(INDEX('21 2026 ÜRETİM'!$F$2:$F$501,MATCH(B471,'21 2026 ÜRETİM'!$A$2:$A$501,0)),""))</f>
        <v/>
      </c>
      <c r="D471" s="56" t="n"/>
      <c r="E471" s="58">
        <f>IF(D471="","",D471*0.5)</f>
        <v/>
      </c>
      <c r="F471" s="56" t="n"/>
      <c r="G471" s="58">
        <f>IF(F471="","",F471*2.5)</f>
        <v/>
      </c>
      <c r="H471" s="56" t="n"/>
      <c r="I471" s="58">
        <f>IF(C471="","",C471-E471-G471-IF(H471="",0,H471))</f>
        <v/>
      </c>
      <c r="J471" s="56">
        <f>IF(C471="","",IF(ABS(I471)&lt;0.001,"KAPALI","KONTROL"))</f>
        <v/>
      </c>
      <c r="K471" s="65" t="n"/>
    </row>
    <row r="472" ht="15" customHeight="1">
      <c r="A472" s="60">
        <f>IF(B472="","",IFERROR(DATE(RIGHT(B472,4),MID(B472,4,2),LEFT(B472,2))+1,""))</f>
        <v/>
      </c>
      <c r="B472" s="56" t="n"/>
      <c r="C472" s="58">
        <f>IF(B472="","",IFERROR(INDEX('21 2026 ÜRETİM'!$F$2:$F$501,MATCH(B472,'21 2026 ÜRETİM'!$A$2:$A$501,0)),""))</f>
        <v/>
      </c>
      <c r="D472" s="56" t="n"/>
      <c r="E472" s="58">
        <f>IF(D472="","",D472*0.5)</f>
        <v/>
      </c>
      <c r="F472" s="56" t="n"/>
      <c r="G472" s="58">
        <f>IF(F472="","",F472*2.5)</f>
        <v/>
      </c>
      <c r="H472" s="56" t="n"/>
      <c r="I472" s="58">
        <f>IF(C472="","",C472-E472-G472-IF(H472="",0,H472))</f>
        <v/>
      </c>
      <c r="J472" s="56">
        <f>IF(C472="","",IF(ABS(I472)&lt;0.001,"KAPALI","KONTROL"))</f>
        <v/>
      </c>
      <c r="K472" s="65" t="n"/>
    </row>
    <row r="473" ht="15" customHeight="1">
      <c r="A473" s="60">
        <f>IF(B473="","",IFERROR(DATE(RIGHT(B473,4),MID(B473,4,2),LEFT(B473,2))+1,""))</f>
        <v/>
      </c>
      <c r="B473" s="56" t="n"/>
      <c r="C473" s="58">
        <f>IF(B473="","",IFERROR(INDEX('21 2026 ÜRETİM'!$F$2:$F$501,MATCH(B473,'21 2026 ÜRETİM'!$A$2:$A$501,0)),""))</f>
        <v/>
      </c>
      <c r="D473" s="56" t="n"/>
      <c r="E473" s="58">
        <f>IF(D473="","",D473*0.5)</f>
        <v/>
      </c>
      <c r="F473" s="56" t="n"/>
      <c r="G473" s="58">
        <f>IF(F473="","",F473*2.5)</f>
        <v/>
      </c>
      <c r="H473" s="56" t="n"/>
      <c r="I473" s="58">
        <f>IF(C473="","",C473-E473-G473-IF(H473="",0,H473))</f>
        <v/>
      </c>
      <c r="J473" s="56">
        <f>IF(C473="","",IF(ABS(I473)&lt;0.001,"KAPALI","KONTROL"))</f>
        <v/>
      </c>
      <c r="K473" s="65" t="n"/>
    </row>
    <row r="474" ht="15" customHeight="1">
      <c r="A474" s="60">
        <f>IF(B474="","",IFERROR(DATE(RIGHT(B474,4),MID(B474,4,2),LEFT(B474,2))+1,""))</f>
        <v/>
      </c>
      <c r="B474" s="56" t="n"/>
      <c r="C474" s="58">
        <f>IF(B474="","",IFERROR(INDEX('21 2026 ÜRETİM'!$F$2:$F$501,MATCH(B474,'21 2026 ÜRETİM'!$A$2:$A$501,0)),""))</f>
        <v/>
      </c>
      <c r="D474" s="56" t="n"/>
      <c r="E474" s="58">
        <f>IF(D474="","",D474*0.5)</f>
        <v/>
      </c>
      <c r="F474" s="56" t="n"/>
      <c r="G474" s="58">
        <f>IF(F474="","",F474*2.5)</f>
        <v/>
      </c>
      <c r="H474" s="56" t="n"/>
      <c r="I474" s="58">
        <f>IF(C474="","",C474-E474-G474-IF(H474="",0,H474))</f>
        <v/>
      </c>
      <c r="J474" s="56">
        <f>IF(C474="","",IF(ABS(I474)&lt;0.001,"KAPALI","KONTROL"))</f>
        <v/>
      </c>
      <c r="K474" s="65" t="n"/>
    </row>
    <row r="475" ht="15" customHeight="1">
      <c r="A475" s="60">
        <f>IF(B475="","",IFERROR(DATE(RIGHT(B475,4),MID(B475,4,2),LEFT(B475,2))+1,""))</f>
        <v/>
      </c>
      <c r="B475" s="56" t="n"/>
      <c r="C475" s="58">
        <f>IF(B475="","",IFERROR(INDEX('21 2026 ÜRETİM'!$F$2:$F$501,MATCH(B475,'21 2026 ÜRETİM'!$A$2:$A$501,0)),""))</f>
        <v/>
      </c>
      <c r="D475" s="56" t="n"/>
      <c r="E475" s="58">
        <f>IF(D475="","",D475*0.5)</f>
        <v/>
      </c>
      <c r="F475" s="56" t="n"/>
      <c r="G475" s="58">
        <f>IF(F475="","",F475*2.5)</f>
        <v/>
      </c>
      <c r="H475" s="56" t="n"/>
      <c r="I475" s="58">
        <f>IF(C475="","",C475-E475-G475-IF(H475="",0,H475))</f>
        <v/>
      </c>
      <c r="J475" s="56">
        <f>IF(C475="","",IF(ABS(I475)&lt;0.001,"KAPALI","KONTROL"))</f>
        <v/>
      </c>
      <c r="K475" s="65" t="n"/>
    </row>
    <row r="476" ht="15" customHeight="1">
      <c r="A476" s="60">
        <f>IF(B476="","",IFERROR(DATE(RIGHT(B476,4),MID(B476,4,2),LEFT(B476,2))+1,""))</f>
        <v/>
      </c>
      <c r="B476" s="56" t="n"/>
      <c r="C476" s="58">
        <f>IF(B476="","",IFERROR(INDEX('21 2026 ÜRETİM'!$F$2:$F$501,MATCH(B476,'21 2026 ÜRETİM'!$A$2:$A$501,0)),""))</f>
        <v/>
      </c>
      <c r="D476" s="56" t="n"/>
      <c r="E476" s="58">
        <f>IF(D476="","",D476*0.5)</f>
        <v/>
      </c>
      <c r="F476" s="56" t="n"/>
      <c r="G476" s="58">
        <f>IF(F476="","",F476*2.5)</f>
        <v/>
      </c>
      <c r="H476" s="56" t="n"/>
      <c r="I476" s="58">
        <f>IF(C476="","",C476-E476-G476-IF(H476="",0,H476))</f>
        <v/>
      </c>
      <c r="J476" s="56">
        <f>IF(C476="","",IF(ABS(I476)&lt;0.001,"KAPALI","KONTROL"))</f>
        <v/>
      </c>
      <c r="K476" s="65" t="n"/>
    </row>
    <row r="477" ht="15" customHeight="1">
      <c r="A477" s="60">
        <f>IF(B477="","",IFERROR(DATE(RIGHT(B477,4),MID(B477,4,2),LEFT(B477,2))+1,""))</f>
        <v/>
      </c>
      <c r="B477" s="56" t="n"/>
      <c r="C477" s="58">
        <f>IF(B477="","",IFERROR(INDEX('21 2026 ÜRETİM'!$F$2:$F$501,MATCH(B477,'21 2026 ÜRETİM'!$A$2:$A$501,0)),""))</f>
        <v/>
      </c>
      <c r="D477" s="56" t="n"/>
      <c r="E477" s="58">
        <f>IF(D477="","",D477*0.5)</f>
        <v/>
      </c>
      <c r="F477" s="56" t="n"/>
      <c r="G477" s="58">
        <f>IF(F477="","",F477*2.5)</f>
        <v/>
      </c>
      <c r="H477" s="56" t="n"/>
      <c r="I477" s="58">
        <f>IF(C477="","",C477-E477-G477-IF(H477="",0,H477))</f>
        <v/>
      </c>
      <c r="J477" s="56">
        <f>IF(C477="","",IF(ABS(I477)&lt;0.001,"KAPALI","KONTROL"))</f>
        <v/>
      </c>
      <c r="K477" s="65" t="n"/>
    </row>
    <row r="478" ht="15" customHeight="1">
      <c r="A478" s="60">
        <f>IF(B478="","",IFERROR(DATE(RIGHT(B478,4),MID(B478,4,2),LEFT(B478,2))+1,""))</f>
        <v/>
      </c>
      <c r="B478" s="56" t="n"/>
      <c r="C478" s="58">
        <f>IF(B478="","",IFERROR(INDEX('21 2026 ÜRETİM'!$F$2:$F$501,MATCH(B478,'21 2026 ÜRETİM'!$A$2:$A$501,0)),""))</f>
        <v/>
      </c>
      <c r="D478" s="56" t="n"/>
      <c r="E478" s="58">
        <f>IF(D478="","",D478*0.5)</f>
        <v/>
      </c>
      <c r="F478" s="56" t="n"/>
      <c r="G478" s="58">
        <f>IF(F478="","",F478*2.5)</f>
        <v/>
      </c>
      <c r="H478" s="56" t="n"/>
      <c r="I478" s="58">
        <f>IF(C478="","",C478-E478-G478-IF(H478="",0,H478))</f>
        <v/>
      </c>
      <c r="J478" s="56">
        <f>IF(C478="","",IF(ABS(I478)&lt;0.001,"KAPALI","KONTROL"))</f>
        <v/>
      </c>
      <c r="K478" s="65" t="n"/>
    </row>
    <row r="479" ht="15" customHeight="1">
      <c r="A479" s="60">
        <f>IF(B479="","",IFERROR(DATE(RIGHT(B479,4),MID(B479,4,2),LEFT(B479,2))+1,""))</f>
        <v/>
      </c>
      <c r="B479" s="56" t="n"/>
      <c r="C479" s="58">
        <f>IF(B479="","",IFERROR(INDEX('21 2026 ÜRETİM'!$F$2:$F$501,MATCH(B479,'21 2026 ÜRETİM'!$A$2:$A$501,0)),""))</f>
        <v/>
      </c>
      <c r="D479" s="56" t="n"/>
      <c r="E479" s="58">
        <f>IF(D479="","",D479*0.5)</f>
        <v/>
      </c>
      <c r="F479" s="56" t="n"/>
      <c r="G479" s="58">
        <f>IF(F479="","",F479*2.5)</f>
        <v/>
      </c>
      <c r="H479" s="56" t="n"/>
      <c r="I479" s="58">
        <f>IF(C479="","",C479-E479-G479-IF(H479="",0,H479))</f>
        <v/>
      </c>
      <c r="J479" s="56">
        <f>IF(C479="","",IF(ABS(I479)&lt;0.001,"KAPALI","KONTROL"))</f>
        <v/>
      </c>
      <c r="K479" s="65" t="n"/>
    </row>
    <row r="480" ht="15" customHeight="1">
      <c r="A480" s="60">
        <f>IF(B480="","",IFERROR(DATE(RIGHT(B480,4),MID(B480,4,2),LEFT(B480,2))+1,""))</f>
        <v/>
      </c>
      <c r="B480" s="56" t="n"/>
      <c r="C480" s="58">
        <f>IF(B480="","",IFERROR(INDEX('21 2026 ÜRETİM'!$F$2:$F$501,MATCH(B480,'21 2026 ÜRETİM'!$A$2:$A$501,0)),""))</f>
        <v/>
      </c>
      <c r="D480" s="56" t="n"/>
      <c r="E480" s="58">
        <f>IF(D480="","",D480*0.5)</f>
        <v/>
      </c>
      <c r="F480" s="56" t="n"/>
      <c r="G480" s="58">
        <f>IF(F480="","",F480*2.5)</f>
        <v/>
      </c>
      <c r="H480" s="56" t="n"/>
      <c r="I480" s="58">
        <f>IF(C480="","",C480-E480-G480-IF(H480="",0,H480))</f>
        <v/>
      </c>
      <c r="J480" s="56">
        <f>IF(C480="","",IF(ABS(I480)&lt;0.001,"KAPALI","KONTROL"))</f>
        <v/>
      </c>
      <c r="K480" s="65" t="n"/>
    </row>
    <row r="481" ht="15" customHeight="1">
      <c r="A481" s="60">
        <f>IF(B481="","",IFERROR(DATE(RIGHT(B481,4),MID(B481,4,2),LEFT(B481,2))+1,""))</f>
        <v/>
      </c>
      <c r="B481" s="56" t="n"/>
      <c r="C481" s="58">
        <f>IF(B481="","",IFERROR(INDEX('21 2026 ÜRETİM'!$F$2:$F$501,MATCH(B481,'21 2026 ÜRETİM'!$A$2:$A$501,0)),""))</f>
        <v/>
      </c>
      <c r="D481" s="56" t="n"/>
      <c r="E481" s="58">
        <f>IF(D481="","",D481*0.5)</f>
        <v/>
      </c>
      <c r="F481" s="56" t="n"/>
      <c r="G481" s="58">
        <f>IF(F481="","",F481*2.5)</f>
        <v/>
      </c>
      <c r="H481" s="56" t="n"/>
      <c r="I481" s="58">
        <f>IF(C481="","",C481-E481-G481-IF(H481="",0,H481))</f>
        <v/>
      </c>
      <c r="J481" s="56">
        <f>IF(C481="","",IF(ABS(I481)&lt;0.001,"KAPALI","KONTROL"))</f>
        <v/>
      </c>
      <c r="K481" s="65" t="n"/>
    </row>
    <row r="482" ht="15" customHeight="1">
      <c r="A482" s="60">
        <f>IF(B482="","",IFERROR(DATE(RIGHT(B482,4),MID(B482,4,2),LEFT(B482,2))+1,""))</f>
        <v/>
      </c>
      <c r="B482" s="56" t="n"/>
      <c r="C482" s="58">
        <f>IF(B482="","",IFERROR(INDEX('21 2026 ÜRETİM'!$F$2:$F$501,MATCH(B482,'21 2026 ÜRETİM'!$A$2:$A$501,0)),""))</f>
        <v/>
      </c>
      <c r="D482" s="56" t="n"/>
      <c r="E482" s="58">
        <f>IF(D482="","",D482*0.5)</f>
        <v/>
      </c>
      <c r="F482" s="56" t="n"/>
      <c r="G482" s="58">
        <f>IF(F482="","",F482*2.5)</f>
        <v/>
      </c>
      <c r="H482" s="56" t="n"/>
      <c r="I482" s="58">
        <f>IF(C482="","",C482-E482-G482-IF(H482="",0,H482))</f>
        <v/>
      </c>
      <c r="J482" s="56">
        <f>IF(C482="","",IF(ABS(I482)&lt;0.001,"KAPALI","KONTROL"))</f>
        <v/>
      </c>
      <c r="K482" s="65" t="n"/>
    </row>
    <row r="483" ht="15" customHeight="1">
      <c r="A483" s="60">
        <f>IF(B483="","",IFERROR(DATE(RIGHT(B483,4),MID(B483,4,2),LEFT(B483,2))+1,""))</f>
        <v/>
      </c>
      <c r="B483" s="56" t="n"/>
      <c r="C483" s="58">
        <f>IF(B483="","",IFERROR(INDEX('21 2026 ÜRETİM'!$F$2:$F$501,MATCH(B483,'21 2026 ÜRETİM'!$A$2:$A$501,0)),""))</f>
        <v/>
      </c>
      <c r="D483" s="56" t="n"/>
      <c r="E483" s="58">
        <f>IF(D483="","",D483*0.5)</f>
        <v/>
      </c>
      <c r="F483" s="56" t="n"/>
      <c r="G483" s="58">
        <f>IF(F483="","",F483*2.5)</f>
        <v/>
      </c>
      <c r="H483" s="56" t="n"/>
      <c r="I483" s="58">
        <f>IF(C483="","",C483-E483-G483-IF(H483="",0,H483))</f>
        <v/>
      </c>
      <c r="J483" s="56">
        <f>IF(C483="","",IF(ABS(I483)&lt;0.001,"KAPALI","KONTROL"))</f>
        <v/>
      </c>
      <c r="K483" s="65" t="n"/>
    </row>
    <row r="484" ht="15" customHeight="1">
      <c r="A484" s="60">
        <f>IF(B484="","",IFERROR(DATE(RIGHT(B484,4),MID(B484,4,2),LEFT(B484,2))+1,""))</f>
        <v/>
      </c>
      <c r="B484" s="56" t="n"/>
      <c r="C484" s="58">
        <f>IF(B484="","",IFERROR(INDEX('21 2026 ÜRETİM'!$F$2:$F$501,MATCH(B484,'21 2026 ÜRETİM'!$A$2:$A$501,0)),""))</f>
        <v/>
      </c>
      <c r="D484" s="56" t="n"/>
      <c r="E484" s="58">
        <f>IF(D484="","",D484*0.5)</f>
        <v/>
      </c>
      <c r="F484" s="56" t="n"/>
      <c r="G484" s="58">
        <f>IF(F484="","",F484*2.5)</f>
        <v/>
      </c>
      <c r="H484" s="56" t="n"/>
      <c r="I484" s="58">
        <f>IF(C484="","",C484-E484-G484-IF(H484="",0,H484))</f>
        <v/>
      </c>
      <c r="J484" s="56">
        <f>IF(C484="","",IF(ABS(I484)&lt;0.001,"KAPALI","KONTROL"))</f>
        <v/>
      </c>
      <c r="K484" s="65" t="n"/>
    </row>
    <row r="485" ht="15" customHeight="1">
      <c r="A485" s="60">
        <f>IF(B485="","",IFERROR(DATE(RIGHT(B485,4),MID(B485,4,2),LEFT(B485,2))+1,""))</f>
        <v/>
      </c>
      <c r="B485" s="56" t="n"/>
      <c r="C485" s="58">
        <f>IF(B485="","",IFERROR(INDEX('21 2026 ÜRETİM'!$F$2:$F$501,MATCH(B485,'21 2026 ÜRETİM'!$A$2:$A$501,0)),""))</f>
        <v/>
      </c>
      <c r="D485" s="56" t="n"/>
      <c r="E485" s="58">
        <f>IF(D485="","",D485*0.5)</f>
        <v/>
      </c>
      <c r="F485" s="56" t="n"/>
      <c r="G485" s="58">
        <f>IF(F485="","",F485*2.5)</f>
        <v/>
      </c>
      <c r="H485" s="56" t="n"/>
      <c r="I485" s="58">
        <f>IF(C485="","",C485-E485-G485-IF(H485="",0,H485))</f>
        <v/>
      </c>
      <c r="J485" s="56">
        <f>IF(C485="","",IF(ABS(I485)&lt;0.001,"KAPALI","KONTROL"))</f>
        <v/>
      </c>
      <c r="K485" s="65" t="n"/>
    </row>
    <row r="486" ht="15" customHeight="1">
      <c r="A486" s="60">
        <f>IF(B486="","",IFERROR(DATE(RIGHT(B486,4),MID(B486,4,2),LEFT(B486,2))+1,""))</f>
        <v/>
      </c>
      <c r="B486" s="56" t="n"/>
      <c r="C486" s="58">
        <f>IF(B486="","",IFERROR(INDEX('21 2026 ÜRETİM'!$F$2:$F$501,MATCH(B486,'21 2026 ÜRETİM'!$A$2:$A$501,0)),""))</f>
        <v/>
      </c>
      <c r="D486" s="56" t="n"/>
      <c r="E486" s="58">
        <f>IF(D486="","",D486*0.5)</f>
        <v/>
      </c>
      <c r="F486" s="56" t="n"/>
      <c r="G486" s="58">
        <f>IF(F486="","",F486*2.5)</f>
        <v/>
      </c>
      <c r="H486" s="56" t="n"/>
      <c r="I486" s="58">
        <f>IF(C486="","",C486-E486-G486-IF(H486="",0,H486))</f>
        <v/>
      </c>
      <c r="J486" s="56">
        <f>IF(C486="","",IF(ABS(I486)&lt;0.001,"KAPALI","KONTROL"))</f>
        <v/>
      </c>
      <c r="K486" s="65" t="n"/>
    </row>
    <row r="487" ht="15" customHeight="1">
      <c r="A487" s="60">
        <f>IF(B487="","",IFERROR(DATE(RIGHT(B487,4),MID(B487,4,2),LEFT(B487,2))+1,""))</f>
        <v/>
      </c>
      <c r="B487" s="56" t="n"/>
      <c r="C487" s="58">
        <f>IF(B487="","",IFERROR(INDEX('21 2026 ÜRETİM'!$F$2:$F$501,MATCH(B487,'21 2026 ÜRETİM'!$A$2:$A$501,0)),""))</f>
        <v/>
      </c>
      <c r="D487" s="56" t="n"/>
      <c r="E487" s="58">
        <f>IF(D487="","",D487*0.5)</f>
        <v/>
      </c>
      <c r="F487" s="56" t="n"/>
      <c r="G487" s="58">
        <f>IF(F487="","",F487*2.5)</f>
        <v/>
      </c>
      <c r="H487" s="56" t="n"/>
      <c r="I487" s="58">
        <f>IF(C487="","",C487-E487-G487-IF(H487="",0,H487))</f>
        <v/>
      </c>
      <c r="J487" s="56">
        <f>IF(C487="","",IF(ABS(I487)&lt;0.001,"KAPALI","KONTROL"))</f>
        <v/>
      </c>
      <c r="K487" s="65" t="n"/>
    </row>
    <row r="488" ht="15" customHeight="1">
      <c r="A488" s="60">
        <f>IF(B488="","",IFERROR(DATE(RIGHT(B488,4),MID(B488,4,2),LEFT(B488,2))+1,""))</f>
        <v/>
      </c>
      <c r="B488" s="56" t="n"/>
      <c r="C488" s="58">
        <f>IF(B488="","",IFERROR(INDEX('21 2026 ÜRETİM'!$F$2:$F$501,MATCH(B488,'21 2026 ÜRETİM'!$A$2:$A$501,0)),""))</f>
        <v/>
      </c>
      <c r="D488" s="56" t="n"/>
      <c r="E488" s="58">
        <f>IF(D488="","",D488*0.5)</f>
        <v/>
      </c>
      <c r="F488" s="56" t="n"/>
      <c r="G488" s="58">
        <f>IF(F488="","",F488*2.5)</f>
        <v/>
      </c>
      <c r="H488" s="56" t="n"/>
      <c r="I488" s="58">
        <f>IF(C488="","",C488-E488-G488-IF(H488="",0,H488))</f>
        <v/>
      </c>
      <c r="J488" s="56">
        <f>IF(C488="","",IF(ABS(I488)&lt;0.001,"KAPALI","KONTROL"))</f>
        <v/>
      </c>
      <c r="K488" s="65" t="n"/>
    </row>
    <row r="489" ht="15" customHeight="1">
      <c r="A489" s="60">
        <f>IF(B489="","",IFERROR(DATE(RIGHT(B489,4),MID(B489,4,2),LEFT(B489,2))+1,""))</f>
        <v/>
      </c>
      <c r="B489" s="56" t="n"/>
      <c r="C489" s="58">
        <f>IF(B489="","",IFERROR(INDEX('21 2026 ÜRETİM'!$F$2:$F$501,MATCH(B489,'21 2026 ÜRETİM'!$A$2:$A$501,0)),""))</f>
        <v/>
      </c>
      <c r="D489" s="56" t="n"/>
      <c r="E489" s="58">
        <f>IF(D489="","",D489*0.5)</f>
        <v/>
      </c>
      <c r="F489" s="56" t="n"/>
      <c r="G489" s="58">
        <f>IF(F489="","",F489*2.5)</f>
        <v/>
      </c>
      <c r="H489" s="56" t="n"/>
      <c r="I489" s="58">
        <f>IF(C489="","",C489-E489-G489-IF(H489="",0,H489))</f>
        <v/>
      </c>
      <c r="J489" s="56">
        <f>IF(C489="","",IF(ABS(I489)&lt;0.001,"KAPALI","KONTROL"))</f>
        <v/>
      </c>
      <c r="K489" s="65" t="n"/>
    </row>
    <row r="490" ht="15" customHeight="1">
      <c r="A490" s="60">
        <f>IF(B490="","",IFERROR(DATE(RIGHT(B490,4),MID(B490,4,2),LEFT(B490,2))+1,""))</f>
        <v/>
      </c>
      <c r="B490" s="56" t="n"/>
      <c r="C490" s="58">
        <f>IF(B490="","",IFERROR(INDEX('21 2026 ÜRETİM'!$F$2:$F$501,MATCH(B490,'21 2026 ÜRETİM'!$A$2:$A$501,0)),""))</f>
        <v/>
      </c>
      <c r="D490" s="56" t="n"/>
      <c r="E490" s="58">
        <f>IF(D490="","",D490*0.5)</f>
        <v/>
      </c>
      <c r="F490" s="56" t="n"/>
      <c r="G490" s="58">
        <f>IF(F490="","",F490*2.5)</f>
        <v/>
      </c>
      <c r="H490" s="56" t="n"/>
      <c r="I490" s="58">
        <f>IF(C490="","",C490-E490-G490-IF(H490="",0,H490))</f>
        <v/>
      </c>
      <c r="J490" s="56">
        <f>IF(C490="","",IF(ABS(I490)&lt;0.001,"KAPALI","KONTROL"))</f>
        <v/>
      </c>
      <c r="K490" s="65" t="n"/>
    </row>
    <row r="491" ht="15" customHeight="1">
      <c r="A491" s="60">
        <f>IF(B491="","",IFERROR(DATE(RIGHT(B491,4),MID(B491,4,2),LEFT(B491,2))+1,""))</f>
        <v/>
      </c>
      <c r="B491" s="56" t="n"/>
      <c r="C491" s="58">
        <f>IF(B491="","",IFERROR(INDEX('21 2026 ÜRETİM'!$F$2:$F$501,MATCH(B491,'21 2026 ÜRETİM'!$A$2:$A$501,0)),""))</f>
        <v/>
      </c>
      <c r="D491" s="56" t="n"/>
      <c r="E491" s="58">
        <f>IF(D491="","",D491*0.5)</f>
        <v/>
      </c>
      <c r="F491" s="56" t="n"/>
      <c r="G491" s="58">
        <f>IF(F491="","",F491*2.5)</f>
        <v/>
      </c>
      <c r="H491" s="56" t="n"/>
      <c r="I491" s="58">
        <f>IF(C491="","",C491-E491-G491-IF(H491="",0,H491))</f>
        <v/>
      </c>
      <c r="J491" s="56">
        <f>IF(C491="","",IF(ABS(I491)&lt;0.001,"KAPALI","KONTROL"))</f>
        <v/>
      </c>
      <c r="K491" s="65" t="n"/>
    </row>
    <row r="492" ht="15" customHeight="1">
      <c r="A492" s="60">
        <f>IF(B492="","",IFERROR(DATE(RIGHT(B492,4),MID(B492,4,2),LEFT(B492,2))+1,""))</f>
        <v/>
      </c>
      <c r="B492" s="56" t="n"/>
      <c r="C492" s="58">
        <f>IF(B492="","",IFERROR(INDEX('21 2026 ÜRETİM'!$F$2:$F$501,MATCH(B492,'21 2026 ÜRETİM'!$A$2:$A$501,0)),""))</f>
        <v/>
      </c>
      <c r="D492" s="56" t="n"/>
      <c r="E492" s="58">
        <f>IF(D492="","",D492*0.5)</f>
        <v/>
      </c>
      <c r="F492" s="56" t="n"/>
      <c r="G492" s="58">
        <f>IF(F492="","",F492*2.5)</f>
        <v/>
      </c>
      <c r="H492" s="56" t="n"/>
      <c r="I492" s="58">
        <f>IF(C492="","",C492-E492-G492-IF(H492="",0,H492))</f>
        <v/>
      </c>
      <c r="J492" s="56">
        <f>IF(C492="","",IF(ABS(I492)&lt;0.001,"KAPALI","KONTROL"))</f>
        <v/>
      </c>
      <c r="K492" s="65" t="n"/>
    </row>
    <row r="493" ht="15" customHeight="1">
      <c r="A493" s="60">
        <f>IF(B493="","",IFERROR(DATE(RIGHT(B493,4),MID(B493,4,2),LEFT(B493,2))+1,""))</f>
        <v/>
      </c>
      <c r="B493" s="56" t="n"/>
      <c r="C493" s="58">
        <f>IF(B493="","",IFERROR(INDEX('21 2026 ÜRETİM'!$F$2:$F$501,MATCH(B493,'21 2026 ÜRETİM'!$A$2:$A$501,0)),""))</f>
        <v/>
      </c>
      <c r="D493" s="56" t="n"/>
      <c r="E493" s="58">
        <f>IF(D493="","",D493*0.5)</f>
        <v/>
      </c>
      <c r="F493" s="56" t="n"/>
      <c r="G493" s="58">
        <f>IF(F493="","",F493*2.5)</f>
        <v/>
      </c>
      <c r="H493" s="56" t="n"/>
      <c r="I493" s="58">
        <f>IF(C493="","",C493-E493-G493-IF(H493="",0,H493))</f>
        <v/>
      </c>
      <c r="J493" s="56">
        <f>IF(C493="","",IF(ABS(I493)&lt;0.001,"KAPALI","KONTROL"))</f>
        <v/>
      </c>
      <c r="K493" s="65" t="n"/>
    </row>
    <row r="494" ht="15" customHeight="1">
      <c r="A494" s="60">
        <f>IF(B494="","",IFERROR(DATE(RIGHT(B494,4),MID(B494,4,2),LEFT(B494,2))+1,""))</f>
        <v/>
      </c>
      <c r="B494" s="56" t="n"/>
      <c r="C494" s="58">
        <f>IF(B494="","",IFERROR(INDEX('21 2026 ÜRETİM'!$F$2:$F$501,MATCH(B494,'21 2026 ÜRETİM'!$A$2:$A$501,0)),""))</f>
        <v/>
      </c>
      <c r="D494" s="56" t="n"/>
      <c r="E494" s="58">
        <f>IF(D494="","",D494*0.5)</f>
        <v/>
      </c>
      <c r="F494" s="56" t="n"/>
      <c r="G494" s="58">
        <f>IF(F494="","",F494*2.5)</f>
        <v/>
      </c>
      <c r="H494" s="56" t="n"/>
      <c r="I494" s="58">
        <f>IF(C494="","",C494-E494-G494-IF(H494="",0,H494))</f>
        <v/>
      </c>
      <c r="J494" s="56">
        <f>IF(C494="","",IF(ABS(I494)&lt;0.001,"KAPALI","KONTROL"))</f>
        <v/>
      </c>
      <c r="K494" s="65" t="n"/>
    </row>
    <row r="495" ht="15" customHeight="1">
      <c r="A495" s="60">
        <f>IF(B495="","",IFERROR(DATE(RIGHT(B495,4),MID(B495,4,2),LEFT(B495,2))+1,""))</f>
        <v/>
      </c>
      <c r="B495" s="56" t="n"/>
      <c r="C495" s="58">
        <f>IF(B495="","",IFERROR(INDEX('21 2026 ÜRETİM'!$F$2:$F$501,MATCH(B495,'21 2026 ÜRETİM'!$A$2:$A$501,0)),""))</f>
        <v/>
      </c>
      <c r="D495" s="56" t="n"/>
      <c r="E495" s="58">
        <f>IF(D495="","",D495*0.5)</f>
        <v/>
      </c>
      <c r="F495" s="56" t="n"/>
      <c r="G495" s="58">
        <f>IF(F495="","",F495*2.5)</f>
        <v/>
      </c>
      <c r="H495" s="56" t="n"/>
      <c r="I495" s="58">
        <f>IF(C495="","",C495-E495-G495-IF(H495="",0,H495))</f>
        <v/>
      </c>
      <c r="J495" s="56">
        <f>IF(C495="","",IF(ABS(I495)&lt;0.001,"KAPALI","KONTROL"))</f>
        <v/>
      </c>
      <c r="K495" s="65" t="n"/>
    </row>
    <row r="496" ht="15" customHeight="1">
      <c r="A496" s="60">
        <f>IF(B496="","",IFERROR(DATE(RIGHT(B496,4),MID(B496,4,2),LEFT(B496,2))+1,""))</f>
        <v/>
      </c>
      <c r="B496" s="56" t="n"/>
      <c r="C496" s="58">
        <f>IF(B496="","",IFERROR(INDEX('21 2026 ÜRETİM'!$F$2:$F$501,MATCH(B496,'21 2026 ÜRETİM'!$A$2:$A$501,0)),""))</f>
        <v/>
      </c>
      <c r="D496" s="56" t="n"/>
      <c r="E496" s="58">
        <f>IF(D496="","",D496*0.5)</f>
        <v/>
      </c>
      <c r="F496" s="56" t="n"/>
      <c r="G496" s="58">
        <f>IF(F496="","",F496*2.5)</f>
        <v/>
      </c>
      <c r="H496" s="56" t="n"/>
      <c r="I496" s="58">
        <f>IF(C496="","",C496-E496-G496-IF(H496="",0,H496))</f>
        <v/>
      </c>
      <c r="J496" s="56">
        <f>IF(C496="","",IF(ABS(I496)&lt;0.001,"KAPALI","KONTROL"))</f>
        <v/>
      </c>
      <c r="K496" s="65" t="n"/>
    </row>
    <row r="497" ht="15" customHeight="1">
      <c r="A497" s="60">
        <f>IF(B497="","",IFERROR(DATE(RIGHT(B497,4),MID(B497,4,2),LEFT(B497,2))+1,""))</f>
        <v/>
      </c>
      <c r="B497" s="56" t="n"/>
      <c r="C497" s="58">
        <f>IF(B497="","",IFERROR(INDEX('21 2026 ÜRETİM'!$F$2:$F$501,MATCH(B497,'21 2026 ÜRETİM'!$A$2:$A$501,0)),""))</f>
        <v/>
      </c>
      <c r="D497" s="56" t="n"/>
      <c r="E497" s="58">
        <f>IF(D497="","",D497*0.5)</f>
        <v/>
      </c>
      <c r="F497" s="56" t="n"/>
      <c r="G497" s="58">
        <f>IF(F497="","",F497*2.5)</f>
        <v/>
      </c>
      <c r="H497" s="56" t="n"/>
      <c r="I497" s="58">
        <f>IF(C497="","",C497-E497-G497-IF(H497="",0,H497))</f>
        <v/>
      </c>
      <c r="J497" s="56">
        <f>IF(C497="","",IF(ABS(I497)&lt;0.001,"KAPALI","KONTROL"))</f>
        <v/>
      </c>
      <c r="K497" s="65" t="n"/>
    </row>
    <row r="498" ht="15" customHeight="1">
      <c r="A498" s="60">
        <f>IF(B498="","",IFERROR(DATE(RIGHT(B498,4),MID(B498,4,2),LEFT(B498,2))+1,""))</f>
        <v/>
      </c>
      <c r="B498" s="56" t="n"/>
      <c r="C498" s="58">
        <f>IF(B498="","",IFERROR(INDEX('21 2026 ÜRETİM'!$F$2:$F$501,MATCH(B498,'21 2026 ÜRETİM'!$A$2:$A$501,0)),""))</f>
        <v/>
      </c>
      <c r="D498" s="56" t="n"/>
      <c r="E498" s="58">
        <f>IF(D498="","",D498*0.5)</f>
        <v/>
      </c>
      <c r="F498" s="56" t="n"/>
      <c r="G498" s="58">
        <f>IF(F498="","",F498*2.5)</f>
        <v/>
      </c>
      <c r="H498" s="56" t="n"/>
      <c r="I498" s="58">
        <f>IF(C498="","",C498-E498-G498-IF(H498="",0,H498))</f>
        <v/>
      </c>
      <c r="J498" s="56">
        <f>IF(C498="","",IF(ABS(I498)&lt;0.001,"KAPALI","KONTROL"))</f>
        <v/>
      </c>
      <c r="K498" s="65" t="n"/>
    </row>
    <row r="499" ht="15" customHeight="1">
      <c r="A499" s="60">
        <f>IF(B499="","",IFERROR(DATE(RIGHT(B499,4),MID(B499,4,2),LEFT(B499,2))+1,""))</f>
        <v/>
      </c>
      <c r="B499" s="56" t="n"/>
      <c r="C499" s="58">
        <f>IF(B499="","",IFERROR(INDEX('21 2026 ÜRETİM'!$F$2:$F$501,MATCH(B499,'21 2026 ÜRETİM'!$A$2:$A$501,0)),""))</f>
        <v/>
      </c>
      <c r="D499" s="56" t="n"/>
      <c r="E499" s="58">
        <f>IF(D499="","",D499*0.5)</f>
        <v/>
      </c>
      <c r="F499" s="56" t="n"/>
      <c r="G499" s="58">
        <f>IF(F499="","",F499*2.5)</f>
        <v/>
      </c>
      <c r="H499" s="56" t="n"/>
      <c r="I499" s="58">
        <f>IF(C499="","",C499-E499-G499-IF(H499="",0,H499))</f>
        <v/>
      </c>
      <c r="J499" s="56">
        <f>IF(C499="","",IF(ABS(I499)&lt;0.001,"KAPALI","KONTROL"))</f>
        <v/>
      </c>
      <c r="K499" s="65" t="n"/>
    </row>
    <row r="500" ht="15" customHeight="1">
      <c r="A500" s="60">
        <f>IF(B500="","",IFERROR(DATE(RIGHT(B500,4),MID(B500,4,2),LEFT(B500,2))+1,""))</f>
        <v/>
      </c>
      <c r="B500" s="56" t="n"/>
      <c r="C500" s="58">
        <f>IF(B500="","",IFERROR(INDEX('21 2026 ÜRETİM'!$F$2:$F$501,MATCH(B500,'21 2026 ÜRETİM'!$A$2:$A$501,0)),""))</f>
        <v/>
      </c>
      <c r="D500" s="56" t="n"/>
      <c r="E500" s="58">
        <f>IF(D500="","",D500*0.5)</f>
        <v/>
      </c>
      <c r="F500" s="56" t="n"/>
      <c r="G500" s="58">
        <f>IF(F500="","",F500*2.5)</f>
        <v/>
      </c>
      <c r="H500" s="56" t="n"/>
      <c r="I500" s="58">
        <f>IF(C500="","",C500-E500-G500-IF(H500="",0,H500))</f>
        <v/>
      </c>
      <c r="J500" s="56">
        <f>IF(C500="","",IF(ABS(I500)&lt;0.001,"KAPALI","KONTROL"))</f>
        <v/>
      </c>
      <c r="K500" s="65" t="n"/>
    </row>
    <row r="501" ht="15" customHeight="1">
      <c r="A501" s="60">
        <f>IF(B501="","",IFERROR(DATE(RIGHT(B501,4),MID(B501,4,2),LEFT(B501,2))+1,""))</f>
        <v/>
      </c>
      <c r="B501" s="56" t="n"/>
      <c r="C501" s="58">
        <f>IF(B501="","",IFERROR(INDEX('21 2026 ÜRETİM'!$F$2:$F$501,MATCH(B501,'21 2026 ÜRETİM'!$A$2:$A$501,0)),""))</f>
        <v/>
      </c>
      <c r="D501" s="56" t="n"/>
      <c r="E501" s="58">
        <f>IF(D501="","",D501*0.5)</f>
        <v/>
      </c>
      <c r="F501" s="56" t="n"/>
      <c r="G501" s="58">
        <f>IF(F501="","",F501*2.5)</f>
        <v/>
      </c>
      <c r="H501" s="56" t="n"/>
      <c r="I501" s="58">
        <f>IF(C501="","",C501-E501-G501-IF(H501="",0,H501))</f>
        <v/>
      </c>
      <c r="J501" s="56">
        <f>IF(C501="","",IF(ABS(I501)&lt;0.001,"KAPALI","KONTROL"))</f>
        <v/>
      </c>
      <c r="K501" s="65" t="n"/>
    </row>
  </sheetData>
  <autoFilter ref="A1:K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ED7D31"/>
    <outlinePr summaryBelow="1" summaryRight="1"/>
    <pageSetUpPr/>
  </sheetPr>
  <dimension ref="A1:V509"/>
  <sheetViews>
    <sheetView showGridLines="0" workbookViewId="0">
      <pane ySplit="1" topLeftCell="A2" activePane="bottomLeft" state="frozen"/>
      <selection pane="bottomLeft" activeCell="K10" sqref="K10"/>
    </sheetView>
  </sheetViews>
  <sheetFormatPr baseColWidth="10" defaultColWidth="8.83203125" defaultRowHeight="15"/>
  <cols>
    <col width="16" customWidth="1" style="49" min="1" max="1"/>
    <col width="28" customWidth="1" style="44" min="2" max="2"/>
    <col width="22" customWidth="1" style="30" min="3" max="3"/>
    <col width="16" customWidth="1" style="77" min="4" max="4"/>
    <col width="20" customWidth="1" style="49" min="5" max="5"/>
    <col width="14" customWidth="1" style="54" min="6" max="6"/>
    <col width="12" customWidth="1" style="49" min="7" max="7"/>
    <col width="8.83203125" customWidth="1" style="54" min="8" max="8"/>
    <col width="40" customWidth="1" style="49" min="9" max="9"/>
    <col width="18" customWidth="1" min="22" max="22"/>
  </cols>
  <sheetData>
    <row r="1" ht="31.5" customHeight="1" thickBot="1">
      <c r="A1" s="45" t="inlineStr">
        <is>
          <t>Sevk Tarihi</t>
        </is>
      </c>
      <c r="B1" s="40" t="inlineStr">
        <is>
          <t>Alıcı / Hedef</t>
        </is>
      </c>
      <c r="C1" s="33" t="inlineStr">
        <is>
          <t>Lojistik</t>
        </is>
      </c>
      <c r="D1" s="80" t="inlineStr">
        <is>
          <t>Plaka</t>
        </is>
      </c>
      <c r="E1" s="45" t="inlineStr">
        <is>
          <t>Üretim Bağı</t>
        </is>
      </c>
      <c r="F1" s="50" t="inlineStr">
        <is>
          <t>Ambalaj</t>
        </is>
      </c>
      <c r="G1" s="45" t="inlineStr">
        <is>
          <t>Paket</t>
        </is>
      </c>
      <c r="H1" s="50" t="inlineStr">
        <is>
          <t>kg</t>
        </is>
      </c>
      <c r="I1" s="45" t="inlineStr">
        <is>
          <t>Not</t>
        </is>
      </c>
      <c r="V1" s="19" t="inlineStr">
        <is>
          <t>⌂ ANA SAYFA</t>
        </is>
      </c>
    </row>
    <row r="2" ht="15" customHeight="1">
      <c r="A2" s="46" t="inlineStr">
        <is>
          <t>16.01.2026</t>
        </is>
      </c>
      <c r="B2" s="41" t="inlineStr">
        <is>
          <t>Malatya ALEK Gıda</t>
        </is>
      </c>
      <c r="C2" s="31" t="inlineStr">
        <is>
          <t>Kendi / bildirilen araç</t>
        </is>
      </c>
      <c r="D2" s="79" t="inlineStr">
        <is>
          <t>34 AU 125</t>
        </is>
      </c>
      <c r="E2" s="46" t="inlineStr">
        <is>
          <t>14.01.2026</t>
        </is>
      </c>
      <c r="F2" s="51" t="inlineStr">
        <is>
          <t>2,5 kg</t>
        </is>
      </c>
      <c r="G2" s="46" t="n">
        <v>40</v>
      </c>
      <c r="H2" s="51" t="n">
        <v>100</v>
      </c>
      <c r="I2" s="46" t="inlineStr">
        <is>
          <t>Gerçek kayıt</t>
        </is>
      </c>
      <c r="V2" s="20" t="inlineStr">
        <is>
          <t>→ ÜRETİM</t>
        </is>
      </c>
    </row>
    <row r="3" ht="15" customHeight="1">
      <c r="A3" s="47" t="n"/>
      <c r="B3" s="42" t="inlineStr">
        <is>
          <t>Festival / Fuar</t>
        </is>
      </c>
      <c r="C3" s="28" t="n"/>
      <c r="D3" s="73" t="n"/>
      <c r="E3" s="47" t="inlineStr">
        <is>
          <t>14.01.2026</t>
        </is>
      </c>
      <c r="F3" s="52" t="inlineStr">
        <is>
          <t>2,5 kg</t>
        </is>
      </c>
      <c r="G3" s="47" t="n">
        <v>56</v>
      </c>
      <c r="H3" s="52" t="n">
        <v>140</v>
      </c>
      <c r="I3" s="47" t="inlineStr">
        <is>
          <t>Sevk tarihi kesin kanıtı ayrıca kontrol</t>
        </is>
      </c>
      <c r="V3" s="21" t="inlineStr">
        <is>
          <t>→ LOT BAĞI</t>
        </is>
      </c>
    </row>
    <row r="4" ht="15" customHeight="1">
      <c r="A4" s="47" t="inlineStr">
        <is>
          <t>18.02.2026</t>
        </is>
      </c>
      <c r="B4" s="42" t="inlineStr">
        <is>
          <t>Şehzade Market</t>
        </is>
      </c>
      <c r="C4" s="28" t="inlineStr">
        <is>
          <t>Kendi araç</t>
        </is>
      </c>
      <c r="D4" s="73" t="inlineStr">
        <is>
          <t>77 AAG 036</t>
        </is>
      </c>
      <c r="E4" s="47" t="inlineStr">
        <is>
          <t>17.02.2026</t>
        </is>
      </c>
      <c r="F4" s="52" t="inlineStr">
        <is>
          <t>500 g</t>
        </is>
      </c>
      <c r="G4" s="47" t="n">
        <v>128</v>
      </c>
      <c r="H4" s="52" t="n">
        <v>64</v>
      </c>
      <c r="I4" s="47" t="inlineStr">
        <is>
          <t>4 koli × 32</t>
        </is>
      </c>
    </row>
    <row r="5" ht="15" customHeight="1">
      <c r="A5" s="47" t="inlineStr">
        <is>
          <t>25.02.2026</t>
        </is>
      </c>
      <c r="B5" s="42" t="inlineStr">
        <is>
          <t>Fuar aracı</t>
        </is>
      </c>
      <c r="C5" s="28" t="inlineStr">
        <is>
          <t>Kendi araç</t>
        </is>
      </c>
      <c r="D5" s="73" t="inlineStr">
        <is>
          <t>77 AAG 036</t>
        </is>
      </c>
      <c r="E5" s="47" t="inlineStr">
        <is>
          <t>17.02.2026</t>
        </is>
      </c>
      <c r="F5" s="52" t="inlineStr">
        <is>
          <t>2,5 kg</t>
        </is>
      </c>
      <c r="G5" s="47" t="n">
        <v>18</v>
      </c>
      <c r="H5" s="52" t="n">
        <v>45</v>
      </c>
      <c r="I5" s="47" t="inlineStr">
        <is>
          <t>Gerçek kayıt</t>
        </is>
      </c>
    </row>
    <row r="6" ht="17" customHeight="1">
      <c r="A6" s="47" t="inlineStr">
        <is>
          <t>27.03.2026</t>
        </is>
      </c>
      <c r="B6" s="42" t="inlineStr">
        <is>
          <t>Şehzade Market</t>
        </is>
      </c>
      <c r="C6" s="28" t="inlineStr">
        <is>
          <t>Kendi araç</t>
        </is>
      </c>
      <c r="D6" s="73" t="inlineStr">
        <is>
          <t>77 AAG 036</t>
        </is>
      </c>
      <c r="E6" s="47" t="inlineStr">
        <is>
          <t>17.02.2026</t>
        </is>
      </c>
      <c r="F6" s="52" t="inlineStr">
        <is>
          <t>500 g</t>
        </is>
      </c>
      <c r="G6" s="47" t="n">
        <v>224</v>
      </c>
      <c r="H6" s="52" t="n">
        <v>112</v>
      </c>
      <c r="I6" s="47" t="inlineStr">
        <is>
          <t>7 koli × 32</t>
        </is>
      </c>
    </row>
    <row r="7" ht="18" customHeight="1">
      <c r="A7" s="47" t="inlineStr">
        <is>
          <t>18.05.2026</t>
        </is>
      </c>
      <c r="B7" s="42" t="inlineStr">
        <is>
          <t>File Market</t>
        </is>
      </c>
      <c r="C7" s="28" t="inlineStr">
        <is>
          <t>Narlog Lojistik</t>
        </is>
      </c>
      <c r="D7" s="73" t="inlineStr">
        <is>
          <t>34 AAB 26</t>
        </is>
      </c>
      <c r="E7" s="47" t="inlineStr">
        <is>
          <t>LOT DAĞILIMI TEYİT</t>
        </is>
      </c>
      <c r="F7" s="52" t="inlineStr">
        <is>
          <t>500 g</t>
        </is>
      </c>
      <c r="G7" s="47" t="n">
        <v>2880</v>
      </c>
      <c r="H7" s="52" t="n">
        <v>1440</v>
      </c>
      <c r="I7" s="47" t="inlineStr">
        <is>
          <t>90 koli / soğuk zincir</t>
        </is>
      </c>
    </row>
    <row r="8" ht="16" customHeight="1">
      <c r="A8" s="47" t="inlineStr">
        <is>
          <t>04.06.2026</t>
        </is>
      </c>
      <c r="B8" s="42" t="inlineStr">
        <is>
          <t>Samsun Terme Fuarı</t>
        </is>
      </c>
      <c r="C8" s="28" t="inlineStr">
        <is>
          <t>Firma aracı</t>
        </is>
      </c>
      <c r="D8" s="73" t="n"/>
      <c r="E8" s="47" t="inlineStr">
        <is>
          <t>LOT DAĞILIMI TEYİT</t>
        </is>
      </c>
      <c r="F8" s="52" t="inlineStr">
        <is>
          <t>2,5 kg</t>
        </is>
      </c>
      <c r="G8" s="47" t="n"/>
      <c r="H8" s="52" t="n">
        <v>114</v>
      </c>
      <c r="I8" s="47" t="inlineStr">
        <is>
          <t>Paket adedi kesinleştirilmedi; kg gerçek kayıt</t>
        </is>
      </c>
    </row>
    <row r="9" ht="15" customHeight="1">
      <c r="A9" s="56" t="inlineStr">
        <is>
          <t>24.06.2026</t>
        </is>
      </c>
      <c r="B9" s="55" t="inlineStr">
        <is>
          <t>Şehzade Market</t>
        </is>
      </c>
      <c r="C9" s="29" t="inlineStr">
        <is>
          <t>Firma aracı</t>
        </is>
      </c>
      <c r="D9" s="74" t="inlineStr">
        <is>
          <t>77 AAG 036</t>
        </is>
      </c>
      <c r="E9" s="56" t="inlineStr">
        <is>
          <t>LOT DAĞILIMI TEYİT</t>
        </is>
      </c>
      <c r="F9" s="58" t="inlineStr">
        <is>
          <t>500 g</t>
        </is>
      </c>
      <c r="G9" s="56" t="n">
        <v>672</v>
      </c>
      <c r="H9" s="58" t="n">
        <v>336</v>
      </c>
      <c r="I9" s="56" t="inlineStr">
        <is>
          <t>21 koli / gerçek sevkiyat</t>
        </is>
      </c>
    </row>
    <row r="10" ht="15" customHeight="1">
      <c r="A10" s="48" t="n"/>
      <c r="B10" s="43" t="n"/>
      <c r="C10" s="32" t="n"/>
      <c r="D10" s="75" t="n"/>
      <c r="E10" s="48" t="n"/>
      <c r="F10" s="53" t="n"/>
      <c r="G10" s="48" t="n"/>
      <c r="H10" s="53">
        <f>IF(OR(F10="",G10=""),"",IF(F10="500 g",G10*0.5,IF(F10="2,5 kg",G10*2.5,"")))</f>
        <v/>
      </c>
      <c r="I10" s="48" t="n"/>
    </row>
    <row r="11" ht="15" customHeight="1">
      <c r="A11" s="48" t="n"/>
      <c r="B11" s="43" t="n"/>
      <c r="C11" s="32" t="n"/>
      <c r="D11" s="75" t="n"/>
      <c r="E11" s="48" t="n"/>
      <c r="F11" s="53" t="n"/>
      <c r="G11" s="48" t="n"/>
      <c r="H11" s="53">
        <f>IF(OR(F11="",G11=""),"",IF(F11="500 g",G11*0.5,IF(F11="2,5 kg",G11*2.5,"")))</f>
        <v/>
      </c>
      <c r="I11" s="48" t="n"/>
    </row>
    <row r="12" ht="15" customHeight="1">
      <c r="A12" s="48" t="n"/>
      <c r="B12" s="43" t="n"/>
      <c r="C12" s="32" t="n"/>
      <c r="D12" s="75" t="n"/>
      <c r="E12" s="48" t="n"/>
      <c r="F12" s="53" t="n"/>
      <c r="G12" s="48" t="n"/>
      <c r="H12" s="53">
        <f>IF(OR(F12="",G12=""),"",IF(F12="500 g",G12*0.5,IF(F12="2,5 kg",G12*2.5,"")))</f>
        <v/>
      </c>
      <c r="I12" s="48" t="n"/>
    </row>
    <row r="13" ht="15" customHeight="1">
      <c r="A13" s="48" t="n"/>
      <c r="B13" s="43" t="n"/>
      <c r="C13" s="32" t="n"/>
      <c r="D13" s="75" t="n"/>
      <c r="E13" s="48" t="n"/>
      <c r="F13" s="53" t="n"/>
      <c r="G13" s="48" t="n"/>
      <c r="H13" s="53">
        <f>IF(OR(F13="",G13=""),"",IF(F13="500 g",G13*0.5,IF(F13="2,5 kg",G13*2.5,"")))</f>
        <v/>
      </c>
      <c r="I13" s="48" t="n"/>
    </row>
    <row r="14" ht="15" customHeight="1">
      <c r="A14" s="48" t="n"/>
      <c r="B14" s="43" t="n"/>
      <c r="C14" s="32" t="n"/>
      <c r="D14" s="75" t="n"/>
      <c r="E14" s="48" t="n"/>
      <c r="F14" s="53" t="n"/>
      <c r="G14" s="48" t="n"/>
      <c r="H14" s="53">
        <f>IF(OR(F14="",G14=""),"",IF(F14="500 g",G14*0.5,IF(F14="2,5 kg",G14*2.5,"")))</f>
        <v/>
      </c>
      <c r="I14" s="48" t="n"/>
    </row>
    <row r="15" ht="15" customHeight="1">
      <c r="A15" s="48" t="n"/>
      <c r="B15" s="43" t="n"/>
      <c r="C15" s="32" t="n"/>
      <c r="D15" s="75" t="n"/>
      <c r="E15" s="48" t="n"/>
      <c r="F15" s="53" t="n"/>
      <c r="G15" s="48" t="n"/>
      <c r="H15" s="53">
        <f>IF(OR(F15="",G15=""),"",IF(F15="500 g",G15*0.5,IF(F15="2,5 kg",G15*2.5,"")))</f>
        <v/>
      </c>
      <c r="I15" s="48" t="n"/>
    </row>
    <row r="16" ht="15" customHeight="1">
      <c r="A16" s="48" t="n"/>
      <c r="B16" s="43" t="n"/>
      <c r="C16" s="32" t="n"/>
      <c r="D16" s="75" t="n"/>
      <c r="E16" s="48" t="n"/>
      <c r="F16" s="53" t="n"/>
      <c r="G16" s="48" t="n"/>
      <c r="H16" s="53">
        <f>IF(OR(F16="",G16=""),"",IF(F16="500 g",G16*0.5,IF(F16="2,5 kg",G16*2.5,"")))</f>
        <v/>
      </c>
      <c r="I16" s="48" t="n"/>
    </row>
    <row r="17" ht="15" customHeight="1">
      <c r="A17" s="48" t="n"/>
      <c r="B17" s="43" t="n"/>
      <c r="C17" s="32" t="n"/>
      <c r="D17" s="75" t="n"/>
      <c r="E17" s="48" t="n"/>
      <c r="F17" s="53" t="n"/>
      <c r="G17" s="48" t="n"/>
      <c r="H17" s="53">
        <f>IF(OR(F17="",G17=""),"",IF(F17="500 g",G17*0.5,IF(F17="2,5 kg",G17*2.5,"")))</f>
        <v/>
      </c>
      <c r="I17" s="48" t="n"/>
    </row>
    <row r="18" ht="15" customHeight="1">
      <c r="A18" s="48" t="n"/>
      <c r="B18" s="43" t="n"/>
      <c r="C18" s="32" t="n"/>
      <c r="D18" s="75" t="n"/>
      <c r="E18" s="48" t="n"/>
      <c r="F18" s="53" t="n"/>
      <c r="G18" s="48" t="n"/>
      <c r="H18" s="53">
        <f>IF(OR(F18="",G18=""),"",IF(F18="500 g",G18*0.5,IF(F18="2,5 kg",G18*2.5,"")))</f>
        <v/>
      </c>
      <c r="I18" s="48" t="n"/>
    </row>
    <row r="19" ht="15" customHeight="1">
      <c r="A19" s="48" t="n"/>
      <c r="B19" s="43" t="n"/>
      <c r="C19" s="32" t="n"/>
      <c r="D19" s="75" t="n"/>
      <c r="E19" s="48" t="n"/>
      <c r="F19" s="53" t="n"/>
      <c r="G19" s="48" t="n"/>
      <c r="H19" s="53">
        <f>IF(OR(F19="",G19=""),"",IF(F19="500 g",G19*0.5,IF(F19="2,5 kg",G19*2.5,"")))</f>
        <v/>
      </c>
      <c r="I19" s="48" t="n"/>
    </row>
    <row r="20" ht="15" customHeight="1">
      <c r="A20" s="48" t="n"/>
      <c r="B20" s="43" t="n"/>
      <c r="C20" s="32" t="n"/>
      <c r="D20" s="75" t="n"/>
      <c r="E20" s="48" t="n"/>
      <c r="F20" s="53" t="n"/>
      <c r="G20" s="48" t="n"/>
      <c r="H20" s="53">
        <f>IF(OR(F20="",G20=""),"",IF(F20="500 g",G20*0.5,IF(F20="2,5 kg",G20*2.5,"")))</f>
        <v/>
      </c>
      <c r="I20" s="48" t="n"/>
    </row>
    <row r="21" ht="15" customHeight="1">
      <c r="A21" s="48" t="n"/>
      <c r="B21" s="43" t="n"/>
      <c r="C21" s="32" t="n"/>
      <c r="D21" s="75" t="n"/>
      <c r="E21" s="48" t="n"/>
      <c r="F21" s="53" t="n"/>
      <c r="G21" s="48" t="n"/>
      <c r="H21" s="53">
        <f>IF(OR(F21="",G21=""),"",IF(F21="500 g",G21*0.5,IF(F21="2,5 kg",G21*2.5,"")))</f>
        <v/>
      </c>
      <c r="I21" s="48" t="n"/>
    </row>
    <row r="22" ht="15" customHeight="1">
      <c r="A22" s="48" t="n"/>
      <c r="B22" s="43" t="n"/>
      <c r="C22" s="32" t="n"/>
      <c r="D22" s="75" t="n"/>
      <c r="E22" s="48" t="n"/>
      <c r="F22" s="53" t="n"/>
      <c r="G22" s="48" t="n"/>
      <c r="H22" s="53">
        <f>IF(OR(F22="",G22=""),"",IF(F22="500 g",G22*0.5,IF(F22="2,5 kg",G22*2.5,"")))</f>
        <v/>
      </c>
      <c r="I22" s="48" t="n"/>
    </row>
    <row r="23" ht="15" customHeight="1">
      <c r="A23" s="48" t="n"/>
      <c r="B23" s="43" t="n"/>
      <c r="C23" s="32" t="n"/>
      <c r="D23" s="75" t="n"/>
      <c r="E23" s="48" t="n"/>
      <c r="F23" s="53" t="n"/>
      <c r="G23" s="48" t="n"/>
      <c r="H23" s="53">
        <f>IF(OR(F23="",G23=""),"",IF(F23="500 g",G23*0.5,IF(F23="2,5 kg",G23*2.5,"")))</f>
        <v/>
      </c>
      <c r="I23" s="48" t="n"/>
    </row>
    <row r="24" ht="15" customHeight="1">
      <c r="A24" s="48" t="n"/>
      <c r="B24" s="43" t="n"/>
      <c r="C24" s="32" t="n"/>
      <c r="D24" s="75" t="n"/>
      <c r="E24" s="48" t="n"/>
      <c r="F24" s="53" t="n"/>
      <c r="G24" s="48" t="n"/>
      <c r="H24" s="53">
        <f>IF(OR(F24="",G24=""),"",IF(F24="500 g",G24*0.5,IF(F24="2,5 kg",G24*2.5,"")))</f>
        <v/>
      </c>
      <c r="I24" s="48" t="n"/>
    </row>
    <row r="25" ht="15" customHeight="1">
      <c r="A25" s="48" t="n"/>
      <c r="B25" s="43" t="n"/>
      <c r="C25" s="32" t="n"/>
      <c r="D25" s="75" t="n"/>
      <c r="E25" s="48" t="n"/>
      <c r="F25" s="53" t="n"/>
      <c r="G25" s="48" t="n"/>
      <c r="H25" s="53">
        <f>IF(OR(F25="",G25=""),"",IF(F25="500 g",G25*0.5,IF(F25="2,5 kg",G25*2.5,"")))</f>
        <v/>
      </c>
      <c r="I25" s="48" t="n"/>
    </row>
    <row r="26" ht="15" customHeight="1">
      <c r="A26" s="48" t="n"/>
      <c r="B26" s="43" t="n"/>
      <c r="C26" s="32" t="n"/>
      <c r="D26" s="75" t="n"/>
      <c r="E26" s="48" t="n"/>
      <c r="F26" s="53" t="n"/>
      <c r="G26" s="48" t="n"/>
      <c r="H26" s="53">
        <f>IF(OR(F26="",G26=""),"",IF(F26="500 g",G26*0.5,IF(F26="2,5 kg",G26*2.5,"")))</f>
        <v/>
      </c>
      <c r="I26" s="48" t="n"/>
    </row>
    <row r="27" ht="15" customHeight="1">
      <c r="A27" s="48" t="n"/>
      <c r="B27" s="43" t="n"/>
      <c r="C27" s="32" t="n"/>
      <c r="D27" s="75" t="n"/>
      <c r="E27" s="48" t="n"/>
      <c r="F27" s="53" t="n"/>
      <c r="G27" s="48" t="n"/>
      <c r="H27" s="53">
        <f>IF(OR(F27="",G27=""),"",IF(F27="500 g",G27*0.5,IF(F27="2,5 kg",G27*2.5,"")))</f>
        <v/>
      </c>
      <c r="I27" s="48" t="n"/>
    </row>
    <row r="28" ht="15" customHeight="1">
      <c r="A28" s="48" t="n"/>
      <c r="B28" s="43" t="n"/>
      <c r="C28" s="32" t="n"/>
      <c r="D28" s="75" t="n"/>
      <c r="E28" s="48" t="n"/>
      <c r="F28" s="53" t="n"/>
      <c r="G28" s="48" t="n"/>
      <c r="H28" s="53">
        <f>IF(OR(F28="",G28=""),"",IF(F28="500 g",G28*0.5,IF(F28="2,5 kg",G28*2.5,"")))</f>
        <v/>
      </c>
      <c r="I28" s="48" t="n"/>
    </row>
    <row r="29" ht="15" customHeight="1">
      <c r="A29" s="48" t="n"/>
      <c r="B29" s="43" t="n"/>
      <c r="C29" s="32" t="n"/>
      <c r="D29" s="75" t="n"/>
      <c r="E29" s="48" t="n"/>
      <c r="F29" s="53" t="n"/>
      <c r="G29" s="48" t="n"/>
      <c r="H29" s="53">
        <f>IF(OR(F29="",G29=""),"",IF(F29="500 g",G29*0.5,IF(F29="2,5 kg",G29*2.5,"")))</f>
        <v/>
      </c>
      <c r="I29" s="48" t="n"/>
    </row>
    <row r="30" ht="15" customHeight="1">
      <c r="A30" s="48" t="n"/>
      <c r="B30" s="43" t="n"/>
      <c r="C30" s="32" t="n"/>
      <c r="D30" s="75" t="n"/>
      <c r="E30" s="48" t="n"/>
      <c r="F30" s="53" t="n"/>
      <c r="G30" s="48" t="n"/>
      <c r="H30" s="53">
        <f>IF(OR(F30="",G30=""),"",IF(F30="500 g",G30*0.5,IF(F30="2,5 kg",G30*2.5,"")))</f>
        <v/>
      </c>
      <c r="I30" s="48" t="n"/>
    </row>
    <row r="31" ht="15" customHeight="1">
      <c r="A31" s="48" t="n"/>
      <c r="B31" s="43" t="n"/>
      <c r="C31" s="32" t="n"/>
      <c r="D31" s="75" t="n"/>
      <c r="E31" s="48" t="n"/>
      <c r="F31" s="53" t="n"/>
      <c r="G31" s="48" t="n"/>
      <c r="H31" s="53">
        <f>IF(OR(F31="",G31=""),"",IF(F31="500 g",G31*0.5,IF(F31="2,5 kg",G31*2.5,"")))</f>
        <v/>
      </c>
      <c r="I31" s="48" t="n"/>
    </row>
    <row r="32" ht="15" customHeight="1">
      <c r="A32" s="48" t="n"/>
      <c r="B32" s="43" t="n"/>
      <c r="C32" s="32" t="n"/>
      <c r="D32" s="75" t="n"/>
      <c r="E32" s="48" t="n"/>
      <c r="F32" s="53" t="n"/>
      <c r="G32" s="48" t="n"/>
      <c r="H32" s="53">
        <f>IF(OR(F32="",G32=""),"",IF(F32="500 g",G32*0.5,IF(F32="2,5 kg",G32*2.5,"")))</f>
        <v/>
      </c>
      <c r="I32" s="48" t="n"/>
    </row>
    <row r="33" ht="15" customHeight="1">
      <c r="A33" s="48" t="n"/>
      <c r="B33" s="43" t="n"/>
      <c r="C33" s="32" t="n"/>
      <c r="D33" s="75" t="n"/>
      <c r="E33" s="48" t="n"/>
      <c r="F33" s="53" t="n"/>
      <c r="G33" s="48" t="n"/>
      <c r="H33" s="53">
        <f>IF(OR(F33="",G33=""),"",IF(F33="500 g",G33*0.5,IF(F33="2,5 kg",G33*2.5,"")))</f>
        <v/>
      </c>
      <c r="I33" s="48" t="n"/>
    </row>
    <row r="34" ht="15" customHeight="1">
      <c r="A34" s="48" t="n"/>
      <c r="B34" s="43" t="n"/>
      <c r="C34" s="32" t="n"/>
      <c r="D34" s="75" t="n"/>
      <c r="E34" s="48" t="n"/>
      <c r="F34" s="53" t="n"/>
      <c r="G34" s="48" t="n"/>
      <c r="H34" s="53">
        <f>IF(OR(F34="",G34=""),"",IF(F34="500 g",G34*0.5,IF(F34="2,5 kg",G34*2.5,"")))</f>
        <v/>
      </c>
      <c r="I34" s="48" t="n"/>
    </row>
    <row r="35" ht="15" customHeight="1">
      <c r="A35" s="48" t="n"/>
      <c r="B35" s="43" t="n"/>
      <c r="C35" s="32" t="n"/>
      <c r="D35" s="75" t="n"/>
      <c r="E35" s="48" t="n"/>
      <c r="F35" s="53" t="n"/>
      <c r="G35" s="48" t="n"/>
      <c r="H35" s="53">
        <f>IF(OR(F35="",G35=""),"",IF(F35="500 g",G35*0.5,IF(F35="2,5 kg",G35*2.5,"")))</f>
        <v/>
      </c>
      <c r="I35" s="48" t="n"/>
    </row>
    <row r="36" ht="15" customHeight="1">
      <c r="A36" s="48" t="n"/>
      <c r="B36" s="43" t="n"/>
      <c r="C36" s="32" t="n"/>
      <c r="D36" s="75" t="n"/>
      <c r="E36" s="48" t="n"/>
      <c r="F36" s="53" t="n"/>
      <c r="G36" s="48" t="n"/>
      <c r="H36" s="53">
        <f>IF(OR(F36="",G36=""),"",IF(F36="500 g",G36*0.5,IF(F36="2,5 kg",G36*2.5,"")))</f>
        <v/>
      </c>
      <c r="I36" s="48" t="n"/>
    </row>
    <row r="37" ht="15" customHeight="1">
      <c r="A37" s="48" t="n"/>
      <c r="B37" s="43" t="n"/>
      <c r="C37" s="32" t="n"/>
      <c r="D37" s="75" t="n"/>
      <c r="E37" s="48" t="n"/>
      <c r="F37" s="53" t="n"/>
      <c r="G37" s="48" t="n"/>
      <c r="H37" s="53">
        <f>IF(OR(F37="",G37=""),"",IF(F37="500 g",G37*0.5,IF(F37="2,5 kg",G37*2.5,"")))</f>
        <v/>
      </c>
      <c r="I37" s="48" t="n"/>
    </row>
    <row r="38" ht="15" customHeight="1">
      <c r="A38" s="48" t="n"/>
      <c r="B38" s="43" t="n"/>
      <c r="C38" s="32" t="n"/>
      <c r="D38" s="75" t="n"/>
      <c r="E38" s="48" t="n"/>
      <c r="F38" s="53" t="n"/>
      <c r="G38" s="48" t="n"/>
      <c r="H38" s="53">
        <f>IF(OR(F38="",G38=""),"",IF(F38="500 g",G38*0.5,IF(F38="2,5 kg",G38*2.5,"")))</f>
        <v/>
      </c>
      <c r="I38" s="48" t="n"/>
    </row>
    <row r="39" ht="15" customHeight="1">
      <c r="A39" s="48" t="n"/>
      <c r="B39" s="43" t="n"/>
      <c r="C39" s="32" t="n"/>
      <c r="D39" s="75" t="n"/>
      <c r="E39" s="48" t="n"/>
      <c r="F39" s="53" t="n"/>
      <c r="G39" s="48" t="n"/>
      <c r="H39" s="53">
        <f>IF(OR(F39="",G39=""),"",IF(F39="500 g",G39*0.5,IF(F39="2,5 kg",G39*2.5,"")))</f>
        <v/>
      </c>
      <c r="I39" s="48" t="n"/>
    </row>
    <row r="40" ht="15" customHeight="1">
      <c r="A40" s="48" t="n"/>
      <c r="B40" s="43" t="n"/>
      <c r="C40" s="32" t="n"/>
      <c r="D40" s="75" t="n"/>
      <c r="E40" s="48" t="n"/>
      <c r="F40" s="53" t="n"/>
      <c r="G40" s="48" t="n"/>
      <c r="H40" s="53">
        <f>IF(OR(F40="",G40=""),"",IF(F40="500 g",G40*0.5,IF(F40="2,5 kg",G40*2.5,"")))</f>
        <v/>
      </c>
      <c r="I40" s="48" t="n"/>
    </row>
    <row r="41" ht="15" customHeight="1">
      <c r="A41" s="48" t="n"/>
      <c r="B41" s="43" t="n"/>
      <c r="C41" s="32" t="n"/>
      <c r="D41" s="75" t="n"/>
      <c r="E41" s="48" t="n"/>
      <c r="F41" s="53" t="n"/>
      <c r="G41" s="48" t="n"/>
      <c r="H41" s="53">
        <f>IF(OR(F41="",G41=""),"",IF(F41="500 g",G41*0.5,IF(F41="2,5 kg",G41*2.5,"")))</f>
        <v/>
      </c>
      <c r="I41" s="48" t="n"/>
    </row>
    <row r="42" ht="15" customHeight="1">
      <c r="A42" s="48" t="n"/>
      <c r="B42" s="43" t="n"/>
      <c r="C42" s="32" t="n"/>
      <c r="D42" s="75" t="n"/>
      <c r="E42" s="48" t="n"/>
      <c r="F42" s="53" t="n"/>
      <c r="G42" s="48" t="n"/>
      <c r="H42" s="53">
        <f>IF(OR(F42="",G42=""),"",IF(F42="500 g",G42*0.5,IF(F42="2,5 kg",G42*2.5,"")))</f>
        <v/>
      </c>
      <c r="I42" s="48" t="n"/>
    </row>
    <row r="43" ht="15" customHeight="1">
      <c r="A43" s="48" t="n"/>
      <c r="B43" s="43" t="n"/>
      <c r="C43" s="32" t="n"/>
      <c r="D43" s="75" t="n"/>
      <c r="E43" s="48" t="n"/>
      <c r="F43" s="53" t="n"/>
      <c r="G43" s="48" t="n"/>
      <c r="H43" s="53">
        <f>IF(OR(F43="",G43=""),"",IF(F43="500 g",G43*0.5,IF(F43="2,5 kg",G43*2.5,"")))</f>
        <v/>
      </c>
      <c r="I43" s="48" t="n"/>
    </row>
    <row r="44" ht="15" customHeight="1">
      <c r="A44" s="48" t="n"/>
      <c r="B44" s="43" t="n"/>
      <c r="C44" s="32" t="n"/>
      <c r="D44" s="75" t="n"/>
      <c r="E44" s="48" t="n"/>
      <c r="F44" s="53" t="n"/>
      <c r="G44" s="48" t="n"/>
      <c r="H44" s="53">
        <f>IF(OR(F44="",G44=""),"",IF(F44="500 g",G44*0.5,IF(F44="2,5 kg",G44*2.5,"")))</f>
        <v/>
      </c>
      <c r="I44" s="48" t="n"/>
    </row>
    <row r="45" ht="15" customHeight="1">
      <c r="A45" s="48" t="n"/>
      <c r="B45" s="43" t="n"/>
      <c r="C45" s="32" t="n"/>
      <c r="D45" s="75" t="n"/>
      <c r="E45" s="48" t="n"/>
      <c r="F45" s="53" t="n"/>
      <c r="G45" s="48" t="n"/>
      <c r="H45" s="53">
        <f>IF(OR(F45="",G45=""),"",IF(F45="500 g",G45*0.5,IF(F45="2,5 kg",G45*2.5,"")))</f>
        <v/>
      </c>
      <c r="I45" s="48" t="n"/>
    </row>
    <row r="46" ht="15" customHeight="1">
      <c r="A46" s="48" t="n"/>
      <c r="B46" s="43" t="n"/>
      <c r="C46" s="32" t="n"/>
      <c r="D46" s="75" t="n"/>
      <c r="E46" s="48" t="n"/>
      <c r="F46" s="53" t="n"/>
      <c r="G46" s="48" t="n"/>
      <c r="H46" s="53">
        <f>IF(OR(F46="",G46=""),"",IF(F46="500 g",G46*0.5,IF(F46="2,5 kg",G46*2.5,"")))</f>
        <v/>
      </c>
      <c r="I46" s="48" t="n"/>
    </row>
    <row r="47" ht="15" customHeight="1">
      <c r="A47" s="48" t="n"/>
      <c r="B47" s="43" t="n"/>
      <c r="C47" s="32" t="n"/>
      <c r="D47" s="75" t="n"/>
      <c r="E47" s="48" t="n"/>
      <c r="F47" s="53" t="n"/>
      <c r="G47" s="48" t="n"/>
      <c r="H47" s="53">
        <f>IF(OR(F47="",G47=""),"",IF(F47="500 g",G47*0.5,IF(F47="2,5 kg",G47*2.5,"")))</f>
        <v/>
      </c>
      <c r="I47" s="48" t="n"/>
    </row>
    <row r="48" ht="15" customHeight="1">
      <c r="A48" s="48" t="n"/>
      <c r="B48" s="43" t="n"/>
      <c r="C48" s="32" t="n"/>
      <c r="D48" s="75" t="n"/>
      <c r="E48" s="48" t="n"/>
      <c r="F48" s="53" t="n"/>
      <c r="G48" s="48" t="n"/>
      <c r="H48" s="53">
        <f>IF(OR(F48="",G48=""),"",IF(F48="500 g",G48*0.5,IF(F48="2,5 kg",G48*2.5,"")))</f>
        <v/>
      </c>
      <c r="I48" s="48" t="n"/>
    </row>
    <row r="49" ht="15" customHeight="1">
      <c r="A49" s="48" t="n"/>
      <c r="B49" s="43" t="n"/>
      <c r="C49" s="32" t="n"/>
      <c r="D49" s="75" t="n"/>
      <c r="E49" s="48" t="n"/>
      <c r="F49" s="53" t="n"/>
      <c r="G49" s="48" t="n"/>
      <c r="H49" s="53">
        <f>IF(OR(F49="",G49=""),"",IF(F49="500 g",G49*0.5,IF(F49="2,5 kg",G49*2.5,"")))</f>
        <v/>
      </c>
      <c r="I49" s="48" t="n"/>
    </row>
    <row r="50" ht="15" customHeight="1">
      <c r="A50" s="48" t="n"/>
      <c r="B50" s="43" t="n"/>
      <c r="C50" s="32" t="n"/>
      <c r="D50" s="75" t="n"/>
      <c r="E50" s="48" t="n"/>
      <c r="F50" s="53" t="n"/>
      <c r="G50" s="48" t="n"/>
      <c r="H50" s="53">
        <f>IF(OR(F50="",G50=""),"",IF(F50="500 g",G50*0.5,IF(F50="2,5 kg",G50*2.5,"")))</f>
        <v/>
      </c>
      <c r="I50" s="48" t="n"/>
    </row>
    <row r="51" ht="15" customHeight="1">
      <c r="A51" s="48" t="n"/>
      <c r="B51" s="43" t="n"/>
      <c r="C51" s="32" t="n"/>
      <c r="D51" s="75" t="n"/>
      <c r="E51" s="48" t="n"/>
      <c r="F51" s="53" t="n"/>
      <c r="G51" s="48" t="n"/>
      <c r="H51" s="53">
        <f>IF(OR(F51="",G51=""),"",IF(F51="500 g",G51*0.5,IF(F51="2,5 kg",G51*2.5,"")))</f>
        <v/>
      </c>
      <c r="I51" s="48" t="n"/>
    </row>
    <row r="52" ht="15" customHeight="1">
      <c r="A52" s="48" t="n"/>
      <c r="B52" s="43" t="n"/>
      <c r="C52" s="32" t="n"/>
      <c r="D52" s="75" t="n"/>
      <c r="E52" s="48" t="n"/>
      <c r="F52" s="53" t="n"/>
      <c r="G52" s="48" t="n"/>
      <c r="H52" s="53">
        <f>IF(OR(F52="",G52=""),"",IF(F52="500 g",G52*0.5,IF(F52="2,5 kg",G52*2.5,"")))</f>
        <v/>
      </c>
      <c r="I52" s="48" t="n"/>
    </row>
    <row r="53" ht="15" customHeight="1">
      <c r="A53" s="48" t="n"/>
      <c r="B53" s="43" t="n"/>
      <c r="C53" s="32" t="n"/>
      <c r="D53" s="75" t="n"/>
      <c r="E53" s="48" t="n"/>
      <c r="F53" s="53" t="n"/>
      <c r="G53" s="48" t="n"/>
      <c r="H53" s="53">
        <f>IF(OR(F53="",G53=""),"",IF(F53="500 g",G53*0.5,IF(F53="2,5 kg",G53*2.5,"")))</f>
        <v/>
      </c>
      <c r="I53" s="48" t="n"/>
    </row>
    <row r="54" ht="15" customHeight="1">
      <c r="A54" s="48" t="n"/>
      <c r="B54" s="43" t="n"/>
      <c r="C54" s="32" t="n"/>
      <c r="D54" s="75" t="n"/>
      <c r="E54" s="48" t="n"/>
      <c r="F54" s="53" t="n"/>
      <c r="G54" s="48" t="n"/>
      <c r="H54" s="53">
        <f>IF(OR(F54="",G54=""),"",IF(F54="500 g",G54*0.5,IF(F54="2,5 kg",G54*2.5,"")))</f>
        <v/>
      </c>
      <c r="I54" s="48" t="n"/>
    </row>
    <row r="55" ht="15" customHeight="1">
      <c r="A55" s="48" t="n"/>
      <c r="B55" s="43" t="n"/>
      <c r="C55" s="32" t="n"/>
      <c r="D55" s="75" t="n"/>
      <c r="E55" s="48" t="n"/>
      <c r="F55" s="53" t="n"/>
      <c r="G55" s="48" t="n"/>
      <c r="H55" s="53">
        <f>IF(OR(F55="",G55=""),"",IF(F55="500 g",G55*0.5,IF(F55="2,5 kg",G55*2.5,"")))</f>
        <v/>
      </c>
      <c r="I55" s="48" t="n"/>
    </row>
    <row r="56" ht="15" customHeight="1">
      <c r="A56" s="48" t="n"/>
      <c r="B56" s="43" t="n"/>
      <c r="C56" s="32" t="n"/>
      <c r="D56" s="75" t="n"/>
      <c r="E56" s="48" t="n"/>
      <c r="F56" s="53" t="n"/>
      <c r="G56" s="48" t="n"/>
      <c r="H56" s="53">
        <f>IF(OR(F56="",G56=""),"",IF(F56="500 g",G56*0.5,IF(F56="2,5 kg",G56*2.5,"")))</f>
        <v/>
      </c>
      <c r="I56" s="48" t="n"/>
    </row>
    <row r="57" ht="15" customHeight="1">
      <c r="A57" s="48" t="n"/>
      <c r="B57" s="43" t="n"/>
      <c r="C57" s="32" t="n"/>
      <c r="D57" s="75" t="n"/>
      <c r="E57" s="48" t="n"/>
      <c r="F57" s="53" t="n"/>
      <c r="G57" s="48" t="n"/>
      <c r="H57" s="53">
        <f>IF(OR(F57="",G57=""),"",IF(F57="500 g",G57*0.5,IF(F57="2,5 kg",G57*2.5,"")))</f>
        <v/>
      </c>
      <c r="I57" s="48" t="n"/>
    </row>
    <row r="58" ht="15" customHeight="1">
      <c r="A58" s="48" t="n"/>
      <c r="B58" s="43" t="n"/>
      <c r="C58" s="32" t="n"/>
      <c r="D58" s="75" t="n"/>
      <c r="E58" s="48" t="n"/>
      <c r="F58" s="53" t="n"/>
      <c r="G58" s="48" t="n"/>
      <c r="H58" s="53">
        <f>IF(OR(F58="",G58=""),"",IF(F58="500 g",G58*0.5,IF(F58="2,5 kg",G58*2.5,"")))</f>
        <v/>
      </c>
      <c r="I58" s="48" t="n"/>
    </row>
    <row r="59" ht="15" customHeight="1">
      <c r="A59" s="48" t="n"/>
      <c r="B59" s="43" t="n"/>
      <c r="C59" s="32" t="n"/>
      <c r="D59" s="75" t="n"/>
      <c r="E59" s="48" t="n"/>
      <c r="F59" s="53" t="n"/>
      <c r="G59" s="48" t="n"/>
      <c r="H59" s="53">
        <f>IF(OR(F59="",G59=""),"",IF(F59="500 g",G59*0.5,IF(F59="2,5 kg",G59*2.5,"")))</f>
        <v/>
      </c>
      <c r="I59" s="48" t="n"/>
    </row>
    <row r="60" ht="15" customHeight="1">
      <c r="A60" s="48" t="n"/>
      <c r="B60" s="43" t="n"/>
      <c r="C60" s="32" t="n"/>
      <c r="D60" s="75" t="n"/>
      <c r="E60" s="48" t="n"/>
      <c r="F60" s="53" t="n"/>
      <c r="G60" s="48" t="n"/>
      <c r="H60" s="53">
        <f>IF(OR(F60="",G60=""),"",IF(F60="500 g",G60*0.5,IF(F60="2,5 kg",G60*2.5,"")))</f>
        <v/>
      </c>
      <c r="I60" s="48" t="n"/>
    </row>
    <row r="61" ht="15" customHeight="1">
      <c r="A61" s="48" t="n"/>
      <c r="B61" s="43" t="n"/>
      <c r="C61" s="32" t="n"/>
      <c r="D61" s="75" t="n"/>
      <c r="E61" s="48" t="n"/>
      <c r="F61" s="53" t="n"/>
      <c r="G61" s="48" t="n"/>
      <c r="H61" s="53">
        <f>IF(OR(F61="",G61=""),"",IF(F61="500 g",G61*0.5,IF(F61="2,5 kg",G61*2.5,"")))</f>
        <v/>
      </c>
      <c r="I61" s="48" t="n"/>
    </row>
    <row r="62" ht="15" customHeight="1">
      <c r="A62" s="48" t="n"/>
      <c r="B62" s="43" t="n"/>
      <c r="C62" s="32" t="n"/>
      <c r="D62" s="75" t="n"/>
      <c r="E62" s="48" t="n"/>
      <c r="F62" s="53" t="n"/>
      <c r="G62" s="48" t="n"/>
      <c r="H62" s="53">
        <f>IF(OR(F62="",G62=""),"",IF(F62="500 g",G62*0.5,IF(F62="2,5 kg",G62*2.5,"")))</f>
        <v/>
      </c>
      <c r="I62" s="48" t="n"/>
    </row>
    <row r="63" ht="15" customHeight="1">
      <c r="A63" s="48" t="n"/>
      <c r="B63" s="43" t="n"/>
      <c r="C63" s="32" t="n"/>
      <c r="D63" s="75" t="n"/>
      <c r="E63" s="48" t="n"/>
      <c r="F63" s="53" t="n"/>
      <c r="G63" s="48" t="n"/>
      <c r="H63" s="53">
        <f>IF(OR(F63="",G63=""),"",IF(F63="500 g",G63*0.5,IF(F63="2,5 kg",G63*2.5,"")))</f>
        <v/>
      </c>
      <c r="I63" s="48" t="n"/>
    </row>
    <row r="64" ht="15" customHeight="1">
      <c r="A64" s="48" t="n"/>
      <c r="B64" s="43" t="n"/>
      <c r="C64" s="32" t="n"/>
      <c r="D64" s="75" t="n"/>
      <c r="E64" s="48" t="n"/>
      <c r="F64" s="53" t="n"/>
      <c r="G64" s="48" t="n"/>
      <c r="H64" s="53">
        <f>IF(OR(F64="",G64=""),"",IF(F64="500 g",G64*0.5,IF(F64="2,5 kg",G64*2.5,"")))</f>
        <v/>
      </c>
      <c r="I64" s="48" t="n"/>
    </row>
    <row r="65" ht="15" customHeight="1">
      <c r="A65" s="48" t="n"/>
      <c r="B65" s="43" t="n"/>
      <c r="C65" s="32" t="n"/>
      <c r="D65" s="75" t="n"/>
      <c r="E65" s="48" t="n"/>
      <c r="F65" s="53" t="n"/>
      <c r="G65" s="48" t="n"/>
      <c r="H65" s="53">
        <f>IF(OR(F65="",G65=""),"",IF(F65="500 g",G65*0.5,IF(F65="2,5 kg",G65*2.5,"")))</f>
        <v/>
      </c>
      <c r="I65" s="48" t="n"/>
    </row>
    <row r="66" ht="15" customHeight="1">
      <c r="A66" s="48" t="n"/>
      <c r="B66" s="43" t="n"/>
      <c r="C66" s="32" t="n"/>
      <c r="D66" s="75" t="n"/>
      <c r="E66" s="48" t="n"/>
      <c r="F66" s="53" t="n"/>
      <c r="G66" s="48" t="n"/>
      <c r="H66" s="53">
        <f>IF(OR(F66="",G66=""),"",IF(F66="500 g",G66*0.5,IF(F66="2,5 kg",G66*2.5,"")))</f>
        <v/>
      </c>
      <c r="I66" s="48" t="n"/>
    </row>
    <row r="67" ht="15" customHeight="1">
      <c r="A67" s="48" t="n"/>
      <c r="B67" s="43" t="n"/>
      <c r="C67" s="32" t="n"/>
      <c r="D67" s="75" t="n"/>
      <c r="E67" s="48" t="n"/>
      <c r="F67" s="53" t="n"/>
      <c r="G67" s="48" t="n"/>
      <c r="H67" s="53">
        <f>IF(OR(F67="",G67=""),"",IF(F67="500 g",G67*0.5,IF(F67="2,5 kg",G67*2.5,"")))</f>
        <v/>
      </c>
      <c r="I67" s="48" t="n"/>
    </row>
    <row r="68" ht="15" customHeight="1">
      <c r="A68" s="48" t="n"/>
      <c r="B68" s="43" t="n"/>
      <c r="C68" s="32" t="n"/>
      <c r="D68" s="75" t="n"/>
      <c r="E68" s="48" t="n"/>
      <c r="F68" s="53" t="n"/>
      <c r="G68" s="48" t="n"/>
      <c r="H68" s="53">
        <f>IF(OR(F68="",G68=""),"",IF(F68="500 g",G68*0.5,IF(F68="2,5 kg",G68*2.5,"")))</f>
        <v/>
      </c>
      <c r="I68" s="48" t="n"/>
    </row>
    <row r="69" ht="15" customHeight="1">
      <c r="A69" s="48" t="n"/>
      <c r="B69" s="43" t="n"/>
      <c r="C69" s="32" t="n"/>
      <c r="D69" s="75" t="n"/>
      <c r="E69" s="48" t="n"/>
      <c r="F69" s="53" t="n"/>
      <c r="G69" s="48" t="n"/>
      <c r="H69" s="53">
        <f>IF(OR(F69="",G69=""),"",IF(F69="500 g",G69*0.5,IF(F69="2,5 kg",G69*2.5,"")))</f>
        <v/>
      </c>
      <c r="I69" s="48" t="n"/>
    </row>
    <row r="70" ht="15" customHeight="1">
      <c r="A70" s="48" t="n"/>
      <c r="B70" s="43" t="n"/>
      <c r="C70" s="32" t="n"/>
      <c r="D70" s="75" t="n"/>
      <c r="E70" s="48" t="n"/>
      <c r="F70" s="53" t="n"/>
      <c r="G70" s="48" t="n"/>
      <c r="H70" s="53">
        <f>IF(OR(F70="",G70=""),"",IF(F70="500 g",G70*0.5,IF(F70="2,5 kg",G70*2.5,"")))</f>
        <v/>
      </c>
      <c r="I70" s="48" t="n"/>
    </row>
    <row r="71" ht="15" customHeight="1">
      <c r="A71" s="48" t="n"/>
      <c r="B71" s="43" t="n"/>
      <c r="C71" s="32" t="n"/>
      <c r="D71" s="75" t="n"/>
      <c r="E71" s="48" t="n"/>
      <c r="F71" s="53" t="n"/>
      <c r="G71" s="48" t="n"/>
      <c r="H71" s="53">
        <f>IF(OR(F71="",G71=""),"",IF(F71="500 g",G71*0.5,IF(F71="2,5 kg",G71*2.5,"")))</f>
        <v/>
      </c>
      <c r="I71" s="48" t="n"/>
    </row>
    <row r="72" ht="15" customHeight="1">
      <c r="A72" s="48" t="n"/>
      <c r="B72" s="43" t="n"/>
      <c r="C72" s="32" t="n"/>
      <c r="D72" s="75" t="n"/>
      <c r="E72" s="48" t="n"/>
      <c r="F72" s="53" t="n"/>
      <c r="G72" s="48" t="n"/>
      <c r="H72" s="53">
        <f>IF(OR(F72="",G72=""),"",IF(F72="500 g",G72*0.5,IF(F72="2,5 kg",G72*2.5,"")))</f>
        <v/>
      </c>
      <c r="I72" s="48" t="n"/>
    </row>
    <row r="73" ht="15" customHeight="1">
      <c r="A73" s="48" t="n"/>
      <c r="B73" s="43" t="n"/>
      <c r="C73" s="32" t="n"/>
      <c r="D73" s="75" t="n"/>
      <c r="E73" s="48" t="n"/>
      <c r="F73" s="53" t="n"/>
      <c r="G73" s="48" t="n"/>
      <c r="H73" s="53">
        <f>IF(OR(F73="",G73=""),"",IF(F73="500 g",G73*0.5,IF(F73="2,5 kg",G73*2.5,"")))</f>
        <v/>
      </c>
      <c r="I73" s="48" t="n"/>
    </row>
    <row r="74" ht="15" customHeight="1">
      <c r="A74" s="48" t="n"/>
      <c r="B74" s="43" t="n"/>
      <c r="C74" s="32" t="n"/>
      <c r="D74" s="75" t="n"/>
      <c r="E74" s="48" t="n"/>
      <c r="F74" s="53" t="n"/>
      <c r="G74" s="48" t="n"/>
      <c r="H74" s="53">
        <f>IF(OR(F74="",G74=""),"",IF(F74="500 g",G74*0.5,IF(F74="2,5 kg",G74*2.5,"")))</f>
        <v/>
      </c>
      <c r="I74" s="48" t="n"/>
    </row>
    <row r="75" ht="15" customHeight="1">
      <c r="A75" s="48" t="n"/>
      <c r="B75" s="43" t="n"/>
      <c r="C75" s="32" t="n"/>
      <c r="D75" s="75" t="n"/>
      <c r="E75" s="48" t="n"/>
      <c r="F75" s="53" t="n"/>
      <c r="G75" s="48" t="n"/>
      <c r="H75" s="53">
        <f>IF(OR(F75="",G75=""),"",IF(F75="500 g",G75*0.5,IF(F75="2,5 kg",G75*2.5,"")))</f>
        <v/>
      </c>
      <c r="I75" s="48" t="n"/>
    </row>
    <row r="76" ht="15" customHeight="1">
      <c r="A76" s="48" t="n"/>
      <c r="B76" s="43" t="n"/>
      <c r="C76" s="32" t="n"/>
      <c r="D76" s="75" t="n"/>
      <c r="E76" s="48" t="n"/>
      <c r="F76" s="53" t="n"/>
      <c r="G76" s="48" t="n"/>
      <c r="H76" s="53">
        <f>IF(OR(F76="",G76=""),"",IF(F76="500 g",G76*0.5,IF(F76="2,5 kg",G76*2.5,"")))</f>
        <v/>
      </c>
      <c r="I76" s="48" t="n"/>
    </row>
    <row r="77" ht="15" customHeight="1">
      <c r="A77" s="48" t="n"/>
      <c r="B77" s="43" t="n"/>
      <c r="C77" s="32" t="n"/>
      <c r="D77" s="75" t="n"/>
      <c r="E77" s="48" t="n"/>
      <c r="F77" s="53" t="n"/>
      <c r="G77" s="48" t="n"/>
      <c r="H77" s="53">
        <f>IF(OR(F77="",G77=""),"",IF(F77="500 g",G77*0.5,IF(F77="2,5 kg",G77*2.5,"")))</f>
        <v/>
      </c>
      <c r="I77" s="48" t="n"/>
    </row>
    <row r="78" ht="15" customHeight="1">
      <c r="A78" s="48" t="n"/>
      <c r="B78" s="43" t="n"/>
      <c r="C78" s="32" t="n"/>
      <c r="D78" s="75" t="n"/>
      <c r="E78" s="48" t="n"/>
      <c r="F78" s="53" t="n"/>
      <c r="G78" s="48" t="n"/>
      <c r="H78" s="53">
        <f>IF(OR(F78="",G78=""),"",IF(F78="500 g",G78*0.5,IF(F78="2,5 kg",G78*2.5,"")))</f>
        <v/>
      </c>
      <c r="I78" s="48" t="n"/>
    </row>
    <row r="79" ht="15" customHeight="1">
      <c r="A79" s="48" t="n"/>
      <c r="B79" s="43" t="n"/>
      <c r="C79" s="32" t="n"/>
      <c r="D79" s="75" t="n"/>
      <c r="E79" s="48" t="n"/>
      <c r="F79" s="53" t="n"/>
      <c r="G79" s="48" t="n"/>
      <c r="H79" s="53">
        <f>IF(OR(F79="",G79=""),"",IF(F79="500 g",G79*0.5,IF(F79="2,5 kg",G79*2.5,"")))</f>
        <v/>
      </c>
      <c r="I79" s="48" t="n"/>
    </row>
    <row r="80" ht="15" customHeight="1">
      <c r="A80" s="48" t="n"/>
      <c r="B80" s="43" t="n"/>
      <c r="C80" s="32" t="n"/>
      <c r="D80" s="75" t="n"/>
      <c r="E80" s="48" t="n"/>
      <c r="F80" s="53" t="n"/>
      <c r="G80" s="48" t="n"/>
      <c r="H80" s="53">
        <f>IF(OR(F80="",G80=""),"",IF(F80="500 g",G80*0.5,IF(F80="2,5 kg",G80*2.5,"")))</f>
        <v/>
      </c>
      <c r="I80" s="48" t="n"/>
    </row>
    <row r="81" ht="15" customHeight="1">
      <c r="A81" s="48" t="n"/>
      <c r="B81" s="43" t="n"/>
      <c r="C81" s="32" t="n"/>
      <c r="D81" s="75" t="n"/>
      <c r="E81" s="48" t="n"/>
      <c r="F81" s="53" t="n"/>
      <c r="G81" s="48" t="n"/>
      <c r="H81" s="53">
        <f>IF(OR(F81="",G81=""),"",IF(F81="500 g",G81*0.5,IF(F81="2,5 kg",G81*2.5,"")))</f>
        <v/>
      </c>
      <c r="I81" s="48" t="n"/>
    </row>
    <row r="82" ht="15" customHeight="1">
      <c r="A82" s="48" t="n"/>
      <c r="B82" s="43" t="n"/>
      <c r="C82" s="32" t="n"/>
      <c r="D82" s="75" t="n"/>
      <c r="E82" s="48" t="n"/>
      <c r="F82" s="53" t="n"/>
      <c r="G82" s="48" t="n"/>
      <c r="H82" s="53">
        <f>IF(OR(F82="",G82=""),"",IF(F82="500 g",G82*0.5,IF(F82="2,5 kg",G82*2.5,"")))</f>
        <v/>
      </c>
      <c r="I82" s="48" t="n"/>
    </row>
    <row r="83" ht="15" customHeight="1">
      <c r="A83" s="48" t="n"/>
      <c r="B83" s="43" t="n"/>
      <c r="C83" s="32" t="n"/>
      <c r="D83" s="75" t="n"/>
      <c r="E83" s="48" t="n"/>
      <c r="F83" s="53" t="n"/>
      <c r="G83" s="48" t="n"/>
      <c r="H83" s="53">
        <f>IF(OR(F83="",G83=""),"",IF(F83="500 g",G83*0.5,IF(F83="2,5 kg",G83*2.5,"")))</f>
        <v/>
      </c>
      <c r="I83" s="48" t="n"/>
    </row>
    <row r="84" ht="15" customHeight="1">
      <c r="A84" s="48" t="n"/>
      <c r="B84" s="43" t="n"/>
      <c r="C84" s="32" t="n"/>
      <c r="D84" s="75" t="n"/>
      <c r="E84" s="48" t="n"/>
      <c r="F84" s="53" t="n"/>
      <c r="G84" s="48" t="n"/>
      <c r="H84" s="53">
        <f>IF(OR(F84="",G84=""),"",IF(F84="500 g",G84*0.5,IF(F84="2,5 kg",G84*2.5,"")))</f>
        <v/>
      </c>
      <c r="I84" s="48" t="n"/>
    </row>
    <row r="85" ht="15" customHeight="1">
      <c r="A85" s="48" t="n"/>
      <c r="B85" s="43" t="n"/>
      <c r="C85" s="32" t="n"/>
      <c r="D85" s="75" t="n"/>
      <c r="E85" s="48" t="n"/>
      <c r="F85" s="53" t="n"/>
      <c r="G85" s="48" t="n"/>
      <c r="H85" s="53">
        <f>IF(OR(F85="",G85=""),"",IF(F85="500 g",G85*0.5,IF(F85="2,5 kg",G85*2.5,"")))</f>
        <v/>
      </c>
      <c r="I85" s="48" t="n"/>
    </row>
    <row r="86" ht="15" customHeight="1">
      <c r="A86" s="48" t="n"/>
      <c r="B86" s="43" t="n"/>
      <c r="C86" s="32" t="n"/>
      <c r="D86" s="75" t="n"/>
      <c r="E86" s="48" t="n"/>
      <c r="F86" s="53" t="n"/>
      <c r="G86" s="48" t="n"/>
      <c r="H86" s="53">
        <f>IF(OR(F86="",G86=""),"",IF(F86="500 g",G86*0.5,IF(F86="2,5 kg",G86*2.5,"")))</f>
        <v/>
      </c>
      <c r="I86" s="48" t="n"/>
    </row>
    <row r="87" ht="15" customHeight="1">
      <c r="A87" s="48" t="n"/>
      <c r="B87" s="43" t="n"/>
      <c r="C87" s="32" t="n"/>
      <c r="D87" s="75" t="n"/>
      <c r="E87" s="48" t="n"/>
      <c r="F87" s="53" t="n"/>
      <c r="G87" s="48" t="n"/>
      <c r="H87" s="53">
        <f>IF(OR(F87="",G87=""),"",IF(F87="500 g",G87*0.5,IF(F87="2,5 kg",G87*2.5,"")))</f>
        <v/>
      </c>
      <c r="I87" s="48" t="n"/>
    </row>
    <row r="88" ht="15" customHeight="1">
      <c r="A88" s="48" t="n"/>
      <c r="B88" s="43" t="n"/>
      <c r="C88" s="32" t="n"/>
      <c r="D88" s="75" t="n"/>
      <c r="E88" s="48" t="n"/>
      <c r="F88" s="53" t="n"/>
      <c r="G88" s="48" t="n"/>
      <c r="H88" s="53">
        <f>IF(OR(F88="",G88=""),"",IF(F88="500 g",G88*0.5,IF(F88="2,5 kg",G88*2.5,"")))</f>
        <v/>
      </c>
      <c r="I88" s="48" t="n"/>
    </row>
    <row r="89" ht="15" customHeight="1">
      <c r="A89" s="48" t="n"/>
      <c r="B89" s="43" t="n"/>
      <c r="C89" s="32" t="n"/>
      <c r="D89" s="75" t="n"/>
      <c r="E89" s="48" t="n"/>
      <c r="F89" s="53" t="n"/>
      <c r="G89" s="48" t="n"/>
      <c r="H89" s="53">
        <f>IF(OR(F89="",G89=""),"",IF(F89="500 g",G89*0.5,IF(F89="2,5 kg",G89*2.5,"")))</f>
        <v/>
      </c>
      <c r="I89" s="48" t="n"/>
    </row>
    <row r="90" ht="15" customHeight="1">
      <c r="A90" s="48" t="n"/>
      <c r="B90" s="43" t="n"/>
      <c r="C90" s="32" t="n"/>
      <c r="D90" s="75" t="n"/>
      <c r="E90" s="48" t="n"/>
      <c r="F90" s="53" t="n"/>
      <c r="G90" s="48" t="n"/>
      <c r="H90" s="53">
        <f>IF(OR(F90="",G90=""),"",IF(F90="500 g",G90*0.5,IF(F90="2,5 kg",G90*2.5,"")))</f>
        <v/>
      </c>
      <c r="I90" s="48" t="n"/>
    </row>
    <row r="91" ht="15" customHeight="1">
      <c r="A91" s="48" t="n"/>
      <c r="B91" s="43" t="n"/>
      <c r="C91" s="32" t="n"/>
      <c r="D91" s="75" t="n"/>
      <c r="E91" s="48" t="n"/>
      <c r="F91" s="53" t="n"/>
      <c r="G91" s="48" t="n"/>
      <c r="H91" s="53">
        <f>IF(OR(F91="",G91=""),"",IF(F91="500 g",G91*0.5,IF(F91="2,5 kg",G91*2.5,"")))</f>
        <v/>
      </c>
      <c r="I91" s="48" t="n"/>
    </row>
    <row r="92" ht="15" customHeight="1">
      <c r="A92" s="48" t="n"/>
      <c r="B92" s="43" t="n"/>
      <c r="C92" s="32" t="n"/>
      <c r="D92" s="75" t="n"/>
      <c r="E92" s="48" t="n"/>
      <c r="F92" s="53" t="n"/>
      <c r="G92" s="48" t="n"/>
      <c r="H92" s="53">
        <f>IF(OR(F92="",G92=""),"",IF(F92="500 g",G92*0.5,IF(F92="2,5 kg",G92*2.5,"")))</f>
        <v/>
      </c>
      <c r="I92" s="48" t="n"/>
    </row>
    <row r="93" ht="15" customHeight="1">
      <c r="A93" s="48" t="n"/>
      <c r="B93" s="43" t="n"/>
      <c r="C93" s="32" t="n"/>
      <c r="D93" s="75" t="n"/>
      <c r="E93" s="48" t="n"/>
      <c r="F93" s="53" t="n"/>
      <c r="G93" s="48" t="n"/>
      <c r="H93" s="53">
        <f>IF(OR(F93="",G93=""),"",IF(F93="500 g",G93*0.5,IF(F93="2,5 kg",G93*2.5,"")))</f>
        <v/>
      </c>
      <c r="I93" s="48" t="n"/>
    </row>
    <row r="94" ht="15" customHeight="1">
      <c r="A94" s="48" t="n"/>
      <c r="B94" s="43" t="n"/>
      <c r="C94" s="32" t="n"/>
      <c r="D94" s="75" t="n"/>
      <c r="E94" s="48" t="n"/>
      <c r="F94" s="53" t="n"/>
      <c r="G94" s="48" t="n"/>
      <c r="H94" s="53">
        <f>IF(OR(F94="",G94=""),"",IF(F94="500 g",G94*0.5,IF(F94="2,5 kg",G94*2.5,"")))</f>
        <v/>
      </c>
      <c r="I94" s="48" t="n"/>
    </row>
    <row r="95" ht="15" customHeight="1">
      <c r="A95" s="48" t="n"/>
      <c r="B95" s="43" t="n"/>
      <c r="C95" s="32" t="n"/>
      <c r="D95" s="75" t="n"/>
      <c r="E95" s="48" t="n"/>
      <c r="F95" s="53" t="n"/>
      <c r="G95" s="48" t="n"/>
      <c r="H95" s="53">
        <f>IF(OR(F95="",G95=""),"",IF(F95="500 g",G95*0.5,IF(F95="2,5 kg",G95*2.5,"")))</f>
        <v/>
      </c>
      <c r="I95" s="48" t="n"/>
    </row>
    <row r="96" ht="15" customHeight="1">
      <c r="A96" s="48" t="n"/>
      <c r="B96" s="43" t="n"/>
      <c r="C96" s="32" t="n"/>
      <c r="D96" s="75" t="n"/>
      <c r="E96" s="48" t="n"/>
      <c r="F96" s="53" t="n"/>
      <c r="G96" s="48" t="n"/>
      <c r="H96" s="53">
        <f>IF(OR(F96="",G96=""),"",IF(F96="500 g",G96*0.5,IF(F96="2,5 kg",G96*2.5,"")))</f>
        <v/>
      </c>
      <c r="I96" s="48" t="n"/>
    </row>
    <row r="97" ht="15" customHeight="1">
      <c r="A97" s="48" t="n"/>
      <c r="B97" s="43" t="n"/>
      <c r="C97" s="32" t="n"/>
      <c r="D97" s="75" t="n"/>
      <c r="E97" s="48" t="n"/>
      <c r="F97" s="53" t="n"/>
      <c r="G97" s="48" t="n"/>
      <c r="H97" s="53">
        <f>IF(OR(F97="",G97=""),"",IF(F97="500 g",G97*0.5,IF(F97="2,5 kg",G97*2.5,"")))</f>
        <v/>
      </c>
      <c r="I97" s="48" t="n"/>
    </row>
    <row r="98" ht="15" customHeight="1">
      <c r="A98" s="48" t="n"/>
      <c r="B98" s="43" t="n"/>
      <c r="C98" s="32" t="n"/>
      <c r="D98" s="75" t="n"/>
      <c r="E98" s="48" t="n"/>
      <c r="F98" s="53" t="n"/>
      <c r="G98" s="48" t="n"/>
      <c r="H98" s="53">
        <f>IF(OR(F98="",G98=""),"",IF(F98="500 g",G98*0.5,IF(F98="2,5 kg",G98*2.5,"")))</f>
        <v/>
      </c>
      <c r="I98" s="48" t="n"/>
    </row>
    <row r="99" ht="15" customHeight="1">
      <c r="A99" s="48" t="n"/>
      <c r="B99" s="43" t="n"/>
      <c r="C99" s="32" t="n"/>
      <c r="D99" s="75" t="n"/>
      <c r="E99" s="48" t="n"/>
      <c r="F99" s="53" t="n"/>
      <c r="G99" s="48" t="n"/>
      <c r="H99" s="53">
        <f>IF(OR(F99="",G99=""),"",IF(F99="500 g",G99*0.5,IF(F99="2,5 kg",G99*2.5,"")))</f>
        <v/>
      </c>
      <c r="I99" s="48" t="n"/>
    </row>
    <row r="100" ht="15" customHeight="1">
      <c r="A100" s="48" t="n"/>
      <c r="B100" s="43" t="n"/>
      <c r="C100" s="32" t="n"/>
      <c r="D100" s="75" t="n"/>
      <c r="E100" s="48" t="n"/>
      <c r="F100" s="53" t="n"/>
      <c r="G100" s="48" t="n"/>
      <c r="H100" s="53">
        <f>IF(OR(F100="",G100=""),"",IF(F100="500 g",G100*0.5,IF(F100="2,5 kg",G100*2.5,"")))</f>
        <v/>
      </c>
      <c r="I100" s="48" t="n"/>
    </row>
    <row r="101" ht="15" customHeight="1">
      <c r="A101" s="48" t="n"/>
      <c r="B101" s="43" t="n"/>
      <c r="C101" s="32" t="n"/>
      <c r="D101" s="75" t="n"/>
      <c r="E101" s="48" t="n"/>
      <c r="F101" s="53" t="n"/>
      <c r="G101" s="48" t="n"/>
      <c r="H101" s="53">
        <f>IF(OR(F101="",G101=""),"",IF(F101="500 g",G101*0.5,IF(F101="2,5 kg",G101*2.5,"")))</f>
        <v/>
      </c>
      <c r="I101" s="48" t="n"/>
    </row>
    <row r="102" ht="15" customHeight="1">
      <c r="A102" s="48" t="n"/>
      <c r="B102" s="43" t="n"/>
      <c r="C102" s="32" t="n"/>
      <c r="D102" s="75" t="n"/>
      <c r="E102" s="48" t="n"/>
      <c r="F102" s="53" t="n"/>
      <c r="G102" s="48" t="n"/>
      <c r="H102" s="53">
        <f>IF(OR(F102="",G102=""),"",IF(F102="500 g",G102*0.5,IF(F102="2,5 kg",G102*2.5,"")))</f>
        <v/>
      </c>
      <c r="I102" s="48" t="n"/>
    </row>
    <row r="103" ht="15" customHeight="1">
      <c r="A103" s="48" t="n"/>
      <c r="B103" s="43" t="n"/>
      <c r="C103" s="32" t="n"/>
      <c r="D103" s="75" t="n"/>
      <c r="E103" s="48" t="n"/>
      <c r="F103" s="53" t="n"/>
      <c r="G103" s="48" t="n"/>
      <c r="H103" s="53">
        <f>IF(OR(F103="",G103=""),"",IF(F103="500 g",G103*0.5,IF(F103="2,5 kg",G103*2.5,"")))</f>
        <v/>
      </c>
      <c r="I103" s="48" t="n"/>
    </row>
    <row r="104" ht="15" customHeight="1">
      <c r="A104" s="48" t="n"/>
      <c r="B104" s="43" t="n"/>
      <c r="C104" s="32" t="n"/>
      <c r="D104" s="75" t="n"/>
      <c r="E104" s="48" t="n"/>
      <c r="F104" s="53" t="n"/>
      <c r="G104" s="48" t="n"/>
      <c r="H104" s="53">
        <f>IF(OR(F104="",G104=""),"",IF(F104="500 g",G104*0.5,IF(F104="2,5 kg",G104*2.5,"")))</f>
        <v/>
      </c>
      <c r="I104" s="48" t="n"/>
    </row>
    <row r="105" ht="15" customHeight="1">
      <c r="A105" s="48" t="n"/>
      <c r="B105" s="43" t="n"/>
      <c r="C105" s="32" t="n"/>
      <c r="D105" s="75" t="n"/>
      <c r="E105" s="48" t="n"/>
      <c r="F105" s="53" t="n"/>
      <c r="G105" s="48" t="n"/>
      <c r="H105" s="53">
        <f>IF(OR(F105="",G105=""),"",IF(F105="500 g",G105*0.5,IF(F105="2,5 kg",G105*2.5,"")))</f>
        <v/>
      </c>
      <c r="I105" s="48" t="n"/>
    </row>
    <row r="106" ht="15" customHeight="1">
      <c r="A106" s="48" t="n"/>
      <c r="B106" s="43" t="n"/>
      <c r="C106" s="32" t="n"/>
      <c r="D106" s="75" t="n"/>
      <c r="E106" s="48" t="n"/>
      <c r="F106" s="53" t="n"/>
      <c r="G106" s="48" t="n"/>
      <c r="H106" s="53">
        <f>IF(OR(F106="",G106=""),"",IF(F106="500 g",G106*0.5,IF(F106="2,5 kg",G106*2.5,"")))</f>
        <v/>
      </c>
      <c r="I106" s="48" t="n"/>
    </row>
    <row r="107" ht="15" customHeight="1">
      <c r="A107" s="48" t="n"/>
      <c r="B107" s="43" t="n"/>
      <c r="C107" s="32" t="n"/>
      <c r="D107" s="75" t="n"/>
      <c r="E107" s="48" t="n"/>
      <c r="F107" s="53" t="n"/>
      <c r="G107" s="48" t="n"/>
      <c r="H107" s="53">
        <f>IF(OR(F107="",G107=""),"",IF(F107="500 g",G107*0.5,IF(F107="2,5 kg",G107*2.5,"")))</f>
        <v/>
      </c>
      <c r="I107" s="48" t="n"/>
    </row>
    <row r="108" ht="15" customHeight="1">
      <c r="A108" s="48" t="n"/>
      <c r="B108" s="43" t="n"/>
      <c r="C108" s="32" t="n"/>
      <c r="D108" s="75" t="n"/>
      <c r="E108" s="48" t="n"/>
      <c r="F108" s="53" t="n"/>
      <c r="G108" s="48" t="n"/>
      <c r="H108" s="53">
        <f>IF(OR(F108="",G108=""),"",IF(F108="500 g",G108*0.5,IF(F108="2,5 kg",G108*2.5,"")))</f>
        <v/>
      </c>
      <c r="I108" s="48" t="n"/>
    </row>
    <row r="109" ht="15" customHeight="1">
      <c r="A109" s="48" t="n"/>
      <c r="B109" s="43" t="n"/>
      <c r="C109" s="32" t="n"/>
      <c r="D109" s="75" t="n"/>
      <c r="E109" s="48" t="n"/>
      <c r="F109" s="53" t="n"/>
      <c r="G109" s="48" t="n"/>
      <c r="H109" s="53">
        <f>IF(OR(F109="",G109=""),"",IF(F109="500 g",G109*0.5,IF(F109="2,5 kg",G109*2.5,"")))</f>
        <v/>
      </c>
      <c r="I109" s="48" t="n"/>
    </row>
    <row r="110" ht="15" customHeight="1">
      <c r="A110" s="48" t="n"/>
      <c r="B110" s="43" t="n"/>
      <c r="C110" s="32" t="n"/>
      <c r="D110" s="75" t="n"/>
      <c r="E110" s="48" t="n"/>
      <c r="F110" s="53" t="n"/>
      <c r="G110" s="48" t="n"/>
      <c r="H110" s="53">
        <f>IF(OR(F110="",G110=""),"",IF(F110="500 g",G110*0.5,IF(F110="2,5 kg",G110*2.5,"")))</f>
        <v/>
      </c>
      <c r="I110" s="48" t="n"/>
    </row>
    <row r="111" ht="15" customHeight="1">
      <c r="A111" s="48" t="n"/>
      <c r="B111" s="43" t="n"/>
      <c r="C111" s="32" t="n"/>
      <c r="D111" s="75" t="n"/>
      <c r="E111" s="48" t="n"/>
      <c r="F111" s="53" t="n"/>
      <c r="G111" s="48" t="n"/>
      <c r="H111" s="53">
        <f>IF(OR(F111="",G111=""),"",IF(F111="500 g",G111*0.5,IF(F111="2,5 kg",G111*2.5,"")))</f>
        <v/>
      </c>
      <c r="I111" s="48" t="n"/>
    </row>
    <row r="112" ht="15" customHeight="1">
      <c r="A112" s="48" t="n"/>
      <c r="B112" s="43" t="n"/>
      <c r="C112" s="32" t="n"/>
      <c r="D112" s="75" t="n"/>
      <c r="E112" s="48" t="n"/>
      <c r="F112" s="53" t="n"/>
      <c r="G112" s="48" t="n"/>
      <c r="H112" s="53">
        <f>IF(OR(F112="",G112=""),"",IF(F112="500 g",G112*0.5,IF(F112="2,5 kg",G112*2.5,"")))</f>
        <v/>
      </c>
      <c r="I112" s="48" t="n"/>
    </row>
    <row r="113" ht="15" customHeight="1">
      <c r="A113" s="48" t="n"/>
      <c r="B113" s="43" t="n"/>
      <c r="C113" s="32" t="n"/>
      <c r="D113" s="75" t="n"/>
      <c r="E113" s="48" t="n"/>
      <c r="F113" s="53" t="n"/>
      <c r="G113" s="48" t="n"/>
      <c r="H113" s="53">
        <f>IF(OR(F113="",G113=""),"",IF(F113="500 g",G113*0.5,IF(F113="2,5 kg",G113*2.5,"")))</f>
        <v/>
      </c>
      <c r="I113" s="48" t="n"/>
    </row>
    <row r="114" ht="15" customHeight="1">
      <c r="A114" s="48" t="n"/>
      <c r="B114" s="43" t="n"/>
      <c r="C114" s="32" t="n"/>
      <c r="D114" s="75" t="n"/>
      <c r="E114" s="48" t="n"/>
      <c r="F114" s="53" t="n"/>
      <c r="G114" s="48" t="n"/>
      <c r="H114" s="53">
        <f>IF(OR(F114="",G114=""),"",IF(F114="500 g",G114*0.5,IF(F114="2,5 kg",G114*2.5,"")))</f>
        <v/>
      </c>
      <c r="I114" s="48" t="n"/>
    </row>
    <row r="115" ht="15" customHeight="1">
      <c r="A115" s="48" t="n"/>
      <c r="B115" s="43" t="n"/>
      <c r="C115" s="32" t="n"/>
      <c r="D115" s="75" t="n"/>
      <c r="E115" s="48" t="n"/>
      <c r="F115" s="53" t="n"/>
      <c r="G115" s="48" t="n"/>
      <c r="H115" s="53">
        <f>IF(OR(F115="",G115=""),"",IF(F115="500 g",G115*0.5,IF(F115="2,5 kg",G115*2.5,"")))</f>
        <v/>
      </c>
      <c r="I115" s="48" t="n"/>
    </row>
    <row r="116" ht="15" customHeight="1">
      <c r="A116" s="48" t="n"/>
      <c r="B116" s="43" t="n"/>
      <c r="C116" s="32" t="n"/>
      <c r="D116" s="75" t="n"/>
      <c r="E116" s="48" t="n"/>
      <c r="F116" s="53" t="n"/>
      <c r="G116" s="48" t="n"/>
      <c r="H116" s="53">
        <f>IF(OR(F116="",G116=""),"",IF(F116="500 g",G116*0.5,IF(F116="2,5 kg",G116*2.5,"")))</f>
        <v/>
      </c>
      <c r="I116" s="48" t="n"/>
    </row>
    <row r="117" ht="15" customHeight="1">
      <c r="A117" s="48" t="n"/>
      <c r="B117" s="43" t="n"/>
      <c r="C117" s="32" t="n"/>
      <c r="D117" s="75" t="n"/>
      <c r="E117" s="48" t="n"/>
      <c r="F117" s="53" t="n"/>
      <c r="G117" s="48" t="n"/>
      <c r="H117" s="53">
        <f>IF(OR(F117="",G117=""),"",IF(F117="500 g",G117*0.5,IF(F117="2,5 kg",G117*2.5,"")))</f>
        <v/>
      </c>
      <c r="I117" s="48" t="n"/>
    </row>
    <row r="118" ht="15" customHeight="1">
      <c r="A118" s="48" t="n"/>
      <c r="B118" s="43" t="n"/>
      <c r="C118" s="32" t="n"/>
      <c r="D118" s="75" t="n"/>
      <c r="E118" s="48" t="n"/>
      <c r="F118" s="53" t="n"/>
      <c r="G118" s="48" t="n"/>
      <c r="H118" s="53">
        <f>IF(OR(F118="",G118=""),"",IF(F118="500 g",G118*0.5,IF(F118="2,5 kg",G118*2.5,"")))</f>
        <v/>
      </c>
      <c r="I118" s="48" t="n"/>
    </row>
    <row r="119" ht="15" customHeight="1">
      <c r="A119" s="48" t="n"/>
      <c r="B119" s="43" t="n"/>
      <c r="C119" s="32" t="n"/>
      <c r="D119" s="75" t="n"/>
      <c r="E119" s="48" t="n"/>
      <c r="F119" s="53" t="n"/>
      <c r="G119" s="48" t="n"/>
      <c r="H119" s="53">
        <f>IF(OR(F119="",G119=""),"",IF(F119="500 g",G119*0.5,IF(F119="2,5 kg",G119*2.5,"")))</f>
        <v/>
      </c>
      <c r="I119" s="48" t="n"/>
    </row>
    <row r="120" ht="15" customHeight="1">
      <c r="A120" s="48" t="n"/>
      <c r="B120" s="43" t="n"/>
      <c r="C120" s="32" t="n"/>
      <c r="D120" s="75" t="n"/>
      <c r="E120" s="48" t="n"/>
      <c r="F120" s="53" t="n"/>
      <c r="G120" s="48" t="n"/>
      <c r="H120" s="53">
        <f>IF(OR(F120="",G120=""),"",IF(F120="500 g",G120*0.5,IF(F120="2,5 kg",G120*2.5,"")))</f>
        <v/>
      </c>
      <c r="I120" s="48" t="n"/>
    </row>
    <row r="121" ht="15" customHeight="1">
      <c r="A121" s="48" t="n"/>
      <c r="B121" s="43" t="n"/>
      <c r="C121" s="32" t="n"/>
      <c r="D121" s="75" t="n"/>
      <c r="E121" s="48" t="n"/>
      <c r="F121" s="53" t="n"/>
      <c r="G121" s="48" t="n"/>
      <c r="H121" s="53">
        <f>IF(OR(F121="",G121=""),"",IF(F121="500 g",G121*0.5,IF(F121="2,5 kg",G121*2.5,"")))</f>
        <v/>
      </c>
      <c r="I121" s="48" t="n"/>
    </row>
    <row r="122" ht="15" customHeight="1">
      <c r="A122" s="48" t="n"/>
      <c r="B122" s="43" t="n"/>
      <c r="C122" s="32" t="n"/>
      <c r="D122" s="75" t="n"/>
      <c r="E122" s="48" t="n"/>
      <c r="F122" s="53" t="n"/>
      <c r="G122" s="48" t="n"/>
      <c r="H122" s="53">
        <f>IF(OR(F122="",G122=""),"",IF(F122="500 g",G122*0.5,IF(F122="2,5 kg",G122*2.5,"")))</f>
        <v/>
      </c>
      <c r="I122" s="48" t="n"/>
    </row>
    <row r="123" ht="15" customHeight="1">
      <c r="A123" s="48" t="n"/>
      <c r="B123" s="43" t="n"/>
      <c r="C123" s="32" t="n"/>
      <c r="D123" s="75" t="n"/>
      <c r="E123" s="48" t="n"/>
      <c r="F123" s="53" t="n"/>
      <c r="G123" s="48" t="n"/>
      <c r="H123" s="53">
        <f>IF(OR(F123="",G123=""),"",IF(F123="500 g",G123*0.5,IF(F123="2,5 kg",G123*2.5,"")))</f>
        <v/>
      </c>
      <c r="I123" s="48" t="n"/>
    </row>
    <row r="124" ht="15" customHeight="1">
      <c r="A124" s="48" t="n"/>
      <c r="B124" s="43" t="n"/>
      <c r="C124" s="32" t="n"/>
      <c r="D124" s="75" t="n"/>
      <c r="E124" s="48" t="n"/>
      <c r="F124" s="53" t="n"/>
      <c r="G124" s="48" t="n"/>
      <c r="H124" s="53">
        <f>IF(OR(F124="",G124=""),"",IF(F124="500 g",G124*0.5,IF(F124="2,5 kg",G124*2.5,"")))</f>
        <v/>
      </c>
      <c r="I124" s="48" t="n"/>
    </row>
    <row r="125" ht="15" customHeight="1">
      <c r="A125" s="48" t="n"/>
      <c r="B125" s="43" t="n"/>
      <c r="C125" s="32" t="n"/>
      <c r="D125" s="75" t="n"/>
      <c r="E125" s="48" t="n"/>
      <c r="F125" s="53" t="n"/>
      <c r="G125" s="48" t="n"/>
      <c r="H125" s="53">
        <f>IF(OR(F125="",G125=""),"",IF(F125="500 g",G125*0.5,IF(F125="2,5 kg",G125*2.5,"")))</f>
        <v/>
      </c>
      <c r="I125" s="48" t="n"/>
    </row>
    <row r="126" ht="15" customHeight="1">
      <c r="A126" s="48" t="n"/>
      <c r="B126" s="43" t="n"/>
      <c r="C126" s="32" t="n"/>
      <c r="D126" s="75" t="n"/>
      <c r="E126" s="48" t="n"/>
      <c r="F126" s="53" t="n"/>
      <c r="G126" s="48" t="n"/>
      <c r="H126" s="53">
        <f>IF(OR(F126="",G126=""),"",IF(F126="500 g",G126*0.5,IF(F126="2,5 kg",G126*2.5,"")))</f>
        <v/>
      </c>
      <c r="I126" s="48" t="n"/>
    </row>
    <row r="127" ht="15" customHeight="1">
      <c r="A127" s="48" t="n"/>
      <c r="B127" s="43" t="n"/>
      <c r="C127" s="32" t="n"/>
      <c r="D127" s="75" t="n"/>
      <c r="E127" s="48" t="n"/>
      <c r="F127" s="53" t="n"/>
      <c r="G127" s="48" t="n"/>
      <c r="H127" s="53">
        <f>IF(OR(F127="",G127=""),"",IF(F127="500 g",G127*0.5,IF(F127="2,5 kg",G127*2.5,"")))</f>
        <v/>
      </c>
      <c r="I127" s="48" t="n"/>
    </row>
    <row r="128" ht="15" customHeight="1">
      <c r="A128" s="48" t="n"/>
      <c r="B128" s="43" t="n"/>
      <c r="C128" s="32" t="n"/>
      <c r="D128" s="75" t="n"/>
      <c r="E128" s="48" t="n"/>
      <c r="F128" s="53" t="n"/>
      <c r="G128" s="48" t="n"/>
      <c r="H128" s="53">
        <f>IF(OR(F128="",G128=""),"",IF(F128="500 g",G128*0.5,IF(F128="2,5 kg",G128*2.5,"")))</f>
        <v/>
      </c>
      <c r="I128" s="48" t="n"/>
    </row>
    <row r="129" ht="15" customHeight="1">
      <c r="A129" s="48" t="n"/>
      <c r="B129" s="43" t="n"/>
      <c r="C129" s="32" t="n"/>
      <c r="D129" s="75" t="n"/>
      <c r="E129" s="48" t="n"/>
      <c r="F129" s="53" t="n"/>
      <c r="G129" s="48" t="n"/>
      <c r="H129" s="53">
        <f>IF(OR(F129="",G129=""),"",IF(F129="500 g",G129*0.5,IF(F129="2,5 kg",G129*2.5,"")))</f>
        <v/>
      </c>
      <c r="I129" s="48" t="n"/>
    </row>
    <row r="130" ht="15" customHeight="1">
      <c r="A130" s="48" t="n"/>
      <c r="B130" s="43" t="n"/>
      <c r="C130" s="32" t="n"/>
      <c r="D130" s="75" t="n"/>
      <c r="E130" s="48" t="n"/>
      <c r="F130" s="53" t="n"/>
      <c r="G130" s="48" t="n"/>
      <c r="H130" s="53">
        <f>IF(OR(F130="",G130=""),"",IF(F130="500 g",G130*0.5,IF(F130="2,5 kg",G130*2.5,"")))</f>
        <v/>
      </c>
      <c r="I130" s="48" t="n"/>
    </row>
    <row r="131" ht="15" customHeight="1">
      <c r="A131" s="48" t="n"/>
      <c r="B131" s="43" t="n"/>
      <c r="C131" s="32" t="n"/>
      <c r="D131" s="75" t="n"/>
      <c r="E131" s="48" t="n"/>
      <c r="F131" s="53" t="n"/>
      <c r="G131" s="48" t="n"/>
      <c r="H131" s="53">
        <f>IF(OR(F131="",G131=""),"",IF(F131="500 g",G131*0.5,IF(F131="2,5 kg",G131*2.5,"")))</f>
        <v/>
      </c>
      <c r="I131" s="48" t="n"/>
    </row>
    <row r="132" ht="15" customHeight="1">
      <c r="A132" s="48" t="n"/>
      <c r="B132" s="43" t="n"/>
      <c r="C132" s="32" t="n"/>
      <c r="D132" s="75" t="n"/>
      <c r="E132" s="48" t="n"/>
      <c r="F132" s="53" t="n"/>
      <c r="G132" s="48" t="n"/>
      <c r="H132" s="53">
        <f>IF(OR(F132="",G132=""),"",IF(F132="500 g",G132*0.5,IF(F132="2,5 kg",G132*2.5,"")))</f>
        <v/>
      </c>
      <c r="I132" s="48" t="n"/>
    </row>
    <row r="133" ht="15" customHeight="1">
      <c r="A133" s="48" t="n"/>
      <c r="B133" s="43" t="n"/>
      <c r="C133" s="32" t="n"/>
      <c r="D133" s="75" t="n"/>
      <c r="E133" s="48" t="n"/>
      <c r="F133" s="53" t="n"/>
      <c r="G133" s="48" t="n"/>
      <c r="H133" s="53">
        <f>IF(OR(F133="",G133=""),"",IF(F133="500 g",G133*0.5,IF(F133="2,5 kg",G133*2.5,"")))</f>
        <v/>
      </c>
      <c r="I133" s="48" t="n"/>
    </row>
    <row r="134" ht="15" customHeight="1">
      <c r="A134" s="48" t="n"/>
      <c r="B134" s="43" t="n"/>
      <c r="C134" s="32" t="n"/>
      <c r="D134" s="75" t="n"/>
      <c r="E134" s="48" t="n"/>
      <c r="F134" s="53" t="n"/>
      <c r="G134" s="48" t="n"/>
      <c r="H134" s="53">
        <f>IF(OR(F134="",G134=""),"",IF(F134="500 g",G134*0.5,IF(F134="2,5 kg",G134*2.5,"")))</f>
        <v/>
      </c>
      <c r="I134" s="48" t="n"/>
    </row>
    <row r="135" ht="15" customHeight="1">
      <c r="A135" s="48" t="n"/>
      <c r="B135" s="43" t="n"/>
      <c r="C135" s="32" t="n"/>
      <c r="D135" s="75" t="n"/>
      <c r="E135" s="48" t="n"/>
      <c r="F135" s="53" t="n"/>
      <c r="G135" s="48" t="n"/>
      <c r="H135" s="53">
        <f>IF(OR(F135="",G135=""),"",IF(F135="500 g",G135*0.5,IF(F135="2,5 kg",G135*2.5,"")))</f>
        <v/>
      </c>
      <c r="I135" s="48" t="n"/>
    </row>
    <row r="136" ht="15" customHeight="1">
      <c r="A136" s="48" t="n"/>
      <c r="B136" s="43" t="n"/>
      <c r="C136" s="32" t="n"/>
      <c r="D136" s="75" t="n"/>
      <c r="E136" s="48" t="n"/>
      <c r="F136" s="53" t="n"/>
      <c r="G136" s="48" t="n"/>
      <c r="H136" s="53">
        <f>IF(OR(F136="",G136=""),"",IF(F136="500 g",G136*0.5,IF(F136="2,5 kg",G136*2.5,"")))</f>
        <v/>
      </c>
      <c r="I136" s="48" t="n"/>
    </row>
    <row r="137" ht="15" customHeight="1">
      <c r="A137" s="48" t="n"/>
      <c r="B137" s="43" t="n"/>
      <c r="C137" s="32" t="n"/>
      <c r="D137" s="75" t="n"/>
      <c r="E137" s="48" t="n"/>
      <c r="F137" s="53" t="n"/>
      <c r="G137" s="48" t="n"/>
      <c r="H137" s="53">
        <f>IF(OR(F137="",G137=""),"",IF(F137="500 g",G137*0.5,IF(F137="2,5 kg",G137*2.5,"")))</f>
        <v/>
      </c>
      <c r="I137" s="48" t="n"/>
    </row>
    <row r="138" ht="15" customHeight="1">
      <c r="A138" s="48" t="n"/>
      <c r="B138" s="43" t="n"/>
      <c r="C138" s="32" t="n"/>
      <c r="D138" s="75" t="n"/>
      <c r="E138" s="48" t="n"/>
      <c r="F138" s="53" t="n"/>
      <c r="G138" s="48" t="n"/>
      <c r="H138" s="53">
        <f>IF(OR(F138="",G138=""),"",IF(F138="500 g",G138*0.5,IF(F138="2,5 kg",G138*2.5,"")))</f>
        <v/>
      </c>
      <c r="I138" s="48" t="n"/>
    </row>
    <row r="139" ht="15" customHeight="1">
      <c r="A139" s="48" t="n"/>
      <c r="B139" s="43" t="n"/>
      <c r="C139" s="32" t="n"/>
      <c r="D139" s="75" t="n"/>
      <c r="E139" s="48" t="n"/>
      <c r="F139" s="53" t="n"/>
      <c r="G139" s="48" t="n"/>
      <c r="H139" s="53">
        <f>IF(OR(F139="",G139=""),"",IF(F139="500 g",G139*0.5,IF(F139="2,5 kg",G139*2.5,"")))</f>
        <v/>
      </c>
      <c r="I139" s="48" t="n"/>
    </row>
    <row r="140" ht="15" customHeight="1">
      <c r="A140" s="48" t="n"/>
      <c r="B140" s="43" t="n"/>
      <c r="C140" s="32" t="n"/>
      <c r="D140" s="75" t="n"/>
      <c r="E140" s="48" t="n"/>
      <c r="F140" s="53" t="n"/>
      <c r="G140" s="48" t="n"/>
      <c r="H140" s="53">
        <f>IF(OR(F140="",G140=""),"",IF(F140="500 g",G140*0.5,IF(F140="2,5 kg",G140*2.5,"")))</f>
        <v/>
      </c>
      <c r="I140" s="48" t="n"/>
    </row>
    <row r="141" ht="15" customHeight="1">
      <c r="A141" s="48" t="n"/>
      <c r="B141" s="43" t="n"/>
      <c r="C141" s="32" t="n"/>
      <c r="D141" s="75" t="n"/>
      <c r="E141" s="48" t="n"/>
      <c r="F141" s="53" t="n"/>
      <c r="G141" s="48" t="n"/>
      <c r="H141" s="53">
        <f>IF(OR(F141="",G141=""),"",IF(F141="500 g",G141*0.5,IF(F141="2,5 kg",G141*2.5,"")))</f>
        <v/>
      </c>
      <c r="I141" s="48" t="n"/>
    </row>
    <row r="142" ht="15" customHeight="1">
      <c r="A142" s="48" t="n"/>
      <c r="B142" s="43" t="n"/>
      <c r="C142" s="32" t="n"/>
      <c r="D142" s="75" t="n"/>
      <c r="E142" s="48" t="n"/>
      <c r="F142" s="53" t="n"/>
      <c r="G142" s="48" t="n"/>
      <c r="H142" s="53">
        <f>IF(OR(F142="",G142=""),"",IF(F142="500 g",G142*0.5,IF(F142="2,5 kg",G142*2.5,"")))</f>
        <v/>
      </c>
      <c r="I142" s="48" t="n"/>
    </row>
    <row r="143" ht="15" customHeight="1">
      <c r="A143" s="48" t="n"/>
      <c r="B143" s="43" t="n"/>
      <c r="C143" s="32" t="n"/>
      <c r="D143" s="75" t="n"/>
      <c r="E143" s="48" t="n"/>
      <c r="F143" s="53" t="n"/>
      <c r="G143" s="48" t="n"/>
      <c r="H143" s="53">
        <f>IF(OR(F143="",G143=""),"",IF(F143="500 g",G143*0.5,IF(F143="2,5 kg",G143*2.5,"")))</f>
        <v/>
      </c>
      <c r="I143" s="48" t="n"/>
    </row>
    <row r="144" ht="15" customHeight="1">
      <c r="A144" s="48" t="n"/>
      <c r="B144" s="43" t="n"/>
      <c r="C144" s="32" t="n"/>
      <c r="D144" s="75" t="n"/>
      <c r="E144" s="48" t="n"/>
      <c r="F144" s="53" t="n"/>
      <c r="G144" s="48" t="n"/>
      <c r="H144" s="53">
        <f>IF(OR(F144="",G144=""),"",IF(F144="500 g",G144*0.5,IF(F144="2,5 kg",G144*2.5,"")))</f>
        <v/>
      </c>
      <c r="I144" s="48" t="n"/>
    </row>
    <row r="145" ht="15" customHeight="1">
      <c r="A145" s="48" t="n"/>
      <c r="B145" s="43" t="n"/>
      <c r="C145" s="32" t="n"/>
      <c r="D145" s="75" t="n"/>
      <c r="E145" s="48" t="n"/>
      <c r="F145" s="53" t="n"/>
      <c r="G145" s="48" t="n"/>
      <c r="H145" s="53">
        <f>IF(OR(F145="",G145=""),"",IF(F145="500 g",G145*0.5,IF(F145="2,5 kg",G145*2.5,"")))</f>
        <v/>
      </c>
      <c r="I145" s="48" t="n"/>
    </row>
    <row r="146" ht="15" customHeight="1">
      <c r="A146" s="48" t="n"/>
      <c r="B146" s="43" t="n"/>
      <c r="C146" s="32" t="n"/>
      <c r="D146" s="75" t="n"/>
      <c r="E146" s="48" t="n"/>
      <c r="F146" s="53" t="n"/>
      <c r="G146" s="48" t="n"/>
      <c r="H146" s="53">
        <f>IF(OR(F146="",G146=""),"",IF(F146="500 g",G146*0.5,IF(F146="2,5 kg",G146*2.5,"")))</f>
        <v/>
      </c>
      <c r="I146" s="48" t="n"/>
    </row>
    <row r="147" ht="15" customHeight="1">
      <c r="A147" s="48" t="n"/>
      <c r="B147" s="43" t="n"/>
      <c r="C147" s="32" t="n"/>
      <c r="D147" s="75" t="n"/>
      <c r="E147" s="48" t="n"/>
      <c r="F147" s="53" t="n"/>
      <c r="G147" s="48" t="n"/>
      <c r="H147" s="53">
        <f>IF(OR(F147="",G147=""),"",IF(F147="500 g",G147*0.5,IF(F147="2,5 kg",G147*2.5,"")))</f>
        <v/>
      </c>
      <c r="I147" s="48" t="n"/>
    </row>
    <row r="148" ht="15" customHeight="1">
      <c r="A148" s="48" t="n"/>
      <c r="B148" s="43" t="n"/>
      <c r="C148" s="32" t="n"/>
      <c r="D148" s="75" t="n"/>
      <c r="E148" s="48" t="n"/>
      <c r="F148" s="53" t="n"/>
      <c r="G148" s="48" t="n"/>
      <c r="H148" s="53">
        <f>IF(OR(F148="",G148=""),"",IF(F148="500 g",G148*0.5,IF(F148="2,5 kg",G148*2.5,"")))</f>
        <v/>
      </c>
      <c r="I148" s="48" t="n"/>
    </row>
    <row r="149" ht="15" customHeight="1">
      <c r="A149" s="48" t="n"/>
      <c r="B149" s="43" t="n"/>
      <c r="C149" s="32" t="n"/>
      <c r="D149" s="75" t="n"/>
      <c r="E149" s="48" t="n"/>
      <c r="F149" s="53" t="n"/>
      <c r="G149" s="48" t="n"/>
      <c r="H149" s="53">
        <f>IF(OR(F149="",G149=""),"",IF(F149="500 g",G149*0.5,IF(F149="2,5 kg",G149*2.5,"")))</f>
        <v/>
      </c>
      <c r="I149" s="48" t="n"/>
    </row>
    <row r="150" ht="15" customHeight="1">
      <c r="A150" s="48" t="n"/>
      <c r="B150" s="43" t="n"/>
      <c r="C150" s="32" t="n"/>
      <c r="D150" s="75" t="n"/>
      <c r="E150" s="48" t="n"/>
      <c r="F150" s="53" t="n"/>
      <c r="G150" s="48" t="n"/>
      <c r="H150" s="53">
        <f>IF(OR(F150="",G150=""),"",IF(F150="500 g",G150*0.5,IF(F150="2,5 kg",G150*2.5,"")))</f>
        <v/>
      </c>
      <c r="I150" s="48" t="n"/>
    </row>
    <row r="151" ht="15" customHeight="1">
      <c r="A151" s="48" t="n"/>
      <c r="B151" s="43" t="n"/>
      <c r="C151" s="32" t="n"/>
      <c r="D151" s="75" t="n"/>
      <c r="E151" s="48" t="n"/>
      <c r="F151" s="53" t="n"/>
      <c r="G151" s="48" t="n"/>
      <c r="H151" s="53">
        <f>IF(OR(F151="",G151=""),"",IF(F151="500 g",G151*0.5,IF(F151="2,5 kg",G151*2.5,"")))</f>
        <v/>
      </c>
      <c r="I151" s="48" t="n"/>
    </row>
    <row r="152" ht="15" customHeight="1">
      <c r="A152" s="48" t="n"/>
      <c r="B152" s="43" t="n"/>
      <c r="C152" s="32" t="n"/>
      <c r="D152" s="75" t="n"/>
      <c r="E152" s="48" t="n"/>
      <c r="F152" s="53" t="n"/>
      <c r="G152" s="48" t="n"/>
      <c r="H152" s="53">
        <f>IF(OR(F152="",G152=""),"",IF(F152="500 g",G152*0.5,IF(F152="2,5 kg",G152*2.5,"")))</f>
        <v/>
      </c>
      <c r="I152" s="48" t="n"/>
    </row>
    <row r="153" ht="15" customHeight="1">
      <c r="A153" s="48" t="n"/>
      <c r="B153" s="43" t="n"/>
      <c r="C153" s="32" t="n"/>
      <c r="D153" s="75" t="n"/>
      <c r="E153" s="48" t="n"/>
      <c r="F153" s="53" t="n"/>
      <c r="G153" s="48" t="n"/>
      <c r="H153" s="53">
        <f>IF(OR(F153="",G153=""),"",IF(F153="500 g",G153*0.5,IF(F153="2,5 kg",G153*2.5,"")))</f>
        <v/>
      </c>
      <c r="I153" s="48" t="n"/>
    </row>
    <row r="154" ht="15" customHeight="1">
      <c r="A154" s="48" t="n"/>
      <c r="B154" s="43" t="n"/>
      <c r="C154" s="32" t="n"/>
      <c r="D154" s="75" t="n"/>
      <c r="E154" s="48" t="n"/>
      <c r="F154" s="53" t="n"/>
      <c r="G154" s="48" t="n"/>
      <c r="H154" s="53">
        <f>IF(OR(F154="",G154=""),"",IF(F154="500 g",G154*0.5,IF(F154="2,5 kg",G154*2.5,"")))</f>
        <v/>
      </c>
      <c r="I154" s="48" t="n"/>
    </row>
    <row r="155" ht="15" customHeight="1">
      <c r="A155" s="48" t="n"/>
      <c r="B155" s="43" t="n"/>
      <c r="C155" s="32" t="n"/>
      <c r="D155" s="75" t="n"/>
      <c r="E155" s="48" t="n"/>
      <c r="F155" s="53" t="n"/>
      <c r="G155" s="48" t="n"/>
      <c r="H155" s="53">
        <f>IF(OR(F155="",G155=""),"",IF(F155="500 g",G155*0.5,IF(F155="2,5 kg",G155*2.5,"")))</f>
        <v/>
      </c>
      <c r="I155" s="48" t="n"/>
    </row>
    <row r="156" ht="15" customHeight="1">
      <c r="A156" s="48" t="n"/>
      <c r="B156" s="43" t="n"/>
      <c r="C156" s="32" t="n"/>
      <c r="D156" s="75" t="n"/>
      <c r="E156" s="48" t="n"/>
      <c r="F156" s="53" t="n"/>
      <c r="G156" s="48" t="n"/>
      <c r="H156" s="53">
        <f>IF(OR(F156="",G156=""),"",IF(F156="500 g",G156*0.5,IF(F156="2,5 kg",G156*2.5,"")))</f>
        <v/>
      </c>
      <c r="I156" s="48" t="n"/>
    </row>
    <row r="157" ht="15" customHeight="1">
      <c r="A157" s="48" t="n"/>
      <c r="B157" s="43" t="n"/>
      <c r="C157" s="32" t="n"/>
      <c r="D157" s="75" t="n"/>
      <c r="E157" s="48" t="n"/>
      <c r="F157" s="53" t="n"/>
      <c r="G157" s="48" t="n"/>
      <c r="H157" s="53">
        <f>IF(OR(F157="",G157=""),"",IF(F157="500 g",G157*0.5,IF(F157="2,5 kg",G157*2.5,"")))</f>
        <v/>
      </c>
      <c r="I157" s="48" t="n"/>
    </row>
    <row r="158" ht="15" customHeight="1">
      <c r="A158" s="48" t="n"/>
      <c r="B158" s="43" t="n"/>
      <c r="C158" s="32" t="n"/>
      <c r="D158" s="75" t="n"/>
      <c r="E158" s="48" t="n"/>
      <c r="F158" s="53" t="n"/>
      <c r="G158" s="48" t="n"/>
      <c r="H158" s="53">
        <f>IF(OR(F158="",G158=""),"",IF(F158="500 g",G158*0.5,IF(F158="2,5 kg",G158*2.5,"")))</f>
        <v/>
      </c>
      <c r="I158" s="48" t="n"/>
    </row>
    <row r="159" ht="15" customHeight="1">
      <c r="A159" s="48" t="n"/>
      <c r="B159" s="43" t="n"/>
      <c r="C159" s="32" t="n"/>
      <c r="D159" s="75" t="n"/>
      <c r="E159" s="48" t="n"/>
      <c r="F159" s="53" t="n"/>
      <c r="G159" s="48" t="n"/>
      <c r="H159" s="53">
        <f>IF(OR(F159="",G159=""),"",IF(F159="500 g",G159*0.5,IF(F159="2,5 kg",G159*2.5,"")))</f>
        <v/>
      </c>
      <c r="I159" s="48" t="n"/>
    </row>
    <row r="160" ht="15" customHeight="1">
      <c r="A160" s="48" t="n"/>
      <c r="B160" s="43" t="n"/>
      <c r="C160" s="32" t="n"/>
      <c r="D160" s="75" t="n"/>
      <c r="E160" s="48" t="n"/>
      <c r="F160" s="53" t="n"/>
      <c r="G160" s="48" t="n"/>
      <c r="H160" s="53">
        <f>IF(OR(F160="",G160=""),"",IF(F160="500 g",G160*0.5,IF(F160="2,5 kg",G160*2.5,"")))</f>
        <v/>
      </c>
      <c r="I160" s="48" t="n"/>
    </row>
    <row r="161" ht="15" customHeight="1">
      <c r="A161" s="48" t="n"/>
      <c r="B161" s="43" t="n"/>
      <c r="C161" s="32" t="n"/>
      <c r="D161" s="75" t="n"/>
      <c r="E161" s="48" t="n"/>
      <c r="F161" s="53" t="n"/>
      <c r="G161" s="48" t="n"/>
      <c r="H161" s="53">
        <f>IF(OR(F161="",G161=""),"",IF(F161="500 g",G161*0.5,IF(F161="2,5 kg",G161*2.5,"")))</f>
        <v/>
      </c>
      <c r="I161" s="48" t="n"/>
    </row>
    <row r="162" ht="15" customHeight="1">
      <c r="A162" s="48" t="n"/>
      <c r="B162" s="43" t="n"/>
      <c r="C162" s="32" t="n"/>
      <c r="D162" s="75" t="n"/>
      <c r="E162" s="48" t="n"/>
      <c r="F162" s="53" t="n"/>
      <c r="G162" s="48" t="n"/>
      <c r="H162" s="53">
        <f>IF(OR(F162="",G162=""),"",IF(F162="500 g",G162*0.5,IF(F162="2,5 kg",G162*2.5,"")))</f>
        <v/>
      </c>
      <c r="I162" s="48" t="n"/>
    </row>
    <row r="163" ht="15" customHeight="1">
      <c r="A163" s="48" t="n"/>
      <c r="B163" s="43" t="n"/>
      <c r="C163" s="32" t="n"/>
      <c r="D163" s="75" t="n"/>
      <c r="E163" s="48" t="n"/>
      <c r="F163" s="53" t="n"/>
      <c r="G163" s="48" t="n"/>
      <c r="H163" s="53">
        <f>IF(OR(F163="",G163=""),"",IF(F163="500 g",G163*0.5,IF(F163="2,5 kg",G163*2.5,"")))</f>
        <v/>
      </c>
      <c r="I163" s="48" t="n"/>
    </row>
    <row r="164" ht="15" customHeight="1">
      <c r="A164" s="48" t="n"/>
      <c r="B164" s="43" t="n"/>
      <c r="C164" s="32" t="n"/>
      <c r="D164" s="75" t="n"/>
      <c r="E164" s="48" t="n"/>
      <c r="F164" s="53" t="n"/>
      <c r="G164" s="48" t="n"/>
      <c r="H164" s="53">
        <f>IF(OR(F164="",G164=""),"",IF(F164="500 g",G164*0.5,IF(F164="2,5 kg",G164*2.5,"")))</f>
        <v/>
      </c>
      <c r="I164" s="48" t="n"/>
    </row>
    <row r="165" ht="15" customHeight="1">
      <c r="A165" s="48" t="n"/>
      <c r="B165" s="43" t="n"/>
      <c r="C165" s="32" t="n"/>
      <c r="D165" s="75" t="n"/>
      <c r="E165" s="48" t="n"/>
      <c r="F165" s="53" t="n"/>
      <c r="G165" s="48" t="n"/>
      <c r="H165" s="53">
        <f>IF(OR(F165="",G165=""),"",IF(F165="500 g",G165*0.5,IF(F165="2,5 kg",G165*2.5,"")))</f>
        <v/>
      </c>
      <c r="I165" s="48" t="n"/>
    </row>
    <row r="166" ht="15" customHeight="1">
      <c r="A166" s="48" t="n"/>
      <c r="B166" s="43" t="n"/>
      <c r="C166" s="32" t="n"/>
      <c r="D166" s="75" t="n"/>
      <c r="E166" s="48" t="n"/>
      <c r="F166" s="53" t="n"/>
      <c r="G166" s="48" t="n"/>
      <c r="H166" s="53">
        <f>IF(OR(F166="",G166=""),"",IF(F166="500 g",G166*0.5,IF(F166="2,5 kg",G166*2.5,"")))</f>
        <v/>
      </c>
      <c r="I166" s="48" t="n"/>
    </row>
    <row r="167" ht="15" customHeight="1">
      <c r="A167" s="48" t="n"/>
      <c r="B167" s="43" t="n"/>
      <c r="C167" s="32" t="n"/>
      <c r="D167" s="75" t="n"/>
      <c r="E167" s="48" t="n"/>
      <c r="F167" s="53" t="n"/>
      <c r="G167" s="48" t="n"/>
      <c r="H167" s="53">
        <f>IF(OR(F167="",G167=""),"",IF(F167="500 g",G167*0.5,IF(F167="2,5 kg",G167*2.5,"")))</f>
        <v/>
      </c>
      <c r="I167" s="48" t="n"/>
    </row>
    <row r="168" ht="15" customHeight="1">
      <c r="A168" s="48" t="n"/>
      <c r="B168" s="43" t="n"/>
      <c r="C168" s="32" t="n"/>
      <c r="D168" s="75" t="n"/>
      <c r="E168" s="48" t="n"/>
      <c r="F168" s="53" t="n"/>
      <c r="G168" s="48" t="n"/>
      <c r="H168" s="53">
        <f>IF(OR(F168="",G168=""),"",IF(F168="500 g",G168*0.5,IF(F168="2,5 kg",G168*2.5,"")))</f>
        <v/>
      </c>
      <c r="I168" s="48" t="n"/>
    </row>
    <row r="169" ht="15" customHeight="1">
      <c r="A169" s="48" t="n"/>
      <c r="B169" s="43" t="n"/>
      <c r="C169" s="32" t="n"/>
      <c r="D169" s="75" t="n"/>
      <c r="E169" s="48" t="n"/>
      <c r="F169" s="53" t="n"/>
      <c r="G169" s="48" t="n"/>
      <c r="H169" s="53">
        <f>IF(OR(F169="",G169=""),"",IF(F169="500 g",G169*0.5,IF(F169="2,5 kg",G169*2.5,"")))</f>
        <v/>
      </c>
      <c r="I169" s="48" t="n"/>
    </row>
    <row r="170" ht="15" customHeight="1">
      <c r="A170" s="48" t="n"/>
      <c r="B170" s="43" t="n"/>
      <c r="C170" s="32" t="n"/>
      <c r="D170" s="75" t="n"/>
      <c r="E170" s="48" t="n"/>
      <c r="F170" s="53" t="n"/>
      <c r="G170" s="48" t="n"/>
      <c r="H170" s="53">
        <f>IF(OR(F170="",G170=""),"",IF(F170="500 g",G170*0.5,IF(F170="2,5 kg",G170*2.5,"")))</f>
        <v/>
      </c>
      <c r="I170" s="48" t="n"/>
    </row>
    <row r="171" ht="15" customHeight="1">
      <c r="A171" s="48" t="n"/>
      <c r="B171" s="43" t="n"/>
      <c r="C171" s="32" t="n"/>
      <c r="D171" s="75" t="n"/>
      <c r="E171" s="48" t="n"/>
      <c r="F171" s="53" t="n"/>
      <c r="G171" s="48" t="n"/>
      <c r="H171" s="53">
        <f>IF(OR(F171="",G171=""),"",IF(F171="500 g",G171*0.5,IF(F171="2,5 kg",G171*2.5,"")))</f>
        <v/>
      </c>
      <c r="I171" s="48" t="n"/>
    </row>
    <row r="172" ht="15" customHeight="1">
      <c r="A172" s="48" t="n"/>
      <c r="B172" s="43" t="n"/>
      <c r="C172" s="32" t="n"/>
      <c r="D172" s="75" t="n"/>
      <c r="E172" s="48" t="n"/>
      <c r="F172" s="53" t="n"/>
      <c r="G172" s="48" t="n"/>
      <c r="H172" s="53">
        <f>IF(OR(F172="",G172=""),"",IF(F172="500 g",G172*0.5,IF(F172="2,5 kg",G172*2.5,"")))</f>
        <v/>
      </c>
      <c r="I172" s="48" t="n"/>
    </row>
    <row r="173" ht="15" customHeight="1">
      <c r="A173" s="48" t="n"/>
      <c r="B173" s="43" t="n"/>
      <c r="C173" s="32" t="n"/>
      <c r="D173" s="75" t="n"/>
      <c r="E173" s="48" t="n"/>
      <c r="F173" s="53" t="n"/>
      <c r="G173" s="48" t="n"/>
      <c r="H173" s="53">
        <f>IF(OR(F173="",G173=""),"",IF(F173="500 g",G173*0.5,IF(F173="2,5 kg",G173*2.5,"")))</f>
        <v/>
      </c>
      <c r="I173" s="48" t="n"/>
    </row>
    <row r="174" ht="15" customHeight="1">
      <c r="A174" s="48" t="n"/>
      <c r="B174" s="43" t="n"/>
      <c r="C174" s="32" t="n"/>
      <c r="D174" s="75" t="n"/>
      <c r="E174" s="48" t="n"/>
      <c r="F174" s="53" t="n"/>
      <c r="G174" s="48" t="n"/>
      <c r="H174" s="53">
        <f>IF(OR(F174="",G174=""),"",IF(F174="500 g",G174*0.5,IF(F174="2,5 kg",G174*2.5,"")))</f>
        <v/>
      </c>
      <c r="I174" s="48" t="n"/>
    </row>
    <row r="175" ht="15" customHeight="1">
      <c r="A175" s="48" t="n"/>
      <c r="B175" s="43" t="n"/>
      <c r="C175" s="32" t="n"/>
      <c r="D175" s="75" t="n"/>
      <c r="E175" s="48" t="n"/>
      <c r="F175" s="53" t="n"/>
      <c r="G175" s="48" t="n"/>
      <c r="H175" s="53">
        <f>IF(OR(F175="",G175=""),"",IF(F175="500 g",G175*0.5,IF(F175="2,5 kg",G175*2.5,"")))</f>
        <v/>
      </c>
      <c r="I175" s="48" t="n"/>
    </row>
    <row r="176" ht="15" customHeight="1">
      <c r="A176" s="48" t="n"/>
      <c r="B176" s="43" t="n"/>
      <c r="C176" s="32" t="n"/>
      <c r="D176" s="75" t="n"/>
      <c r="E176" s="48" t="n"/>
      <c r="F176" s="53" t="n"/>
      <c r="G176" s="48" t="n"/>
      <c r="H176" s="53">
        <f>IF(OR(F176="",G176=""),"",IF(F176="500 g",G176*0.5,IF(F176="2,5 kg",G176*2.5,"")))</f>
        <v/>
      </c>
      <c r="I176" s="48" t="n"/>
    </row>
    <row r="177" ht="15" customHeight="1">
      <c r="A177" s="48" t="n"/>
      <c r="B177" s="43" t="n"/>
      <c r="C177" s="32" t="n"/>
      <c r="D177" s="75" t="n"/>
      <c r="E177" s="48" t="n"/>
      <c r="F177" s="53" t="n"/>
      <c r="G177" s="48" t="n"/>
      <c r="H177" s="53">
        <f>IF(OR(F177="",G177=""),"",IF(F177="500 g",G177*0.5,IF(F177="2,5 kg",G177*2.5,"")))</f>
        <v/>
      </c>
      <c r="I177" s="48" t="n"/>
    </row>
    <row r="178" ht="15" customHeight="1">
      <c r="A178" s="48" t="n"/>
      <c r="B178" s="43" t="n"/>
      <c r="C178" s="32" t="n"/>
      <c r="D178" s="75" t="n"/>
      <c r="E178" s="48" t="n"/>
      <c r="F178" s="53" t="n"/>
      <c r="G178" s="48" t="n"/>
      <c r="H178" s="53">
        <f>IF(OR(F178="",G178=""),"",IF(F178="500 g",G178*0.5,IF(F178="2,5 kg",G178*2.5,"")))</f>
        <v/>
      </c>
      <c r="I178" s="48" t="n"/>
    </row>
    <row r="179" ht="15" customHeight="1">
      <c r="A179" s="48" t="n"/>
      <c r="B179" s="43" t="n"/>
      <c r="C179" s="32" t="n"/>
      <c r="D179" s="75" t="n"/>
      <c r="E179" s="48" t="n"/>
      <c r="F179" s="53" t="n"/>
      <c r="G179" s="48" t="n"/>
      <c r="H179" s="53">
        <f>IF(OR(F179="",G179=""),"",IF(F179="500 g",G179*0.5,IF(F179="2,5 kg",G179*2.5,"")))</f>
        <v/>
      </c>
      <c r="I179" s="48" t="n"/>
    </row>
    <row r="180" ht="15" customHeight="1">
      <c r="A180" s="48" t="n"/>
      <c r="B180" s="43" t="n"/>
      <c r="C180" s="32" t="n"/>
      <c r="D180" s="75" t="n"/>
      <c r="E180" s="48" t="n"/>
      <c r="F180" s="53" t="n"/>
      <c r="G180" s="48" t="n"/>
      <c r="H180" s="53">
        <f>IF(OR(F180="",G180=""),"",IF(F180="500 g",G180*0.5,IF(F180="2,5 kg",G180*2.5,"")))</f>
        <v/>
      </c>
      <c r="I180" s="48" t="n"/>
    </row>
    <row r="181" ht="15" customHeight="1">
      <c r="A181" s="48" t="n"/>
      <c r="B181" s="43" t="n"/>
      <c r="C181" s="32" t="n"/>
      <c r="D181" s="75" t="n"/>
      <c r="E181" s="48" t="n"/>
      <c r="F181" s="53" t="n"/>
      <c r="G181" s="48" t="n"/>
      <c r="H181" s="53">
        <f>IF(OR(F181="",G181=""),"",IF(F181="500 g",G181*0.5,IF(F181="2,5 kg",G181*2.5,"")))</f>
        <v/>
      </c>
      <c r="I181" s="48" t="n"/>
    </row>
    <row r="182" ht="15" customHeight="1">
      <c r="A182" s="48" t="n"/>
      <c r="B182" s="43" t="n"/>
      <c r="C182" s="32" t="n"/>
      <c r="D182" s="75" t="n"/>
      <c r="E182" s="48" t="n"/>
      <c r="F182" s="53" t="n"/>
      <c r="G182" s="48" t="n"/>
      <c r="H182" s="53">
        <f>IF(OR(F182="",G182=""),"",IF(F182="500 g",G182*0.5,IF(F182="2,5 kg",G182*2.5,"")))</f>
        <v/>
      </c>
      <c r="I182" s="48" t="n"/>
    </row>
    <row r="183" ht="15" customHeight="1">
      <c r="A183" s="48" t="n"/>
      <c r="B183" s="43" t="n"/>
      <c r="C183" s="32" t="n"/>
      <c r="D183" s="75" t="n"/>
      <c r="E183" s="48" t="n"/>
      <c r="F183" s="53" t="n"/>
      <c r="G183" s="48" t="n"/>
      <c r="H183" s="53">
        <f>IF(OR(F183="",G183=""),"",IF(F183="500 g",G183*0.5,IF(F183="2,5 kg",G183*2.5,"")))</f>
        <v/>
      </c>
      <c r="I183" s="48" t="n"/>
    </row>
    <row r="184" ht="15" customHeight="1">
      <c r="A184" s="48" t="n"/>
      <c r="B184" s="43" t="n"/>
      <c r="C184" s="32" t="n"/>
      <c r="D184" s="75" t="n"/>
      <c r="E184" s="48" t="n"/>
      <c r="F184" s="53" t="n"/>
      <c r="G184" s="48" t="n"/>
      <c r="H184" s="53">
        <f>IF(OR(F184="",G184=""),"",IF(F184="500 g",G184*0.5,IF(F184="2,5 kg",G184*2.5,"")))</f>
        <v/>
      </c>
      <c r="I184" s="48" t="n"/>
    </row>
    <row r="185" ht="15" customHeight="1">
      <c r="A185" s="48" t="n"/>
      <c r="B185" s="43" t="n"/>
      <c r="C185" s="32" t="n"/>
      <c r="D185" s="75" t="n"/>
      <c r="E185" s="48" t="n"/>
      <c r="F185" s="53" t="n"/>
      <c r="G185" s="48" t="n"/>
      <c r="H185" s="53">
        <f>IF(OR(F185="",G185=""),"",IF(F185="500 g",G185*0.5,IF(F185="2,5 kg",G185*2.5,"")))</f>
        <v/>
      </c>
      <c r="I185" s="48" t="n"/>
    </row>
    <row r="186" ht="15" customHeight="1">
      <c r="A186" s="48" t="n"/>
      <c r="B186" s="43" t="n"/>
      <c r="C186" s="32" t="n"/>
      <c r="D186" s="75" t="n"/>
      <c r="E186" s="48" t="n"/>
      <c r="F186" s="53" t="n"/>
      <c r="G186" s="48" t="n"/>
      <c r="H186" s="53">
        <f>IF(OR(F186="",G186=""),"",IF(F186="500 g",G186*0.5,IF(F186="2,5 kg",G186*2.5,"")))</f>
        <v/>
      </c>
      <c r="I186" s="48" t="n"/>
    </row>
    <row r="187" ht="15" customHeight="1">
      <c r="A187" s="48" t="n"/>
      <c r="B187" s="43" t="n"/>
      <c r="C187" s="32" t="n"/>
      <c r="D187" s="75" t="n"/>
      <c r="E187" s="48" t="n"/>
      <c r="F187" s="53" t="n"/>
      <c r="G187" s="48" t="n"/>
      <c r="H187" s="53">
        <f>IF(OR(F187="",G187=""),"",IF(F187="500 g",G187*0.5,IF(F187="2,5 kg",G187*2.5,"")))</f>
        <v/>
      </c>
      <c r="I187" s="48" t="n"/>
    </row>
    <row r="188" ht="15" customHeight="1">
      <c r="A188" s="48" t="n"/>
      <c r="B188" s="43" t="n"/>
      <c r="C188" s="32" t="n"/>
      <c r="D188" s="75" t="n"/>
      <c r="E188" s="48" t="n"/>
      <c r="F188" s="53" t="n"/>
      <c r="G188" s="48" t="n"/>
      <c r="H188" s="53">
        <f>IF(OR(F188="",G188=""),"",IF(F188="500 g",G188*0.5,IF(F188="2,5 kg",G188*2.5,"")))</f>
        <v/>
      </c>
      <c r="I188" s="48" t="n"/>
    </row>
    <row r="189" ht="15" customHeight="1">
      <c r="A189" s="48" t="n"/>
      <c r="B189" s="43" t="n"/>
      <c r="C189" s="32" t="n"/>
      <c r="D189" s="75" t="n"/>
      <c r="E189" s="48" t="n"/>
      <c r="F189" s="53" t="n"/>
      <c r="G189" s="48" t="n"/>
      <c r="H189" s="53">
        <f>IF(OR(F189="",G189=""),"",IF(F189="500 g",G189*0.5,IF(F189="2,5 kg",G189*2.5,"")))</f>
        <v/>
      </c>
      <c r="I189" s="48" t="n"/>
    </row>
    <row r="190" ht="15" customHeight="1">
      <c r="A190" s="48" t="n"/>
      <c r="B190" s="43" t="n"/>
      <c r="C190" s="32" t="n"/>
      <c r="D190" s="75" t="n"/>
      <c r="E190" s="48" t="n"/>
      <c r="F190" s="53" t="n"/>
      <c r="G190" s="48" t="n"/>
      <c r="H190" s="53">
        <f>IF(OR(F190="",G190=""),"",IF(F190="500 g",G190*0.5,IF(F190="2,5 kg",G190*2.5,"")))</f>
        <v/>
      </c>
      <c r="I190" s="48" t="n"/>
    </row>
    <row r="191" ht="15" customHeight="1">
      <c r="A191" s="48" t="n"/>
      <c r="B191" s="43" t="n"/>
      <c r="C191" s="32" t="n"/>
      <c r="D191" s="75" t="n"/>
      <c r="E191" s="48" t="n"/>
      <c r="F191" s="53" t="n"/>
      <c r="G191" s="48" t="n"/>
      <c r="H191" s="53">
        <f>IF(OR(F191="",G191=""),"",IF(F191="500 g",G191*0.5,IF(F191="2,5 kg",G191*2.5,"")))</f>
        <v/>
      </c>
      <c r="I191" s="48" t="n"/>
    </row>
    <row r="192" ht="15" customHeight="1">
      <c r="A192" s="48" t="n"/>
      <c r="B192" s="43" t="n"/>
      <c r="C192" s="32" t="n"/>
      <c r="D192" s="75" t="n"/>
      <c r="E192" s="48" t="n"/>
      <c r="F192" s="53" t="n"/>
      <c r="G192" s="48" t="n"/>
      <c r="H192" s="53">
        <f>IF(OR(F192="",G192=""),"",IF(F192="500 g",G192*0.5,IF(F192="2,5 kg",G192*2.5,"")))</f>
        <v/>
      </c>
      <c r="I192" s="48" t="n"/>
    </row>
    <row r="193" ht="15" customHeight="1">
      <c r="A193" s="48" t="n"/>
      <c r="B193" s="43" t="n"/>
      <c r="C193" s="32" t="n"/>
      <c r="D193" s="75" t="n"/>
      <c r="E193" s="48" t="n"/>
      <c r="F193" s="53" t="n"/>
      <c r="G193" s="48" t="n"/>
      <c r="H193" s="53">
        <f>IF(OR(F193="",G193=""),"",IF(F193="500 g",G193*0.5,IF(F193="2,5 kg",G193*2.5,"")))</f>
        <v/>
      </c>
      <c r="I193" s="48" t="n"/>
    </row>
    <row r="194" ht="15" customHeight="1">
      <c r="A194" s="48" t="n"/>
      <c r="B194" s="43" t="n"/>
      <c r="C194" s="32" t="n"/>
      <c r="D194" s="75" t="n"/>
      <c r="E194" s="48" t="n"/>
      <c r="F194" s="53" t="n"/>
      <c r="G194" s="48" t="n"/>
      <c r="H194" s="53">
        <f>IF(OR(F194="",G194=""),"",IF(F194="500 g",G194*0.5,IF(F194="2,5 kg",G194*2.5,"")))</f>
        <v/>
      </c>
      <c r="I194" s="48" t="n"/>
    </row>
    <row r="195" ht="15" customHeight="1">
      <c r="A195" s="48" t="n"/>
      <c r="B195" s="43" t="n"/>
      <c r="C195" s="32" t="n"/>
      <c r="D195" s="75" t="n"/>
      <c r="E195" s="48" t="n"/>
      <c r="F195" s="53" t="n"/>
      <c r="G195" s="48" t="n"/>
      <c r="H195" s="53">
        <f>IF(OR(F195="",G195=""),"",IF(F195="500 g",G195*0.5,IF(F195="2,5 kg",G195*2.5,"")))</f>
        <v/>
      </c>
      <c r="I195" s="48" t="n"/>
    </row>
    <row r="196" ht="15" customHeight="1">
      <c r="A196" s="48" t="n"/>
      <c r="B196" s="43" t="n"/>
      <c r="C196" s="32" t="n"/>
      <c r="D196" s="75" t="n"/>
      <c r="E196" s="48" t="n"/>
      <c r="F196" s="53" t="n"/>
      <c r="G196" s="48" t="n"/>
      <c r="H196" s="53">
        <f>IF(OR(F196="",G196=""),"",IF(F196="500 g",G196*0.5,IF(F196="2,5 kg",G196*2.5,"")))</f>
        <v/>
      </c>
      <c r="I196" s="48" t="n"/>
    </row>
    <row r="197" ht="15" customHeight="1">
      <c r="A197" s="48" t="n"/>
      <c r="B197" s="43" t="n"/>
      <c r="C197" s="32" t="n"/>
      <c r="D197" s="75" t="n"/>
      <c r="E197" s="48" t="n"/>
      <c r="F197" s="53" t="n"/>
      <c r="G197" s="48" t="n"/>
      <c r="H197" s="53">
        <f>IF(OR(F197="",G197=""),"",IF(F197="500 g",G197*0.5,IF(F197="2,5 kg",G197*2.5,"")))</f>
        <v/>
      </c>
      <c r="I197" s="48" t="n"/>
    </row>
    <row r="198" ht="15" customHeight="1">
      <c r="A198" s="48" t="n"/>
      <c r="B198" s="43" t="n"/>
      <c r="C198" s="32" t="n"/>
      <c r="D198" s="75" t="n"/>
      <c r="E198" s="48" t="n"/>
      <c r="F198" s="53" t="n"/>
      <c r="G198" s="48" t="n"/>
      <c r="H198" s="53">
        <f>IF(OR(F198="",G198=""),"",IF(F198="500 g",G198*0.5,IF(F198="2,5 kg",G198*2.5,"")))</f>
        <v/>
      </c>
      <c r="I198" s="48" t="n"/>
    </row>
    <row r="199" ht="15" customHeight="1">
      <c r="A199" s="48" t="n"/>
      <c r="B199" s="43" t="n"/>
      <c r="C199" s="32" t="n"/>
      <c r="D199" s="75" t="n"/>
      <c r="E199" s="48" t="n"/>
      <c r="F199" s="53" t="n"/>
      <c r="G199" s="48" t="n"/>
      <c r="H199" s="53">
        <f>IF(OR(F199="",G199=""),"",IF(F199="500 g",G199*0.5,IF(F199="2,5 kg",G199*2.5,"")))</f>
        <v/>
      </c>
      <c r="I199" s="48" t="n"/>
    </row>
    <row r="200" ht="15" customHeight="1">
      <c r="A200" s="48" t="n"/>
      <c r="B200" s="43" t="n"/>
      <c r="C200" s="32" t="n"/>
      <c r="D200" s="75" t="n"/>
      <c r="E200" s="48" t="n"/>
      <c r="F200" s="53" t="n"/>
      <c r="G200" s="48" t="n"/>
      <c r="H200" s="53">
        <f>IF(OR(F200="",G200=""),"",IF(F200="500 g",G200*0.5,IF(F200="2,5 kg",G200*2.5,"")))</f>
        <v/>
      </c>
      <c r="I200" s="48" t="n"/>
    </row>
    <row r="201" ht="15" customHeight="1">
      <c r="A201" s="48" t="n"/>
      <c r="B201" s="43" t="n"/>
      <c r="C201" s="32" t="n"/>
      <c r="D201" s="75" t="n"/>
      <c r="E201" s="48" t="n"/>
      <c r="F201" s="53" t="n"/>
      <c r="G201" s="48" t="n"/>
      <c r="H201" s="53">
        <f>IF(OR(F201="",G201=""),"",IF(F201="500 g",G201*0.5,IF(F201="2,5 kg",G201*2.5,"")))</f>
        <v/>
      </c>
      <c r="I201" s="48" t="n"/>
    </row>
    <row r="202" ht="15" customHeight="1">
      <c r="A202" s="48" t="n"/>
      <c r="B202" s="43" t="n"/>
      <c r="C202" s="32" t="n"/>
      <c r="D202" s="75" t="n"/>
      <c r="E202" s="48" t="n"/>
      <c r="F202" s="53" t="n"/>
      <c r="G202" s="48" t="n"/>
      <c r="H202" s="53">
        <f>IF(OR(F202="",G202=""),"",IF(F202="500 g",G202*0.5,IF(F202="2,5 kg",G202*2.5,"")))</f>
        <v/>
      </c>
      <c r="I202" s="48" t="n"/>
    </row>
    <row r="203" ht="15" customHeight="1">
      <c r="A203" s="48" t="n"/>
      <c r="B203" s="43" t="n"/>
      <c r="C203" s="32" t="n"/>
      <c r="D203" s="75" t="n"/>
      <c r="E203" s="48" t="n"/>
      <c r="F203" s="53" t="n"/>
      <c r="G203" s="48" t="n"/>
      <c r="H203" s="53">
        <f>IF(OR(F203="",G203=""),"",IF(F203="500 g",G203*0.5,IF(F203="2,5 kg",G203*2.5,"")))</f>
        <v/>
      </c>
      <c r="I203" s="48" t="n"/>
    </row>
    <row r="204" ht="15" customHeight="1">
      <c r="A204" s="48" t="n"/>
      <c r="B204" s="43" t="n"/>
      <c r="C204" s="32" t="n"/>
      <c r="D204" s="75" t="n"/>
      <c r="E204" s="48" t="n"/>
      <c r="F204" s="53" t="n"/>
      <c r="G204" s="48" t="n"/>
      <c r="H204" s="53">
        <f>IF(OR(F204="",G204=""),"",IF(F204="500 g",G204*0.5,IF(F204="2,5 kg",G204*2.5,"")))</f>
        <v/>
      </c>
      <c r="I204" s="48" t="n"/>
    </row>
    <row r="205" ht="15" customHeight="1">
      <c r="A205" s="48" t="n"/>
      <c r="B205" s="43" t="n"/>
      <c r="C205" s="32" t="n"/>
      <c r="D205" s="75" t="n"/>
      <c r="E205" s="48" t="n"/>
      <c r="F205" s="53" t="n"/>
      <c r="G205" s="48" t="n"/>
      <c r="H205" s="53">
        <f>IF(OR(F205="",G205=""),"",IF(F205="500 g",G205*0.5,IF(F205="2,5 kg",G205*2.5,"")))</f>
        <v/>
      </c>
      <c r="I205" s="48" t="n"/>
    </row>
    <row r="206" ht="15" customHeight="1">
      <c r="A206" s="48" t="n"/>
      <c r="B206" s="43" t="n"/>
      <c r="C206" s="32" t="n"/>
      <c r="D206" s="75" t="n"/>
      <c r="E206" s="48" t="n"/>
      <c r="F206" s="53" t="n"/>
      <c r="G206" s="48" t="n"/>
      <c r="H206" s="53">
        <f>IF(OR(F206="",G206=""),"",IF(F206="500 g",G206*0.5,IF(F206="2,5 kg",G206*2.5,"")))</f>
        <v/>
      </c>
      <c r="I206" s="48" t="n"/>
    </row>
    <row r="207" ht="15" customHeight="1">
      <c r="A207" s="48" t="n"/>
      <c r="B207" s="43" t="n"/>
      <c r="C207" s="32" t="n"/>
      <c r="D207" s="75" t="n"/>
      <c r="E207" s="48" t="n"/>
      <c r="F207" s="53" t="n"/>
      <c r="G207" s="48" t="n"/>
      <c r="H207" s="53">
        <f>IF(OR(F207="",G207=""),"",IF(F207="500 g",G207*0.5,IF(F207="2,5 kg",G207*2.5,"")))</f>
        <v/>
      </c>
      <c r="I207" s="48" t="n"/>
    </row>
    <row r="208" ht="15" customHeight="1">
      <c r="A208" s="48" t="n"/>
      <c r="B208" s="43" t="n"/>
      <c r="C208" s="32" t="n"/>
      <c r="D208" s="75" t="n"/>
      <c r="E208" s="48" t="n"/>
      <c r="F208" s="53" t="n"/>
      <c r="G208" s="48" t="n"/>
      <c r="H208" s="53">
        <f>IF(OR(F208="",G208=""),"",IF(F208="500 g",G208*0.5,IF(F208="2,5 kg",G208*2.5,"")))</f>
        <v/>
      </c>
      <c r="I208" s="48" t="n"/>
    </row>
    <row r="209" ht="15" customHeight="1">
      <c r="A209" s="48" t="n"/>
      <c r="B209" s="43" t="n"/>
      <c r="C209" s="32" t="n"/>
      <c r="D209" s="75" t="n"/>
      <c r="E209" s="48" t="n"/>
      <c r="F209" s="53" t="n"/>
      <c r="G209" s="48" t="n"/>
      <c r="H209" s="53">
        <f>IF(OR(F209="",G209=""),"",IF(F209="500 g",G209*0.5,IF(F209="2,5 kg",G209*2.5,"")))</f>
        <v/>
      </c>
      <c r="I209" s="48" t="n"/>
    </row>
    <row r="210" ht="15" customHeight="1">
      <c r="A210" s="48" t="n"/>
      <c r="B210" s="43" t="n"/>
      <c r="C210" s="32" t="n"/>
      <c r="D210" s="75" t="n"/>
      <c r="E210" s="48" t="n"/>
      <c r="F210" s="53" t="n"/>
      <c r="G210" s="48" t="n"/>
      <c r="H210" s="53">
        <f>IF(OR(F210="",G210=""),"",IF(F210="500 g",G210*0.5,IF(F210="2,5 kg",G210*2.5,"")))</f>
        <v/>
      </c>
      <c r="I210" s="48" t="n"/>
    </row>
    <row r="211" ht="15" customHeight="1">
      <c r="A211" s="48" t="n"/>
      <c r="B211" s="43" t="n"/>
      <c r="C211" s="32" t="n"/>
      <c r="D211" s="75" t="n"/>
      <c r="E211" s="48" t="n"/>
      <c r="F211" s="53" t="n"/>
      <c r="G211" s="48" t="n"/>
      <c r="H211" s="53">
        <f>IF(OR(F211="",G211=""),"",IF(F211="500 g",G211*0.5,IF(F211="2,5 kg",G211*2.5,"")))</f>
        <v/>
      </c>
      <c r="I211" s="48" t="n"/>
    </row>
    <row r="212" ht="15" customHeight="1">
      <c r="A212" s="48" t="n"/>
      <c r="B212" s="43" t="n"/>
      <c r="C212" s="32" t="n"/>
      <c r="D212" s="75" t="n"/>
      <c r="E212" s="48" t="n"/>
      <c r="F212" s="53" t="n"/>
      <c r="G212" s="48" t="n"/>
      <c r="H212" s="53">
        <f>IF(OR(F212="",G212=""),"",IF(F212="500 g",G212*0.5,IF(F212="2,5 kg",G212*2.5,"")))</f>
        <v/>
      </c>
      <c r="I212" s="48" t="n"/>
    </row>
    <row r="213" ht="15" customHeight="1">
      <c r="A213" s="48" t="n"/>
      <c r="B213" s="43" t="n"/>
      <c r="C213" s="32" t="n"/>
      <c r="D213" s="75" t="n"/>
      <c r="E213" s="48" t="n"/>
      <c r="F213" s="53" t="n"/>
      <c r="G213" s="48" t="n"/>
      <c r="H213" s="53">
        <f>IF(OR(F213="",G213=""),"",IF(F213="500 g",G213*0.5,IF(F213="2,5 kg",G213*2.5,"")))</f>
        <v/>
      </c>
      <c r="I213" s="48" t="n"/>
    </row>
    <row r="214" ht="15" customHeight="1">
      <c r="A214" s="48" t="n"/>
      <c r="B214" s="43" t="n"/>
      <c r="C214" s="32" t="n"/>
      <c r="D214" s="75" t="n"/>
      <c r="E214" s="48" t="n"/>
      <c r="F214" s="53" t="n"/>
      <c r="G214" s="48" t="n"/>
      <c r="H214" s="53">
        <f>IF(OR(F214="",G214=""),"",IF(F214="500 g",G214*0.5,IF(F214="2,5 kg",G214*2.5,"")))</f>
        <v/>
      </c>
      <c r="I214" s="48" t="n"/>
    </row>
    <row r="215" ht="15" customHeight="1">
      <c r="A215" s="48" t="n"/>
      <c r="B215" s="43" t="n"/>
      <c r="C215" s="32" t="n"/>
      <c r="D215" s="75" t="n"/>
      <c r="E215" s="48" t="n"/>
      <c r="F215" s="53" t="n"/>
      <c r="G215" s="48" t="n"/>
      <c r="H215" s="53">
        <f>IF(OR(F215="",G215=""),"",IF(F215="500 g",G215*0.5,IF(F215="2,5 kg",G215*2.5,"")))</f>
        <v/>
      </c>
      <c r="I215" s="48" t="n"/>
    </row>
    <row r="216" ht="15" customHeight="1">
      <c r="A216" s="48" t="n"/>
      <c r="B216" s="43" t="n"/>
      <c r="C216" s="32" t="n"/>
      <c r="D216" s="75" t="n"/>
      <c r="E216" s="48" t="n"/>
      <c r="F216" s="53" t="n"/>
      <c r="G216" s="48" t="n"/>
      <c r="H216" s="53">
        <f>IF(OR(F216="",G216=""),"",IF(F216="500 g",G216*0.5,IF(F216="2,5 kg",G216*2.5,"")))</f>
        <v/>
      </c>
      <c r="I216" s="48" t="n"/>
    </row>
    <row r="217" ht="15" customHeight="1">
      <c r="A217" s="48" t="n"/>
      <c r="B217" s="43" t="n"/>
      <c r="C217" s="32" t="n"/>
      <c r="D217" s="75" t="n"/>
      <c r="E217" s="48" t="n"/>
      <c r="F217" s="53" t="n"/>
      <c r="G217" s="48" t="n"/>
      <c r="H217" s="53">
        <f>IF(OR(F217="",G217=""),"",IF(F217="500 g",G217*0.5,IF(F217="2,5 kg",G217*2.5,"")))</f>
        <v/>
      </c>
      <c r="I217" s="48" t="n"/>
    </row>
    <row r="218" ht="15" customHeight="1">
      <c r="A218" s="48" t="n"/>
      <c r="B218" s="43" t="n"/>
      <c r="C218" s="32" t="n"/>
      <c r="D218" s="75" t="n"/>
      <c r="E218" s="48" t="n"/>
      <c r="F218" s="53" t="n"/>
      <c r="G218" s="48" t="n"/>
      <c r="H218" s="53">
        <f>IF(OR(F218="",G218=""),"",IF(F218="500 g",G218*0.5,IF(F218="2,5 kg",G218*2.5,"")))</f>
        <v/>
      </c>
      <c r="I218" s="48" t="n"/>
    </row>
    <row r="219" ht="15" customHeight="1">
      <c r="A219" s="48" t="n"/>
      <c r="B219" s="43" t="n"/>
      <c r="C219" s="32" t="n"/>
      <c r="D219" s="75" t="n"/>
      <c r="E219" s="48" t="n"/>
      <c r="F219" s="53" t="n"/>
      <c r="G219" s="48" t="n"/>
      <c r="H219" s="53">
        <f>IF(OR(F219="",G219=""),"",IF(F219="500 g",G219*0.5,IF(F219="2,5 kg",G219*2.5,"")))</f>
        <v/>
      </c>
      <c r="I219" s="48" t="n"/>
    </row>
    <row r="220" ht="15" customHeight="1">
      <c r="A220" s="48" t="n"/>
      <c r="B220" s="43" t="n"/>
      <c r="C220" s="32" t="n"/>
      <c r="D220" s="75" t="n"/>
      <c r="E220" s="48" t="n"/>
      <c r="F220" s="53" t="n"/>
      <c r="G220" s="48" t="n"/>
      <c r="H220" s="53">
        <f>IF(OR(F220="",G220=""),"",IF(F220="500 g",G220*0.5,IF(F220="2,5 kg",G220*2.5,"")))</f>
        <v/>
      </c>
      <c r="I220" s="48" t="n"/>
    </row>
    <row r="221" ht="15" customHeight="1">
      <c r="A221" s="48" t="n"/>
      <c r="B221" s="43" t="n"/>
      <c r="C221" s="32" t="n"/>
      <c r="D221" s="75" t="n"/>
      <c r="E221" s="48" t="n"/>
      <c r="F221" s="53" t="n"/>
      <c r="G221" s="48" t="n"/>
      <c r="H221" s="53">
        <f>IF(OR(F221="",G221=""),"",IF(F221="500 g",G221*0.5,IF(F221="2,5 kg",G221*2.5,"")))</f>
        <v/>
      </c>
      <c r="I221" s="48" t="n"/>
    </row>
    <row r="222" ht="15" customHeight="1">
      <c r="A222" s="48" t="n"/>
      <c r="B222" s="43" t="n"/>
      <c r="C222" s="32" t="n"/>
      <c r="D222" s="75" t="n"/>
      <c r="E222" s="48" t="n"/>
      <c r="F222" s="53" t="n"/>
      <c r="G222" s="48" t="n"/>
      <c r="H222" s="53">
        <f>IF(OR(F222="",G222=""),"",IF(F222="500 g",G222*0.5,IF(F222="2,5 kg",G222*2.5,"")))</f>
        <v/>
      </c>
      <c r="I222" s="48" t="n"/>
    </row>
    <row r="223" ht="15" customHeight="1">
      <c r="A223" s="48" t="n"/>
      <c r="B223" s="43" t="n"/>
      <c r="C223" s="32" t="n"/>
      <c r="D223" s="75" t="n"/>
      <c r="E223" s="48" t="n"/>
      <c r="F223" s="53" t="n"/>
      <c r="G223" s="48" t="n"/>
      <c r="H223" s="53">
        <f>IF(OR(F223="",G223=""),"",IF(F223="500 g",G223*0.5,IF(F223="2,5 kg",G223*2.5,"")))</f>
        <v/>
      </c>
      <c r="I223" s="48" t="n"/>
    </row>
    <row r="224" ht="15" customHeight="1">
      <c r="A224" s="48" t="n"/>
      <c r="B224" s="43" t="n"/>
      <c r="C224" s="32" t="n"/>
      <c r="D224" s="75" t="n"/>
      <c r="E224" s="48" t="n"/>
      <c r="F224" s="53" t="n"/>
      <c r="G224" s="48" t="n"/>
      <c r="H224" s="53">
        <f>IF(OR(F224="",G224=""),"",IF(F224="500 g",G224*0.5,IF(F224="2,5 kg",G224*2.5,"")))</f>
        <v/>
      </c>
      <c r="I224" s="48" t="n"/>
    </row>
    <row r="225" ht="15" customHeight="1">
      <c r="A225" s="48" t="n"/>
      <c r="B225" s="43" t="n"/>
      <c r="C225" s="32" t="n"/>
      <c r="D225" s="75" t="n"/>
      <c r="E225" s="48" t="n"/>
      <c r="F225" s="53" t="n"/>
      <c r="G225" s="48" t="n"/>
      <c r="H225" s="53">
        <f>IF(OR(F225="",G225=""),"",IF(F225="500 g",G225*0.5,IF(F225="2,5 kg",G225*2.5,"")))</f>
        <v/>
      </c>
      <c r="I225" s="48" t="n"/>
    </row>
    <row r="226" ht="15" customHeight="1">
      <c r="A226" s="48" t="n"/>
      <c r="B226" s="43" t="n"/>
      <c r="C226" s="32" t="n"/>
      <c r="D226" s="75" t="n"/>
      <c r="E226" s="48" t="n"/>
      <c r="F226" s="53" t="n"/>
      <c r="G226" s="48" t="n"/>
      <c r="H226" s="53">
        <f>IF(OR(F226="",G226=""),"",IF(F226="500 g",G226*0.5,IF(F226="2,5 kg",G226*2.5,"")))</f>
        <v/>
      </c>
      <c r="I226" s="48" t="n"/>
    </row>
    <row r="227" ht="15" customHeight="1">
      <c r="A227" s="48" t="n"/>
      <c r="B227" s="43" t="n"/>
      <c r="C227" s="32" t="n"/>
      <c r="D227" s="75" t="n"/>
      <c r="E227" s="48" t="n"/>
      <c r="F227" s="53" t="n"/>
      <c r="G227" s="48" t="n"/>
      <c r="H227" s="53">
        <f>IF(OR(F227="",G227=""),"",IF(F227="500 g",G227*0.5,IF(F227="2,5 kg",G227*2.5,"")))</f>
        <v/>
      </c>
      <c r="I227" s="48" t="n"/>
    </row>
    <row r="228" ht="15" customHeight="1">
      <c r="A228" s="48" t="n"/>
      <c r="B228" s="43" t="n"/>
      <c r="C228" s="32" t="n"/>
      <c r="D228" s="75" t="n"/>
      <c r="E228" s="48" t="n"/>
      <c r="F228" s="53" t="n"/>
      <c r="G228" s="48" t="n"/>
      <c r="H228" s="53">
        <f>IF(OR(F228="",G228=""),"",IF(F228="500 g",G228*0.5,IF(F228="2,5 kg",G228*2.5,"")))</f>
        <v/>
      </c>
      <c r="I228" s="48" t="n"/>
    </row>
    <row r="229" ht="15" customHeight="1">
      <c r="A229" s="48" t="n"/>
      <c r="B229" s="43" t="n"/>
      <c r="C229" s="32" t="n"/>
      <c r="D229" s="75" t="n"/>
      <c r="E229" s="48" t="n"/>
      <c r="F229" s="53" t="n"/>
      <c r="G229" s="48" t="n"/>
      <c r="H229" s="53">
        <f>IF(OR(F229="",G229=""),"",IF(F229="500 g",G229*0.5,IF(F229="2,5 kg",G229*2.5,"")))</f>
        <v/>
      </c>
      <c r="I229" s="48" t="n"/>
    </row>
    <row r="230" ht="15" customHeight="1">
      <c r="A230" s="48" t="n"/>
      <c r="B230" s="43" t="n"/>
      <c r="C230" s="32" t="n"/>
      <c r="D230" s="75" t="n"/>
      <c r="E230" s="48" t="n"/>
      <c r="F230" s="53" t="n"/>
      <c r="G230" s="48" t="n"/>
      <c r="H230" s="53">
        <f>IF(OR(F230="",G230=""),"",IF(F230="500 g",G230*0.5,IF(F230="2,5 kg",G230*2.5,"")))</f>
        <v/>
      </c>
      <c r="I230" s="48" t="n"/>
    </row>
    <row r="231" ht="15" customHeight="1">
      <c r="A231" s="48" t="n"/>
      <c r="B231" s="43" t="n"/>
      <c r="C231" s="32" t="n"/>
      <c r="D231" s="75" t="n"/>
      <c r="E231" s="48" t="n"/>
      <c r="F231" s="53" t="n"/>
      <c r="G231" s="48" t="n"/>
      <c r="H231" s="53">
        <f>IF(OR(F231="",G231=""),"",IF(F231="500 g",G231*0.5,IF(F231="2,5 kg",G231*2.5,"")))</f>
        <v/>
      </c>
      <c r="I231" s="48" t="n"/>
    </row>
    <row r="232" ht="15" customHeight="1">
      <c r="A232" s="48" t="n"/>
      <c r="B232" s="43" t="n"/>
      <c r="C232" s="32" t="n"/>
      <c r="D232" s="75" t="n"/>
      <c r="E232" s="48" t="n"/>
      <c r="F232" s="53" t="n"/>
      <c r="G232" s="48" t="n"/>
      <c r="H232" s="53">
        <f>IF(OR(F232="",G232=""),"",IF(F232="500 g",G232*0.5,IF(F232="2,5 kg",G232*2.5,"")))</f>
        <v/>
      </c>
      <c r="I232" s="48" t="n"/>
    </row>
    <row r="233" ht="15" customHeight="1">
      <c r="A233" s="48" t="n"/>
      <c r="B233" s="43" t="n"/>
      <c r="C233" s="32" t="n"/>
      <c r="D233" s="75" t="n"/>
      <c r="E233" s="48" t="n"/>
      <c r="F233" s="53" t="n"/>
      <c r="G233" s="48" t="n"/>
      <c r="H233" s="53">
        <f>IF(OR(F233="",G233=""),"",IF(F233="500 g",G233*0.5,IF(F233="2,5 kg",G233*2.5,"")))</f>
        <v/>
      </c>
      <c r="I233" s="48" t="n"/>
    </row>
    <row r="234" ht="15" customHeight="1">
      <c r="A234" s="48" t="n"/>
      <c r="B234" s="43" t="n"/>
      <c r="C234" s="32" t="n"/>
      <c r="D234" s="75" t="n"/>
      <c r="E234" s="48" t="n"/>
      <c r="F234" s="53" t="n"/>
      <c r="G234" s="48" t="n"/>
      <c r="H234" s="53">
        <f>IF(OR(F234="",G234=""),"",IF(F234="500 g",G234*0.5,IF(F234="2,5 kg",G234*2.5,"")))</f>
        <v/>
      </c>
      <c r="I234" s="48" t="n"/>
    </row>
    <row r="235" ht="15" customHeight="1">
      <c r="A235" s="48" t="n"/>
      <c r="B235" s="43" t="n"/>
      <c r="C235" s="32" t="n"/>
      <c r="D235" s="75" t="n"/>
      <c r="E235" s="48" t="n"/>
      <c r="F235" s="53" t="n"/>
      <c r="G235" s="48" t="n"/>
      <c r="H235" s="53">
        <f>IF(OR(F235="",G235=""),"",IF(F235="500 g",G235*0.5,IF(F235="2,5 kg",G235*2.5,"")))</f>
        <v/>
      </c>
      <c r="I235" s="48" t="n"/>
    </row>
    <row r="236" ht="15" customHeight="1">
      <c r="A236" s="48" t="n"/>
      <c r="B236" s="43" t="n"/>
      <c r="C236" s="32" t="n"/>
      <c r="D236" s="75" t="n"/>
      <c r="E236" s="48" t="n"/>
      <c r="F236" s="53" t="n"/>
      <c r="G236" s="48" t="n"/>
      <c r="H236" s="53">
        <f>IF(OR(F236="",G236=""),"",IF(F236="500 g",G236*0.5,IF(F236="2,5 kg",G236*2.5,"")))</f>
        <v/>
      </c>
      <c r="I236" s="48" t="n"/>
    </row>
    <row r="237" ht="15" customHeight="1">
      <c r="A237" s="48" t="n"/>
      <c r="B237" s="43" t="n"/>
      <c r="C237" s="32" t="n"/>
      <c r="D237" s="75" t="n"/>
      <c r="E237" s="48" t="n"/>
      <c r="F237" s="53" t="n"/>
      <c r="G237" s="48" t="n"/>
      <c r="H237" s="53">
        <f>IF(OR(F237="",G237=""),"",IF(F237="500 g",G237*0.5,IF(F237="2,5 kg",G237*2.5,"")))</f>
        <v/>
      </c>
      <c r="I237" s="48" t="n"/>
    </row>
    <row r="238" ht="15" customHeight="1">
      <c r="A238" s="48" t="n"/>
      <c r="B238" s="43" t="n"/>
      <c r="C238" s="32" t="n"/>
      <c r="D238" s="75" t="n"/>
      <c r="E238" s="48" t="n"/>
      <c r="F238" s="53" t="n"/>
      <c r="G238" s="48" t="n"/>
      <c r="H238" s="53">
        <f>IF(OR(F238="",G238=""),"",IF(F238="500 g",G238*0.5,IF(F238="2,5 kg",G238*2.5,"")))</f>
        <v/>
      </c>
      <c r="I238" s="48" t="n"/>
    </row>
    <row r="239" ht="15" customHeight="1">
      <c r="A239" s="48" t="n"/>
      <c r="B239" s="43" t="n"/>
      <c r="C239" s="32" t="n"/>
      <c r="D239" s="75" t="n"/>
      <c r="E239" s="48" t="n"/>
      <c r="F239" s="53" t="n"/>
      <c r="G239" s="48" t="n"/>
      <c r="H239" s="53">
        <f>IF(OR(F239="",G239=""),"",IF(F239="500 g",G239*0.5,IF(F239="2,5 kg",G239*2.5,"")))</f>
        <v/>
      </c>
      <c r="I239" s="48" t="n"/>
    </row>
    <row r="240" ht="15" customHeight="1">
      <c r="A240" s="48" t="n"/>
      <c r="B240" s="43" t="n"/>
      <c r="C240" s="32" t="n"/>
      <c r="D240" s="75" t="n"/>
      <c r="E240" s="48" t="n"/>
      <c r="F240" s="53" t="n"/>
      <c r="G240" s="48" t="n"/>
      <c r="H240" s="53">
        <f>IF(OR(F240="",G240=""),"",IF(F240="500 g",G240*0.5,IF(F240="2,5 kg",G240*2.5,"")))</f>
        <v/>
      </c>
      <c r="I240" s="48" t="n"/>
    </row>
    <row r="241" ht="15" customHeight="1">
      <c r="A241" s="48" t="n"/>
      <c r="B241" s="43" t="n"/>
      <c r="C241" s="32" t="n"/>
      <c r="D241" s="75" t="n"/>
      <c r="E241" s="48" t="n"/>
      <c r="F241" s="53" t="n"/>
      <c r="G241" s="48" t="n"/>
      <c r="H241" s="53">
        <f>IF(OR(F241="",G241=""),"",IF(F241="500 g",G241*0.5,IF(F241="2,5 kg",G241*2.5,"")))</f>
        <v/>
      </c>
      <c r="I241" s="48" t="n"/>
    </row>
    <row r="242" ht="15" customHeight="1">
      <c r="A242" s="48" t="n"/>
      <c r="B242" s="43" t="n"/>
      <c r="C242" s="32" t="n"/>
      <c r="D242" s="75" t="n"/>
      <c r="E242" s="48" t="n"/>
      <c r="F242" s="53" t="n"/>
      <c r="G242" s="48" t="n"/>
      <c r="H242" s="53">
        <f>IF(OR(F242="",G242=""),"",IF(F242="500 g",G242*0.5,IF(F242="2,5 kg",G242*2.5,"")))</f>
        <v/>
      </c>
      <c r="I242" s="48" t="n"/>
    </row>
    <row r="243" ht="15" customHeight="1">
      <c r="A243" s="48" t="n"/>
      <c r="B243" s="43" t="n"/>
      <c r="C243" s="32" t="n"/>
      <c r="D243" s="75" t="n"/>
      <c r="E243" s="48" t="n"/>
      <c r="F243" s="53" t="n"/>
      <c r="G243" s="48" t="n"/>
      <c r="H243" s="53">
        <f>IF(OR(F243="",G243=""),"",IF(F243="500 g",G243*0.5,IF(F243="2,5 kg",G243*2.5,"")))</f>
        <v/>
      </c>
      <c r="I243" s="48" t="n"/>
    </row>
    <row r="244" ht="15" customHeight="1">
      <c r="A244" s="48" t="n"/>
      <c r="B244" s="43" t="n"/>
      <c r="C244" s="32" t="n"/>
      <c r="D244" s="75" t="n"/>
      <c r="E244" s="48" t="n"/>
      <c r="F244" s="53" t="n"/>
      <c r="G244" s="48" t="n"/>
      <c r="H244" s="53">
        <f>IF(OR(F244="",G244=""),"",IF(F244="500 g",G244*0.5,IF(F244="2,5 kg",G244*2.5,"")))</f>
        <v/>
      </c>
      <c r="I244" s="48" t="n"/>
    </row>
    <row r="245" ht="15" customHeight="1">
      <c r="A245" s="48" t="n"/>
      <c r="B245" s="43" t="n"/>
      <c r="C245" s="32" t="n"/>
      <c r="D245" s="75" t="n"/>
      <c r="E245" s="48" t="n"/>
      <c r="F245" s="53" t="n"/>
      <c r="G245" s="48" t="n"/>
      <c r="H245" s="53">
        <f>IF(OR(F245="",G245=""),"",IF(F245="500 g",G245*0.5,IF(F245="2,5 kg",G245*2.5,"")))</f>
        <v/>
      </c>
      <c r="I245" s="48" t="n"/>
    </row>
    <row r="246" ht="15" customHeight="1">
      <c r="A246" s="48" t="n"/>
      <c r="B246" s="43" t="n"/>
      <c r="C246" s="32" t="n"/>
      <c r="D246" s="75" t="n"/>
      <c r="E246" s="48" t="n"/>
      <c r="F246" s="53" t="n"/>
      <c r="G246" s="48" t="n"/>
      <c r="H246" s="53">
        <f>IF(OR(F246="",G246=""),"",IF(F246="500 g",G246*0.5,IF(F246="2,5 kg",G246*2.5,"")))</f>
        <v/>
      </c>
      <c r="I246" s="48" t="n"/>
    </row>
    <row r="247" ht="15" customHeight="1">
      <c r="A247" s="48" t="n"/>
      <c r="B247" s="43" t="n"/>
      <c r="C247" s="32" t="n"/>
      <c r="D247" s="75" t="n"/>
      <c r="E247" s="48" t="n"/>
      <c r="F247" s="53" t="n"/>
      <c r="G247" s="48" t="n"/>
      <c r="H247" s="53">
        <f>IF(OR(F247="",G247=""),"",IF(F247="500 g",G247*0.5,IF(F247="2,5 kg",G247*2.5,"")))</f>
        <v/>
      </c>
      <c r="I247" s="48" t="n"/>
    </row>
    <row r="248" ht="15" customHeight="1">
      <c r="A248" s="48" t="n"/>
      <c r="B248" s="43" t="n"/>
      <c r="C248" s="32" t="n"/>
      <c r="D248" s="75" t="n"/>
      <c r="E248" s="48" t="n"/>
      <c r="F248" s="53" t="n"/>
      <c r="G248" s="48" t="n"/>
      <c r="H248" s="53">
        <f>IF(OR(F248="",G248=""),"",IF(F248="500 g",G248*0.5,IF(F248="2,5 kg",G248*2.5,"")))</f>
        <v/>
      </c>
      <c r="I248" s="48" t="n"/>
    </row>
    <row r="249" ht="15" customHeight="1">
      <c r="A249" s="48" t="n"/>
      <c r="B249" s="43" t="n"/>
      <c r="C249" s="32" t="n"/>
      <c r="D249" s="75" t="n"/>
      <c r="E249" s="48" t="n"/>
      <c r="F249" s="53" t="n"/>
      <c r="G249" s="48" t="n"/>
      <c r="H249" s="53">
        <f>IF(OR(F249="",G249=""),"",IF(F249="500 g",G249*0.5,IF(F249="2,5 kg",G249*2.5,"")))</f>
        <v/>
      </c>
      <c r="I249" s="48" t="n"/>
    </row>
    <row r="250" ht="15" customHeight="1">
      <c r="A250" s="48" t="n"/>
      <c r="B250" s="43" t="n"/>
      <c r="C250" s="32" t="n"/>
      <c r="D250" s="75" t="n"/>
      <c r="E250" s="48" t="n"/>
      <c r="F250" s="53" t="n"/>
      <c r="G250" s="48" t="n"/>
      <c r="H250" s="53">
        <f>IF(OR(F250="",G250=""),"",IF(F250="500 g",G250*0.5,IF(F250="2,5 kg",G250*2.5,"")))</f>
        <v/>
      </c>
      <c r="I250" s="48" t="n"/>
    </row>
    <row r="251" ht="15" customHeight="1">
      <c r="A251" s="48" t="n"/>
      <c r="B251" s="43" t="n"/>
      <c r="C251" s="32" t="n"/>
      <c r="D251" s="75" t="n"/>
      <c r="E251" s="48" t="n"/>
      <c r="F251" s="53" t="n"/>
      <c r="G251" s="48" t="n"/>
      <c r="H251" s="53">
        <f>IF(OR(F251="",G251=""),"",IF(F251="500 g",G251*0.5,IF(F251="2,5 kg",G251*2.5,"")))</f>
        <v/>
      </c>
      <c r="I251" s="48" t="n"/>
    </row>
    <row r="252" ht="15" customHeight="1">
      <c r="A252" s="48" t="n"/>
      <c r="B252" s="43" t="n"/>
      <c r="C252" s="32" t="n"/>
      <c r="D252" s="75" t="n"/>
      <c r="E252" s="48" t="n"/>
      <c r="F252" s="53" t="n"/>
      <c r="G252" s="48" t="n"/>
      <c r="H252" s="53">
        <f>IF(OR(F252="",G252=""),"",IF(F252="500 g",G252*0.5,IF(F252="2,5 kg",G252*2.5,"")))</f>
        <v/>
      </c>
      <c r="I252" s="48" t="n"/>
    </row>
    <row r="253" ht="15" customHeight="1">
      <c r="A253" s="48" t="n"/>
      <c r="B253" s="43" t="n"/>
      <c r="C253" s="32" t="n"/>
      <c r="D253" s="75" t="n"/>
      <c r="E253" s="48" t="n"/>
      <c r="F253" s="53" t="n"/>
      <c r="G253" s="48" t="n"/>
      <c r="H253" s="53">
        <f>IF(OR(F253="",G253=""),"",IF(F253="500 g",G253*0.5,IF(F253="2,5 kg",G253*2.5,"")))</f>
        <v/>
      </c>
      <c r="I253" s="48" t="n"/>
    </row>
    <row r="254" ht="15" customHeight="1">
      <c r="A254" s="48" t="n"/>
      <c r="B254" s="43" t="n"/>
      <c r="C254" s="32" t="n"/>
      <c r="D254" s="75" t="n"/>
      <c r="E254" s="48" t="n"/>
      <c r="F254" s="53" t="n"/>
      <c r="G254" s="48" t="n"/>
      <c r="H254" s="53">
        <f>IF(OR(F254="",G254=""),"",IF(F254="500 g",G254*0.5,IF(F254="2,5 kg",G254*2.5,"")))</f>
        <v/>
      </c>
      <c r="I254" s="48" t="n"/>
    </row>
    <row r="255" ht="15" customHeight="1">
      <c r="A255" s="48" t="n"/>
      <c r="B255" s="43" t="n"/>
      <c r="C255" s="32" t="n"/>
      <c r="D255" s="75" t="n"/>
      <c r="E255" s="48" t="n"/>
      <c r="F255" s="53" t="n"/>
      <c r="G255" s="48" t="n"/>
      <c r="H255" s="53">
        <f>IF(OR(F255="",G255=""),"",IF(F255="500 g",G255*0.5,IF(F255="2,5 kg",G255*2.5,"")))</f>
        <v/>
      </c>
      <c r="I255" s="48" t="n"/>
    </row>
    <row r="256" ht="15" customHeight="1">
      <c r="A256" s="48" t="n"/>
      <c r="B256" s="43" t="n"/>
      <c r="C256" s="32" t="n"/>
      <c r="D256" s="75" t="n"/>
      <c r="E256" s="48" t="n"/>
      <c r="F256" s="53" t="n"/>
      <c r="G256" s="48" t="n"/>
      <c r="H256" s="53">
        <f>IF(OR(F256="",G256=""),"",IF(F256="500 g",G256*0.5,IF(F256="2,5 kg",G256*2.5,"")))</f>
        <v/>
      </c>
      <c r="I256" s="48" t="n"/>
    </row>
    <row r="257" ht="15" customHeight="1">
      <c r="A257" s="48" t="n"/>
      <c r="B257" s="43" t="n"/>
      <c r="C257" s="32" t="n"/>
      <c r="D257" s="75" t="n"/>
      <c r="E257" s="48" t="n"/>
      <c r="F257" s="53" t="n"/>
      <c r="G257" s="48" t="n"/>
      <c r="H257" s="53">
        <f>IF(OR(F257="",G257=""),"",IF(F257="500 g",G257*0.5,IF(F257="2,5 kg",G257*2.5,"")))</f>
        <v/>
      </c>
      <c r="I257" s="48" t="n"/>
    </row>
    <row r="258" ht="15" customHeight="1">
      <c r="A258" s="48" t="n"/>
      <c r="B258" s="43" t="n"/>
      <c r="C258" s="32" t="n"/>
      <c r="D258" s="75" t="n"/>
      <c r="E258" s="48" t="n"/>
      <c r="F258" s="53" t="n"/>
      <c r="G258" s="48" t="n"/>
      <c r="H258" s="53">
        <f>IF(OR(F258="",G258=""),"",IF(F258="500 g",G258*0.5,IF(F258="2,5 kg",G258*2.5,"")))</f>
        <v/>
      </c>
      <c r="I258" s="48" t="n"/>
    </row>
    <row r="259" ht="15" customHeight="1">
      <c r="A259" s="48" t="n"/>
      <c r="B259" s="43" t="n"/>
      <c r="C259" s="32" t="n"/>
      <c r="D259" s="75" t="n"/>
      <c r="E259" s="48" t="n"/>
      <c r="F259" s="53" t="n"/>
      <c r="G259" s="48" t="n"/>
      <c r="H259" s="53">
        <f>IF(OR(F259="",G259=""),"",IF(F259="500 g",G259*0.5,IF(F259="2,5 kg",G259*2.5,"")))</f>
        <v/>
      </c>
      <c r="I259" s="48" t="n"/>
    </row>
    <row r="260" ht="15" customHeight="1">
      <c r="A260" s="48" t="n"/>
      <c r="B260" s="43" t="n"/>
      <c r="C260" s="32" t="n"/>
      <c r="D260" s="75" t="n"/>
      <c r="E260" s="48" t="n"/>
      <c r="F260" s="53" t="n"/>
      <c r="G260" s="48" t="n"/>
      <c r="H260" s="53">
        <f>IF(OR(F260="",G260=""),"",IF(F260="500 g",G260*0.5,IF(F260="2,5 kg",G260*2.5,"")))</f>
        <v/>
      </c>
      <c r="I260" s="48" t="n"/>
    </row>
    <row r="261" ht="15" customHeight="1">
      <c r="A261" s="48" t="n"/>
      <c r="B261" s="43" t="n"/>
      <c r="C261" s="32" t="n"/>
      <c r="D261" s="75" t="n"/>
      <c r="E261" s="48" t="n"/>
      <c r="F261" s="53" t="n"/>
      <c r="G261" s="48" t="n"/>
      <c r="H261" s="53">
        <f>IF(OR(F261="",G261=""),"",IF(F261="500 g",G261*0.5,IF(F261="2,5 kg",G261*2.5,"")))</f>
        <v/>
      </c>
      <c r="I261" s="48" t="n"/>
    </row>
    <row r="262" ht="15" customHeight="1">
      <c r="A262" s="48" t="n"/>
      <c r="B262" s="43" t="n"/>
      <c r="C262" s="32" t="n"/>
      <c r="D262" s="75" t="n"/>
      <c r="E262" s="48" t="n"/>
      <c r="F262" s="53" t="n"/>
      <c r="G262" s="48" t="n"/>
      <c r="H262" s="53">
        <f>IF(OR(F262="",G262=""),"",IF(F262="500 g",G262*0.5,IF(F262="2,5 kg",G262*2.5,"")))</f>
        <v/>
      </c>
      <c r="I262" s="48" t="n"/>
    </row>
    <row r="263" ht="15" customHeight="1">
      <c r="A263" s="48" t="n"/>
      <c r="B263" s="43" t="n"/>
      <c r="C263" s="32" t="n"/>
      <c r="D263" s="75" t="n"/>
      <c r="E263" s="48" t="n"/>
      <c r="F263" s="53" t="n"/>
      <c r="G263" s="48" t="n"/>
      <c r="H263" s="53">
        <f>IF(OR(F263="",G263=""),"",IF(F263="500 g",G263*0.5,IF(F263="2,5 kg",G263*2.5,"")))</f>
        <v/>
      </c>
      <c r="I263" s="48" t="n"/>
    </row>
    <row r="264" ht="15" customHeight="1">
      <c r="A264" s="48" t="n"/>
      <c r="B264" s="43" t="n"/>
      <c r="C264" s="32" t="n"/>
      <c r="D264" s="75" t="n"/>
      <c r="E264" s="48" t="n"/>
      <c r="F264" s="53" t="n"/>
      <c r="G264" s="48" t="n"/>
      <c r="H264" s="53">
        <f>IF(OR(F264="",G264=""),"",IF(F264="500 g",G264*0.5,IF(F264="2,5 kg",G264*2.5,"")))</f>
        <v/>
      </c>
      <c r="I264" s="48" t="n"/>
    </row>
    <row r="265" ht="15" customHeight="1">
      <c r="A265" s="48" t="n"/>
      <c r="B265" s="43" t="n"/>
      <c r="C265" s="32" t="n"/>
      <c r="D265" s="75" t="n"/>
      <c r="E265" s="48" t="n"/>
      <c r="F265" s="53" t="n"/>
      <c r="G265" s="48" t="n"/>
      <c r="H265" s="53">
        <f>IF(OR(F265="",G265=""),"",IF(F265="500 g",G265*0.5,IF(F265="2,5 kg",G265*2.5,"")))</f>
        <v/>
      </c>
      <c r="I265" s="48" t="n"/>
    </row>
    <row r="266" ht="15" customHeight="1">
      <c r="A266" s="48" t="n"/>
      <c r="B266" s="43" t="n"/>
      <c r="C266" s="32" t="n"/>
      <c r="D266" s="75" t="n"/>
      <c r="E266" s="48" t="n"/>
      <c r="F266" s="53" t="n"/>
      <c r="G266" s="48" t="n"/>
      <c r="H266" s="53">
        <f>IF(OR(F266="",G266=""),"",IF(F266="500 g",G266*0.5,IF(F266="2,5 kg",G266*2.5,"")))</f>
        <v/>
      </c>
      <c r="I266" s="48" t="n"/>
    </row>
    <row r="267" ht="15" customHeight="1">
      <c r="A267" s="48" t="n"/>
      <c r="B267" s="43" t="n"/>
      <c r="C267" s="32" t="n"/>
      <c r="D267" s="75" t="n"/>
      <c r="E267" s="48" t="n"/>
      <c r="F267" s="53" t="n"/>
      <c r="G267" s="48" t="n"/>
      <c r="H267" s="53">
        <f>IF(OR(F267="",G267=""),"",IF(F267="500 g",G267*0.5,IF(F267="2,5 kg",G267*2.5,"")))</f>
        <v/>
      </c>
      <c r="I267" s="48" t="n"/>
    </row>
    <row r="268" ht="15" customHeight="1">
      <c r="A268" s="48" t="n"/>
      <c r="B268" s="43" t="n"/>
      <c r="C268" s="32" t="n"/>
      <c r="D268" s="75" t="n"/>
      <c r="E268" s="48" t="n"/>
      <c r="F268" s="53" t="n"/>
      <c r="G268" s="48" t="n"/>
      <c r="H268" s="53">
        <f>IF(OR(F268="",G268=""),"",IF(F268="500 g",G268*0.5,IF(F268="2,5 kg",G268*2.5,"")))</f>
        <v/>
      </c>
      <c r="I268" s="48" t="n"/>
    </row>
    <row r="269" ht="15" customHeight="1">
      <c r="A269" s="48" t="n"/>
      <c r="B269" s="43" t="n"/>
      <c r="C269" s="32" t="n"/>
      <c r="D269" s="75" t="n"/>
      <c r="E269" s="48" t="n"/>
      <c r="F269" s="53" t="n"/>
      <c r="G269" s="48" t="n"/>
      <c r="H269" s="53">
        <f>IF(OR(F269="",G269=""),"",IF(F269="500 g",G269*0.5,IF(F269="2,5 kg",G269*2.5,"")))</f>
        <v/>
      </c>
      <c r="I269" s="48" t="n"/>
    </row>
    <row r="270" ht="15" customHeight="1">
      <c r="A270" s="48" t="n"/>
      <c r="B270" s="43" t="n"/>
      <c r="C270" s="32" t="n"/>
      <c r="D270" s="75" t="n"/>
      <c r="E270" s="48" t="n"/>
      <c r="F270" s="53" t="n"/>
      <c r="G270" s="48" t="n"/>
      <c r="H270" s="53">
        <f>IF(OR(F270="",G270=""),"",IF(F270="500 g",G270*0.5,IF(F270="2,5 kg",G270*2.5,"")))</f>
        <v/>
      </c>
      <c r="I270" s="48" t="n"/>
    </row>
    <row r="271" ht="15" customHeight="1">
      <c r="A271" s="48" t="n"/>
      <c r="B271" s="43" t="n"/>
      <c r="C271" s="32" t="n"/>
      <c r="D271" s="75" t="n"/>
      <c r="E271" s="48" t="n"/>
      <c r="F271" s="53" t="n"/>
      <c r="G271" s="48" t="n"/>
      <c r="H271" s="53">
        <f>IF(OR(F271="",G271=""),"",IF(F271="500 g",G271*0.5,IF(F271="2,5 kg",G271*2.5,"")))</f>
        <v/>
      </c>
      <c r="I271" s="48" t="n"/>
    </row>
    <row r="272" ht="15" customHeight="1">
      <c r="A272" s="48" t="n"/>
      <c r="B272" s="43" t="n"/>
      <c r="C272" s="32" t="n"/>
      <c r="D272" s="75" t="n"/>
      <c r="E272" s="48" t="n"/>
      <c r="F272" s="53" t="n"/>
      <c r="G272" s="48" t="n"/>
      <c r="H272" s="53">
        <f>IF(OR(F272="",G272=""),"",IF(F272="500 g",G272*0.5,IF(F272="2,5 kg",G272*2.5,"")))</f>
        <v/>
      </c>
      <c r="I272" s="48" t="n"/>
    </row>
    <row r="273" ht="15" customHeight="1">
      <c r="A273" s="48" t="n"/>
      <c r="B273" s="43" t="n"/>
      <c r="C273" s="32" t="n"/>
      <c r="D273" s="75" t="n"/>
      <c r="E273" s="48" t="n"/>
      <c r="F273" s="53" t="n"/>
      <c r="G273" s="48" t="n"/>
      <c r="H273" s="53">
        <f>IF(OR(F273="",G273=""),"",IF(F273="500 g",G273*0.5,IF(F273="2,5 kg",G273*2.5,"")))</f>
        <v/>
      </c>
      <c r="I273" s="48" t="n"/>
    </row>
    <row r="274" ht="15" customHeight="1">
      <c r="A274" s="48" t="n"/>
      <c r="B274" s="43" t="n"/>
      <c r="C274" s="32" t="n"/>
      <c r="D274" s="75" t="n"/>
      <c r="E274" s="48" t="n"/>
      <c r="F274" s="53" t="n"/>
      <c r="G274" s="48" t="n"/>
      <c r="H274" s="53">
        <f>IF(OR(F274="",G274=""),"",IF(F274="500 g",G274*0.5,IF(F274="2,5 kg",G274*2.5,"")))</f>
        <v/>
      </c>
      <c r="I274" s="48" t="n"/>
    </row>
    <row r="275" ht="15" customHeight="1">
      <c r="A275" s="48" t="n"/>
      <c r="B275" s="43" t="n"/>
      <c r="C275" s="32" t="n"/>
      <c r="D275" s="75" t="n"/>
      <c r="E275" s="48" t="n"/>
      <c r="F275" s="53" t="n"/>
      <c r="G275" s="48" t="n"/>
      <c r="H275" s="53">
        <f>IF(OR(F275="",G275=""),"",IF(F275="500 g",G275*0.5,IF(F275="2,5 kg",G275*2.5,"")))</f>
        <v/>
      </c>
      <c r="I275" s="48" t="n"/>
    </row>
    <row r="276" ht="15" customHeight="1">
      <c r="A276" s="48" t="n"/>
      <c r="B276" s="43" t="n"/>
      <c r="C276" s="32" t="n"/>
      <c r="D276" s="75" t="n"/>
      <c r="E276" s="48" t="n"/>
      <c r="F276" s="53" t="n"/>
      <c r="G276" s="48" t="n"/>
      <c r="H276" s="53">
        <f>IF(OR(F276="",G276=""),"",IF(F276="500 g",G276*0.5,IF(F276="2,5 kg",G276*2.5,"")))</f>
        <v/>
      </c>
      <c r="I276" s="48" t="n"/>
    </row>
    <row r="277" ht="15" customHeight="1">
      <c r="A277" s="48" t="n"/>
      <c r="B277" s="43" t="n"/>
      <c r="C277" s="32" t="n"/>
      <c r="D277" s="75" t="n"/>
      <c r="E277" s="48" t="n"/>
      <c r="F277" s="53" t="n"/>
      <c r="G277" s="48" t="n"/>
      <c r="H277" s="53">
        <f>IF(OR(F277="",G277=""),"",IF(F277="500 g",G277*0.5,IF(F277="2,5 kg",G277*2.5,"")))</f>
        <v/>
      </c>
      <c r="I277" s="48" t="n"/>
    </row>
    <row r="278" ht="15" customHeight="1">
      <c r="A278" s="48" t="n"/>
      <c r="B278" s="43" t="n"/>
      <c r="C278" s="32" t="n"/>
      <c r="D278" s="75" t="n"/>
      <c r="E278" s="48" t="n"/>
      <c r="F278" s="53" t="n"/>
      <c r="G278" s="48" t="n"/>
      <c r="H278" s="53">
        <f>IF(OR(F278="",G278=""),"",IF(F278="500 g",G278*0.5,IF(F278="2,5 kg",G278*2.5,"")))</f>
        <v/>
      </c>
      <c r="I278" s="48" t="n"/>
    </row>
    <row r="279" ht="15" customHeight="1">
      <c r="A279" s="48" t="n"/>
      <c r="B279" s="43" t="n"/>
      <c r="C279" s="32" t="n"/>
      <c r="D279" s="75" t="n"/>
      <c r="E279" s="48" t="n"/>
      <c r="F279" s="53" t="n"/>
      <c r="G279" s="48" t="n"/>
      <c r="H279" s="53">
        <f>IF(OR(F279="",G279=""),"",IF(F279="500 g",G279*0.5,IF(F279="2,5 kg",G279*2.5,"")))</f>
        <v/>
      </c>
      <c r="I279" s="48" t="n"/>
    </row>
    <row r="280" ht="15" customHeight="1">
      <c r="A280" s="48" t="n"/>
      <c r="B280" s="43" t="n"/>
      <c r="C280" s="32" t="n"/>
      <c r="D280" s="75" t="n"/>
      <c r="E280" s="48" t="n"/>
      <c r="F280" s="53" t="n"/>
      <c r="G280" s="48" t="n"/>
      <c r="H280" s="53">
        <f>IF(OR(F280="",G280=""),"",IF(F280="500 g",G280*0.5,IF(F280="2,5 kg",G280*2.5,"")))</f>
        <v/>
      </c>
      <c r="I280" s="48" t="n"/>
    </row>
    <row r="281" ht="15" customHeight="1">
      <c r="A281" s="48" t="n"/>
      <c r="B281" s="43" t="n"/>
      <c r="C281" s="32" t="n"/>
      <c r="D281" s="75" t="n"/>
      <c r="E281" s="48" t="n"/>
      <c r="F281" s="53" t="n"/>
      <c r="G281" s="48" t="n"/>
      <c r="H281" s="53">
        <f>IF(OR(F281="",G281=""),"",IF(F281="500 g",G281*0.5,IF(F281="2,5 kg",G281*2.5,"")))</f>
        <v/>
      </c>
      <c r="I281" s="48" t="n"/>
    </row>
    <row r="282" ht="15" customHeight="1">
      <c r="A282" s="48" t="n"/>
      <c r="B282" s="43" t="n"/>
      <c r="C282" s="32" t="n"/>
      <c r="D282" s="75" t="n"/>
      <c r="E282" s="48" t="n"/>
      <c r="F282" s="53" t="n"/>
      <c r="G282" s="48" t="n"/>
      <c r="H282" s="53">
        <f>IF(OR(F282="",G282=""),"",IF(F282="500 g",G282*0.5,IF(F282="2,5 kg",G282*2.5,"")))</f>
        <v/>
      </c>
      <c r="I282" s="48" t="n"/>
    </row>
    <row r="283" ht="15" customHeight="1">
      <c r="A283" s="48" t="n"/>
      <c r="B283" s="43" t="n"/>
      <c r="C283" s="32" t="n"/>
      <c r="D283" s="75" t="n"/>
      <c r="E283" s="48" t="n"/>
      <c r="F283" s="53" t="n"/>
      <c r="G283" s="48" t="n"/>
      <c r="H283" s="53">
        <f>IF(OR(F283="",G283=""),"",IF(F283="500 g",G283*0.5,IF(F283="2,5 kg",G283*2.5,"")))</f>
        <v/>
      </c>
      <c r="I283" s="48" t="n"/>
    </row>
    <row r="284" ht="15" customHeight="1">
      <c r="A284" s="48" t="n"/>
      <c r="B284" s="43" t="n"/>
      <c r="C284" s="32" t="n"/>
      <c r="D284" s="75" t="n"/>
      <c r="E284" s="48" t="n"/>
      <c r="F284" s="53" t="n"/>
      <c r="G284" s="48" t="n"/>
      <c r="H284" s="53">
        <f>IF(OR(F284="",G284=""),"",IF(F284="500 g",G284*0.5,IF(F284="2,5 kg",G284*2.5,"")))</f>
        <v/>
      </c>
      <c r="I284" s="48" t="n"/>
    </row>
    <row r="285" ht="15" customHeight="1">
      <c r="A285" s="48" t="n"/>
      <c r="B285" s="43" t="n"/>
      <c r="C285" s="32" t="n"/>
      <c r="D285" s="75" t="n"/>
      <c r="E285" s="48" t="n"/>
      <c r="F285" s="53" t="n"/>
      <c r="G285" s="48" t="n"/>
      <c r="H285" s="53">
        <f>IF(OR(F285="",G285=""),"",IF(F285="500 g",G285*0.5,IF(F285="2,5 kg",G285*2.5,"")))</f>
        <v/>
      </c>
      <c r="I285" s="48" t="n"/>
    </row>
    <row r="286" ht="15" customHeight="1">
      <c r="A286" s="48" t="n"/>
      <c r="B286" s="43" t="n"/>
      <c r="C286" s="32" t="n"/>
      <c r="D286" s="75" t="n"/>
      <c r="E286" s="48" t="n"/>
      <c r="F286" s="53" t="n"/>
      <c r="G286" s="48" t="n"/>
      <c r="H286" s="53">
        <f>IF(OR(F286="",G286=""),"",IF(F286="500 g",G286*0.5,IF(F286="2,5 kg",G286*2.5,"")))</f>
        <v/>
      </c>
      <c r="I286" s="48" t="n"/>
    </row>
    <row r="287" ht="15" customHeight="1">
      <c r="A287" s="48" t="n"/>
      <c r="B287" s="43" t="n"/>
      <c r="C287" s="32" t="n"/>
      <c r="D287" s="75" t="n"/>
      <c r="E287" s="48" t="n"/>
      <c r="F287" s="53" t="n"/>
      <c r="G287" s="48" t="n"/>
      <c r="H287" s="53">
        <f>IF(OR(F287="",G287=""),"",IF(F287="500 g",G287*0.5,IF(F287="2,5 kg",G287*2.5,"")))</f>
        <v/>
      </c>
      <c r="I287" s="48" t="n"/>
    </row>
    <row r="288" ht="15" customHeight="1">
      <c r="A288" s="48" t="n"/>
      <c r="B288" s="43" t="n"/>
      <c r="C288" s="32" t="n"/>
      <c r="D288" s="75" t="n"/>
      <c r="E288" s="48" t="n"/>
      <c r="F288" s="53" t="n"/>
      <c r="G288" s="48" t="n"/>
      <c r="H288" s="53">
        <f>IF(OR(F288="",G288=""),"",IF(F288="500 g",G288*0.5,IF(F288="2,5 kg",G288*2.5,"")))</f>
        <v/>
      </c>
      <c r="I288" s="48" t="n"/>
    </row>
    <row r="289" ht="15" customHeight="1">
      <c r="A289" s="48" t="n"/>
      <c r="B289" s="43" t="n"/>
      <c r="C289" s="32" t="n"/>
      <c r="D289" s="75" t="n"/>
      <c r="E289" s="48" t="n"/>
      <c r="F289" s="53" t="n"/>
      <c r="G289" s="48" t="n"/>
      <c r="H289" s="53">
        <f>IF(OR(F289="",G289=""),"",IF(F289="500 g",G289*0.5,IF(F289="2,5 kg",G289*2.5,"")))</f>
        <v/>
      </c>
      <c r="I289" s="48" t="n"/>
    </row>
    <row r="290" ht="15" customHeight="1">
      <c r="A290" s="48" t="n"/>
      <c r="B290" s="43" t="n"/>
      <c r="C290" s="32" t="n"/>
      <c r="D290" s="75" t="n"/>
      <c r="E290" s="48" t="n"/>
      <c r="F290" s="53" t="n"/>
      <c r="G290" s="48" t="n"/>
      <c r="H290" s="53">
        <f>IF(OR(F290="",G290=""),"",IF(F290="500 g",G290*0.5,IF(F290="2,5 kg",G290*2.5,"")))</f>
        <v/>
      </c>
      <c r="I290" s="48" t="n"/>
    </row>
    <row r="291" ht="15" customHeight="1">
      <c r="A291" s="48" t="n"/>
      <c r="B291" s="43" t="n"/>
      <c r="C291" s="32" t="n"/>
      <c r="D291" s="75" t="n"/>
      <c r="E291" s="48" t="n"/>
      <c r="F291" s="53" t="n"/>
      <c r="G291" s="48" t="n"/>
      <c r="H291" s="53">
        <f>IF(OR(F291="",G291=""),"",IF(F291="500 g",G291*0.5,IF(F291="2,5 kg",G291*2.5,"")))</f>
        <v/>
      </c>
      <c r="I291" s="48" t="n"/>
    </row>
    <row r="292" ht="15" customHeight="1">
      <c r="A292" s="48" t="n"/>
      <c r="B292" s="43" t="n"/>
      <c r="C292" s="32" t="n"/>
      <c r="D292" s="75" t="n"/>
      <c r="E292" s="48" t="n"/>
      <c r="F292" s="53" t="n"/>
      <c r="G292" s="48" t="n"/>
      <c r="H292" s="53">
        <f>IF(OR(F292="",G292=""),"",IF(F292="500 g",G292*0.5,IF(F292="2,5 kg",G292*2.5,"")))</f>
        <v/>
      </c>
      <c r="I292" s="48" t="n"/>
    </row>
    <row r="293" ht="15" customHeight="1">
      <c r="A293" s="48" t="n"/>
      <c r="B293" s="43" t="n"/>
      <c r="C293" s="32" t="n"/>
      <c r="D293" s="75" t="n"/>
      <c r="E293" s="48" t="n"/>
      <c r="F293" s="53" t="n"/>
      <c r="G293" s="48" t="n"/>
      <c r="H293" s="53">
        <f>IF(OR(F293="",G293=""),"",IF(F293="500 g",G293*0.5,IF(F293="2,5 kg",G293*2.5,"")))</f>
        <v/>
      </c>
      <c r="I293" s="48" t="n"/>
    </row>
    <row r="294" ht="15" customHeight="1">
      <c r="A294" s="48" t="n"/>
      <c r="B294" s="43" t="n"/>
      <c r="C294" s="32" t="n"/>
      <c r="D294" s="75" t="n"/>
      <c r="E294" s="48" t="n"/>
      <c r="F294" s="53" t="n"/>
      <c r="G294" s="48" t="n"/>
      <c r="H294" s="53">
        <f>IF(OR(F294="",G294=""),"",IF(F294="500 g",G294*0.5,IF(F294="2,5 kg",G294*2.5,"")))</f>
        <v/>
      </c>
      <c r="I294" s="48" t="n"/>
    </row>
    <row r="295" ht="15" customHeight="1">
      <c r="A295" s="48" t="n"/>
      <c r="B295" s="43" t="n"/>
      <c r="C295" s="32" t="n"/>
      <c r="D295" s="75" t="n"/>
      <c r="E295" s="48" t="n"/>
      <c r="F295" s="53" t="n"/>
      <c r="G295" s="48" t="n"/>
      <c r="H295" s="53">
        <f>IF(OR(F295="",G295=""),"",IF(F295="500 g",G295*0.5,IF(F295="2,5 kg",G295*2.5,"")))</f>
        <v/>
      </c>
      <c r="I295" s="48" t="n"/>
    </row>
    <row r="296" ht="15" customHeight="1">
      <c r="A296" s="48" t="n"/>
      <c r="B296" s="43" t="n"/>
      <c r="C296" s="32" t="n"/>
      <c r="D296" s="75" t="n"/>
      <c r="E296" s="48" t="n"/>
      <c r="F296" s="53" t="n"/>
      <c r="G296" s="48" t="n"/>
      <c r="H296" s="53">
        <f>IF(OR(F296="",G296=""),"",IF(F296="500 g",G296*0.5,IF(F296="2,5 kg",G296*2.5,"")))</f>
        <v/>
      </c>
      <c r="I296" s="48" t="n"/>
    </row>
    <row r="297" ht="15" customHeight="1">
      <c r="A297" s="48" t="n"/>
      <c r="B297" s="43" t="n"/>
      <c r="C297" s="32" t="n"/>
      <c r="D297" s="75" t="n"/>
      <c r="E297" s="48" t="n"/>
      <c r="F297" s="53" t="n"/>
      <c r="G297" s="48" t="n"/>
      <c r="H297" s="53">
        <f>IF(OR(F297="",G297=""),"",IF(F297="500 g",G297*0.5,IF(F297="2,5 kg",G297*2.5,"")))</f>
        <v/>
      </c>
      <c r="I297" s="48" t="n"/>
    </row>
    <row r="298" ht="15" customHeight="1">
      <c r="A298" s="48" t="n"/>
      <c r="B298" s="43" t="n"/>
      <c r="C298" s="32" t="n"/>
      <c r="D298" s="75" t="n"/>
      <c r="E298" s="48" t="n"/>
      <c r="F298" s="53" t="n"/>
      <c r="G298" s="48" t="n"/>
      <c r="H298" s="53">
        <f>IF(OR(F298="",G298=""),"",IF(F298="500 g",G298*0.5,IF(F298="2,5 kg",G298*2.5,"")))</f>
        <v/>
      </c>
      <c r="I298" s="48" t="n"/>
    </row>
    <row r="299" ht="15" customHeight="1">
      <c r="A299" s="48" t="n"/>
      <c r="B299" s="43" t="n"/>
      <c r="C299" s="32" t="n"/>
      <c r="D299" s="75" t="n"/>
      <c r="E299" s="48" t="n"/>
      <c r="F299" s="53" t="n"/>
      <c r="G299" s="48" t="n"/>
      <c r="H299" s="53">
        <f>IF(OR(F299="",G299=""),"",IF(F299="500 g",G299*0.5,IF(F299="2,5 kg",G299*2.5,"")))</f>
        <v/>
      </c>
      <c r="I299" s="48" t="n"/>
    </row>
    <row r="300" ht="15" customHeight="1">
      <c r="A300" s="48" t="n"/>
      <c r="B300" s="43" t="n"/>
      <c r="C300" s="32" t="n"/>
      <c r="D300" s="75" t="n"/>
      <c r="E300" s="48" t="n"/>
      <c r="F300" s="53" t="n"/>
      <c r="G300" s="48" t="n"/>
      <c r="H300" s="53">
        <f>IF(OR(F300="",G300=""),"",IF(F300="500 g",G300*0.5,IF(F300="2,5 kg",G300*2.5,"")))</f>
        <v/>
      </c>
      <c r="I300" s="48" t="n"/>
    </row>
    <row r="301" ht="15" customHeight="1">
      <c r="A301" s="48" t="n"/>
      <c r="B301" s="43" t="n"/>
      <c r="C301" s="32" t="n"/>
      <c r="D301" s="75" t="n"/>
      <c r="E301" s="48" t="n"/>
      <c r="F301" s="53" t="n"/>
      <c r="G301" s="48" t="n"/>
      <c r="H301" s="53">
        <f>IF(OR(F301="",G301=""),"",IF(F301="500 g",G301*0.5,IF(F301="2,5 kg",G301*2.5,"")))</f>
        <v/>
      </c>
      <c r="I301" s="48" t="n"/>
    </row>
    <row r="302" ht="15" customHeight="1">
      <c r="A302" s="48" t="n"/>
      <c r="B302" s="43" t="n"/>
      <c r="C302" s="32" t="n"/>
      <c r="D302" s="75" t="n"/>
      <c r="E302" s="48" t="n"/>
      <c r="F302" s="53" t="n"/>
      <c r="G302" s="48" t="n"/>
      <c r="H302" s="53">
        <f>IF(OR(F302="",G302=""),"",IF(F302="500 g",G302*0.5,IF(F302="2,5 kg",G302*2.5,"")))</f>
        <v/>
      </c>
      <c r="I302" s="48" t="n"/>
    </row>
    <row r="303" ht="15" customHeight="1">
      <c r="A303" s="48" t="n"/>
      <c r="B303" s="43" t="n"/>
      <c r="C303" s="32" t="n"/>
      <c r="D303" s="75" t="n"/>
      <c r="E303" s="48" t="n"/>
      <c r="F303" s="53" t="n"/>
      <c r="G303" s="48" t="n"/>
      <c r="H303" s="53">
        <f>IF(OR(F303="",G303=""),"",IF(F303="500 g",G303*0.5,IF(F303="2,5 kg",G303*2.5,"")))</f>
        <v/>
      </c>
      <c r="I303" s="48" t="n"/>
    </row>
    <row r="304" ht="15" customHeight="1">
      <c r="A304" s="48" t="n"/>
      <c r="B304" s="43" t="n"/>
      <c r="C304" s="32" t="n"/>
      <c r="D304" s="75" t="n"/>
      <c r="E304" s="48" t="n"/>
      <c r="F304" s="53" t="n"/>
      <c r="G304" s="48" t="n"/>
      <c r="H304" s="53">
        <f>IF(OR(F304="",G304=""),"",IF(F304="500 g",G304*0.5,IF(F304="2,5 kg",G304*2.5,"")))</f>
        <v/>
      </c>
      <c r="I304" s="48" t="n"/>
    </row>
    <row r="305" ht="15" customHeight="1">
      <c r="A305" s="48" t="n"/>
      <c r="B305" s="43" t="n"/>
      <c r="C305" s="32" t="n"/>
      <c r="D305" s="75" t="n"/>
      <c r="E305" s="48" t="n"/>
      <c r="F305" s="53" t="n"/>
      <c r="G305" s="48" t="n"/>
      <c r="H305" s="53">
        <f>IF(OR(F305="",G305=""),"",IF(F305="500 g",G305*0.5,IF(F305="2,5 kg",G305*2.5,"")))</f>
        <v/>
      </c>
      <c r="I305" s="48" t="n"/>
    </row>
    <row r="306" ht="15" customHeight="1">
      <c r="A306" s="48" t="n"/>
      <c r="B306" s="43" t="n"/>
      <c r="C306" s="32" t="n"/>
      <c r="D306" s="75" t="n"/>
      <c r="E306" s="48" t="n"/>
      <c r="F306" s="53" t="n"/>
      <c r="G306" s="48" t="n"/>
      <c r="H306" s="53">
        <f>IF(OR(F306="",G306=""),"",IF(F306="500 g",G306*0.5,IF(F306="2,5 kg",G306*2.5,"")))</f>
        <v/>
      </c>
      <c r="I306" s="48" t="n"/>
    </row>
    <row r="307" ht="15" customHeight="1">
      <c r="A307" s="48" t="n"/>
      <c r="B307" s="43" t="n"/>
      <c r="C307" s="32" t="n"/>
      <c r="D307" s="75" t="n"/>
      <c r="E307" s="48" t="n"/>
      <c r="F307" s="53" t="n"/>
      <c r="G307" s="48" t="n"/>
      <c r="H307" s="53">
        <f>IF(OR(F307="",G307=""),"",IF(F307="500 g",G307*0.5,IF(F307="2,5 kg",G307*2.5,"")))</f>
        <v/>
      </c>
      <c r="I307" s="48" t="n"/>
    </row>
    <row r="308" ht="15" customHeight="1">
      <c r="A308" s="48" t="n"/>
      <c r="B308" s="43" t="n"/>
      <c r="C308" s="32" t="n"/>
      <c r="D308" s="75" t="n"/>
      <c r="E308" s="48" t="n"/>
      <c r="F308" s="53" t="n"/>
      <c r="G308" s="48" t="n"/>
      <c r="H308" s="53">
        <f>IF(OR(F308="",G308=""),"",IF(F308="500 g",G308*0.5,IF(F308="2,5 kg",G308*2.5,"")))</f>
        <v/>
      </c>
      <c r="I308" s="48" t="n"/>
    </row>
    <row r="309" ht="15" customHeight="1">
      <c r="A309" s="48" t="n"/>
      <c r="B309" s="43" t="n"/>
      <c r="C309" s="32" t="n"/>
      <c r="D309" s="75" t="n"/>
      <c r="E309" s="48" t="n"/>
      <c r="F309" s="53" t="n"/>
      <c r="G309" s="48" t="n"/>
      <c r="H309" s="53">
        <f>IF(OR(F309="",G309=""),"",IF(F309="500 g",G309*0.5,IF(F309="2,5 kg",G309*2.5,"")))</f>
        <v/>
      </c>
      <c r="I309" s="48" t="n"/>
    </row>
    <row r="310" ht="15" customHeight="1">
      <c r="A310" s="48" t="n"/>
      <c r="B310" s="43" t="n"/>
      <c r="C310" s="32" t="n"/>
      <c r="D310" s="75" t="n"/>
      <c r="E310" s="48" t="n"/>
      <c r="F310" s="53" t="n"/>
      <c r="G310" s="48" t="n"/>
      <c r="H310" s="53">
        <f>IF(OR(F310="",G310=""),"",IF(F310="500 g",G310*0.5,IF(F310="2,5 kg",G310*2.5,"")))</f>
        <v/>
      </c>
      <c r="I310" s="48" t="n"/>
    </row>
    <row r="311" ht="15" customHeight="1">
      <c r="A311" s="48" t="n"/>
      <c r="B311" s="43" t="n"/>
      <c r="C311" s="32" t="n"/>
      <c r="D311" s="75" t="n"/>
      <c r="E311" s="48" t="n"/>
      <c r="F311" s="53" t="n"/>
      <c r="G311" s="48" t="n"/>
      <c r="H311" s="53">
        <f>IF(OR(F311="",G311=""),"",IF(F311="500 g",G311*0.5,IF(F311="2,5 kg",G311*2.5,"")))</f>
        <v/>
      </c>
      <c r="I311" s="48" t="n"/>
    </row>
    <row r="312" ht="15" customHeight="1">
      <c r="A312" s="48" t="n"/>
      <c r="B312" s="43" t="n"/>
      <c r="C312" s="32" t="n"/>
      <c r="D312" s="75" t="n"/>
      <c r="E312" s="48" t="n"/>
      <c r="F312" s="53" t="n"/>
      <c r="G312" s="48" t="n"/>
      <c r="H312" s="53">
        <f>IF(OR(F312="",G312=""),"",IF(F312="500 g",G312*0.5,IF(F312="2,5 kg",G312*2.5,"")))</f>
        <v/>
      </c>
      <c r="I312" s="48" t="n"/>
    </row>
    <row r="313" ht="15" customHeight="1">
      <c r="A313" s="48" t="n"/>
      <c r="B313" s="43" t="n"/>
      <c r="C313" s="32" t="n"/>
      <c r="D313" s="75" t="n"/>
      <c r="E313" s="48" t="n"/>
      <c r="F313" s="53" t="n"/>
      <c r="G313" s="48" t="n"/>
      <c r="H313" s="53">
        <f>IF(OR(F313="",G313=""),"",IF(F313="500 g",G313*0.5,IF(F313="2,5 kg",G313*2.5,"")))</f>
        <v/>
      </c>
      <c r="I313" s="48" t="n"/>
    </row>
    <row r="314" ht="15" customHeight="1">
      <c r="A314" s="48" t="n"/>
      <c r="B314" s="43" t="n"/>
      <c r="C314" s="32" t="n"/>
      <c r="D314" s="75" t="n"/>
      <c r="E314" s="48" t="n"/>
      <c r="F314" s="53" t="n"/>
      <c r="G314" s="48" t="n"/>
      <c r="H314" s="53">
        <f>IF(OR(F314="",G314=""),"",IF(F314="500 g",G314*0.5,IF(F314="2,5 kg",G314*2.5,"")))</f>
        <v/>
      </c>
      <c r="I314" s="48" t="n"/>
    </row>
    <row r="315" ht="15" customHeight="1">
      <c r="A315" s="48" t="n"/>
      <c r="B315" s="43" t="n"/>
      <c r="C315" s="32" t="n"/>
      <c r="D315" s="75" t="n"/>
      <c r="E315" s="48" t="n"/>
      <c r="F315" s="53" t="n"/>
      <c r="G315" s="48" t="n"/>
      <c r="H315" s="53">
        <f>IF(OR(F315="",G315=""),"",IF(F315="500 g",G315*0.5,IF(F315="2,5 kg",G315*2.5,"")))</f>
        <v/>
      </c>
      <c r="I315" s="48" t="n"/>
    </row>
    <row r="316" ht="15" customHeight="1">
      <c r="A316" s="48" t="n"/>
      <c r="B316" s="43" t="n"/>
      <c r="C316" s="32" t="n"/>
      <c r="D316" s="75" t="n"/>
      <c r="E316" s="48" t="n"/>
      <c r="F316" s="53" t="n"/>
      <c r="G316" s="48" t="n"/>
      <c r="H316" s="53">
        <f>IF(OR(F316="",G316=""),"",IF(F316="500 g",G316*0.5,IF(F316="2,5 kg",G316*2.5,"")))</f>
        <v/>
      </c>
      <c r="I316" s="48" t="n"/>
    </row>
    <row r="317" ht="15" customHeight="1">
      <c r="A317" s="48" t="n"/>
      <c r="B317" s="43" t="n"/>
      <c r="C317" s="32" t="n"/>
      <c r="D317" s="75" t="n"/>
      <c r="E317" s="48" t="n"/>
      <c r="F317" s="53" t="n"/>
      <c r="G317" s="48" t="n"/>
      <c r="H317" s="53">
        <f>IF(OR(F317="",G317=""),"",IF(F317="500 g",G317*0.5,IF(F317="2,5 kg",G317*2.5,"")))</f>
        <v/>
      </c>
      <c r="I317" s="48" t="n"/>
    </row>
    <row r="318" ht="15" customHeight="1">
      <c r="A318" s="48" t="n"/>
      <c r="B318" s="43" t="n"/>
      <c r="C318" s="32" t="n"/>
      <c r="D318" s="75" t="n"/>
      <c r="E318" s="48" t="n"/>
      <c r="F318" s="53" t="n"/>
      <c r="G318" s="48" t="n"/>
      <c r="H318" s="53">
        <f>IF(OR(F318="",G318=""),"",IF(F318="500 g",G318*0.5,IF(F318="2,5 kg",G318*2.5,"")))</f>
        <v/>
      </c>
      <c r="I318" s="48" t="n"/>
    </row>
    <row r="319" ht="15" customHeight="1">
      <c r="A319" s="48" t="n"/>
      <c r="B319" s="43" t="n"/>
      <c r="C319" s="32" t="n"/>
      <c r="D319" s="75" t="n"/>
      <c r="E319" s="48" t="n"/>
      <c r="F319" s="53" t="n"/>
      <c r="G319" s="48" t="n"/>
      <c r="H319" s="53">
        <f>IF(OR(F319="",G319=""),"",IF(F319="500 g",G319*0.5,IF(F319="2,5 kg",G319*2.5,"")))</f>
        <v/>
      </c>
      <c r="I319" s="48" t="n"/>
    </row>
    <row r="320" ht="15" customHeight="1">
      <c r="A320" s="48" t="n"/>
      <c r="B320" s="43" t="n"/>
      <c r="C320" s="32" t="n"/>
      <c r="D320" s="75" t="n"/>
      <c r="E320" s="48" t="n"/>
      <c r="F320" s="53" t="n"/>
      <c r="G320" s="48" t="n"/>
      <c r="H320" s="53">
        <f>IF(OR(F320="",G320=""),"",IF(F320="500 g",G320*0.5,IF(F320="2,5 kg",G320*2.5,"")))</f>
        <v/>
      </c>
      <c r="I320" s="48" t="n"/>
    </row>
    <row r="321" ht="15" customHeight="1">
      <c r="A321" s="48" t="n"/>
      <c r="B321" s="43" t="n"/>
      <c r="C321" s="32" t="n"/>
      <c r="D321" s="75" t="n"/>
      <c r="E321" s="48" t="n"/>
      <c r="F321" s="53" t="n"/>
      <c r="G321" s="48" t="n"/>
      <c r="H321" s="53">
        <f>IF(OR(F321="",G321=""),"",IF(F321="500 g",G321*0.5,IF(F321="2,5 kg",G321*2.5,"")))</f>
        <v/>
      </c>
      <c r="I321" s="48" t="n"/>
    </row>
    <row r="322" ht="15" customHeight="1">
      <c r="A322" s="48" t="n"/>
      <c r="B322" s="43" t="n"/>
      <c r="C322" s="32" t="n"/>
      <c r="D322" s="75" t="n"/>
      <c r="E322" s="48" t="n"/>
      <c r="F322" s="53" t="n"/>
      <c r="G322" s="48" t="n"/>
      <c r="H322" s="53">
        <f>IF(OR(F322="",G322=""),"",IF(F322="500 g",G322*0.5,IF(F322="2,5 kg",G322*2.5,"")))</f>
        <v/>
      </c>
      <c r="I322" s="48" t="n"/>
    </row>
    <row r="323" ht="15" customHeight="1">
      <c r="A323" s="48" t="n"/>
      <c r="B323" s="43" t="n"/>
      <c r="C323" s="32" t="n"/>
      <c r="D323" s="75" t="n"/>
      <c r="E323" s="48" t="n"/>
      <c r="F323" s="53" t="n"/>
      <c r="G323" s="48" t="n"/>
      <c r="H323" s="53">
        <f>IF(OR(F323="",G323=""),"",IF(F323="500 g",G323*0.5,IF(F323="2,5 kg",G323*2.5,"")))</f>
        <v/>
      </c>
      <c r="I323" s="48" t="n"/>
    </row>
    <row r="324" ht="15" customHeight="1">
      <c r="A324" s="48" t="n"/>
      <c r="B324" s="43" t="n"/>
      <c r="C324" s="32" t="n"/>
      <c r="D324" s="75" t="n"/>
      <c r="E324" s="48" t="n"/>
      <c r="F324" s="53" t="n"/>
      <c r="G324" s="48" t="n"/>
      <c r="H324" s="53">
        <f>IF(OR(F324="",G324=""),"",IF(F324="500 g",G324*0.5,IF(F324="2,5 kg",G324*2.5,"")))</f>
        <v/>
      </c>
      <c r="I324" s="48" t="n"/>
    </row>
    <row r="325" ht="15" customHeight="1">
      <c r="A325" s="48" t="n"/>
      <c r="B325" s="43" t="n"/>
      <c r="C325" s="32" t="n"/>
      <c r="D325" s="75" t="n"/>
      <c r="E325" s="48" t="n"/>
      <c r="F325" s="53" t="n"/>
      <c r="G325" s="48" t="n"/>
      <c r="H325" s="53">
        <f>IF(OR(F325="",G325=""),"",IF(F325="500 g",G325*0.5,IF(F325="2,5 kg",G325*2.5,"")))</f>
        <v/>
      </c>
      <c r="I325" s="48" t="n"/>
    </row>
    <row r="326" ht="15" customHeight="1">
      <c r="A326" s="48" t="n"/>
      <c r="B326" s="43" t="n"/>
      <c r="C326" s="32" t="n"/>
      <c r="D326" s="75" t="n"/>
      <c r="E326" s="48" t="n"/>
      <c r="F326" s="53" t="n"/>
      <c r="G326" s="48" t="n"/>
      <c r="H326" s="53">
        <f>IF(OR(F326="",G326=""),"",IF(F326="500 g",G326*0.5,IF(F326="2,5 kg",G326*2.5,"")))</f>
        <v/>
      </c>
      <c r="I326" s="48" t="n"/>
    </row>
    <row r="327" ht="15" customHeight="1">
      <c r="A327" s="48" t="n"/>
      <c r="B327" s="43" t="n"/>
      <c r="C327" s="32" t="n"/>
      <c r="D327" s="75" t="n"/>
      <c r="E327" s="48" t="n"/>
      <c r="F327" s="53" t="n"/>
      <c r="G327" s="48" t="n"/>
      <c r="H327" s="53">
        <f>IF(OR(F327="",G327=""),"",IF(F327="500 g",G327*0.5,IF(F327="2,5 kg",G327*2.5,"")))</f>
        <v/>
      </c>
      <c r="I327" s="48" t="n"/>
    </row>
    <row r="328" ht="15" customHeight="1">
      <c r="A328" s="48" t="n"/>
      <c r="B328" s="43" t="n"/>
      <c r="C328" s="32" t="n"/>
      <c r="D328" s="75" t="n"/>
      <c r="E328" s="48" t="n"/>
      <c r="F328" s="53" t="n"/>
      <c r="G328" s="48" t="n"/>
      <c r="H328" s="53">
        <f>IF(OR(F328="",G328=""),"",IF(F328="500 g",G328*0.5,IF(F328="2,5 kg",G328*2.5,"")))</f>
        <v/>
      </c>
      <c r="I328" s="48" t="n"/>
    </row>
    <row r="329" ht="15" customHeight="1">
      <c r="A329" s="48" t="n"/>
      <c r="B329" s="43" t="n"/>
      <c r="C329" s="32" t="n"/>
      <c r="D329" s="75" t="n"/>
      <c r="E329" s="48" t="n"/>
      <c r="F329" s="53" t="n"/>
      <c r="G329" s="48" t="n"/>
      <c r="H329" s="53">
        <f>IF(OR(F329="",G329=""),"",IF(F329="500 g",G329*0.5,IF(F329="2,5 kg",G329*2.5,"")))</f>
        <v/>
      </c>
      <c r="I329" s="48" t="n"/>
    </row>
    <row r="330" ht="15" customHeight="1">
      <c r="A330" s="48" t="n"/>
      <c r="B330" s="43" t="n"/>
      <c r="C330" s="32" t="n"/>
      <c r="D330" s="75" t="n"/>
      <c r="E330" s="48" t="n"/>
      <c r="F330" s="53" t="n"/>
      <c r="G330" s="48" t="n"/>
      <c r="H330" s="53">
        <f>IF(OR(F330="",G330=""),"",IF(F330="500 g",G330*0.5,IF(F330="2,5 kg",G330*2.5,"")))</f>
        <v/>
      </c>
      <c r="I330" s="48" t="n"/>
    </row>
    <row r="331" ht="15" customHeight="1">
      <c r="A331" s="48" t="n"/>
      <c r="B331" s="43" t="n"/>
      <c r="C331" s="32" t="n"/>
      <c r="D331" s="75" t="n"/>
      <c r="E331" s="48" t="n"/>
      <c r="F331" s="53" t="n"/>
      <c r="G331" s="48" t="n"/>
      <c r="H331" s="53">
        <f>IF(OR(F331="",G331=""),"",IF(F331="500 g",G331*0.5,IF(F331="2,5 kg",G331*2.5,"")))</f>
        <v/>
      </c>
      <c r="I331" s="48" t="n"/>
    </row>
    <row r="332" ht="15" customHeight="1">
      <c r="A332" s="48" t="n"/>
      <c r="B332" s="43" t="n"/>
      <c r="C332" s="32" t="n"/>
      <c r="D332" s="75" t="n"/>
      <c r="E332" s="48" t="n"/>
      <c r="F332" s="53" t="n"/>
      <c r="G332" s="48" t="n"/>
      <c r="H332" s="53">
        <f>IF(OR(F332="",G332=""),"",IF(F332="500 g",G332*0.5,IF(F332="2,5 kg",G332*2.5,"")))</f>
        <v/>
      </c>
      <c r="I332" s="48" t="n"/>
    </row>
    <row r="333" ht="15" customHeight="1">
      <c r="A333" s="48" t="n"/>
      <c r="B333" s="43" t="n"/>
      <c r="C333" s="32" t="n"/>
      <c r="D333" s="75" t="n"/>
      <c r="E333" s="48" t="n"/>
      <c r="F333" s="53" t="n"/>
      <c r="G333" s="48" t="n"/>
      <c r="H333" s="53">
        <f>IF(OR(F333="",G333=""),"",IF(F333="500 g",G333*0.5,IF(F333="2,5 kg",G333*2.5,"")))</f>
        <v/>
      </c>
      <c r="I333" s="48" t="n"/>
    </row>
    <row r="334" ht="15" customHeight="1">
      <c r="A334" s="48" t="n"/>
      <c r="B334" s="43" t="n"/>
      <c r="C334" s="32" t="n"/>
      <c r="D334" s="75" t="n"/>
      <c r="E334" s="48" t="n"/>
      <c r="F334" s="53" t="n"/>
      <c r="G334" s="48" t="n"/>
      <c r="H334" s="53">
        <f>IF(OR(F334="",G334=""),"",IF(F334="500 g",G334*0.5,IF(F334="2,5 kg",G334*2.5,"")))</f>
        <v/>
      </c>
      <c r="I334" s="48" t="n"/>
    </row>
    <row r="335" ht="15" customHeight="1">
      <c r="A335" s="48" t="n"/>
      <c r="B335" s="43" t="n"/>
      <c r="C335" s="32" t="n"/>
      <c r="D335" s="75" t="n"/>
      <c r="E335" s="48" t="n"/>
      <c r="F335" s="53" t="n"/>
      <c r="G335" s="48" t="n"/>
      <c r="H335" s="53">
        <f>IF(OR(F335="",G335=""),"",IF(F335="500 g",G335*0.5,IF(F335="2,5 kg",G335*2.5,"")))</f>
        <v/>
      </c>
      <c r="I335" s="48" t="n"/>
    </row>
    <row r="336" ht="15" customHeight="1">
      <c r="A336" s="48" t="n"/>
      <c r="B336" s="43" t="n"/>
      <c r="C336" s="32" t="n"/>
      <c r="D336" s="75" t="n"/>
      <c r="E336" s="48" t="n"/>
      <c r="F336" s="53" t="n"/>
      <c r="G336" s="48" t="n"/>
      <c r="H336" s="53">
        <f>IF(OR(F336="",G336=""),"",IF(F336="500 g",G336*0.5,IF(F336="2,5 kg",G336*2.5,"")))</f>
        <v/>
      </c>
      <c r="I336" s="48" t="n"/>
    </row>
    <row r="337" ht="15" customHeight="1">
      <c r="A337" s="48" t="n"/>
      <c r="B337" s="43" t="n"/>
      <c r="C337" s="32" t="n"/>
      <c r="D337" s="75" t="n"/>
      <c r="E337" s="48" t="n"/>
      <c r="F337" s="53" t="n"/>
      <c r="G337" s="48" t="n"/>
      <c r="H337" s="53">
        <f>IF(OR(F337="",G337=""),"",IF(F337="500 g",G337*0.5,IF(F337="2,5 kg",G337*2.5,"")))</f>
        <v/>
      </c>
      <c r="I337" s="48" t="n"/>
    </row>
    <row r="338" ht="15" customHeight="1">
      <c r="A338" s="48" t="n"/>
      <c r="B338" s="43" t="n"/>
      <c r="C338" s="32" t="n"/>
      <c r="D338" s="75" t="n"/>
      <c r="E338" s="48" t="n"/>
      <c r="F338" s="53" t="n"/>
      <c r="G338" s="48" t="n"/>
      <c r="H338" s="53">
        <f>IF(OR(F338="",G338=""),"",IF(F338="500 g",G338*0.5,IF(F338="2,5 kg",G338*2.5,"")))</f>
        <v/>
      </c>
      <c r="I338" s="48" t="n"/>
    </row>
    <row r="339" ht="15" customHeight="1">
      <c r="A339" s="48" t="n"/>
      <c r="B339" s="43" t="n"/>
      <c r="C339" s="32" t="n"/>
      <c r="D339" s="75" t="n"/>
      <c r="E339" s="48" t="n"/>
      <c r="F339" s="53" t="n"/>
      <c r="G339" s="48" t="n"/>
      <c r="H339" s="53">
        <f>IF(OR(F339="",G339=""),"",IF(F339="500 g",G339*0.5,IF(F339="2,5 kg",G339*2.5,"")))</f>
        <v/>
      </c>
      <c r="I339" s="48" t="n"/>
    </row>
    <row r="340" ht="15" customHeight="1">
      <c r="A340" s="48" t="n"/>
      <c r="B340" s="43" t="n"/>
      <c r="C340" s="32" t="n"/>
      <c r="D340" s="75" t="n"/>
      <c r="E340" s="48" t="n"/>
      <c r="F340" s="53" t="n"/>
      <c r="G340" s="48" t="n"/>
      <c r="H340" s="53">
        <f>IF(OR(F340="",G340=""),"",IF(F340="500 g",G340*0.5,IF(F340="2,5 kg",G340*2.5,"")))</f>
        <v/>
      </c>
      <c r="I340" s="48" t="n"/>
    </row>
    <row r="341" ht="15" customHeight="1">
      <c r="A341" s="48" t="n"/>
      <c r="B341" s="43" t="n"/>
      <c r="C341" s="32" t="n"/>
      <c r="D341" s="75" t="n"/>
      <c r="E341" s="48" t="n"/>
      <c r="F341" s="53" t="n"/>
      <c r="G341" s="48" t="n"/>
      <c r="H341" s="53">
        <f>IF(OR(F341="",G341=""),"",IF(F341="500 g",G341*0.5,IF(F341="2,5 kg",G341*2.5,"")))</f>
        <v/>
      </c>
      <c r="I341" s="48" t="n"/>
    </row>
    <row r="342" ht="15" customHeight="1">
      <c r="A342" s="48" t="n"/>
      <c r="B342" s="43" t="n"/>
      <c r="C342" s="32" t="n"/>
      <c r="D342" s="75" t="n"/>
      <c r="E342" s="48" t="n"/>
      <c r="F342" s="53" t="n"/>
      <c r="G342" s="48" t="n"/>
      <c r="H342" s="53">
        <f>IF(OR(F342="",G342=""),"",IF(F342="500 g",G342*0.5,IF(F342="2,5 kg",G342*2.5,"")))</f>
        <v/>
      </c>
      <c r="I342" s="48" t="n"/>
    </row>
    <row r="343" ht="15" customHeight="1">
      <c r="A343" s="48" t="n"/>
      <c r="B343" s="43" t="n"/>
      <c r="C343" s="32" t="n"/>
      <c r="D343" s="75" t="n"/>
      <c r="E343" s="48" t="n"/>
      <c r="F343" s="53" t="n"/>
      <c r="G343" s="48" t="n"/>
      <c r="H343" s="53">
        <f>IF(OR(F343="",G343=""),"",IF(F343="500 g",G343*0.5,IF(F343="2,5 kg",G343*2.5,"")))</f>
        <v/>
      </c>
      <c r="I343" s="48" t="n"/>
    </row>
    <row r="344" ht="15" customHeight="1">
      <c r="A344" s="48" t="n"/>
      <c r="B344" s="43" t="n"/>
      <c r="C344" s="32" t="n"/>
      <c r="D344" s="75" t="n"/>
      <c r="E344" s="48" t="n"/>
      <c r="F344" s="53" t="n"/>
      <c r="G344" s="48" t="n"/>
      <c r="H344" s="53">
        <f>IF(OR(F344="",G344=""),"",IF(F344="500 g",G344*0.5,IF(F344="2,5 kg",G344*2.5,"")))</f>
        <v/>
      </c>
      <c r="I344" s="48" t="n"/>
    </row>
    <row r="345" ht="15" customHeight="1">
      <c r="A345" s="48" t="n"/>
      <c r="B345" s="43" t="n"/>
      <c r="C345" s="32" t="n"/>
      <c r="D345" s="75" t="n"/>
      <c r="E345" s="48" t="n"/>
      <c r="F345" s="53" t="n"/>
      <c r="G345" s="48" t="n"/>
      <c r="H345" s="53">
        <f>IF(OR(F345="",G345=""),"",IF(F345="500 g",G345*0.5,IF(F345="2,5 kg",G345*2.5,"")))</f>
        <v/>
      </c>
      <c r="I345" s="48" t="n"/>
    </row>
    <row r="346" ht="15" customHeight="1">
      <c r="A346" s="48" t="n"/>
      <c r="B346" s="43" t="n"/>
      <c r="C346" s="32" t="n"/>
      <c r="D346" s="75" t="n"/>
      <c r="E346" s="48" t="n"/>
      <c r="F346" s="53" t="n"/>
      <c r="G346" s="48" t="n"/>
      <c r="H346" s="53">
        <f>IF(OR(F346="",G346=""),"",IF(F346="500 g",G346*0.5,IF(F346="2,5 kg",G346*2.5,"")))</f>
        <v/>
      </c>
      <c r="I346" s="48" t="n"/>
    </row>
    <row r="347" ht="15" customHeight="1">
      <c r="A347" s="48" t="n"/>
      <c r="B347" s="43" t="n"/>
      <c r="C347" s="32" t="n"/>
      <c r="D347" s="75" t="n"/>
      <c r="E347" s="48" t="n"/>
      <c r="F347" s="53" t="n"/>
      <c r="G347" s="48" t="n"/>
      <c r="H347" s="53">
        <f>IF(OR(F347="",G347=""),"",IF(F347="500 g",G347*0.5,IF(F347="2,5 kg",G347*2.5,"")))</f>
        <v/>
      </c>
      <c r="I347" s="48" t="n"/>
    </row>
    <row r="348" ht="15" customHeight="1">
      <c r="A348" s="48" t="n"/>
      <c r="B348" s="43" t="n"/>
      <c r="C348" s="32" t="n"/>
      <c r="D348" s="75" t="n"/>
      <c r="E348" s="48" t="n"/>
      <c r="F348" s="53" t="n"/>
      <c r="G348" s="48" t="n"/>
      <c r="H348" s="53">
        <f>IF(OR(F348="",G348=""),"",IF(F348="500 g",G348*0.5,IF(F348="2,5 kg",G348*2.5,"")))</f>
        <v/>
      </c>
      <c r="I348" s="48" t="n"/>
    </row>
    <row r="349" ht="15" customHeight="1">
      <c r="A349" s="48" t="n"/>
      <c r="B349" s="43" t="n"/>
      <c r="C349" s="32" t="n"/>
      <c r="D349" s="75" t="n"/>
      <c r="E349" s="48" t="n"/>
      <c r="F349" s="53" t="n"/>
      <c r="G349" s="48" t="n"/>
      <c r="H349" s="53">
        <f>IF(OR(F349="",G349=""),"",IF(F349="500 g",G349*0.5,IF(F349="2,5 kg",G349*2.5,"")))</f>
        <v/>
      </c>
      <c r="I349" s="48" t="n"/>
    </row>
    <row r="350" ht="15" customHeight="1">
      <c r="A350" s="48" t="n"/>
      <c r="B350" s="43" t="n"/>
      <c r="C350" s="32" t="n"/>
      <c r="D350" s="75" t="n"/>
      <c r="E350" s="48" t="n"/>
      <c r="F350" s="53" t="n"/>
      <c r="G350" s="48" t="n"/>
      <c r="H350" s="53">
        <f>IF(OR(F350="",G350=""),"",IF(F350="500 g",G350*0.5,IF(F350="2,5 kg",G350*2.5,"")))</f>
        <v/>
      </c>
      <c r="I350" s="48" t="n"/>
    </row>
    <row r="351" ht="15" customHeight="1">
      <c r="A351" s="48" t="n"/>
      <c r="B351" s="43" t="n"/>
      <c r="C351" s="32" t="n"/>
      <c r="D351" s="75" t="n"/>
      <c r="E351" s="48" t="n"/>
      <c r="F351" s="53" t="n"/>
      <c r="G351" s="48" t="n"/>
      <c r="H351" s="53">
        <f>IF(OR(F351="",G351=""),"",IF(F351="500 g",G351*0.5,IF(F351="2,5 kg",G351*2.5,"")))</f>
        <v/>
      </c>
      <c r="I351" s="48" t="n"/>
    </row>
    <row r="352" ht="15" customHeight="1">
      <c r="A352" s="48" t="n"/>
      <c r="B352" s="43" t="n"/>
      <c r="C352" s="32" t="n"/>
      <c r="D352" s="75" t="n"/>
      <c r="E352" s="48" t="n"/>
      <c r="F352" s="53" t="n"/>
      <c r="G352" s="48" t="n"/>
      <c r="H352" s="53">
        <f>IF(OR(F352="",G352=""),"",IF(F352="500 g",G352*0.5,IF(F352="2,5 kg",G352*2.5,"")))</f>
        <v/>
      </c>
      <c r="I352" s="48" t="n"/>
    </row>
    <row r="353" ht="15" customHeight="1">
      <c r="A353" s="48" t="n"/>
      <c r="B353" s="43" t="n"/>
      <c r="C353" s="32" t="n"/>
      <c r="D353" s="75" t="n"/>
      <c r="E353" s="48" t="n"/>
      <c r="F353" s="53" t="n"/>
      <c r="G353" s="48" t="n"/>
      <c r="H353" s="53">
        <f>IF(OR(F353="",G353=""),"",IF(F353="500 g",G353*0.5,IF(F353="2,5 kg",G353*2.5,"")))</f>
        <v/>
      </c>
      <c r="I353" s="48" t="n"/>
    </row>
    <row r="354" ht="15" customHeight="1">
      <c r="A354" s="48" t="n"/>
      <c r="B354" s="43" t="n"/>
      <c r="C354" s="32" t="n"/>
      <c r="D354" s="75" t="n"/>
      <c r="E354" s="48" t="n"/>
      <c r="F354" s="53" t="n"/>
      <c r="G354" s="48" t="n"/>
      <c r="H354" s="53">
        <f>IF(OR(F354="",G354=""),"",IF(F354="500 g",G354*0.5,IF(F354="2,5 kg",G354*2.5,"")))</f>
        <v/>
      </c>
      <c r="I354" s="48" t="n"/>
    </row>
    <row r="355" ht="15" customHeight="1">
      <c r="A355" s="48" t="n"/>
      <c r="B355" s="43" t="n"/>
      <c r="C355" s="32" t="n"/>
      <c r="D355" s="75" t="n"/>
      <c r="E355" s="48" t="n"/>
      <c r="F355" s="53" t="n"/>
      <c r="G355" s="48" t="n"/>
      <c r="H355" s="53">
        <f>IF(OR(F355="",G355=""),"",IF(F355="500 g",G355*0.5,IF(F355="2,5 kg",G355*2.5,"")))</f>
        <v/>
      </c>
      <c r="I355" s="48" t="n"/>
    </row>
    <row r="356" ht="15" customHeight="1">
      <c r="A356" s="48" t="n"/>
      <c r="B356" s="43" t="n"/>
      <c r="C356" s="32" t="n"/>
      <c r="D356" s="75" t="n"/>
      <c r="E356" s="48" t="n"/>
      <c r="F356" s="53" t="n"/>
      <c r="G356" s="48" t="n"/>
      <c r="H356" s="53">
        <f>IF(OR(F356="",G356=""),"",IF(F356="500 g",G356*0.5,IF(F356="2,5 kg",G356*2.5,"")))</f>
        <v/>
      </c>
      <c r="I356" s="48" t="n"/>
    </row>
    <row r="357" ht="15" customHeight="1">
      <c r="A357" s="48" t="n"/>
      <c r="B357" s="43" t="n"/>
      <c r="C357" s="32" t="n"/>
      <c r="D357" s="75" t="n"/>
      <c r="E357" s="48" t="n"/>
      <c r="F357" s="53" t="n"/>
      <c r="G357" s="48" t="n"/>
      <c r="H357" s="53">
        <f>IF(OR(F357="",G357=""),"",IF(F357="500 g",G357*0.5,IF(F357="2,5 kg",G357*2.5,"")))</f>
        <v/>
      </c>
      <c r="I357" s="48" t="n"/>
    </row>
    <row r="358" ht="15" customHeight="1">
      <c r="A358" s="48" t="n"/>
      <c r="B358" s="43" t="n"/>
      <c r="C358" s="32" t="n"/>
      <c r="D358" s="75" t="n"/>
      <c r="E358" s="48" t="n"/>
      <c r="F358" s="53" t="n"/>
      <c r="G358" s="48" t="n"/>
      <c r="H358" s="53">
        <f>IF(OR(F358="",G358=""),"",IF(F358="500 g",G358*0.5,IF(F358="2,5 kg",G358*2.5,"")))</f>
        <v/>
      </c>
      <c r="I358" s="48" t="n"/>
    </row>
    <row r="359" ht="15" customHeight="1">
      <c r="A359" s="48" t="n"/>
      <c r="B359" s="43" t="n"/>
      <c r="C359" s="32" t="n"/>
      <c r="D359" s="75" t="n"/>
      <c r="E359" s="48" t="n"/>
      <c r="F359" s="53" t="n"/>
      <c r="G359" s="48" t="n"/>
      <c r="H359" s="53">
        <f>IF(OR(F359="",G359=""),"",IF(F359="500 g",G359*0.5,IF(F359="2,5 kg",G359*2.5,"")))</f>
        <v/>
      </c>
      <c r="I359" s="48" t="n"/>
    </row>
    <row r="360" ht="15" customHeight="1">
      <c r="A360" s="48" t="n"/>
      <c r="B360" s="43" t="n"/>
      <c r="C360" s="32" t="n"/>
      <c r="D360" s="75" t="n"/>
      <c r="E360" s="48" t="n"/>
      <c r="F360" s="53" t="n"/>
      <c r="G360" s="48" t="n"/>
      <c r="H360" s="53">
        <f>IF(OR(F360="",G360=""),"",IF(F360="500 g",G360*0.5,IF(F360="2,5 kg",G360*2.5,"")))</f>
        <v/>
      </c>
      <c r="I360" s="48" t="n"/>
    </row>
    <row r="361" ht="15" customHeight="1">
      <c r="A361" s="48" t="n"/>
      <c r="B361" s="43" t="n"/>
      <c r="C361" s="32" t="n"/>
      <c r="D361" s="75" t="n"/>
      <c r="E361" s="48" t="n"/>
      <c r="F361" s="53" t="n"/>
      <c r="G361" s="48" t="n"/>
      <c r="H361" s="53">
        <f>IF(OR(F361="",G361=""),"",IF(F361="500 g",G361*0.5,IF(F361="2,5 kg",G361*2.5,"")))</f>
        <v/>
      </c>
      <c r="I361" s="48" t="n"/>
    </row>
    <row r="362" ht="15" customHeight="1">
      <c r="A362" s="48" t="n"/>
      <c r="B362" s="43" t="n"/>
      <c r="C362" s="32" t="n"/>
      <c r="D362" s="75" t="n"/>
      <c r="E362" s="48" t="n"/>
      <c r="F362" s="53" t="n"/>
      <c r="G362" s="48" t="n"/>
      <c r="H362" s="53">
        <f>IF(OR(F362="",G362=""),"",IF(F362="500 g",G362*0.5,IF(F362="2,5 kg",G362*2.5,"")))</f>
        <v/>
      </c>
      <c r="I362" s="48" t="n"/>
    </row>
    <row r="363" ht="15" customHeight="1">
      <c r="A363" s="48" t="n"/>
      <c r="B363" s="43" t="n"/>
      <c r="C363" s="32" t="n"/>
      <c r="D363" s="75" t="n"/>
      <c r="E363" s="48" t="n"/>
      <c r="F363" s="53" t="n"/>
      <c r="G363" s="48" t="n"/>
      <c r="H363" s="53">
        <f>IF(OR(F363="",G363=""),"",IF(F363="500 g",G363*0.5,IF(F363="2,5 kg",G363*2.5,"")))</f>
        <v/>
      </c>
      <c r="I363" s="48" t="n"/>
    </row>
    <row r="364" ht="15" customHeight="1">
      <c r="A364" s="48" t="n"/>
      <c r="B364" s="43" t="n"/>
      <c r="C364" s="32" t="n"/>
      <c r="D364" s="75" t="n"/>
      <c r="E364" s="48" t="n"/>
      <c r="F364" s="53" t="n"/>
      <c r="G364" s="48" t="n"/>
      <c r="H364" s="53">
        <f>IF(OR(F364="",G364=""),"",IF(F364="500 g",G364*0.5,IF(F364="2,5 kg",G364*2.5,"")))</f>
        <v/>
      </c>
      <c r="I364" s="48" t="n"/>
    </row>
    <row r="365" ht="15" customHeight="1">
      <c r="A365" s="48" t="n"/>
      <c r="B365" s="43" t="n"/>
      <c r="C365" s="32" t="n"/>
      <c r="D365" s="75" t="n"/>
      <c r="E365" s="48" t="n"/>
      <c r="F365" s="53" t="n"/>
      <c r="G365" s="48" t="n"/>
      <c r="H365" s="53">
        <f>IF(OR(F365="",G365=""),"",IF(F365="500 g",G365*0.5,IF(F365="2,5 kg",G365*2.5,"")))</f>
        <v/>
      </c>
      <c r="I365" s="48" t="n"/>
    </row>
    <row r="366" ht="15" customHeight="1">
      <c r="A366" s="48" t="n"/>
      <c r="B366" s="43" t="n"/>
      <c r="C366" s="32" t="n"/>
      <c r="D366" s="75" t="n"/>
      <c r="E366" s="48" t="n"/>
      <c r="F366" s="53" t="n"/>
      <c r="G366" s="48" t="n"/>
      <c r="H366" s="53">
        <f>IF(OR(F366="",G366=""),"",IF(F366="500 g",G366*0.5,IF(F366="2,5 kg",G366*2.5,"")))</f>
        <v/>
      </c>
      <c r="I366" s="48" t="n"/>
    </row>
    <row r="367" ht="15" customHeight="1">
      <c r="A367" s="48" t="n"/>
      <c r="B367" s="43" t="n"/>
      <c r="C367" s="32" t="n"/>
      <c r="D367" s="75" t="n"/>
      <c r="E367" s="48" t="n"/>
      <c r="F367" s="53" t="n"/>
      <c r="G367" s="48" t="n"/>
      <c r="H367" s="53">
        <f>IF(OR(F367="",G367=""),"",IF(F367="500 g",G367*0.5,IF(F367="2,5 kg",G367*2.5,"")))</f>
        <v/>
      </c>
      <c r="I367" s="48" t="n"/>
    </row>
    <row r="368" ht="15" customHeight="1">
      <c r="A368" s="48" t="n"/>
      <c r="B368" s="43" t="n"/>
      <c r="C368" s="32" t="n"/>
      <c r="D368" s="75" t="n"/>
      <c r="E368" s="48" t="n"/>
      <c r="F368" s="53" t="n"/>
      <c r="G368" s="48" t="n"/>
      <c r="H368" s="53">
        <f>IF(OR(F368="",G368=""),"",IF(F368="500 g",G368*0.5,IF(F368="2,5 kg",G368*2.5,"")))</f>
        <v/>
      </c>
      <c r="I368" s="48" t="n"/>
    </row>
    <row r="369" ht="15" customHeight="1">
      <c r="A369" s="48" t="n"/>
      <c r="B369" s="43" t="n"/>
      <c r="C369" s="32" t="n"/>
      <c r="D369" s="75" t="n"/>
      <c r="E369" s="48" t="n"/>
      <c r="F369" s="53" t="n"/>
      <c r="G369" s="48" t="n"/>
      <c r="H369" s="53">
        <f>IF(OR(F369="",G369=""),"",IF(F369="500 g",G369*0.5,IF(F369="2,5 kg",G369*2.5,"")))</f>
        <v/>
      </c>
      <c r="I369" s="48" t="n"/>
    </row>
    <row r="370" ht="15" customHeight="1">
      <c r="A370" s="48" t="n"/>
      <c r="B370" s="43" t="n"/>
      <c r="C370" s="32" t="n"/>
      <c r="D370" s="75" t="n"/>
      <c r="E370" s="48" t="n"/>
      <c r="F370" s="53" t="n"/>
      <c r="G370" s="48" t="n"/>
      <c r="H370" s="53">
        <f>IF(OR(F370="",G370=""),"",IF(F370="500 g",G370*0.5,IF(F370="2,5 kg",G370*2.5,"")))</f>
        <v/>
      </c>
      <c r="I370" s="48" t="n"/>
    </row>
    <row r="371" ht="15" customHeight="1">
      <c r="A371" s="48" t="n"/>
      <c r="B371" s="43" t="n"/>
      <c r="C371" s="32" t="n"/>
      <c r="D371" s="75" t="n"/>
      <c r="E371" s="48" t="n"/>
      <c r="F371" s="53" t="n"/>
      <c r="G371" s="48" t="n"/>
      <c r="H371" s="53">
        <f>IF(OR(F371="",G371=""),"",IF(F371="500 g",G371*0.5,IF(F371="2,5 kg",G371*2.5,"")))</f>
        <v/>
      </c>
      <c r="I371" s="48" t="n"/>
    </row>
    <row r="372" ht="15" customHeight="1">
      <c r="A372" s="48" t="n"/>
      <c r="B372" s="43" t="n"/>
      <c r="C372" s="32" t="n"/>
      <c r="D372" s="75" t="n"/>
      <c r="E372" s="48" t="n"/>
      <c r="F372" s="53" t="n"/>
      <c r="G372" s="48" t="n"/>
      <c r="H372" s="53">
        <f>IF(OR(F372="",G372=""),"",IF(F372="500 g",G372*0.5,IF(F372="2,5 kg",G372*2.5,"")))</f>
        <v/>
      </c>
      <c r="I372" s="48" t="n"/>
    </row>
    <row r="373" ht="15" customHeight="1">
      <c r="A373" s="48" t="n"/>
      <c r="B373" s="43" t="n"/>
      <c r="C373" s="32" t="n"/>
      <c r="D373" s="75" t="n"/>
      <c r="E373" s="48" t="n"/>
      <c r="F373" s="53" t="n"/>
      <c r="G373" s="48" t="n"/>
      <c r="H373" s="53">
        <f>IF(OR(F373="",G373=""),"",IF(F373="500 g",G373*0.5,IF(F373="2,5 kg",G373*2.5,"")))</f>
        <v/>
      </c>
      <c r="I373" s="48" t="n"/>
    </row>
    <row r="374" ht="15" customHeight="1">
      <c r="A374" s="48" t="n"/>
      <c r="B374" s="43" t="n"/>
      <c r="C374" s="32" t="n"/>
      <c r="D374" s="75" t="n"/>
      <c r="E374" s="48" t="n"/>
      <c r="F374" s="53" t="n"/>
      <c r="G374" s="48" t="n"/>
      <c r="H374" s="53">
        <f>IF(OR(F374="",G374=""),"",IF(F374="500 g",G374*0.5,IF(F374="2,5 kg",G374*2.5,"")))</f>
        <v/>
      </c>
      <c r="I374" s="48" t="n"/>
    </row>
    <row r="375" ht="15" customHeight="1">
      <c r="A375" s="48" t="n"/>
      <c r="B375" s="43" t="n"/>
      <c r="C375" s="32" t="n"/>
      <c r="D375" s="75" t="n"/>
      <c r="E375" s="48" t="n"/>
      <c r="F375" s="53" t="n"/>
      <c r="G375" s="48" t="n"/>
      <c r="H375" s="53">
        <f>IF(OR(F375="",G375=""),"",IF(F375="500 g",G375*0.5,IF(F375="2,5 kg",G375*2.5,"")))</f>
        <v/>
      </c>
      <c r="I375" s="48" t="n"/>
    </row>
    <row r="376" ht="15" customHeight="1">
      <c r="A376" s="48" t="n"/>
      <c r="B376" s="43" t="n"/>
      <c r="C376" s="32" t="n"/>
      <c r="D376" s="75" t="n"/>
      <c r="E376" s="48" t="n"/>
      <c r="F376" s="53" t="n"/>
      <c r="G376" s="48" t="n"/>
      <c r="H376" s="53">
        <f>IF(OR(F376="",G376=""),"",IF(F376="500 g",G376*0.5,IF(F376="2,5 kg",G376*2.5,"")))</f>
        <v/>
      </c>
      <c r="I376" s="48" t="n"/>
    </row>
    <row r="377" ht="15" customHeight="1">
      <c r="A377" s="48" t="n"/>
      <c r="B377" s="43" t="n"/>
      <c r="C377" s="32" t="n"/>
      <c r="D377" s="75" t="n"/>
      <c r="E377" s="48" t="n"/>
      <c r="F377" s="53" t="n"/>
      <c r="G377" s="48" t="n"/>
      <c r="H377" s="53">
        <f>IF(OR(F377="",G377=""),"",IF(F377="500 g",G377*0.5,IF(F377="2,5 kg",G377*2.5,"")))</f>
        <v/>
      </c>
      <c r="I377" s="48" t="n"/>
    </row>
    <row r="378" ht="15" customHeight="1">
      <c r="A378" s="48" t="n"/>
      <c r="B378" s="43" t="n"/>
      <c r="C378" s="32" t="n"/>
      <c r="D378" s="75" t="n"/>
      <c r="E378" s="48" t="n"/>
      <c r="F378" s="53" t="n"/>
      <c r="G378" s="48" t="n"/>
      <c r="H378" s="53">
        <f>IF(OR(F378="",G378=""),"",IF(F378="500 g",G378*0.5,IF(F378="2,5 kg",G378*2.5,"")))</f>
        <v/>
      </c>
      <c r="I378" s="48" t="n"/>
    </row>
    <row r="379" ht="15" customHeight="1">
      <c r="A379" s="48" t="n"/>
      <c r="B379" s="43" t="n"/>
      <c r="C379" s="32" t="n"/>
      <c r="D379" s="75" t="n"/>
      <c r="E379" s="48" t="n"/>
      <c r="F379" s="53" t="n"/>
      <c r="G379" s="48" t="n"/>
      <c r="H379" s="53">
        <f>IF(OR(F379="",G379=""),"",IF(F379="500 g",G379*0.5,IF(F379="2,5 kg",G379*2.5,"")))</f>
        <v/>
      </c>
      <c r="I379" s="48" t="n"/>
    </row>
    <row r="380" ht="15" customHeight="1">
      <c r="A380" s="48" t="n"/>
      <c r="B380" s="43" t="n"/>
      <c r="C380" s="32" t="n"/>
      <c r="D380" s="75" t="n"/>
      <c r="E380" s="48" t="n"/>
      <c r="F380" s="53" t="n"/>
      <c r="G380" s="48" t="n"/>
      <c r="H380" s="53">
        <f>IF(OR(F380="",G380=""),"",IF(F380="500 g",G380*0.5,IF(F380="2,5 kg",G380*2.5,"")))</f>
        <v/>
      </c>
      <c r="I380" s="48" t="n"/>
    </row>
    <row r="381" ht="15" customHeight="1">
      <c r="A381" s="48" t="n"/>
      <c r="B381" s="43" t="n"/>
      <c r="C381" s="32" t="n"/>
      <c r="D381" s="75" t="n"/>
      <c r="E381" s="48" t="n"/>
      <c r="F381" s="53" t="n"/>
      <c r="G381" s="48" t="n"/>
      <c r="H381" s="53">
        <f>IF(OR(F381="",G381=""),"",IF(F381="500 g",G381*0.5,IF(F381="2,5 kg",G381*2.5,"")))</f>
        <v/>
      </c>
      <c r="I381" s="48" t="n"/>
    </row>
    <row r="382" ht="15" customHeight="1">
      <c r="A382" s="48" t="n"/>
      <c r="B382" s="43" t="n"/>
      <c r="C382" s="32" t="n"/>
      <c r="D382" s="75" t="n"/>
      <c r="E382" s="48" t="n"/>
      <c r="F382" s="53" t="n"/>
      <c r="G382" s="48" t="n"/>
      <c r="H382" s="53">
        <f>IF(OR(F382="",G382=""),"",IF(F382="500 g",G382*0.5,IF(F382="2,5 kg",G382*2.5,"")))</f>
        <v/>
      </c>
      <c r="I382" s="48" t="n"/>
    </row>
    <row r="383" ht="15" customHeight="1">
      <c r="A383" s="48" t="n"/>
      <c r="B383" s="43" t="n"/>
      <c r="C383" s="32" t="n"/>
      <c r="D383" s="75" t="n"/>
      <c r="E383" s="48" t="n"/>
      <c r="F383" s="53" t="n"/>
      <c r="G383" s="48" t="n"/>
      <c r="H383" s="53">
        <f>IF(OR(F383="",G383=""),"",IF(F383="500 g",G383*0.5,IF(F383="2,5 kg",G383*2.5,"")))</f>
        <v/>
      </c>
      <c r="I383" s="48" t="n"/>
    </row>
    <row r="384" ht="15" customHeight="1">
      <c r="A384" s="48" t="n"/>
      <c r="B384" s="43" t="n"/>
      <c r="C384" s="32" t="n"/>
      <c r="D384" s="75" t="n"/>
      <c r="E384" s="48" t="n"/>
      <c r="F384" s="53" t="n"/>
      <c r="G384" s="48" t="n"/>
      <c r="H384" s="53">
        <f>IF(OR(F384="",G384=""),"",IF(F384="500 g",G384*0.5,IF(F384="2,5 kg",G384*2.5,"")))</f>
        <v/>
      </c>
      <c r="I384" s="48" t="n"/>
    </row>
    <row r="385" ht="15" customHeight="1">
      <c r="A385" s="48" t="n"/>
      <c r="B385" s="43" t="n"/>
      <c r="C385" s="32" t="n"/>
      <c r="D385" s="75" t="n"/>
      <c r="E385" s="48" t="n"/>
      <c r="F385" s="53" t="n"/>
      <c r="G385" s="48" t="n"/>
      <c r="H385" s="53">
        <f>IF(OR(F385="",G385=""),"",IF(F385="500 g",G385*0.5,IF(F385="2,5 kg",G385*2.5,"")))</f>
        <v/>
      </c>
      <c r="I385" s="48" t="n"/>
    </row>
    <row r="386" ht="15" customHeight="1">
      <c r="A386" s="48" t="n"/>
      <c r="B386" s="43" t="n"/>
      <c r="C386" s="32" t="n"/>
      <c r="D386" s="75" t="n"/>
      <c r="E386" s="48" t="n"/>
      <c r="F386" s="53" t="n"/>
      <c r="G386" s="48" t="n"/>
      <c r="H386" s="53">
        <f>IF(OR(F386="",G386=""),"",IF(F386="500 g",G386*0.5,IF(F386="2,5 kg",G386*2.5,"")))</f>
        <v/>
      </c>
      <c r="I386" s="48" t="n"/>
    </row>
    <row r="387" ht="15" customHeight="1">
      <c r="A387" s="48" t="n"/>
      <c r="B387" s="43" t="n"/>
      <c r="C387" s="32" t="n"/>
      <c r="D387" s="75" t="n"/>
      <c r="E387" s="48" t="n"/>
      <c r="F387" s="53" t="n"/>
      <c r="G387" s="48" t="n"/>
      <c r="H387" s="53">
        <f>IF(OR(F387="",G387=""),"",IF(F387="500 g",G387*0.5,IF(F387="2,5 kg",G387*2.5,"")))</f>
        <v/>
      </c>
      <c r="I387" s="48" t="n"/>
    </row>
    <row r="388" ht="15" customHeight="1">
      <c r="A388" s="48" t="n"/>
      <c r="B388" s="43" t="n"/>
      <c r="C388" s="32" t="n"/>
      <c r="D388" s="75" t="n"/>
      <c r="E388" s="48" t="n"/>
      <c r="F388" s="53" t="n"/>
      <c r="G388" s="48" t="n"/>
      <c r="H388" s="53">
        <f>IF(OR(F388="",G388=""),"",IF(F388="500 g",G388*0.5,IF(F388="2,5 kg",G388*2.5,"")))</f>
        <v/>
      </c>
      <c r="I388" s="48" t="n"/>
    </row>
    <row r="389" ht="15" customHeight="1">
      <c r="A389" s="48" t="n"/>
      <c r="B389" s="43" t="n"/>
      <c r="C389" s="32" t="n"/>
      <c r="D389" s="75" t="n"/>
      <c r="E389" s="48" t="n"/>
      <c r="F389" s="53" t="n"/>
      <c r="G389" s="48" t="n"/>
      <c r="H389" s="53">
        <f>IF(OR(F389="",G389=""),"",IF(F389="500 g",G389*0.5,IF(F389="2,5 kg",G389*2.5,"")))</f>
        <v/>
      </c>
      <c r="I389" s="48" t="n"/>
    </row>
    <row r="390" ht="15" customHeight="1">
      <c r="A390" s="48" t="n"/>
      <c r="B390" s="43" t="n"/>
      <c r="C390" s="32" t="n"/>
      <c r="D390" s="75" t="n"/>
      <c r="E390" s="48" t="n"/>
      <c r="F390" s="53" t="n"/>
      <c r="G390" s="48" t="n"/>
      <c r="H390" s="53">
        <f>IF(OR(F390="",G390=""),"",IF(F390="500 g",G390*0.5,IF(F390="2,5 kg",G390*2.5,"")))</f>
        <v/>
      </c>
      <c r="I390" s="48" t="n"/>
    </row>
    <row r="391" ht="15" customHeight="1">
      <c r="A391" s="48" t="n"/>
      <c r="B391" s="43" t="n"/>
      <c r="C391" s="32" t="n"/>
      <c r="D391" s="75" t="n"/>
      <c r="E391" s="48" t="n"/>
      <c r="F391" s="53" t="n"/>
      <c r="G391" s="48" t="n"/>
      <c r="H391" s="53">
        <f>IF(OR(F391="",G391=""),"",IF(F391="500 g",G391*0.5,IF(F391="2,5 kg",G391*2.5,"")))</f>
        <v/>
      </c>
      <c r="I391" s="48" t="n"/>
    </row>
    <row r="392" ht="15" customHeight="1">
      <c r="A392" s="48" t="n"/>
      <c r="B392" s="43" t="n"/>
      <c r="C392" s="32" t="n"/>
      <c r="D392" s="75" t="n"/>
      <c r="E392" s="48" t="n"/>
      <c r="F392" s="53" t="n"/>
      <c r="G392" s="48" t="n"/>
      <c r="H392" s="53">
        <f>IF(OR(F392="",G392=""),"",IF(F392="500 g",G392*0.5,IF(F392="2,5 kg",G392*2.5,"")))</f>
        <v/>
      </c>
      <c r="I392" s="48" t="n"/>
    </row>
    <row r="393" ht="15" customHeight="1">
      <c r="A393" s="48" t="n"/>
      <c r="B393" s="43" t="n"/>
      <c r="C393" s="32" t="n"/>
      <c r="D393" s="75" t="n"/>
      <c r="E393" s="48" t="n"/>
      <c r="F393" s="53" t="n"/>
      <c r="G393" s="48" t="n"/>
      <c r="H393" s="53">
        <f>IF(OR(F393="",G393=""),"",IF(F393="500 g",G393*0.5,IF(F393="2,5 kg",G393*2.5,"")))</f>
        <v/>
      </c>
      <c r="I393" s="48" t="n"/>
    </row>
    <row r="394" ht="15" customHeight="1">
      <c r="A394" s="48" t="n"/>
      <c r="B394" s="43" t="n"/>
      <c r="C394" s="32" t="n"/>
      <c r="D394" s="75" t="n"/>
      <c r="E394" s="48" t="n"/>
      <c r="F394" s="53" t="n"/>
      <c r="G394" s="48" t="n"/>
      <c r="H394" s="53">
        <f>IF(OR(F394="",G394=""),"",IF(F394="500 g",G394*0.5,IF(F394="2,5 kg",G394*2.5,"")))</f>
        <v/>
      </c>
      <c r="I394" s="48" t="n"/>
    </row>
    <row r="395" ht="15" customHeight="1">
      <c r="A395" s="48" t="n"/>
      <c r="B395" s="43" t="n"/>
      <c r="C395" s="32" t="n"/>
      <c r="D395" s="75" t="n"/>
      <c r="E395" s="48" t="n"/>
      <c r="F395" s="53" t="n"/>
      <c r="G395" s="48" t="n"/>
      <c r="H395" s="53">
        <f>IF(OR(F395="",G395=""),"",IF(F395="500 g",G395*0.5,IF(F395="2,5 kg",G395*2.5,"")))</f>
        <v/>
      </c>
      <c r="I395" s="48" t="n"/>
    </row>
    <row r="396" ht="15" customHeight="1">
      <c r="A396" s="48" t="n"/>
      <c r="B396" s="43" t="n"/>
      <c r="C396" s="32" t="n"/>
      <c r="D396" s="75" t="n"/>
      <c r="E396" s="48" t="n"/>
      <c r="F396" s="53" t="n"/>
      <c r="G396" s="48" t="n"/>
      <c r="H396" s="53">
        <f>IF(OR(F396="",G396=""),"",IF(F396="500 g",G396*0.5,IF(F396="2,5 kg",G396*2.5,"")))</f>
        <v/>
      </c>
      <c r="I396" s="48" t="n"/>
    </row>
    <row r="397" ht="15" customHeight="1">
      <c r="A397" s="48" t="n"/>
      <c r="B397" s="43" t="n"/>
      <c r="C397" s="32" t="n"/>
      <c r="D397" s="75" t="n"/>
      <c r="E397" s="48" t="n"/>
      <c r="F397" s="53" t="n"/>
      <c r="G397" s="48" t="n"/>
      <c r="H397" s="53">
        <f>IF(OR(F397="",G397=""),"",IF(F397="500 g",G397*0.5,IF(F397="2,5 kg",G397*2.5,"")))</f>
        <v/>
      </c>
      <c r="I397" s="48" t="n"/>
    </row>
    <row r="398" ht="15" customHeight="1">
      <c r="A398" s="48" t="n"/>
      <c r="B398" s="43" t="n"/>
      <c r="C398" s="32" t="n"/>
      <c r="D398" s="75" t="n"/>
      <c r="E398" s="48" t="n"/>
      <c r="F398" s="53" t="n"/>
      <c r="G398" s="48" t="n"/>
      <c r="H398" s="53">
        <f>IF(OR(F398="",G398=""),"",IF(F398="500 g",G398*0.5,IF(F398="2,5 kg",G398*2.5,"")))</f>
        <v/>
      </c>
      <c r="I398" s="48" t="n"/>
    </row>
    <row r="399" ht="15" customHeight="1">
      <c r="A399" s="48" t="n"/>
      <c r="B399" s="43" t="n"/>
      <c r="C399" s="32" t="n"/>
      <c r="D399" s="75" t="n"/>
      <c r="E399" s="48" t="n"/>
      <c r="F399" s="53" t="n"/>
      <c r="G399" s="48" t="n"/>
      <c r="H399" s="53">
        <f>IF(OR(F399="",G399=""),"",IF(F399="500 g",G399*0.5,IF(F399="2,5 kg",G399*2.5,"")))</f>
        <v/>
      </c>
      <c r="I399" s="48" t="n"/>
    </row>
    <row r="400" ht="15" customHeight="1">
      <c r="A400" s="48" t="n"/>
      <c r="B400" s="43" t="n"/>
      <c r="C400" s="32" t="n"/>
      <c r="D400" s="75" t="n"/>
      <c r="E400" s="48" t="n"/>
      <c r="F400" s="53" t="n"/>
      <c r="G400" s="48" t="n"/>
      <c r="H400" s="53">
        <f>IF(OR(F400="",G400=""),"",IF(F400="500 g",G400*0.5,IF(F400="2,5 kg",G400*2.5,"")))</f>
        <v/>
      </c>
      <c r="I400" s="48" t="n"/>
    </row>
    <row r="401" ht="15" customHeight="1">
      <c r="A401" s="48" t="n"/>
      <c r="B401" s="43" t="n"/>
      <c r="C401" s="32" t="n"/>
      <c r="D401" s="75" t="n"/>
      <c r="E401" s="48" t="n"/>
      <c r="F401" s="53" t="n"/>
      <c r="G401" s="48" t="n"/>
      <c r="H401" s="53">
        <f>IF(OR(F401="",G401=""),"",IF(F401="500 g",G401*0.5,IF(F401="2,5 kg",G401*2.5,"")))</f>
        <v/>
      </c>
      <c r="I401" s="48" t="n"/>
    </row>
    <row r="402" ht="15" customHeight="1">
      <c r="A402" s="48" t="n"/>
      <c r="B402" s="43" t="n"/>
      <c r="C402" s="32" t="n"/>
      <c r="D402" s="75" t="n"/>
      <c r="E402" s="48" t="n"/>
      <c r="F402" s="53" t="n"/>
      <c r="G402" s="48" t="n"/>
      <c r="H402" s="53">
        <f>IF(OR(F402="",G402=""),"",IF(F402="500 g",G402*0.5,IF(F402="2,5 kg",G402*2.5,"")))</f>
        <v/>
      </c>
      <c r="I402" s="48" t="n"/>
    </row>
    <row r="403" ht="15" customHeight="1">
      <c r="A403" s="48" t="n"/>
      <c r="B403" s="43" t="n"/>
      <c r="C403" s="32" t="n"/>
      <c r="D403" s="75" t="n"/>
      <c r="E403" s="48" t="n"/>
      <c r="F403" s="53" t="n"/>
      <c r="G403" s="48" t="n"/>
      <c r="H403" s="53">
        <f>IF(OR(F403="",G403=""),"",IF(F403="500 g",G403*0.5,IF(F403="2,5 kg",G403*2.5,"")))</f>
        <v/>
      </c>
      <c r="I403" s="48" t="n"/>
    </row>
    <row r="404" ht="15" customHeight="1">
      <c r="A404" s="48" t="n"/>
      <c r="B404" s="43" t="n"/>
      <c r="C404" s="32" t="n"/>
      <c r="D404" s="75" t="n"/>
      <c r="E404" s="48" t="n"/>
      <c r="F404" s="53" t="n"/>
      <c r="G404" s="48" t="n"/>
      <c r="H404" s="53">
        <f>IF(OR(F404="",G404=""),"",IF(F404="500 g",G404*0.5,IF(F404="2,5 kg",G404*2.5,"")))</f>
        <v/>
      </c>
      <c r="I404" s="48" t="n"/>
    </row>
    <row r="405" ht="15" customHeight="1">
      <c r="A405" s="48" t="n"/>
      <c r="B405" s="43" t="n"/>
      <c r="C405" s="32" t="n"/>
      <c r="D405" s="75" t="n"/>
      <c r="E405" s="48" t="n"/>
      <c r="F405" s="53" t="n"/>
      <c r="G405" s="48" t="n"/>
      <c r="H405" s="53">
        <f>IF(OR(F405="",G405=""),"",IF(F405="500 g",G405*0.5,IF(F405="2,5 kg",G405*2.5,"")))</f>
        <v/>
      </c>
      <c r="I405" s="48" t="n"/>
    </row>
    <row r="406" ht="15" customHeight="1">
      <c r="A406" s="48" t="n"/>
      <c r="B406" s="43" t="n"/>
      <c r="C406" s="32" t="n"/>
      <c r="D406" s="75" t="n"/>
      <c r="E406" s="48" t="n"/>
      <c r="F406" s="53" t="n"/>
      <c r="G406" s="48" t="n"/>
      <c r="H406" s="53">
        <f>IF(OR(F406="",G406=""),"",IF(F406="500 g",G406*0.5,IF(F406="2,5 kg",G406*2.5,"")))</f>
        <v/>
      </c>
      <c r="I406" s="48" t="n"/>
    </row>
    <row r="407" ht="15" customHeight="1">
      <c r="A407" s="48" t="n"/>
      <c r="B407" s="43" t="n"/>
      <c r="C407" s="32" t="n"/>
      <c r="D407" s="75" t="n"/>
      <c r="E407" s="48" t="n"/>
      <c r="F407" s="53" t="n"/>
      <c r="G407" s="48" t="n"/>
      <c r="H407" s="53">
        <f>IF(OR(F407="",G407=""),"",IF(F407="500 g",G407*0.5,IF(F407="2,5 kg",G407*2.5,"")))</f>
        <v/>
      </c>
      <c r="I407" s="48" t="n"/>
    </row>
    <row r="408" ht="15" customHeight="1">
      <c r="A408" s="48" t="n"/>
      <c r="B408" s="43" t="n"/>
      <c r="C408" s="32" t="n"/>
      <c r="D408" s="75" t="n"/>
      <c r="E408" s="48" t="n"/>
      <c r="F408" s="53" t="n"/>
      <c r="G408" s="48" t="n"/>
      <c r="H408" s="53">
        <f>IF(OR(F408="",G408=""),"",IF(F408="500 g",G408*0.5,IF(F408="2,5 kg",G408*2.5,"")))</f>
        <v/>
      </c>
      <c r="I408" s="48" t="n"/>
    </row>
    <row r="409" ht="15" customHeight="1">
      <c r="A409" s="48" t="n"/>
      <c r="B409" s="43" t="n"/>
      <c r="C409" s="32" t="n"/>
      <c r="D409" s="75" t="n"/>
      <c r="E409" s="48" t="n"/>
      <c r="F409" s="53" t="n"/>
      <c r="G409" s="48" t="n"/>
      <c r="H409" s="53">
        <f>IF(OR(F409="",G409=""),"",IF(F409="500 g",G409*0.5,IF(F409="2,5 kg",G409*2.5,"")))</f>
        <v/>
      </c>
      <c r="I409" s="48" t="n"/>
    </row>
    <row r="410" ht="15" customHeight="1">
      <c r="A410" s="48" t="n"/>
      <c r="B410" s="43" t="n"/>
      <c r="C410" s="32" t="n"/>
      <c r="D410" s="75" t="n"/>
      <c r="E410" s="48" t="n"/>
      <c r="F410" s="53" t="n"/>
      <c r="G410" s="48" t="n"/>
      <c r="H410" s="53">
        <f>IF(OR(F410="",G410=""),"",IF(F410="500 g",G410*0.5,IF(F410="2,5 kg",G410*2.5,"")))</f>
        <v/>
      </c>
      <c r="I410" s="48" t="n"/>
    </row>
    <row r="411" ht="15" customHeight="1">
      <c r="A411" s="48" t="n"/>
      <c r="B411" s="43" t="n"/>
      <c r="C411" s="32" t="n"/>
      <c r="D411" s="75" t="n"/>
      <c r="E411" s="48" t="n"/>
      <c r="F411" s="53" t="n"/>
      <c r="G411" s="48" t="n"/>
      <c r="H411" s="53">
        <f>IF(OR(F411="",G411=""),"",IF(F411="500 g",G411*0.5,IF(F411="2,5 kg",G411*2.5,"")))</f>
        <v/>
      </c>
      <c r="I411" s="48" t="n"/>
    </row>
    <row r="412" ht="15" customHeight="1">
      <c r="A412" s="48" t="n"/>
      <c r="B412" s="43" t="n"/>
      <c r="C412" s="32" t="n"/>
      <c r="D412" s="75" t="n"/>
      <c r="E412" s="48" t="n"/>
      <c r="F412" s="53" t="n"/>
      <c r="G412" s="48" t="n"/>
      <c r="H412" s="53">
        <f>IF(OR(F412="",G412=""),"",IF(F412="500 g",G412*0.5,IF(F412="2,5 kg",G412*2.5,"")))</f>
        <v/>
      </c>
      <c r="I412" s="48" t="n"/>
    </row>
    <row r="413" ht="15" customHeight="1">
      <c r="A413" s="48" t="n"/>
      <c r="B413" s="43" t="n"/>
      <c r="C413" s="32" t="n"/>
      <c r="D413" s="75" t="n"/>
      <c r="E413" s="48" t="n"/>
      <c r="F413" s="53" t="n"/>
      <c r="G413" s="48" t="n"/>
      <c r="H413" s="53">
        <f>IF(OR(F413="",G413=""),"",IF(F413="500 g",G413*0.5,IF(F413="2,5 kg",G413*2.5,"")))</f>
        <v/>
      </c>
      <c r="I413" s="48" t="n"/>
    </row>
    <row r="414" ht="15" customHeight="1">
      <c r="A414" s="48" t="n"/>
      <c r="B414" s="43" t="n"/>
      <c r="C414" s="32" t="n"/>
      <c r="D414" s="75" t="n"/>
      <c r="E414" s="48" t="n"/>
      <c r="F414" s="53" t="n"/>
      <c r="G414" s="48" t="n"/>
      <c r="H414" s="53">
        <f>IF(OR(F414="",G414=""),"",IF(F414="500 g",G414*0.5,IF(F414="2,5 kg",G414*2.5,"")))</f>
        <v/>
      </c>
      <c r="I414" s="48" t="n"/>
    </row>
    <row r="415" ht="15" customHeight="1">
      <c r="A415" s="48" t="n"/>
      <c r="B415" s="43" t="n"/>
      <c r="C415" s="32" t="n"/>
      <c r="D415" s="75" t="n"/>
      <c r="E415" s="48" t="n"/>
      <c r="F415" s="53" t="n"/>
      <c r="G415" s="48" t="n"/>
      <c r="H415" s="53">
        <f>IF(OR(F415="",G415=""),"",IF(F415="500 g",G415*0.5,IF(F415="2,5 kg",G415*2.5,"")))</f>
        <v/>
      </c>
      <c r="I415" s="48" t="n"/>
    </row>
    <row r="416" ht="15" customHeight="1">
      <c r="A416" s="48" t="n"/>
      <c r="B416" s="43" t="n"/>
      <c r="C416" s="32" t="n"/>
      <c r="D416" s="75" t="n"/>
      <c r="E416" s="48" t="n"/>
      <c r="F416" s="53" t="n"/>
      <c r="G416" s="48" t="n"/>
      <c r="H416" s="53">
        <f>IF(OR(F416="",G416=""),"",IF(F416="500 g",G416*0.5,IF(F416="2,5 kg",G416*2.5,"")))</f>
        <v/>
      </c>
      <c r="I416" s="48" t="n"/>
    </row>
    <row r="417" ht="15" customHeight="1">
      <c r="A417" s="48" t="n"/>
      <c r="B417" s="43" t="n"/>
      <c r="C417" s="32" t="n"/>
      <c r="D417" s="75" t="n"/>
      <c r="E417" s="48" t="n"/>
      <c r="F417" s="53" t="n"/>
      <c r="G417" s="48" t="n"/>
      <c r="H417" s="53">
        <f>IF(OR(F417="",G417=""),"",IF(F417="500 g",G417*0.5,IF(F417="2,5 kg",G417*2.5,"")))</f>
        <v/>
      </c>
      <c r="I417" s="48" t="n"/>
    </row>
    <row r="418" ht="15" customHeight="1">
      <c r="A418" s="48" t="n"/>
      <c r="B418" s="43" t="n"/>
      <c r="C418" s="32" t="n"/>
      <c r="D418" s="75" t="n"/>
      <c r="E418" s="48" t="n"/>
      <c r="F418" s="53" t="n"/>
      <c r="G418" s="48" t="n"/>
      <c r="H418" s="53">
        <f>IF(OR(F418="",G418=""),"",IF(F418="500 g",G418*0.5,IF(F418="2,5 kg",G418*2.5,"")))</f>
        <v/>
      </c>
      <c r="I418" s="48" t="n"/>
    </row>
    <row r="419" ht="15" customHeight="1">
      <c r="A419" s="48" t="n"/>
      <c r="B419" s="43" t="n"/>
      <c r="C419" s="32" t="n"/>
      <c r="D419" s="75" t="n"/>
      <c r="E419" s="48" t="n"/>
      <c r="F419" s="53" t="n"/>
      <c r="G419" s="48" t="n"/>
      <c r="H419" s="53">
        <f>IF(OR(F419="",G419=""),"",IF(F419="500 g",G419*0.5,IF(F419="2,5 kg",G419*2.5,"")))</f>
        <v/>
      </c>
      <c r="I419" s="48" t="n"/>
    </row>
    <row r="420" ht="15" customHeight="1">
      <c r="A420" s="48" t="n"/>
      <c r="B420" s="43" t="n"/>
      <c r="C420" s="32" t="n"/>
      <c r="D420" s="75" t="n"/>
      <c r="E420" s="48" t="n"/>
      <c r="F420" s="53" t="n"/>
      <c r="G420" s="48" t="n"/>
      <c r="H420" s="53">
        <f>IF(OR(F420="",G420=""),"",IF(F420="500 g",G420*0.5,IF(F420="2,5 kg",G420*2.5,"")))</f>
        <v/>
      </c>
      <c r="I420" s="48" t="n"/>
    </row>
    <row r="421" ht="15" customHeight="1">
      <c r="A421" s="48" t="n"/>
      <c r="B421" s="43" t="n"/>
      <c r="C421" s="32" t="n"/>
      <c r="D421" s="75" t="n"/>
      <c r="E421" s="48" t="n"/>
      <c r="F421" s="53" t="n"/>
      <c r="G421" s="48" t="n"/>
      <c r="H421" s="53">
        <f>IF(OR(F421="",G421=""),"",IF(F421="500 g",G421*0.5,IF(F421="2,5 kg",G421*2.5,"")))</f>
        <v/>
      </c>
      <c r="I421" s="48" t="n"/>
    </row>
    <row r="422" ht="15" customHeight="1">
      <c r="A422" s="48" t="n"/>
      <c r="B422" s="43" t="n"/>
      <c r="C422" s="32" t="n"/>
      <c r="D422" s="75" t="n"/>
      <c r="E422" s="48" t="n"/>
      <c r="F422" s="53" t="n"/>
      <c r="G422" s="48" t="n"/>
      <c r="H422" s="53">
        <f>IF(OR(F422="",G422=""),"",IF(F422="500 g",G422*0.5,IF(F422="2,5 kg",G422*2.5,"")))</f>
        <v/>
      </c>
      <c r="I422" s="48" t="n"/>
    </row>
    <row r="423" ht="15" customHeight="1">
      <c r="A423" s="48" t="n"/>
      <c r="B423" s="43" t="n"/>
      <c r="C423" s="32" t="n"/>
      <c r="D423" s="75" t="n"/>
      <c r="E423" s="48" t="n"/>
      <c r="F423" s="53" t="n"/>
      <c r="G423" s="48" t="n"/>
      <c r="H423" s="53">
        <f>IF(OR(F423="",G423=""),"",IF(F423="500 g",G423*0.5,IF(F423="2,5 kg",G423*2.5,"")))</f>
        <v/>
      </c>
      <c r="I423" s="48" t="n"/>
    </row>
    <row r="424" ht="15" customHeight="1">
      <c r="A424" s="48" t="n"/>
      <c r="B424" s="43" t="n"/>
      <c r="C424" s="32" t="n"/>
      <c r="D424" s="75" t="n"/>
      <c r="E424" s="48" t="n"/>
      <c r="F424" s="53" t="n"/>
      <c r="G424" s="48" t="n"/>
      <c r="H424" s="53">
        <f>IF(OR(F424="",G424=""),"",IF(F424="500 g",G424*0.5,IF(F424="2,5 kg",G424*2.5,"")))</f>
        <v/>
      </c>
      <c r="I424" s="48" t="n"/>
    </row>
    <row r="425" ht="15" customHeight="1">
      <c r="A425" s="48" t="n"/>
      <c r="B425" s="43" t="n"/>
      <c r="C425" s="32" t="n"/>
      <c r="D425" s="75" t="n"/>
      <c r="E425" s="48" t="n"/>
      <c r="F425" s="53" t="n"/>
      <c r="G425" s="48" t="n"/>
      <c r="H425" s="53">
        <f>IF(OR(F425="",G425=""),"",IF(F425="500 g",G425*0.5,IF(F425="2,5 kg",G425*2.5,"")))</f>
        <v/>
      </c>
      <c r="I425" s="48" t="n"/>
    </row>
    <row r="426" ht="15" customHeight="1">
      <c r="A426" s="48" t="n"/>
      <c r="B426" s="43" t="n"/>
      <c r="C426" s="32" t="n"/>
      <c r="D426" s="75" t="n"/>
      <c r="E426" s="48" t="n"/>
      <c r="F426" s="53" t="n"/>
      <c r="G426" s="48" t="n"/>
      <c r="H426" s="53">
        <f>IF(OR(F426="",G426=""),"",IF(F426="500 g",G426*0.5,IF(F426="2,5 kg",G426*2.5,"")))</f>
        <v/>
      </c>
      <c r="I426" s="48" t="n"/>
    </row>
    <row r="427" ht="15" customHeight="1">
      <c r="A427" s="48" t="n"/>
      <c r="B427" s="43" t="n"/>
      <c r="C427" s="32" t="n"/>
      <c r="D427" s="75" t="n"/>
      <c r="E427" s="48" t="n"/>
      <c r="F427" s="53" t="n"/>
      <c r="G427" s="48" t="n"/>
      <c r="H427" s="53">
        <f>IF(OR(F427="",G427=""),"",IF(F427="500 g",G427*0.5,IF(F427="2,5 kg",G427*2.5,"")))</f>
        <v/>
      </c>
      <c r="I427" s="48" t="n"/>
    </row>
    <row r="428" ht="15" customHeight="1">
      <c r="A428" s="48" t="n"/>
      <c r="B428" s="43" t="n"/>
      <c r="C428" s="32" t="n"/>
      <c r="D428" s="75" t="n"/>
      <c r="E428" s="48" t="n"/>
      <c r="F428" s="53" t="n"/>
      <c r="G428" s="48" t="n"/>
      <c r="H428" s="53">
        <f>IF(OR(F428="",G428=""),"",IF(F428="500 g",G428*0.5,IF(F428="2,5 kg",G428*2.5,"")))</f>
        <v/>
      </c>
      <c r="I428" s="48" t="n"/>
    </row>
    <row r="429" ht="15" customHeight="1">
      <c r="A429" s="48" t="n"/>
      <c r="B429" s="43" t="n"/>
      <c r="C429" s="32" t="n"/>
      <c r="D429" s="75" t="n"/>
      <c r="E429" s="48" t="n"/>
      <c r="F429" s="53" t="n"/>
      <c r="G429" s="48" t="n"/>
      <c r="H429" s="53">
        <f>IF(OR(F429="",G429=""),"",IF(F429="500 g",G429*0.5,IF(F429="2,5 kg",G429*2.5,"")))</f>
        <v/>
      </c>
      <c r="I429" s="48" t="n"/>
    </row>
    <row r="430" ht="15" customHeight="1">
      <c r="A430" s="48" t="n"/>
      <c r="B430" s="43" t="n"/>
      <c r="C430" s="32" t="n"/>
      <c r="D430" s="75" t="n"/>
      <c r="E430" s="48" t="n"/>
      <c r="F430" s="53" t="n"/>
      <c r="G430" s="48" t="n"/>
      <c r="H430" s="53">
        <f>IF(OR(F430="",G430=""),"",IF(F430="500 g",G430*0.5,IF(F430="2,5 kg",G430*2.5,"")))</f>
        <v/>
      </c>
      <c r="I430" s="48" t="n"/>
    </row>
    <row r="431" ht="15" customHeight="1">
      <c r="A431" s="48" t="n"/>
      <c r="B431" s="43" t="n"/>
      <c r="C431" s="32" t="n"/>
      <c r="D431" s="75" t="n"/>
      <c r="E431" s="48" t="n"/>
      <c r="F431" s="53" t="n"/>
      <c r="G431" s="48" t="n"/>
      <c r="H431" s="53">
        <f>IF(OR(F431="",G431=""),"",IF(F431="500 g",G431*0.5,IF(F431="2,5 kg",G431*2.5,"")))</f>
        <v/>
      </c>
      <c r="I431" s="48" t="n"/>
    </row>
    <row r="432" ht="15" customHeight="1">
      <c r="A432" s="48" t="n"/>
      <c r="B432" s="43" t="n"/>
      <c r="C432" s="32" t="n"/>
      <c r="D432" s="75" t="n"/>
      <c r="E432" s="48" t="n"/>
      <c r="F432" s="53" t="n"/>
      <c r="G432" s="48" t="n"/>
      <c r="H432" s="53">
        <f>IF(OR(F432="",G432=""),"",IF(F432="500 g",G432*0.5,IF(F432="2,5 kg",G432*2.5,"")))</f>
        <v/>
      </c>
      <c r="I432" s="48" t="n"/>
    </row>
    <row r="433" ht="15" customHeight="1">
      <c r="A433" s="48" t="n"/>
      <c r="B433" s="43" t="n"/>
      <c r="C433" s="32" t="n"/>
      <c r="D433" s="75" t="n"/>
      <c r="E433" s="48" t="n"/>
      <c r="F433" s="53" t="n"/>
      <c r="G433" s="48" t="n"/>
      <c r="H433" s="53">
        <f>IF(OR(F433="",G433=""),"",IF(F433="500 g",G433*0.5,IF(F433="2,5 kg",G433*2.5,"")))</f>
        <v/>
      </c>
      <c r="I433" s="48" t="n"/>
    </row>
    <row r="434" ht="15" customHeight="1">
      <c r="A434" s="48" t="n"/>
      <c r="B434" s="43" t="n"/>
      <c r="C434" s="32" t="n"/>
      <c r="D434" s="75" t="n"/>
      <c r="E434" s="48" t="n"/>
      <c r="F434" s="53" t="n"/>
      <c r="G434" s="48" t="n"/>
      <c r="H434" s="53">
        <f>IF(OR(F434="",G434=""),"",IF(F434="500 g",G434*0.5,IF(F434="2,5 kg",G434*2.5,"")))</f>
        <v/>
      </c>
      <c r="I434" s="48" t="n"/>
    </row>
    <row r="435" ht="15" customHeight="1">
      <c r="A435" s="48" t="n"/>
      <c r="B435" s="43" t="n"/>
      <c r="C435" s="32" t="n"/>
      <c r="D435" s="75" t="n"/>
      <c r="E435" s="48" t="n"/>
      <c r="F435" s="53" t="n"/>
      <c r="G435" s="48" t="n"/>
      <c r="H435" s="53">
        <f>IF(OR(F435="",G435=""),"",IF(F435="500 g",G435*0.5,IF(F435="2,5 kg",G435*2.5,"")))</f>
        <v/>
      </c>
      <c r="I435" s="48" t="n"/>
    </row>
    <row r="436" ht="15" customHeight="1">
      <c r="A436" s="48" t="n"/>
      <c r="B436" s="43" t="n"/>
      <c r="C436" s="32" t="n"/>
      <c r="D436" s="75" t="n"/>
      <c r="E436" s="48" t="n"/>
      <c r="F436" s="53" t="n"/>
      <c r="G436" s="48" t="n"/>
      <c r="H436" s="53">
        <f>IF(OR(F436="",G436=""),"",IF(F436="500 g",G436*0.5,IF(F436="2,5 kg",G436*2.5,"")))</f>
        <v/>
      </c>
      <c r="I436" s="48" t="n"/>
    </row>
    <row r="437" ht="15" customHeight="1">
      <c r="A437" s="48" t="n"/>
      <c r="B437" s="43" t="n"/>
      <c r="C437" s="32" t="n"/>
      <c r="D437" s="75" t="n"/>
      <c r="E437" s="48" t="n"/>
      <c r="F437" s="53" t="n"/>
      <c r="G437" s="48" t="n"/>
      <c r="H437" s="53">
        <f>IF(OR(F437="",G437=""),"",IF(F437="500 g",G437*0.5,IF(F437="2,5 kg",G437*2.5,"")))</f>
        <v/>
      </c>
      <c r="I437" s="48" t="n"/>
    </row>
    <row r="438" ht="15" customHeight="1">
      <c r="A438" s="48" t="n"/>
      <c r="B438" s="43" t="n"/>
      <c r="C438" s="32" t="n"/>
      <c r="D438" s="75" t="n"/>
      <c r="E438" s="48" t="n"/>
      <c r="F438" s="53" t="n"/>
      <c r="G438" s="48" t="n"/>
      <c r="H438" s="53">
        <f>IF(OR(F438="",G438=""),"",IF(F438="500 g",G438*0.5,IF(F438="2,5 kg",G438*2.5,"")))</f>
        <v/>
      </c>
      <c r="I438" s="48" t="n"/>
    </row>
    <row r="439" ht="15" customHeight="1">
      <c r="A439" s="48" t="n"/>
      <c r="B439" s="43" t="n"/>
      <c r="C439" s="32" t="n"/>
      <c r="D439" s="75" t="n"/>
      <c r="E439" s="48" t="n"/>
      <c r="F439" s="53" t="n"/>
      <c r="G439" s="48" t="n"/>
      <c r="H439" s="53">
        <f>IF(OR(F439="",G439=""),"",IF(F439="500 g",G439*0.5,IF(F439="2,5 kg",G439*2.5,"")))</f>
        <v/>
      </c>
      <c r="I439" s="48" t="n"/>
    </row>
    <row r="440" ht="15" customHeight="1">
      <c r="A440" s="48" t="n"/>
      <c r="B440" s="43" t="n"/>
      <c r="C440" s="32" t="n"/>
      <c r="D440" s="75" t="n"/>
      <c r="E440" s="48" t="n"/>
      <c r="F440" s="53" t="n"/>
      <c r="G440" s="48" t="n"/>
      <c r="H440" s="53">
        <f>IF(OR(F440="",G440=""),"",IF(F440="500 g",G440*0.5,IF(F440="2,5 kg",G440*2.5,"")))</f>
        <v/>
      </c>
      <c r="I440" s="48" t="n"/>
    </row>
    <row r="441" ht="15" customHeight="1">
      <c r="A441" s="48" t="n"/>
      <c r="B441" s="43" t="n"/>
      <c r="C441" s="32" t="n"/>
      <c r="D441" s="75" t="n"/>
      <c r="E441" s="48" t="n"/>
      <c r="F441" s="53" t="n"/>
      <c r="G441" s="48" t="n"/>
      <c r="H441" s="53">
        <f>IF(OR(F441="",G441=""),"",IF(F441="500 g",G441*0.5,IF(F441="2,5 kg",G441*2.5,"")))</f>
        <v/>
      </c>
      <c r="I441" s="48" t="n"/>
    </row>
    <row r="442" ht="15" customHeight="1">
      <c r="A442" s="48" t="n"/>
      <c r="B442" s="43" t="n"/>
      <c r="C442" s="32" t="n"/>
      <c r="D442" s="75" t="n"/>
      <c r="E442" s="48" t="n"/>
      <c r="F442" s="53" t="n"/>
      <c r="G442" s="48" t="n"/>
      <c r="H442" s="53">
        <f>IF(OR(F442="",G442=""),"",IF(F442="500 g",G442*0.5,IF(F442="2,5 kg",G442*2.5,"")))</f>
        <v/>
      </c>
      <c r="I442" s="48" t="n"/>
    </row>
    <row r="443" ht="15" customHeight="1">
      <c r="A443" s="48" t="n"/>
      <c r="B443" s="43" t="n"/>
      <c r="C443" s="32" t="n"/>
      <c r="D443" s="75" t="n"/>
      <c r="E443" s="48" t="n"/>
      <c r="F443" s="53" t="n"/>
      <c r="G443" s="48" t="n"/>
      <c r="H443" s="53">
        <f>IF(OR(F443="",G443=""),"",IF(F443="500 g",G443*0.5,IF(F443="2,5 kg",G443*2.5,"")))</f>
        <v/>
      </c>
      <c r="I443" s="48" t="n"/>
    </row>
    <row r="444" ht="15" customHeight="1">
      <c r="A444" s="48" t="n"/>
      <c r="B444" s="43" t="n"/>
      <c r="C444" s="32" t="n"/>
      <c r="D444" s="75" t="n"/>
      <c r="E444" s="48" t="n"/>
      <c r="F444" s="53" t="n"/>
      <c r="G444" s="48" t="n"/>
      <c r="H444" s="53">
        <f>IF(OR(F444="",G444=""),"",IF(F444="500 g",G444*0.5,IF(F444="2,5 kg",G444*2.5,"")))</f>
        <v/>
      </c>
      <c r="I444" s="48" t="n"/>
    </row>
    <row r="445" ht="15" customHeight="1">
      <c r="A445" s="48" t="n"/>
      <c r="B445" s="43" t="n"/>
      <c r="C445" s="32" t="n"/>
      <c r="D445" s="75" t="n"/>
      <c r="E445" s="48" t="n"/>
      <c r="F445" s="53" t="n"/>
      <c r="G445" s="48" t="n"/>
      <c r="H445" s="53">
        <f>IF(OR(F445="",G445=""),"",IF(F445="500 g",G445*0.5,IF(F445="2,5 kg",G445*2.5,"")))</f>
        <v/>
      </c>
      <c r="I445" s="48" t="n"/>
    </row>
    <row r="446" ht="15" customHeight="1">
      <c r="A446" s="48" t="n"/>
      <c r="B446" s="43" t="n"/>
      <c r="C446" s="32" t="n"/>
      <c r="D446" s="75" t="n"/>
      <c r="E446" s="48" t="n"/>
      <c r="F446" s="53" t="n"/>
      <c r="G446" s="48" t="n"/>
      <c r="H446" s="53">
        <f>IF(OR(F446="",G446=""),"",IF(F446="500 g",G446*0.5,IF(F446="2,5 kg",G446*2.5,"")))</f>
        <v/>
      </c>
      <c r="I446" s="48" t="n"/>
    </row>
    <row r="447" ht="15" customHeight="1">
      <c r="A447" s="48" t="n"/>
      <c r="B447" s="43" t="n"/>
      <c r="C447" s="32" t="n"/>
      <c r="D447" s="75" t="n"/>
      <c r="E447" s="48" t="n"/>
      <c r="F447" s="53" t="n"/>
      <c r="G447" s="48" t="n"/>
      <c r="H447" s="53">
        <f>IF(OR(F447="",G447=""),"",IF(F447="500 g",G447*0.5,IF(F447="2,5 kg",G447*2.5,"")))</f>
        <v/>
      </c>
      <c r="I447" s="48" t="n"/>
    </row>
    <row r="448" ht="15" customHeight="1">
      <c r="A448" s="48" t="n"/>
      <c r="B448" s="43" t="n"/>
      <c r="C448" s="32" t="n"/>
      <c r="D448" s="75" t="n"/>
      <c r="E448" s="48" t="n"/>
      <c r="F448" s="53" t="n"/>
      <c r="G448" s="48" t="n"/>
      <c r="H448" s="53">
        <f>IF(OR(F448="",G448=""),"",IF(F448="500 g",G448*0.5,IF(F448="2,5 kg",G448*2.5,"")))</f>
        <v/>
      </c>
      <c r="I448" s="48" t="n"/>
    </row>
    <row r="449" ht="15" customHeight="1">
      <c r="A449" s="48" t="n"/>
      <c r="B449" s="43" t="n"/>
      <c r="C449" s="32" t="n"/>
      <c r="D449" s="75" t="n"/>
      <c r="E449" s="48" t="n"/>
      <c r="F449" s="53" t="n"/>
      <c r="G449" s="48" t="n"/>
      <c r="H449" s="53">
        <f>IF(OR(F449="",G449=""),"",IF(F449="500 g",G449*0.5,IF(F449="2,5 kg",G449*2.5,"")))</f>
        <v/>
      </c>
      <c r="I449" s="48" t="n"/>
    </row>
    <row r="450" ht="15" customHeight="1">
      <c r="A450" s="48" t="n"/>
      <c r="B450" s="43" t="n"/>
      <c r="C450" s="32" t="n"/>
      <c r="D450" s="75" t="n"/>
      <c r="E450" s="48" t="n"/>
      <c r="F450" s="53" t="n"/>
      <c r="G450" s="48" t="n"/>
      <c r="H450" s="53">
        <f>IF(OR(F450="",G450=""),"",IF(F450="500 g",G450*0.5,IF(F450="2,5 kg",G450*2.5,"")))</f>
        <v/>
      </c>
      <c r="I450" s="48" t="n"/>
    </row>
    <row r="451" ht="15" customHeight="1">
      <c r="A451" s="48" t="n"/>
      <c r="B451" s="43" t="n"/>
      <c r="C451" s="32" t="n"/>
      <c r="D451" s="75" t="n"/>
      <c r="E451" s="48" t="n"/>
      <c r="F451" s="53" t="n"/>
      <c r="G451" s="48" t="n"/>
      <c r="H451" s="53">
        <f>IF(OR(F451="",G451=""),"",IF(F451="500 g",G451*0.5,IF(F451="2,5 kg",G451*2.5,"")))</f>
        <v/>
      </c>
      <c r="I451" s="48" t="n"/>
    </row>
    <row r="452" ht="15" customHeight="1">
      <c r="A452" s="48" t="n"/>
      <c r="B452" s="43" t="n"/>
      <c r="C452" s="32" t="n"/>
      <c r="D452" s="75" t="n"/>
      <c r="E452" s="48" t="n"/>
      <c r="F452" s="53" t="n"/>
      <c r="G452" s="48" t="n"/>
      <c r="H452" s="53">
        <f>IF(OR(F452="",G452=""),"",IF(F452="500 g",G452*0.5,IF(F452="2,5 kg",G452*2.5,"")))</f>
        <v/>
      </c>
      <c r="I452" s="48" t="n"/>
    </row>
    <row r="453" ht="15" customHeight="1">
      <c r="A453" s="48" t="n"/>
      <c r="B453" s="43" t="n"/>
      <c r="C453" s="32" t="n"/>
      <c r="D453" s="75" t="n"/>
      <c r="E453" s="48" t="n"/>
      <c r="F453" s="53" t="n"/>
      <c r="G453" s="48" t="n"/>
      <c r="H453" s="53">
        <f>IF(OR(F453="",G453=""),"",IF(F453="500 g",G453*0.5,IF(F453="2,5 kg",G453*2.5,"")))</f>
        <v/>
      </c>
      <c r="I453" s="48" t="n"/>
    </row>
    <row r="454" ht="15" customHeight="1">
      <c r="A454" s="48" t="n"/>
      <c r="B454" s="43" t="n"/>
      <c r="C454" s="32" t="n"/>
      <c r="D454" s="75" t="n"/>
      <c r="E454" s="48" t="n"/>
      <c r="F454" s="53" t="n"/>
      <c r="G454" s="48" t="n"/>
      <c r="H454" s="53">
        <f>IF(OR(F454="",G454=""),"",IF(F454="500 g",G454*0.5,IF(F454="2,5 kg",G454*2.5,"")))</f>
        <v/>
      </c>
      <c r="I454" s="48" t="n"/>
    </row>
    <row r="455" ht="15" customHeight="1">
      <c r="A455" s="48" t="n"/>
      <c r="B455" s="43" t="n"/>
      <c r="C455" s="32" t="n"/>
      <c r="D455" s="75" t="n"/>
      <c r="E455" s="48" t="n"/>
      <c r="F455" s="53" t="n"/>
      <c r="G455" s="48" t="n"/>
      <c r="H455" s="53">
        <f>IF(OR(F455="",G455=""),"",IF(F455="500 g",G455*0.5,IF(F455="2,5 kg",G455*2.5,"")))</f>
        <v/>
      </c>
      <c r="I455" s="48" t="n"/>
    </row>
    <row r="456" ht="15" customHeight="1">
      <c r="A456" s="48" t="n"/>
      <c r="B456" s="43" t="n"/>
      <c r="C456" s="32" t="n"/>
      <c r="D456" s="75" t="n"/>
      <c r="E456" s="48" t="n"/>
      <c r="F456" s="53" t="n"/>
      <c r="G456" s="48" t="n"/>
      <c r="H456" s="53">
        <f>IF(OR(F456="",G456=""),"",IF(F456="500 g",G456*0.5,IF(F456="2,5 kg",G456*2.5,"")))</f>
        <v/>
      </c>
      <c r="I456" s="48" t="n"/>
    </row>
    <row r="457" ht="15" customHeight="1">
      <c r="A457" s="48" t="n"/>
      <c r="B457" s="43" t="n"/>
      <c r="C457" s="32" t="n"/>
      <c r="D457" s="75" t="n"/>
      <c r="E457" s="48" t="n"/>
      <c r="F457" s="53" t="n"/>
      <c r="G457" s="48" t="n"/>
      <c r="H457" s="53">
        <f>IF(OR(F457="",G457=""),"",IF(F457="500 g",G457*0.5,IF(F457="2,5 kg",G457*2.5,"")))</f>
        <v/>
      </c>
      <c r="I457" s="48" t="n"/>
    </row>
    <row r="458" ht="15" customHeight="1">
      <c r="A458" s="48" t="n"/>
      <c r="B458" s="43" t="n"/>
      <c r="C458" s="32" t="n"/>
      <c r="D458" s="75" t="n"/>
      <c r="E458" s="48" t="n"/>
      <c r="F458" s="53" t="n"/>
      <c r="G458" s="48" t="n"/>
      <c r="H458" s="53">
        <f>IF(OR(F458="",G458=""),"",IF(F458="500 g",G458*0.5,IF(F458="2,5 kg",G458*2.5,"")))</f>
        <v/>
      </c>
      <c r="I458" s="48" t="n"/>
    </row>
    <row r="459" ht="15" customHeight="1">
      <c r="A459" s="48" t="n"/>
      <c r="B459" s="43" t="n"/>
      <c r="C459" s="32" t="n"/>
      <c r="D459" s="75" t="n"/>
      <c r="E459" s="48" t="n"/>
      <c r="F459" s="53" t="n"/>
      <c r="G459" s="48" t="n"/>
      <c r="H459" s="53">
        <f>IF(OR(F459="",G459=""),"",IF(F459="500 g",G459*0.5,IF(F459="2,5 kg",G459*2.5,"")))</f>
        <v/>
      </c>
      <c r="I459" s="48" t="n"/>
    </row>
    <row r="460" ht="15" customHeight="1">
      <c r="A460" s="48" t="n"/>
      <c r="B460" s="43" t="n"/>
      <c r="C460" s="32" t="n"/>
      <c r="D460" s="75" t="n"/>
      <c r="E460" s="48" t="n"/>
      <c r="F460" s="53" t="n"/>
      <c r="G460" s="48" t="n"/>
      <c r="H460" s="53">
        <f>IF(OR(F460="",G460=""),"",IF(F460="500 g",G460*0.5,IF(F460="2,5 kg",G460*2.5,"")))</f>
        <v/>
      </c>
      <c r="I460" s="48" t="n"/>
    </row>
    <row r="461" ht="15" customHeight="1">
      <c r="A461" s="48" t="n"/>
      <c r="B461" s="43" t="n"/>
      <c r="C461" s="32" t="n"/>
      <c r="D461" s="75" t="n"/>
      <c r="E461" s="48" t="n"/>
      <c r="F461" s="53" t="n"/>
      <c r="G461" s="48" t="n"/>
      <c r="H461" s="53">
        <f>IF(OR(F461="",G461=""),"",IF(F461="500 g",G461*0.5,IF(F461="2,5 kg",G461*2.5,"")))</f>
        <v/>
      </c>
      <c r="I461" s="48" t="n"/>
    </row>
    <row r="462" ht="15" customHeight="1">
      <c r="A462" s="48" t="n"/>
      <c r="B462" s="43" t="n"/>
      <c r="C462" s="32" t="n"/>
      <c r="D462" s="75" t="n"/>
      <c r="E462" s="48" t="n"/>
      <c r="F462" s="53" t="n"/>
      <c r="G462" s="48" t="n"/>
      <c r="H462" s="53">
        <f>IF(OR(F462="",G462=""),"",IF(F462="500 g",G462*0.5,IF(F462="2,5 kg",G462*2.5,"")))</f>
        <v/>
      </c>
      <c r="I462" s="48" t="n"/>
    </row>
    <row r="463" ht="15" customHeight="1">
      <c r="A463" s="48" t="n"/>
      <c r="B463" s="43" t="n"/>
      <c r="C463" s="32" t="n"/>
      <c r="D463" s="75" t="n"/>
      <c r="E463" s="48" t="n"/>
      <c r="F463" s="53" t="n"/>
      <c r="G463" s="48" t="n"/>
      <c r="H463" s="53">
        <f>IF(OR(F463="",G463=""),"",IF(F463="500 g",G463*0.5,IF(F463="2,5 kg",G463*2.5,"")))</f>
        <v/>
      </c>
      <c r="I463" s="48" t="n"/>
    </row>
    <row r="464" ht="15" customHeight="1">
      <c r="A464" s="48" t="n"/>
      <c r="B464" s="43" t="n"/>
      <c r="C464" s="32" t="n"/>
      <c r="D464" s="75" t="n"/>
      <c r="E464" s="48" t="n"/>
      <c r="F464" s="53" t="n"/>
      <c r="G464" s="48" t="n"/>
      <c r="H464" s="53">
        <f>IF(OR(F464="",G464=""),"",IF(F464="500 g",G464*0.5,IF(F464="2,5 kg",G464*2.5,"")))</f>
        <v/>
      </c>
      <c r="I464" s="48" t="n"/>
    </row>
    <row r="465" ht="15" customHeight="1">
      <c r="A465" s="48" t="n"/>
      <c r="B465" s="43" t="n"/>
      <c r="C465" s="32" t="n"/>
      <c r="D465" s="75" t="n"/>
      <c r="E465" s="48" t="n"/>
      <c r="F465" s="53" t="n"/>
      <c r="G465" s="48" t="n"/>
      <c r="H465" s="53">
        <f>IF(OR(F465="",G465=""),"",IF(F465="500 g",G465*0.5,IF(F465="2,5 kg",G465*2.5,"")))</f>
        <v/>
      </c>
      <c r="I465" s="48" t="n"/>
    </row>
    <row r="466" ht="15" customHeight="1">
      <c r="A466" s="48" t="n"/>
      <c r="B466" s="43" t="n"/>
      <c r="C466" s="32" t="n"/>
      <c r="D466" s="75" t="n"/>
      <c r="E466" s="48" t="n"/>
      <c r="F466" s="53" t="n"/>
      <c r="G466" s="48" t="n"/>
      <c r="H466" s="53">
        <f>IF(OR(F466="",G466=""),"",IF(F466="500 g",G466*0.5,IF(F466="2,5 kg",G466*2.5,"")))</f>
        <v/>
      </c>
      <c r="I466" s="48" t="n"/>
    </row>
    <row r="467" ht="15" customHeight="1">
      <c r="A467" s="48" t="n"/>
      <c r="B467" s="43" t="n"/>
      <c r="C467" s="32" t="n"/>
      <c r="D467" s="75" t="n"/>
      <c r="E467" s="48" t="n"/>
      <c r="F467" s="53" t="n"/>
      <c r="G467" s="48" t="n"/>
      <c r="H467" s="53">
        <f>IF(OR(F467="",G467=""),"",IF(F467="500 g",G467*0.5,IF(F467="2,5 kg",G467*2.5,"")))</f>
        <v/>
      </c>
      <c r="I467" s="48" t="n"/>
    </row>
    <row r="468" ht="15" customHeight="1">
      <c r="A468" s="48" t="n"/>
      <c r="B468" s="43" t="n"/>
      <c r="C468" s="32" t="n"/>
      <c r="D468" s="75" t="n"/>
      <c r="E468" s="48" t="n"/>
      <c r="F468" s="53" t="n"/>
      <c r="G468" s="48" t="n"/>
      <c r="H468" s="53">
        <f>IF(OR(F468="",G468=""),"",IF(F468="500 g",G468*0.5,IF(F468="2,5 kg",G468*2.5,"")))</f>
        <v/>
      </c>
      <c r="I468" s="48" t="n"/>
    </row>
    <row r="469" ht="15" customHeight="1">
      <c r="A469" s="48" t="n"/>
      <c r="B469" s="43" t="n"/>
      <c r="C469" s="32" t="n"/>
      <c r="D469" s="75" t="n"/>
      <c r="E469" s="48" t="n"/>
      <c r="F469" s="53" t="n"/>
      <c r="G469" s="48" t="n"/>
      <c r="H469" s="53">
        <f>IF(OR(F469="",G469=""),"",IF(F469="500 g",G469*0.5,IF(F469="2,5 kg",G469*2.5,"")))</f>
        <v/>
      </c>
      <c r="I469" s="48" t="n"/>
    </row>
    <row r="470" ht="15" customHeight="1">
      <c r="A470" s="48" t="n"/>
      <c r="B470" s="43" t="n"/>
      <c r="C470" s="32" t="n"/>
      <c r="D470" s="75" t="n"/>
      <c r="E470" s="48" t="n"/>
      <c r="F470" s="53" t="n"/>
      <c r="G470" s="48" t="n"/>
      <c r="H470" s="53">
        <f>IF(OR(F470="",G470=""),"",IF(F470="500 g",G470*0.5,IF(F470="2,5 kg",G470*2.5,"")))</f>
        <v/>
      </c>
      <c r="I470" s="48" t="n"/>
    </row>
    <row r="471" ht="15" customHeight="1">
      <c r="A471" s="48" t="n"/>
      <c r="B471" s="43" t="n"/>
      <c r="C471" s="32" t="n"/>
      <c r="D471" s="75" t="n"/>
      <c r="E471" s="48" t="n"/>
      <c r="F471" s="53" t="n"/>
      <c r="G471" s="48" t="n"/>
      <c r="H471" s="53">
        <f>IF(OR(F471="",G471=""),"",IF(F471="500 g",G471*0.5,IF(F471="2,5 kg",G471*2.5,"")))</f>
        <v/>
      </c>
      <c r="I471" s="48" t="n"/>
    </row>
    <row r="472" ht="15" customHeight="1">
      <c r="A472" s="48" t="n"/>
      <c r="B472" s="43" t="n"/>
      <c r="C472" s="32" t="n"/>
      <c r="D472" s="75" t="n"/>
      <c r="E472" s="48" t="n"/>
      <c r="F472" s="53" t="n"/>
      <c r="G472" s="48" t="n"/>
      <c r="H472" s="53">
        <f>IF(OR(F472="",G472=""),"",IF(F472="500 g",G472*0.5,IF(F472="2,5 kg",G472*2.5,"")))</f>
        <v/>
      </c>
      <c r="I472" s="48" t="n"/>
    </row>
    <row r="473" ht="15" customHeight="1">
      <c r="A473" s="48" t="n"/>
      <c r="B473" s="43" t="n"/>
      <c r="C473" s="32" t="n"/>
      <c r="D473" s="75" t="n"/>
      <c r="E473" s="48" t="n"/>
      <c r="F473" s="53" t="n"/>
      <c r="G473" s="48" t="n"/>
      <c r="H473" s="53">
        <f>IF(OR(F473="",G473=""),"",IF(F473="500 g",G473*0.5,IF(F473="2,5 kg",G473*2.5,"")))</f>
        <v/>
      </c>
      <c r="I473" s="48" t="n"/>
    </row>
    <row r="474" ht="15" customHeight="1">
      <c r="A474" s="48" t="n"/>
      <c r="B474" s="43" t="n"/>
      <c r="C474" s="32" t="n"/>
      <c r="D474" s="75" t="n"/>
      <c r="E474" s="48" t="n"/>
      <c r="F474" s="53" t="n"/>
      <c r="G474" s="48" t="n"/>
      <c r="H474" s="53">
        <f>IF(OR(F474="",G474=""),"",IF(F474="500 g",G474*0.5,IF(F474="2,5 kg",G474*2.5,"")))</f>
        <v/>
      </c>
      <c r="I474" s="48" t="n"/>
    </row>
    <row r="475" ht="15" customHeight="1">
      <c r="A475" s="48" t="n"/>
      <c r="B475" s="43" t="n"/>
      <c r="C475" s="32" t="n"/>
      <c r="D475" s="75" t="n"/>
      <c r="E475" s="48" t="n"/>
      <c r="F475" s="53" t="n"/>
      <c r="G475" s="48" t="n"/>
      <c r="H475" s="53">
        <f>IF(OR(F475="",G475=""),"",IF(F475="500 g",G475*0.5,IF(F475="2,5 kg",G475*2.5,"")))</f>
        <v/>
      </c>
      <c r="I475" s="48" t="n"/>
    </row>
    <row r="476" ht="15" customHeight="1">
      <c r="A476" s="48" t="n"/>
      <c r="B476" s="43" t="n"/>
      <c r="C476" s="32" t="n"/>
      <c r="D476" s="75" t="n"/>
      <c r="E476" s="48" t="n"/>
      <c r="F476" s="53" t="n"/>
      <c r="G476" s="48" t="n"/>
      <c r="H476" s="53">
        <f>IF(OR(F476="",G476=""),"",IF(F476="500 g",G476*0.5,IF(F476="2,5 kg",G476*2.5,"")))</f>
        <v/>
      </c>
      <c r="I476" s="48" t="n"/>
    </row>
    <row r="477" ht="15" customHeight="1">
      <c r="A477" s="48" t="n"/>
      <c r="B477" s="43" t="n"/>
      <c r="C477" s="32" t="n"/>
      <c r="D477" s="75" t="n"/>
      <c r="E477" s="48" t="n"/>
      <c r="F477" s="53" t="n"/>
      <c r="G477" s="48" t="n"/>
      <c r="H477" s="53">
        <f>IF(OR(F477="",G477=""),"",IF(F477="500 g",G477*0.5,IF(F477="2,5 kg",G477*2.5,"")))</f>
        <v/>
      </c>
      <c r="I477" s="48" t="n"/>
    </row>
    <row r="478" ht="15" customHeight="1">
      <c r="A478" s="48" t="n"/>
      <c r="B478" s="43" t="n"/>
      <c r="C478" s="32" t="n"/>
      <c r="D478" s="75" t="n"/>
      <c r="E478" s="48" t="n"/>
      <c r="F478" s="53" t="n"/>
      <c r="G478" s="48" t="n"/>
      <c r="H478" s="53">
        <f>IF(OR(F478="",G478=""),"",IF(F478="500 g",G478*0.5,IF(F478="2,5 kg",G478*2.5,"")))</f>
        <v/>
      </c>
      <c r="I478" s="48" t="n"/>
    </row>
    <row r="479" ht="15" customHeight="1">
      <c r="A479" s="48" t="n"/>
      <c r="B479" s="43" t="n"/>
      <c r="C479" s="32" t="n"/>
      <c r="D479" s="75" t="n"/>
      <c r="E479" s="48" t="n"/>
      <c r="F479" s="53" t="n"/>
      <c r="G479" s="48" t="n"/>
      <c r="H479" s="53">
        <f>IF(OR(F479="",G479=""),"",IF(F479="500 g",G479*0.5,IF(F479="2,5 kg",G479*2.5,"")))</f>
        <v/>
      </c>
      <c r="I479" s="48" t="n"/>
    </row>
    <row r="480" ht="15" customHeight="1">
      <c r="A480" s="48" t="n"/>
      <c r="B480" s="43" t="n"/>
      <c r="C480" s="32" t="n"/>
      <c r="D480" s="75" t="n"/>
      <c r="E480" s="48" t="n"/>
      <c r="F480" s="53" t="n"/>
      <c r="G480" s="48" t="n"/>
      <c r="H480" s="53">
        <f>IF(OR(F480="",G480=""),"",IF(F480="500 g",G480*0.5,IF(F480="2,5 kg",G480*2.5,"")))</f>
        <v/>
      </c>
      <c r="I480" s="48" t="n"/>
    </row>
    <row r="481" ht="15" customHeight="1">
      <c r="A481" s="48" t="n"/>
      <c r="B481" s="43" t="n"/>
      <c r="C481" s="32" t="n"/>
      <c r="D481" s="75" t="n"/>
      <c r="E481" s="48" t="n"/>
      <c r="F481" s="53" t="n"/>
      <c r="G481" s="48" t="n"/>
      <c r="H481" s="53">
        <f>IF(OR(F481="",G481=""),"",IF(F481="500 g",G481*0.5,IF(F481="2,5 kg",G481*2.5,"")))</f>
        <v/>
      </c>
      <c r="I481" s="48" t="n"/>
    </row>
    <row r="482" ht="15" customHeight="1">
      <c r="A482" s="48" t="n"/>
      <c r="B482" s="43" t="n"/>
      <c r="C482" s="32" t="n"/>
      <c r="D482" s="75" t="n"/>
      <c r="E482" s="48" t="n"/>
      <c r="F482" s="53" t="n"/>
      <c r="G482" s="48" t="n"/>
      <c r="H482" s="53">
        <f>IF(OR(F482="",G482=""),"",IF(F482="500 g",G482*0.5,IF(F482="2,5 kg",G482*2.5,"")))</f>
        <v/>
      </c>
      <c r="I482" s="48" t="n"/>
    </row>
    <row r="483" ht="15" customHeight="1">
      <c r="A483" s="48" t="n"/>
      <c r="B483" s="43" t="n"/>
      <c r="C483" s="32" t="n"/>
      <c r="D483" s="75" t="n"/>
      <c r="E483" s="48" t="n"/>
      <c r="F483" s="53" t="n"/>
      <c r="G483" s="48" t="n"/>
      <c r="H483" s="53">
        <f>IF(OR(F483="",G483=""),"",IF(F483="500 g",G483*0.5,IF(F483="2,5 kg",G483*2.5,"")))</f>
        <v/>
      </c>
      <c r="I483" s="48" t="n"/>
    </row>
    <row r="484" ht="15" customHeight="1">
      <c r="A484" s="48" t="n"/>
      <c r="B484" s="43" t="n"/>
      <c r="C484" s="32" t="n"/>
      <c r="D484" s="75" t="n"/>
      <c r="E484" s="48" t="n"/>
      <c r="F484" s="53" t="n"/>
      <c r="G484" s="48" t="n"/>
      <c r="H484" s="53">
        <f>IF(OR(F484="",G484=""),"",IF(F484="500 g",G484*0.5,IF(F484="2,5 kg",G484*2.5,"")))</f>
        <v/>
      </c>
      <c r="I484" s="48" t="n"/>
    </row>
    <row r="485" ht="15" customHeight="1">
      <c r="A485" s="48" t="n"/>
      <c r="B485" s="43" t="n"/>
      <c r="C485" s="32" t="n"/>
      <c r="D485" s="75" t="n"/>
      <c r="E485" s="48" t="n"/>
      <c r="F485" s="53" t="n"/>
      <c r="G485" s="48" t="n"/>
      <c r="H485" s="53">
        <f>IF(OR(F485="",G485=""),"",IF(F485="500 g",G485*0.5,IF(F485="2,5 kg",G485*2.5,"")))</f>
        <v/>
      </c>
      <c r="I485" s="48" t="n"/>
    </row>
    <row r="486" ht="15" customHeight="1">
      <c r="A486" s="48" t="n"/>
      <c r="B486" s="43" t="n"/>
      <c r="C486" s="32" t="n"/>
      <c r="D486" s="75" t="n"/>
      <c r="E486" s="48" t="n"/>
      <c r="F486" s="53" t="n"/>
      <c r="G486" s="48" t="n"/>
      <c r="H486" s="53">
        <f>IF(OR(F486="",G486=""),"",IF(F486="500 g",G486*0.5,IF(F486="2,5 kg",G486*2.5,"")))</f>
        <v/>
      </c>
      <c r="I486" s="48" t="n"/>
    </row>
    <row r="487" ht="15" customHeight="1">
      <c r="A487" s="48" t="n"/>
      <c r="B487" s="43" t="n"/>
      <c r="C487" s="32" t="n"/>
      <c r="D487" s="75" t="n"/>
      <c r="E487" s="48" t="n"/>
      <c r="F487" s="53" t="n"/>
      <c r="G487" s="48" t="n"/>
      <c r="H487" s="53">
        <f>IF(OR(F487="",G487=""),"",IF(F487="500 g",G487*0.5,IF(F487="2,5 kg",G487*2.5,"")))</f>
        <v/>
      </c>
      <c r="I487" s="48" t="n"/>
    </row>
    <row r="488" ht="15" customHeight="1">
      <c r="A488" s="48" t="n"/>
      <c r="B488" s="43" t="n"/>
      <c r="C488" s="32" t="n"/>
      <c r="D488" s="75" t="n"/>
      <c r="E488" s="48" t="n"/>
      <c r="F488" s="53" t="n"/>
      <c r="G488" s="48" t="n"/>
      <c r="H488" s="53">
        <f>IF(OR(F488="",G488=""),"",IF(F488="500 g",G488*0.5,IF(F488="2,5 kg",G488*2.5,"")))</f>
        <v/>
      </c>
      <c r="I488" s="48" t="n"/>
    </row>
    <row r="489" ht="15" customHeight="1">
      <c r="A489" s="48" t="n"/>
      <c r="B489" s="43" t="n"/>
      <c r="C489" s="32" t="n"/>
      <c r="D489" s="75" t="n"/>
      <c r="E489" s="48" t="n"/>
      <c r="F489" s="53" t="n"/>
      <c r="G489" s="48" t="n"/>
      <c r="H489" s="53">
        <f>IF(OR(F489="",G489=""),"",IF(F489="500 g",G489*0.5,IF(F489="2,5 kg",G489*2.5,"")))</f>
        <v/>
      </c>
      <c r="I489" s="48" t="n"/>
    </row>
    <row r="490" ht="15" customHeight="1">
      <c r="A490" s="48" t="n"/>
      <c r="B490" s="43" t="n"/>
      <c r="C490" s="32" t="n"/>
      <c r="D490" s="75" t="n"/>
      <c r="E490" s="48" t="n"/>
      <c r="F490" s="53" t="n"/>
      <c r="G490" s="48" t="n"/>
      <c r="H490" s="53">
        <f>IF(OR(F490="",G490=""),"",IF(F490="500 g",G490*0.5,IF(F490="2,5 kg",G490*2.5,"")))</f>
        <v/>
      </c>
      <c r="I490" s="48" t="n"/>
    </row>
    <row r="491" ht="15" customHeight="1">
      <c r="A491" s="48" t="n"/>
      <c r="B491" s="43" t="n"/>
      <c r="C491" s="32" t="n"/>
      <c r="D491" s="75" t="n"/>
      <c r="E491" s="48" t="n"/>
      <c r="F491" s="53" t="n"/>
      <c r="G491" s="48" t="n"/>
      <c r="H491" s="53">
        <f>IF(OR(F491="",G491=""),"",IF(F491="500 g",G491*0.5,IF(F491="2,5 kg",G491*2.5,"")))</f>
        <v/>
      </c>
      <c r="I491" s="48" t="n"/>
    </row>
    <row r="492" ht="15" customHeight="1">
      <c r="A492" s="48" t="n"/>
      <c r="B492" s="43" t="n"/>
      <c r="C492" s="32" t="n"/>
      <c r="D492" s="75" t="n"/>
      <c r="E492" s="48" t="n"/>
      <c r="F492" s="53" t="n"/>
      <c r="G492" s="48" t="n"/>
      <c r="H492" s="53">
        <f>IF(OR(F492="",G492=""),"",IF(F492="500 g",G492*0.5,IF(F492="2,5 kg",G492*2.5,"")))</f>
        <v/>
      </c>
      <c r="I492" s="48" t="n"/>
    </row>
    <row r="493" ht="15" customHeight="1">
      <c r="A493" s="48" t="n"/>
      <c r="B493" s="43" t="n"/>
      <c r="C493" s="32" t="n"/>
      <c r="D493" s="75" t="n"/>
      <c r="E493" s="48" t="n"/>
      <c r="F493" s="53" t="n"/>
      <c r="G493" s="48" t="n"/>
      <c r="H493" s="53">
        <f>IF(OR(F493="",G493=""),"",IF(F493="500 g",G493*0.5,IF(F493="2,5 kg",G493*2.5,"")))</f>
        <v/>
      </c>
      <c r="I493" s="48" t="n"/>
    </row>
    <row r="494" ht="15" customHeight="1">
      <c r="A494" s="48" t="n"/>
      <c r="B494" s="43" t="n"/>
      <c r="C494" s="32" t="n"/>
      <c r="D494" s="75" t="n"/>
      <c r="E494" s="48" t="n"/>
      <c r="F494" s="53" t="n"/>
      <c r="G494" s="48" t="n"/>
      <c r="H494" s="53">
        <f>IF(OR(F494="",G494=""),"",IF(F494="500 g",G494*0.5,IF(F494="2,5 kg",G494*2.5,"")))</f>
        <v/>
      </c>
      <c r="I494" s="48" t="n"/>
    </row>
    <row r="495" ht="15" customHeight="1">
      <c r="A495" s="48" t="n"/>
      <c r="B495" s="43" t="n"/>
      <c r="C495" s="32" t="n"/>
      <c r="D495" s="75" t="n"/>
      <c r="E495" s="48" t="n"/>
      <c r="F495" s="53" t="n"/>
      <c r="G495" s="48" t="n"/>
      <c r="H495" s="53">
        <f>IF(OR(F495="",G495=""),"",IF(F495="500 g",G495*0.5,IF(F495="2,5 kg",G495*2.5,"")))</f>
        <v/>
      </c>
      <c r="I495" s="48" t="n"/>
    </row>
    <row r="496" ht="15" customHeight="1">
      <c r="A496" s="48" t="n"/>
      <c r="B496" s="43" t="n"/>
      <c r="C496" s="32" t="n"/>
      <c r="D496" s="75" t="n"/>
      <c r="E496" s="48" t="n"/>
      <c r="F496" s="53" t="n"/>
      <c r="G496" s="48" t="n"/>
      <c r="H496" s="53">
        <f>IF(OR(F496="",G496=""),"",IF(F496="500 g",G496*0.5,IF(F496="2,5 kg",G496*2.5,"")))</f>
        <v/>
      </c>
      <c r="I496" s="48" t="n"/>
    </row>
    <row r="497" ht="15" customHeight="1">
      <c r="A497" s="48" t="n"/>
      <c r="B497" s="43" t="n"/>
      <c r="C497" s="32" t="n"/>
      <c r="D497" s="75" t="n"/>
      <c r="E497" s="48" t="n"/>
      <c r="F497" s="53" t="n"/>
      <c r="G497" s="48" t="n"/>
      <c r="H497" s="53">
        <f>IF(OR(F497="",G497=""),"",IF(F497="500 g",G497*0.5,IF(F497="2,5 kg",G497*2.5,"")))</f>
        <v/>
      </c>
      <c r="I497" s="48" t="n"/>
    </row>
    <row r="498" ht="15" customHeight="1">
      <c r="A498" s="48" t="n"/>
      <c r="B498" s="43" t="n"/>
      <c r="C498" s="32" t="n"/>
      <c r="D498" s="75" t="n"/>
      <c r="E498" s="48" t="n"/>
      <c r="F498" s="53" t="n"/>
      <c r="G498" s="48" t="n"/>
      <c r="H498" s="53">
        <f>IF(OR(F498="",G498=""),"",IF(F498="500 g",G498*0.5,IF(F498="2,5 kg",G498*2.5,"")))</f>
        <v/>
      </c>
      <c r="I498" s="48" t="n"/>
    </row>
    <row r="499" ht="15" customHeight="1">
      <c r="A499" s="48" t="n"/>
      <c r="B499" s="43" t="n"/>
      <c r="C499" s="32" t="n"/>
      <c r="D499" s="75" t="n"/>
      <c r="E499" s="48" t="n"/>
      <c r="F499" s="53" t="n"/>
      <c r="G499" s="48" t="n"/>
      <c r="H499" s="53">
        <f>IF(OR(F499="",G499=""),"",IF(F499="500 g",G499*0.5,IF(F499="2,5 kg",G499*2.5,"")))</f>
        <v/>
      </c>
      <c r="I499" s="48" t="n"/>
    </row>
    <row r="500" ht="15" customHeight="1">
      <c r="A500" s="48" t="n"/>
      <c r="B500" s="43" t="n"/>
      <c r="C500" s="32" t="n"/>
      <c r="D500" s="75" t="n"/>
      <c r="E500" s="48" t="n"/>
      <c r="F500" s="53" t="n"/>
      <c r="G500" s="48" t="n"/>
      <c r="H500" s="53">
        <f>IF(OR(F500="",G500=""),"",IF(F500="500 g",G500*0.5,IF(F500="2,5 kg",G500*2.5,"")))</f>
        <v/>
      </c>
      <c r="I500" s="48" t="n"/>
    </row>
    <row r="501" ht="15" customHeight="1">
      <c r="A501" s="48" t="n"/>
      <c r="B501" s="43" t="n"/>
      <c r="C501" s="32" t="n"/>
      <c r="D501" s="75" t="n"/>
      <c r="E501" s="48" t="n"/>
      <c r="F501" s="53" t="n"/>
      <c r="G501" s="48" t="n"/>
      <c r="H501" s="53">
        <f>IF(OR(F501="",G501=""),"",IF(F501="500 g",G501*0.5,IF(F501="2,5 kg",G501*2.5,"")))</f>
        <v/>
      </c>
      <c r="I501" s="48" t="n"/>
    </row>
    <row r="502" ht="15" customHeight="1">
      <c r="A502" s="72" t="n"/>
      <c r="B502" s="71" t="n"/>
      <c r="C502" s="70" t="n"/>
      <c r="D502" s="76" t="n"/>
      <c r="E502" s="72" t="n"/>
      <c r="F502" s="78" t="n"/>
      <c r="G502" s="72" t="n"/>
      <c r="H502" s="78" t="n"/>
      <c r="I502" s="72" t="n"/>
    </row>
    <row r="503" ht="15" customHeight="1">
      <c r="A503" s="72" t="n"/>
      <c r="B503" s="71" t="n"/>
      <c r="C503" s="70" t="n"/>
      <c r="D503" s="76" t="n"/>
      <c r="E503" s="72" t="n"/>
      <c r="F503" s="78" t="n"/>
      <c r="G503" s="72" t="n"/>
      <c r="H503" s="78" t="n"/>
      <c r="I503" s="72" t="n"/>
    </row>
    <row r="504" ht="15" customHeight="1">
      <c r="A504" s="72" t="n"/>
      <c r="B504" s="71" t="n"/>
      <c r="C504" s="70" t="n"/>
      <c r="D504" s="76" t="n"/>
      <c r="E504" s="72" t="n"/>
      <c r="F504" s="78" t="n"/>
      <c r="G504" s="72" t="n"/>
      <c r="H504" s="78" t="n"/>
      <c r="I504" s="72" t="n"/>
    </row>
    <row r="505" ht="15" customHeight="1">
      <c r="A505" s="72" t="n"/>
      <c r="B505" s="71" t="n"/>
      <c r="C505" s="70" t="n"/>
      <c r="D505" s="76" t="n"/>
      <c r="E505" s="72" t="n"/>
      <c r="F505" s="78" t="n"/>
      <c r="G505" s="72" t="n"/>
      <c r="H505" s="78" t="n"/>
      <c r="I505" s="72" t="n"/>
    </row>
    <row r="506" ht="15" customHeight="1">
      <c r="A506" s="72" t="n"/>
      <c r="B506" s="71" t="n"/>
      <c r="C506" s="70" t="n"/>
      <c r="D506" s="76" t="n"/>
      <c r="E506" s="72" t="n"/>
      <c r="F506" s="78" t="n"/>
      <c r="G506" s="72" t="n"/>
      <c r="H506" s="78" t="n"/>
      <c r="I506" s="72" t="n"/>
    </row>
    <row r="507" ht="15" customHeight="1">
      <c r="A507" s="72" t="n"/>
      <c r="B507" s="71" t="n"/>
      <c r="C507" s="70" t="n"/>
      <c r="D507" s="76" t="n"/>
      <c r="E507" s="72" t="n"/>
      <c r="F507" s="78" t="n"/>
      <c r="G507" s="72" t="n"/>
      <c r="H507" s="78" t="n"/>
      <c r="I507" s="72" t="n"/>
    </row>
    <row r="508" ht="15" customHeight="1">
      <c r="A508" s="72" t="n"/>
      <c r="B508" s="71" t="n"/>
      <c r="C508" s="70" t="n"/>
      <c r="D508" s="76" t="n"/>
      <c r="E508" s="72" t="n"/>
      <c r="F508" s="78" t="n"/>
      <c r="G508" s="72" t="n"/>
      <c r="H508" s="78" t="n"/>
      <c r="I508" s="72" t="n"/>
    </row>
    <row r="509" ht="15" customHeight="1">
      <c r="A509" s="72" t="n"/>
      <c r="B509" s="71" t="n"/>
      <c r="C509" s="70" t="n"/>
      <c r="D509" s="76" t="n"/>
      <c r="E509" s="72" t="n"/>
      <c r="F509" s="78" t="n"/>
      <c r="G509" s="72" t="n"/>
      <c r="H509" s="78" t="n"/>
      <c r="I509" s="72" t="n"/>
    </row>
  </sheetData>
  <autoFilter ref="A1:I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A5A5A5"/>
    <outlinePr summaryBelow="1" summaryRight="1"/>
    <pageSetUpPr/>
  </sheetPr>
  <dimension ref="A1:V501"/>
  <sheetViews>
    <sheetView showGridLines="0" topLeftCell="B1" workbookViewId="0">
      <pane ySplit="1" topLeftCell="A2" activePane="bottomLeft" state="frozen"/>
      <selection pane="bottomLeft" activeCell="M1" sqref="M1:M1048576"/>
    </sheetView>
  </sheetViews>
  <sheetFormatPr baseColWidth="10" defaultColWidth="8.83203125" defaultRowHeight="15"/>
  <cols>
    <col width="24" customWidth="1" style="39" min="1" max="1"/>
    <col width="34" customWidth="1" style="49" min="2" max="2"/>
    <col width="8.83203125" customWidth="1" style="49" min="3" max="3"/>
    <col width="8.83203125" customWidth="1" style="54" min="4" max="4"/>
    <col width="8.83203125" customWidth="1" style="49" min="5" max="5"/>
    <col width="8.83203125" customWidth="1" style="54" min="6" max="6"/>
    <col width="8.83203125" customWidth="1" style="49" min="7" max="7"/>
    <col width="33" customWidth="1" style="49" min="8" max="8"/>
    <col width="34" customWidth="1" style="54" min="9" max="9"/>
    <col width="29" customWidth="1" style="49" min="10" max="10"/>
    <col width="34" customWidth="1" style="49" min="11" max="11"/>
    <col width="8.83203125" customWidth="1" style="54" min="12" max="12"/>
    <col width="8.83203125" customWidth="1" style="49" min="13" max="13"/>
    <col width="18" customWidth="1" min="22" max="22"/>
  </cols>
  <sheetData>
    <row r="1" ht="31.5" customHeight="1">
      <c r="A1" s="59" t="inlineStr">
        <is>
          <t>Üretim Tarihi</t>
        </is>
      </c>
      <c r="B1" s="61" t="inlineStr">
        <is>
          <t>Teorik Üretim kg</t>
        </is>
      </c>
      <c r="C1" s="61" t="inlineStr">
        <is>
          <t>Üretim Firesi kg</t>
        </is>
      </c>
      <c r="D1" s="62" t="inlineStr">
        <is>
          <t>Net Mamul kg</t>
        </is>
      </c>
      <c r="E1" s="61" t="inlineStr">
        <is>
          <t>500 g Paket kg</t>
        </is>
      </c>
      <c r="F1" s="62" t="inlineStr">
        <is>
          <t>2,5 kg Paket kg</t>
        </is>
      </c>
      <c r="G1" s="61" t="inlineStr">
        <is>
          <t>Paketleme Firesi kg</t>
        </is>
      </c>
      <c r="H1" s="61" t="inlineStr">
        <is>
          <t>Paketleme Bakiye kg</t>
        </is>
      </c>
      <c r="I1" s="62" t="inlineStr">
        <is>
          <t>Sevk Edilen kg</t>
        </is>
      </c>
      <c r="J1" s="61" t="inlineStr">
        <is>
          <t>Hesaplanan Paketli Stok kg</t>
        </is>
      </c>
      <c r="K1" s="61" t="inlineStr">
        <is>
          <t>Kütle Denkliği Farkı kg</t>
        </is>
      </c>
      <c r="L1" s="62" t="inlineStr">
        <is>
          <t>Sonuç</t>
        </is>
      </c>
      <c r="M1" s="61" t="inlineStr">
        <is>
          <t>Açıklama</t>
        </is>
      </c>
      <c r="V1" s="19" t="inlineStr">
        <is>
          <t>⌂ ANA SAYFA</t>
        </is>
      </c>
    </row>
    <row r="2" ht="15" customHeight="1">
      <c r="A2" s="60">
        <f>'21 2026 ÜRETİM'!A2</f>
        <v/>
      </c>
      <c r="B2" s="81">
        <f>IF(A2="","",'21 2026 ÜRETİM'!D2)</f>
        <v/>
      </c>
      <c r="C2" s="81">
        <f>IF(A2="","",'21 2026 ÜRETİM'!E2)</f>
        <v/>
      </c>
      <c r="D2" s="82">
        <f>IF(A2="","",'21 2026 ÜRETİM'!F2)</f>
        <v/>
      </c>
      <c r="E2" s="81">
        <f>IF(A2="","",SUMIF('22 2026 PAKETLEME'!$B$2:$B$501,A2,'22 2026 PAKETLEME'!$E$2:$E$501))</f>
        <v/>
      </c>
      <c r="F2" s="82">
        <f>IF(A2="","",SUMIF('22 2026 PAKETLEME'!$B$2:$B$501,A2,'22 2026 PAKETLEME'!$G$2:$G$501))</f>
        <v/>
      </c>
      <c r="G2" s="81">
        <f>IF(A2="","",SUMIF('22 2026 PAKETLEME'!$B$2:$B$501,A2,'22 2026 PAKETLEME'!$H$2:$H$501))</f>
        <v/>
      </c>
      <c r="H2" s="81">
        <f>IF(A2="","",D2-E2-F2-G2)</f>
        <v/>
      </c>
      <c r="I2" s="82">
        <f>IF(A2="","",SUMIF('23 2026 SEVKİYAT'!$E$2:$E$501,A2,'23 2026 SEVKİYAT'!$H$2:$H$501))</f>
        <v/>
      </c>
      <c r="J2" s="81">
        <f>IF(A2="","",E2+F2-I2)</f>
        <v/>
      </c>
      <c r="K2" s="81">
        <f>IF(A2="","",D2-E2-F2-G2-H2)</f>
        <v/>
      </c>
      <c r="L2" s="58">
        <f>IF(A2="","",IF(ABS(K2)&lt;0.001,"KAPALI","KONTROL"))</f>
        <v/>
      </c>
      <c r="M2" s="56">
        <f>IF(A2="","",IF(J2&lt;0,"SEVK PAKETLEMEYİ AŞIYOR",IF(H2&lt;&gt;0,"PAKETLEME BAKİYESİ VAR","DENKLİK KAPALI")))</f>
        <v/>
      </c>
      <c r="V2" s="20" t="inlineStr">
        <is>
          <t>→ ÜRETİM</t>
        </is>
      </c>
    </row>
    <row r="3" ht="15" customHeight="1">
      <c r="A3" s="60">
        <f>'21 2026 ÜRETİM'!A3</f>
        <v/>
      </c>
      <c r="B3" s="81">
        <f>IF(A3="","",'21 2026 ÜRETİM'!D3)</f>
        <v/>
      </c>
      <c r="C3" s="81">
        <f>IF(A3="","",'21 2026 ÜRETİM'!E3)</f>
        <v/>
      </c>
      <c r="D3" s="82">
        <f>IF(A3="","",'21 2026 ÜRETİM'!F3)</f>
        <v/>
      </c>
      <c r="E3" s="81">
        <f>IF(A3="","",SUMIF('22 2026 PAKETLEME'!$B$2:$B$501,A3,'22 2026 PAKETLEME'!$E$2:$E$501))</f>
        <v/>
      </c>
      <c r="F3" s="82">
        <f>IF(A3="","",SUMIF('22 2026 PAKETLEME'!$B$2:$B$501,A3,'22 2026 PAKETLEME'!$G$2:$G$501))</f>
        <v/>
      </c>
      <c r="G3" s="81">
        <f>IF(A3="","",SUMIF('22 2026 PAKETLEME'!$B$2:$B$501,A3,'22 2026 PAKETLEME'!$H$2:$H$501))</f>
        <v/>
      </c>
      <c r="H3" s="81">
        <f>IF(A3="","",D3-E3-F3-G3)</f>
        <v/>
      </c>
      <c r="I3" s="82">
        <f>IF(A3="","",SUMIF('23 2026 SEVKİYAT'!$E$2:$E$501,A3,'23 2026 SEVKİYAT'!$H$2:$H$501))</f>
        <v/>
      </c>
      <c r="J3" s="81">
        <f>IF(A3="","",E3+F3-I3)</f>
        <v/>
      </c>
      <c r="K3" s="81">
        <f>IF(A3="","",D3-E3-F3-G3-H3)</f>
        <v/>
      </c>
      <c r="L3" s="58">
        <f>IF(A3="","",IF(ABS(K3)&lt;0.001,"KAPALI","KONTROL"))</f>
        <v/>
      </c>
      <c r="M3" s="56">
        <f>IF(A3="","",IF(J3&lt;0,"SEVK PAKETLEMEYİ AŞIYOR",IF(H3&lt;&gt;0,"PAKETLEME BAKİYESİ VAR","DENKLİK KAPALI")))</f>
        <v/>
      </c>
      <c r="V3" s="21" t="inlineStr">
        <is>
          <t>→ LOT BAĞI</t>
        </is>
      </c>
    </row>
    <row r="4" ht="15" customHeight="1">
      <c r="A4" s="60">
        <f>'21 2026 ÜRETİM'!A4</f>
        <v/>
      </c>
      <c r="B4" s="81">
        <f>IF(A4="","",'21 2026 ÜRETİM'!D4)</f>
        <v/>
      </c>
      <c r="C4" s="81">
        <f>IF(A4="","",'21 2026 ÜRETİM'!E4)</f>
        <v/>
      </c>
      <c r="D4" s="82">
        <f>IF(A4="","",'21 2026 ÜRETİM'!F4)</f>
        <v/>
      </c>
      <c r="E4" s="81">
        <f>IF(A4="","",SUMIF('22 2026 PAKETLEME'!$B$2:$B$501,A4,'22 2026 PAKETLEME'!$E$2:$E$501))</f>
        <v/>
      </c>
      <c r="F4" s="82">
        <f>IF(A4="","",SUMIF('22 2026 PAKETLEME'!$B$2:$B$501,A4,'22 2026 PAKETLEME'!$G$2:$G$501))</f>
        <v/>
      </c>
      <c r="G4" s="81">
        <f>IF(A4="","",SUMIF('22 2026 PAKETLEME'!$B$2:$B$501,A4,'22 2026 PAKETLEME'!$H$2:$H$501))</f>
        <v/>
      </c>
      <c r="H4" s="81">
        <f>IF(A4="","",D4-E4-F4-G4)</f>
        <v/>
      </c>
      <c r="I4" s="82">
        <f>IF(A4="","",SUMIF('23 2026 SEVKİYAT'!$E$2:$E$501,A4,'23 2026 SEVKİYAT'!$H$2:$H$501))</f>
        <v/>
      </c>
      <c r="J4" s="81">
        <f>IF(A4="","",E4+F4-I4)</f>
        <v/>
      </c>
      <c r="K4" s="81">
        <f>IF(A4="","",D4-E4-F4-G4-H4)</f>
        <v/>
      </c>
      <c r="L4" s="58">
        <f>IF(A4="","",IF(ABS(K4)&lt;0.001,"KAPALI","KONTROL"))</f>
        <v/>
      </c>
      <c r="M4" s="56">
        <f>IF(A4="","",IF(J4&lt;0,"SEVK PAKETLEMEYİ AŞIYOR",IF(H4&lt;&gt;0,"PAKETLEME BAKİYESİ VAR","DENKLİK KAPALI")))</f>
        <v/>
      </c>
    </row>
    <row r="5" ht="15" customHeight="1">
      <c r="A5" s="60">
        <f>'21 2026 ÜRETİM'!A5</f>
        <v/>
      </c>
      <c r="B5" s="81">
        <f>IF(A5="","",'21 2026 ÜRETİM'!D5)</f>
        <v/>
      </c>
      <c r="C5" s="81">
        <f>IF(A5="","",'21 2026 ÜRETİM'!E5)</f>
        <v/>
      </c>
      <c r="D5" s="82">
        <f>IF(A5="","",'21 2026 ÜRETİM'!F5)</f>
        <v/>
      </c>
      <c r="E5" s="81">
        <f>IF(A5="","",SUMIF('22 2026 PAKETLEME'!$B$2:$B$501,A5,'22 2026 PAKETLEME'!$E$2:$E$501))</f>
        <v/>
      </c>
      <c r="F5" s="82">
        <f>IF(A5="","",SUMIF('22 2026 PAKETLEME'!$B$2:$B$501,A5,'22 2026 PAKETLEME'!$G$2:$G$501))</f>
        <v/>
      </c>
      <c r="G5" s="81">
        <f>IF(A5="","",SUMIF('22 2026 PAKETLEME'!$B$2:$B$501,A5,'22 2026 PAKETLEME'!$H$2:$H$501))</f>
        <v/>
      </c>
      <c r="H5" s="81">
        <f>IF(A5="","",D5-E5-F5-G5)</f>
        <v/>
      </c>
      <c r="I5" s="82">
        <f>IF(A5="","",SUMIF('23 2026 SEVKİYAT'!$E$2:$E$501,A5,'23 2026 SEVKİYAT'!$H$2:$H$501))</f>
        <v/>
      </c>
      <c r="J5" s="81">
        <f>IF(A5="","",E5+F5-I5)</f>
        <v/>
      </c>
      <c r="K5" s="81">
        <f>IF(A5="","",D5-E5-F5-G5-H5)</f>
        <v/>
      </c>
      <c r="L5" s="58">
        <f>IF(A5="","",IF(ABS(K5)&lt;0.001,"KAPALI","KONTROL"))</f>
        <v/>
      </c>
      <c r="M5" s="56">
        <f>IF(A5="","",IF(J5&lt;0,"SEVK PAKETLEMEYİ AŞIYOR",IF(H5&lt;&gt;0,"PAKETLEME BAKİYESİ VAR","DENKLİK KAPALI")))</f>
        <v/>
      </c>
    </row>
    <row r="6" ht="15" customHeight="1">
      <c r="A6" s="60">
        <f>'21 2026 ÜRETİM'!A6</f>
        <v/>
      </c>
      <c r="B6" s="81">
        <f>IF(A6="","",'21 2026 ÜRETİM'!D6)</f>
        <v/>
      </c>
      <c r="C6" s="81">
        <f>IF(A6="","",'21 2026 ÜRETİM'!E6)</f>
        <v/>
      </c>
      <c r="D6" s="82">
        <f>IF(A6="","",'21 2026 ÜRETİM'!F6)</f>
        <v/>
      </c>
      <c r="E6" s="81">
        <f>IF(A6="","",SUMIF('22 2026 PAKETLEME'!$B$2:$B$501,A6,'22 2026 PAKETLEME'!$E$2:$E$501))</f>
        <v/>
      </c>
      <c r="F6" s="82">
        <f>IF(A6="","",SUMIF('22 2026 PAKETLEME'!$B$2:$B$501,A6,'22 2026 PAKETLEME'!$G$2:$G$501))</f>
        <v/>
      </c>
      <c r="G6" s="81">
        <f>IF(A6="","",SUMIF('22 2026 PAKETLEME'!$B$2:$B$501,A6,'22 2026 PAKETLEME'!$H$2:$H$501))</f>
        <v/>
      </c>
      <c r="H6" s="81">
        <f>IF(A6="","",D6-E6-F6-G6)</f>
        <v/>
      </c>
      <c r="I6" s="82">
        <f>IF(A6="","",SUMIF('23 2026 SEVKİYAT'!$E$2:$E$501,A6,'23 2026 SEVKİYAT'!$H$2:$H$501))</f>
        <v/>
      </c>
      <c r="J6" s="81">
        <f>IF(A6="","",E6+F6-I6)</f>
        <v/>
      </c>
      <c r="K6" s="81">
        <f>IF(A6="","",D6-E6-F6-G6-H6)</f>
        <v/>
      </c>
      <c r="L6" s="58">
        <f>IF(A6="","",IF(ABS(K6)&lt;0.001,"KAPALI","KONTROL"))</f>
        <v/>
      </c>
      <c r="M6" s="56">
        <f>IF(A6="","",IF(J6&lt;0,"SEVK PAKETLEMEYİ AŞIYOR",IF(H6&lt;&gt;0,"PAKETLEME BAKİYESİ VAR","DENKLİK KAPALI")))</f>
        <v/>
      </c>
    </row>
    <row r="7" ht="15" customHeight="1">
      <c r="A7" s="60">
        <f>'21 2026 ÜRETİM'!A7</f>
        <v/>
      </c>
      <c r="B7" s="81">
        <f>IF(A7="","",'21 2026 ÜRETİM'!D7)</f>
        <v/>
      </c>
      <c r="C7" s="81">
        <f>IF(A7="","",'21 2026 ÜRETİM'!E7)</f>
        <v/>
      </c>
      <c r="D7" s="82">
        <f>IF(A7="","",'21 2026 ÜRETİM'!F7)</f>
        <v/>
      </c>
      <c r="E7" s="81">
        <f>IF(A7="","",SUMIF('22 2026 PAKETLEME'!$B$2:$B$501,A7,'22 2026 PAKETLEME'!$E$2:$E$501))</f>
        <v/>
      </c>
      <c r="F7" s="82">
        <f>IF(A7="","",SUMIF('22 2026 PAKETLEME'!$B$2:$B$501,A7,'22 2026 PAKETLEME'!$G$2:$G$501))</f>
        <v/>
      </c>
      <c r="G7" s="81">
        <f>IF(A7="","",SUMIF('22 2026 PAKETLEME'!$B$2:$B$501,A7,'22 2026 PAKETLEME'!$H$2:$H$501))</f>
        <v/>
      </c>
      <c r="H7" s="81">
        <f>IF(A7="","",D7-E7-F7-G7)</f>
        <v/>
      </c>
      <c r="I7" s="82">
        <f>IF(A7="","",SUMIF('23 2026 SEVKİYAT'!$E$2:$E$501,A7,'23 2026 SEVKİYAT'!$H$2:$H$501))</f>
        <v/>
      </c>
      <c r="J7" s="81">
        <f>IF(A7="","",E7+F7-I7)</f>
        <v/>
      </c>
      <c r="K7" s="81">
        <f>IF(A7="","",D7-E7-F7-G7-H7)</f>
        <v/>
      </c>
      <c r="L7" s="58">
        <f>IF(A7="","",IF(ABS(K7)&lt;0.001,"KAPALI","KONTROL"))</f>
        <v/>
      </c>
      <c r="M7" s="56">
        <f>IF(A7="","",IF(J7&lt;0,"SEVK PAKETLEMEYİ AŞIYOR",IF(H7&lt;&gt;0,"PAKETLEME BAKİYESİ VAR","DENKLİK KAPALI")))</f>
        <v/>
      </c>
    </row>
    <row r="8" ht="15" customHeight="1">
      <c r="A8" s="60">
        <f>'21 2026 ÜRETİM'!A8</f>
        <v/>
      </c>
      <c r="B8" s="81">
        <f>IF(A8="","",'21 2026 ÜRETİM'!D8)</f>
        <v/>
      </c>
      <c r="C8" s="81">
        <f>IF(A8="","",'21 2026 ÜRETİM'!E8)</f>
        <v/>
      </c>
      <c r="D8" s="82">
        <f>IF(A8="","",'21 2026 ÜRETİM'!F8)</f>
        <v/>
      </c>
      <c r="E8" s="81">
        <f>IF(A8="","",SUMIF('22 2026 PAKETLEME'!$B$2:$B$501,A8,'22 2026 PAKETLEME'!$E$2:$E$501))</f>
        <v/>
      </c>
      <c r="F8" s="82">
        <f>IF(A8="","",SUMIF('22 2026 PAKETLEME'!$B$2:$B$501,A8,'22 2026 PAKETLEME'!$G$2:$G$501))</f>
        <v/>
      </c>
      <c r="G8" s="81">
        <f>IF(A8="","",SUMIF('22 2026 PAKETLEME'!$B$2:$B$501,A8,'22 2026 PAKETLEME'!$H$2:$H$501))</f>
        <v/>
      </c>
      <c r="H8" s="81">
        <f>IF(A8="","",D8-E8-F8-G8)</f>
        <v/>
      </c>
      <c r="I8" s="82">
        <f>IF(A8="","",SUMIF('23 2026 SEVKİYAT'!$E$2:$E$501,A8,'23 2026 SEVKİYAT'!$H$2:$H$501))</f>
        <v/>
      </c>
      <c r="J8" s="81">
        <f>IF(A8="","",E8+F8-I8)</f>
        <v/>
      </c>
      <c r="K8" s="81">
        <f>IF(A8="","",D8-E8-F8-G8-H8)</f>
        <v/>
      </c>
      <c r="L8" s="58">
        <f>IF(A8="","",IF(ABS(K8)&lt;0.001,"KAPALI","KONTROL"))</f>
        <v/>
      </c>
      <c r="M8" s="56">
        <f>IF(A8="","",IF(J8&lt;0,"SEVK PAKETLEMEYİ AŞIYOR",IF(H8&lt;&gt;0,"PAKETLEME BAKİYESİ VAR","DENKLİK KAPALI")))</f>
        <v/>
      </c>
    </row>
    <row r="9" ht="15" customHeight="1">
      <c r="A9" s="60">
        <f>'21 2026 ÜRETİM'!A9</f>
        <v/>
      </c>
      <c r="B9" s="81">
        <f>IF(A9="","",'21 2026 ÜRETİM'!D9)</f>
        <v/>
      </c>
      <c r="C9" s="81">
        <f>IF(A9="","",'21 2026 ÜRETİM'!E9)</f>
        <v/>
      </c>
      <c r="D9" s="82">
        <f>IF(A9="","",'21 2026 ÜRETİM'!F9)</f>
        <v/>
      </c>
      <c r="E9" s="81">
        <f>IF(A9="","",SUMIF('22 2026 PAKETLEME'!$B$2:$B$501,A9,'22 2026 PAKETLEME'!$E$2:$E$501))</f>
        <v/>
      </c>
      <c r="F9" s="82">
        <f>IF(A9="","",SUMIF('22 2026 PAKETLEME'!$B$2:$B$501,A9,'22 2026 PAKETLEME'!$G$2:$G$501))</f>
        <v/>
      </c>
      <c r="G9" s="81">
        <f>IF(A9="","",SUMIF('22 2026 PAKETLEME'!$B$2:$B$501,A9,'22 2026 PAKETLEME'!$H$2:$H$501))</f>
        <v/>
      </c>
      <c r="H9" s="81">
        <f>IF(A9="","",D9-E9-F9-G9)</f>
        <v/>
      </c>
      <c r="I9" s="82">
        <f>IF(A9="","",SUMIF('23 2026 SEVKİYAT'!$E$2:$E$501,A9,'23 2026 SEVKİYAT'!$H$2:$H$501))</f>
        <v/>
      </c>
      <c r="J9" s="81">
        <f>IF(A9="","",E9+F9-I9)</f>
        <v/>
      </c>
      <c r="K9" s="81">
        <f>IF(A9="","",D9-E9-F9-G9-H9)</f>
        <v/>
      </c>
      <c r="L9" s="58">
        <f>IF(A9="","",IF(ABS(K9)&lt;0.001,"KAPALI","KONTROL"))</f>
        <v/>
      </c>
      <c r="M9" s="56">
        <f>IF(A9="","",IF(J9&lt;0,"SEVK PAKETLEMEYİ AŞIYOR",IF(H9&lt;&gt;0,"PAKETLEME BAKİYESİ VAR","DENKLİK KAPALI")))</f>
        <v/>
      </c>
    </row>
    <row r="10" ht="15" customHeight="1">
      <c r="A10" s="60">
        <f>'21 2026 ÜRETİM'!A10</f>
        <v/>
      </c>
      <c r="B10" s="81">
        <f>IF(A10="","",'21 2026 ÜRETİM'!D10)</f>
        <v/>
      </c>
      <c r="C10" s="81">
        <f>IF(A10="","",'21 2026 ÜRETİM'!E10)</f>
        <v/>
      </c>
      <c r="D10" s="82">
        <f>IF(A10="","",'21 2026 ÜRETİM'!F10)</f>
        <v/>
      </c>
      <c r="E10" s="81">
        <f>IF(A10="","",SUMIF('22 2026 PAKETLEME'!$B$2:$B$501,A10,'22 2026 PAKETLEME'!$E$2:$E$501))</f>
        <v/>
      </c>
      <c r="F10" s="82">
        <f>IF(A10="","",SUMIF('22 2026 PAKETLEME'!$B$2:$B$501,A10,'22 2026 PAKETLEME'!$G$2:$G$501))</f>
        <v/>
      </c>
      <c r="G10" s="81">
        <f>IF(A10="","",SUMIF('22 2026 PAKETLEME'!$B$2:$B$501,A10,'22 2026 PAKETLEME'!$H$2:$H$501))</f>
        <v/>
      </c>
      <c r="H10" s="81">
        <f>IF(A10="","",D10-E10-F10-G10)</f>
        <v/>
      </c>
      <c r="I10" s="82">
        <f>IF(A10="","",SUMIF('23 2026 SEVKİYAT'!$E$2:$E$501,A10,'23 2026 SEVKİYAT'!$H$2:$H$501))</f>
        <v/>
      </c>
      <c r="J10" s="81">
        <f>IF(A10="","",E10+F10-I10)</f>
        <v/>
      </c>
      <c r="K10" s="81">
        <f>IF(A10="","",D10-E10-F10-G10-H10)</f>
        <v/>
      </c>
      <c r="L10" s="58">
        <f>IF(A10="","",IF(ABS(K10)&lt;0.001,"KAPALI","KONTROL"))</f>
        <v/>
      </c>
      <c r="M10" s="56">
        <f>IF(A10="","",IF(J10&lt;0,"SEVK PAKETLEMEYİ AŞIYOR",IF(H10&lt;&gt;0,"PAKETLEME BAKİYESİ VAR","DENKLİK KAPALI")))</f>
        <v/>
      </c>
    </row>
    <row r="11" ht="15" customHeight="1">
      <c r="A11" s="60">
        <f>'21 2026 ÜRETİM'!A11</f>
        <v/>
      </c>
      <c r="B11" s="81">
        <f>IF(A11="","",'21 2026 ÜRETİM'!D11)</f>
        <v/>
      </c>
      <c r="C11" s="81">
        <f>IF(A11="","",'21 2026 ÜRETİM'!E11)</f>
        <v/>
      </c>
      <c r="D11" s="82">
        <f>IF(A11="","",'21 2026 ÜRETİM'!F11)</f>
        <v/>
      </c>
      <c r="E11" s="81">
        <f>IF(A11="","",SUMIF('22 2026 PAKETLEME'!$B$2:$B$501,A11,'22 2026 PAKETLEME'!$E$2:$E$501))</f>
        <v/>
      </c>
      <c r="F11" s="82">
        <f>IF(A11="","",SUMIF('22 2026 PAKETLEME'!$B$2:$B$501,A11,'22 2026 PAKETLEME'!$G$2:$G$501))</f>
        <v/>
      </c>
      <c r="G11" s="81">
        <f>IF(A11="","",SUMIF('22 2026 PAKETLEME'!$B$2:$B$501,A11,'22 2026 PAKETLEME'!$H$2:$H$501))</f>
        <v/>
      </c>
      <c r="H11" s="81">
        <f>IF(A11="","",D11-E11-F11-G11)</f>
        <v/>
      </c>
      <c r="I11" s="82">
        <f>IF(A11="","",SUMIF('23 2026 SEVKİYAT'!$E$2:$E$501,A11,'23 2026 SEVKİYAT'!$H$2:$H$501))</f>
        <v/>
      </c>
      <c r="J11" s="81">
        <f>IF(A11="","",E11+F11-I11)</f>
        <v/>
      </c>
      <c r="K11" s="81">
        <f>IF(A11="","",D11-E11-F11-G11-H11)</f>
        <v/>
      </c>
      <c r="L11" s="58">
        <f>IF(A11="","",IF(ABS(K11)&lt;0.001,"KAPALI","KONTROL"))</f>
        <v/>
      </c>
      <c r="M11" s="56">
        <f>IF(A11="","",IF(J11&lt;0,"SEVK PAKETLEMEYİ AŞIYOR",IF(H11&lt;&gt;0,"PAKETLEME BAKİYESİ VAR","DENKLİK KAPALI")))</f>
        <v/>
      </c>
    </row>
    <row r="12" ht="15" customHeight="1">
      <c r="A12" s="60">
        <f>'21 2026 ÜRETİM'!A12</f>
        <v/>
      </c>
      <c r="B12" s="81">
        <f>IF(A12="","",'21 2026 ÜRETİM'!D12)</f>
        <v/>
      </c>
      <c r="C12" s="81">
        <f>IF(A12="","",'21 2026 ÜRETİM'!E12)</f>
        <v/>
      </c>
      <c r="D12" s="82">
        <f>IF(A12="","",'21 2026 ÜRETİM'!F12)</f>
        <v/>
      </c>
      <c r="E12" s="81">
        <f>IF(A12="","",SUMIF('22 2026 PAKETLEME'!$B$2:$B$501,A12,'22 2026 PAKETLEME'!$E$2:$E$501))</f>
        <v/>
      </c>
      <c r="F12" s="82">
        <f>IF(A12="","",SUMIF('22 2026 PAKETLEME'!$B$2:$B$501,A12,'22 2026 PAKETLEME'!$G$2:$G$501))</f>
        <v/>
      </c>
      <c r="G12" s="81">
        <f>IF(A12="","",SUMIF('22 2026 PAKETLEME'!$B$2:$B$501,A12,'22 2026 PAKETLEME'!$H$2:$H$501))</f>
        <v/>
      </c>
      <c r="H12" s="81">
        <f>IF(A12="","",D12-E12-F12-G12)</f>
        <v/>
      </c>
      <c r="I12" s="82">
        <f>IF(A12="","",SUMIF('23 2026 SEVKİYAT'!$E$2:$E$501,A12,'23 2026 SEVKİYAT'!$H$2:$H$501))</f>
        <v/>
      </c>
      <c r="J12" s="81">
        <f>IF(A12="","",E12+F12-I12)</f>
        <v/>
      </c>
      <c r="K12" s="81">
        <f>IF(A12="","",D12-E12-F12-G12-H12)</f>
        <v/>
      </c>
      <c r="L12" s="58">
        <f>IF(A12="","",IF(ABS(K12)&lt;0.001,"KAPALI","KONTROL"))</f>
        <v/>
      </c>
      <c r="M12" s="56">
        <f>IF(A12="","",IF(J12&lt;0,"SEVK PAKETLEMEYİ AŞIYOR",IF(H12&lt;&gt;0,"PAKETLEME BAKİYESİ VAR","DENKLİK KAPALI")))</f>
        <v/>
      </c>
    </row>
    <row r="13" ht="15" customHeight="1">
      <c r="A13" s="60">
        <f>'21 2026 ÜRETİM'!A13</f>
        <v/>
      </c>
      <c r="B13" s="81">
        <f>IF(A13="","",'21 2026 ÜRETİM'!D13)</f>
        <v/>
      </c>
      <c r="C13" s="81">
        <f>IF(A13="","",'21 2026 ÜRETİM'!E13)</f>
        <v/>
      </c>
      <c r="D13" s="82">
        <f>IF(A13="","",'21 2026 ÜRETİM'!F13)</f>
        <v/>
      </c>
      <c r="E13" s="81">
        <f>IF(A13="","",SUMIF('22 2026 PAKETLEME'!$B$2:$B$501,A13,'22 2026 PAKETLEME'!$E$2:$E$501))</f>
        <v/>
      </c>
      <c r="F13" s="82">
        <f>IF(A13="","",SUMIF('22 2026 PAKETLEME'!$B$2:$B$501,A13,'22 2026 PAKETLEME'!$G$2:$G$501))</f>
        <v/>
      </c>
      <c r="G13" s="81">
        <f>IF(A13="","",SUMIF('22 2026 PAKETLEME'!$B$2:$B$501,A13,'22 2026 PAKETLEME'!$H$2:$H$501))</f>
        <v/>
      </c>
      <c r="H13" s="81">
        <f>IF(A13="","",D13-E13-F13-G13)</f>
        <v/>
      </c>
      <c r="I13" s="82">
        <f>IF(A13="","",SUMIF('23 2026 SEVKİYAT'!$E$2:$E$501,A13,'23 2026 SEVKİYAT'!$H$2:$H$501))</f>
        <v/>
      </c>
      <c r="J13" s="81">
        <f>IF(A13="","",E13+F13-I13)</f>
        <v/>
      </c>
      <c r="K13" s="81">
        <f>IF(A13="","",D13-E13-F13-G13-H13)</f>
        <v/>
      </c>
      <c r="L13" s="58">
        <f>IF(A13="","",IF(ABS(K13)&lt;0.001,"KAPALI","KONTROL"))</f>
        <v/>
      </c>
      <c r="M13" s="56">
        <f>IF(A13="","",IF(J13&lt;0,"SEVK PAKETLEMEYİ AŞIYOR",IF(H13&lt;&gt;0,"PAKETLEME BAKİYESİ VAR","DENKLİK KAPALI")))</f>
        <v/>
      </c>
    </row>
    <row r="14" ht="15" customHeight="1">
      <c r="A14" s="60">
        <f>'21 2026 ÜRETİM'!A14</f>
        <v/>
      </c>
      <c r="B14" s="81">
        <f>IF(A14="","",'21 2026 ÜRETİM'!D14)</f>
        <v/>
      </c>
      <c r="C14" s="81">
        <f>IF(A14="","",'21 2026 ÜRETİM'!E14)</f>
        <v/>
      </c>
      <c r="D14" s="82">
        <f>IF(A14="","",'21 2026 ÜRETİM'!F14)</f>
        <v/>
      </c>
      <c r="E14" s="81">
        <f>IF(A14="","",SUMIF('22 2026 PAKETLEME'!$B$2:$B$501,A14,'22 2026 PAKETLEME'!$E$2:$E$501))</f>
        <v/>
      </c>
      <c r="F14" s="82">
        <f>IF(A14="","",SUMIF('22 2026 PAKETLEME'!$B$2:$B$501,A14,'22 2026 PAKETLEME'!$G$2:$G$501))</f>
        <v/>
      </c>
      <c r="G14" s="81">
        <f>IF(A14="","",SUMIF('22 2026 PAKETLEME'!$B$2:$B$501,A14,'22 2026 PAKETLEME'!$H$2:$H$501))</f>
        <v/>
      </c>
      <c r="H14" s="81">
        <f>IF(A14="","",D14-E14-F14-G14)</f>
        <v/>
      </c>
      <c r="I14" s="82">
        <f>IF(A14="","",SUMIF('23 2026 SEVKİYAT'!$E$2:$E$501,A14,'23 2026 SEVKİYAT'!$H$2:$H$501))</f>
        <v/>
      </c>
      <c r="J14" s="81">
        <f>IF(A14="","",E14+F14-I14)</f>
        <v/>
      </c>
      <c r="K14" s="81">
        <f>IF(A14="","",D14-E14-F14-G14-H14)</f>
        <v/>
      </c>
      <c r="L14" s="58">
        <f>IF(A14="","",IF(ABS(K14)&lt;0.001,"KAPALI","KONTROL"))</f>
        <v/>
      </c>
      <c r="M14" s="56">
        <f>IF(A14="","",IF(J14&lt;0,"SEVK PAKETLEMEYİ AŞIYOR",IF(H14&lt;&gt;0,"PAKETLEME BAKİYESİ VAR","DENKLİK KAPALI")))</f>
        <v/>
      </c>
    </row>
    <row r="15" ht="15" customHeight="1">
      <c r="A15" s="60">
        <f>'21 2026 ÜRETİM'!A15</f>
        <v/>
      </c>
      <c r="B15" s="81">
        <f>IF(A15="","",'21 2026 ÜRETİM'!D15)</f>
        <v/>
      </c>
      <c r="C15" s="81">
        <f>IF(A15="","",'21 2026 ÜRETİM'!E15)</f>
        <v/>
      </c>
      <c r="D15" s="82">
        <f>IF(A15="","",'21 2026 ÜRETİM'!F15)</f>
        <v/>
      </c>
      <c r="E15" s="81">
        <f>IF(A15="","",SUMIF('22 2026 PAKETLEME'!$B$2:$B$501,A15,'22 2026 PAKETLEME'!$E$2:$E$501))</f>
        <v/>
      </c>
      <c r="F15" s="82">
        <f>IF(A15="","",SUMIF('22 2026 PAKETLEME'!$B$2:$B$501,A15,'22 2026 PAKETLEME'!$G$2:$G$501))</f>
        <v/>
      </c>
      <c r="G15" s="81">
        <f>IF(A15="","",SUMIF('22 2026 PAKETLEME'!$B$2:$B$501,A15,'22 2026 PAKETLEME'!$H$2:$H$501))</f>
        <v/>
      </c>
      <c r="H15" s="81">
        <f>IF(A15="","",D15-E15-F15-G15)</f>
        <v/>
      </c>
      <c r="I15" s="82">
        <f>IF(A15="","",SUMIF('23 2026 SEVKİYAT'!$E$2:$E$501,A15,'23 2026 SEVKİYAT'!$H$2:$H$501))</f>
        <v/>
      </c>
      <c r="J15" s="81">
        <f>IF(A15="","",E15+F15-I15)</f>
        <v/>
      </c>
      <c r="K15" s="81">
        <f>IF(A15="","",D15-E15-F15-G15-H15)</f>
        <v/>
      </c>
      <c r="L15" s="58">
        <f>IF(A15="","",IF(ABS(K15)&lt;0.001,"KAPALI","KONTROL"))</f>
        <v/>
      </c>
      <c r="M15" s="56">
        <f>IF(A15="","",IF(J15&lt;0,"SEVK PAKETLEMEYİ AŞIYOR",IF(H15&lt;&gt;0,"PAKETLEME BAKİYESİ VAR","DENKLİK KAPALI")))</f>
        <v/>
      </c>
    </row>
    <row r="16" ht="15" customHeight="1">
      <c r="A16" s="60">
        <f>'21 2026 ÜRETİM'!A16</f>
        <v/>
      </c>
      <c r="B16" s="81">
        <f>IF(A16="","",'21 2026 ÜRETİM'!D16)</f>
        <v/>
      </c>
      <c r="C16" s="81">
        <f>IF(A16="","",'21 2026 ÜRETİM'!E16)</f>
        <v/>
      </c>
      <c r="D16" s="82">
        <f>IF(A16="","",'21 2026 ÜRETİM'!F16)</f>
        <v/>
      </c>
      <c r="E16" s="81">
        <f>IF(A16="","",SUMIF('22 2026 PAKETLEME'!$B$2:$B$501,A16,'22 2026 PAKETLEME'!$E$2:$E$501))</f>
        <v/>
      </c>
      <c r="F16" s="82">
        <f>IF(A16="","",SUMIF('22 2026 PAKETLEME'!$B$2:$B$501,A16,'22 2026 PAKETLEME'!$G$2:$G$501))</f>
        <v/>
      </c>
      <c r="G16" s="81">
        <f>IF(A16="","",SUMIF('22 2026 PAKETLEME'!$B$2:$B$501,A16,'22 2026 PAKETLEME'!$H$2:$H$501))</f>
        <v/>
      </c>
      <c r="H16" s="81">
        <f>IF(A16="","",D16-E16-F16-G16)</f>
        <v/>
      </c>
      <c r="I16" s="82">
        <f>IF(A16="","",SUMIF('23 2026 SEVKİYAT'!$E$2:$E$501,A16,'23 2026 SEVKİYAT'!$H$2:$H$501))</f>
        <v/>
      </c>
      <c r="J16" s="81">
        <f>IF(A16="","",E16+F16-I16)</f>
        <v/>
      </c>
      <c r="K16" s="81">
        <f>IF(A16="","",D16-E16-F16-G16-H16)</f>
        <v/>
      </c>
      <c r="L16" s="58">
        <f>IF(A16="","",IF(ABS(K16)&lt;0.001,"KAPALI","KONTROL"))</f>
        <v/>
      </c>
      <c r="M16" s="56">
        <f>IF(A16="","",IF(J16&lt;0,"SEVK PAKETLEMEYİ AŞIYOR",IF(H16&lt;&gt;0,"PAKETLEME BAKİYESİ VAR","DENKLİK KAPALI")))</f>
        <v/>
      </c>
    </row>
    <row r="17" ht="15" customHeight="1">
      <c r="A17" s="60">
        <f>'21 2026 ÜRETİM'!A17</f>
        <v/>
      </c>
      <c r="B17" s="81">
        <f>IF(A17="","",'21 2026 ÜRETİM'!D17)</f>
        <v/>
      </c>
      <c r="C17" s="81">
        <f>IF(A17="","",'21 2026 ÜRETİM'!E17)</f>
        <v/>
      </c>
      <c r="D17" s="82">
        <f>IF(A17="","",'21 2026 ÜRETİM'!F17)</f>
        <v/>
      </c>
      <c r="E17" s="81">
        <f>IF(A17="","",SUMIF('22 2026 PAKETLEME'!$B$2:$B$501,A17,'22 2026 PAKETLEME'!$E$2:$E$501))</f>
        <v/>
      </c>
      <c r="F17" s="82">
        <f>IF(A17="","",SUMIF('22 2026 PAKETLEME'!$B$2:$B$501,A17,'22 2026 PAKETLEME'!$G$2:$G$501))</f>
        <v/>
      </c>
      <c r="G17" s="81">
        <f>IF(A17="","",SUMIF('22 2026 PAKETLEME'!$B$2:$B$501,A17,'22 2026 PAKETLEME'!$H$2:$H$501))</f>
        <v/>
      </c>
      <c r="H17" s="81">
        <f>IF(A17="","",D17-E17-F17-G17)</f>
        <v/>
      </c>
      <c r="I17" s="82">
        <f>IF(A17="","",SUMIF('23 2026 SEVKİYAT'!$E$2:$E$501,A17,'23 2026 SEVKİYAT'!$H$2:$H$501))</f>
        <v/>
      </c>
      <c r="J17" s="81">
        <f>IF(A17="","",E17+F17-I17)</f>
        <v/>
      </c>
      <c r="K17" s="81">
        <f>IF(A17="","",D17-E17-F17-G17-H17)</f>
        <v/>
      </c>
      <c r="L17" s="58">
        <f>IF(A17="","",IF(ABS(K17)&lt;0.001,"KAPALI","KONTROL"))</f>
        <v/>
      </c>
      <c r="M17" s="56">
        <f>IF(A17="","",IF(J17&lt;0,"SEVK PAKETLEMEYİ AŞIYOR",IF(H17&lt;&gt;0,"PAKETLEME BAKİYESİ VAR","DENKLİK KAPALI")))</f>
        <v/>
      </c>
    </row>
    <row r="18" ht="15" customHeight="1">
      <c r="A18" s="60">
        <f>'21 2026 ÜRETİM'!A18</f>
        <v/>
      </c>
      <c r="B18" s="81">
        <f>IF(A18="","",'21 2026 ÜRETİM'!D18)</f>
        <v/>
      </c>
      <c r="C18" s="81">
        <f>IF(A18="","",'21 2026 ÜRETİM'!E18)</f>
        <v/>
      </c>
      <c r="D18" s="82">
        <f>IF(A18="","",'21 2026 ÜRETİM'!F18)</f>
        <v/>
      </c>
      <c r="E18" s="81">
        <f>IF(A18="","",SUMIF('22 2026 PAKETLEME'!$B$2:$B$501,A18,'22 2026 PAKETLEME'!$E$2:$E$501))</f>
        <v/>
      </c>
      <c r="F18" s="82">
        <f>IF(A18="","",SUMIF('22 2026 PAKETLEME'!$B$2:$B$501,A18,'22 2026 PAKETLEME'!$G$2:$G$501))</f>
        <v/>
      </c>
      <c r="G18" s="81">
        <f>IF(A18="","",SUMIF('22 2026 PAKETLEME'!$B$2:$B$501,A18,'22 2026 PAKETLEME'!$H$2:$H$501))</f>
        <v/>
      </c>
      <c r="H18" s="81">
        <f>IF(A18="","",D18-E18-F18-G18)</f>
        <v/>
      </c>
      <c r="I18" s="82">
        <f>IF(A18="","",SUMIF('23 2026 SEVKİYAT'!$E$2:$E$501,A18,'23 2026 SEVKİYAT'!$H$2:$H$501))</f>
        <v/>
      </c>
      <c r="J18" s="81">
        <f>IF(A18="","",E18+F18-I18)</f>
        <v/>
      </c>
      <c r="K18" s="81">
        <f>IF(A18="","",D18-E18-F18-G18-H18)</f>
        <v/>
      </c>
      <c r="L18" s="58">
        <f>IF(A18="","",IF(ABS(K18)&lt;0.001,"KAPALI","KONTROL"))</f>
        <v/>
      </c>
      <c r="M18" s="56">
        <f>IF(A18="","",IF(J18&lt;0,"SEVK PAKETLEMEYİ AŞIYOR",IF(H18&lt;&gt;0,"PAKETLEME BAKİYESİ VAR","DENKLİK KAPALI")))</f>
        <v/>
      </c>
    </row>
    <row r="19" ht="15" customHeight="1">
      <c r="A19" s="60">
        <f>'21 2026 ÜRETİM'!A19</f>
        <v/>
      </c>
      <c r="B19" s="81">
        <f>IF(A19="","",'21 2026 ÜRETİM'!D19)</f>
        <v/>
      </c>
      <c r="C19" s="81">
        <f>IF(A19="","",'21 2026 ÜRETİM'!E19)</f>
        <v/>
      </c>
      <c r="D19" s="82">
        <f>IF(A19="","",'21 2026 ÜRETİM'!F19)</f>
        <v/>
      </c>
      <c r="E19" s="81">
        <f>IF(A19="","",SUMIF('22 2026 PAKETLEME'!$B$2:$B$501,A19,'22 2026 PAKETLEME'!$E$2:$E$501))</f>
        <v/>
      </c>
      <c r="F19" s="82">
        <f>IF(A19="","",SUMIF('22 2026 PAKETLEME'!$B$2:$B$501,A19,'22 2026 PAKETLEME'!$G$2:$G$501))</f>
        <v/>
      </c>
      <c r="G19" s="81">
        <f>IF(A19="","",SUMIF('22 2026 PAKETLEME'!$B$2:$B$501,A19,'22 2026 PAKETLEME'!$H$2:$H$501))</f>
        <v/>
      </c>
      <c r="H19" s="81">
        <f>IF(A19="","",D19-E19-F19-G19)</f>
        <v/>
      </c>
      <c r="I19" s="82">
        <f>IF(A19="","",SUMIF('23 2026 SEVKİYAT'!$E$2:$E$501,A19,'23 2026 SEVKİYAT'!$H$2:$H$501))</f>
        <v/>
      </c>
      <c r="J19" s="81">
        <f>IF(A19="","",E19+F19-I19)</f>
        <v/>
      </c>
      <c r="K19" s="81">
        <f>IF(A19="","",D19-E19-F19-G19-H19)</f>
        <v/>
      </c>
      <c r="L19" s="58">
        <f>IF(A19="","",IF(ABS(K19)&lt;0.001,"KAPALI","KONTROL"))</f>
        <v/>
      </c>
      <c r="M19" s="56">
        <f>IF(A19="","",IF(J19&lt;0,"SEVK PAKETLEMEYİ AŞIYOR",IF(H19&lt;&gt;0,"PAKETLEME BAKİYESİ VAR","DENKLİK KAPALI")))</f>
        <v/>
      </c>
    </row>
    <row r="20" ht="15" customHeight="1">
      <c r="A20" s="60">
        <f>'21 2026 ÜRETİM'!A20</f>
        <v/>
      </c>
      <c r="B20" s="81">
        <f>IF(A20="","",'21 2026 ÜRETİM'!D20)</f>
        <v/>
      </c>
      <c r="C20" s="81">
        <f>IF(A20="","",'21 2026 ÜRETİM'!E20)</f>
        <v/>
      </c>
      <c r="D20" s="82">
        <f>IF(A20="","",'21 2026 ÜRETİM'!F20)</f>
        <v/>
      </c>
      <c r="E20" s="81">
        <f>IF(A20="","",SUMIF('22 2026 PAKETLEME'!$B$2:$B$501,A20,'22 2026 PAKETLEME'!$E$2:$E$501))</f>
        <v/>
      </c>
      <c r="F20" s="82">
        <f>IF(A20="","",SUMIF('22 2026 PAKETLEME'!$B$2:$B$501,A20,'22 2026 PAKETLEME'!$G$2:$G$501))</f>
        <v/>
      </c>
      <c r="G20" s="81">
        <f>IF(A20="","",SUMIF('22 2026 PAKETLEME'!$B$2:$B$501,A20,'22 2026 PAKETLEME'!$H$2:$H$501))</f>
        <v/>
      </c>
      <c r="H20" s="81">
        <f>IF(A20="","",D20-E20-F20-G20)</f>
        <v/>
      </c>
      <c r="I20" s="82">
        <f>IF(A20="","",SUMIF('23 2026 SEVKİYAT'!$E$2:$E$501,A20,'23 2026 SEVKİYAT'!$H$2:$H$501))</f>
        <v/>
      </c>
      <c r="J20" s="81">
        <f>IF(A20="","",E20+F20-I20)</f>
        <v/>
      </c>
      <c r="K20" s="81">
        <f>IF(A20="","",D20-E20-F20-G20-H20)</f>
        <v/>
      </c>
      <c r="L20" s="58">
        <f>IF(A20="","",IF(ABS(K20)&lt;0.001,"KAPALI","KONTROL"))</f>
        <v/>
      </c>
      <c r="M20" s="56">
        <f>IF(A20="","",IF(J20&lt;0,"SEVK PAKETLEMEYİ AŞIYOR",IF(H20&lt;&gt;0,"PAKETLEME BAKİYESİ VAR","DENKLİK KAPALI")))</f>
        <v/>
      </c>
    </row>
    <row r="21" ht="15" customHeight="1">
      <c r="A21" s="60">
        <f>'21 2026 ÜRETİM'!A21</f>
        <v/>
      </c>
      <c r="B21" s="81">
        <f>IF(A21="","",'21 2026 ÜRETİM'!D21)</f>
        <v/>
      </c>
      <c r="C21" s="81">
        <f>IF(A21="","",'21 2026 ÜRETİM'!E21)</f>
        <v/>
      </c>
      <c r="D21" s="82">
        <f>IF(A21="","",'21 2026 ÜRETİM'!F21)</f>
        <v/>
      </c>
      <c r="E21" s="81">
        <f>IF(A21="","",SUMIF('22 2026 PAKETLEME'!$B$2:$B$501,A21,'22 2026 PAKETLEME'!$E$2:$E$501))</f>
        <v/>
      </c>
      <c r="F21" s="82">
        <f>IF(A21="","",SUMIF('22 2026 PAKETLEME'!$B$2:$B$501,A21,'22 2026 PAKETLEME'!$G$2:$G$501))</f>
        <v/>
      </c>
      <c r="G21" s="81">
        <f>IF(A21="","",SUMIF('22 2026 PAKETLEME'!$B$2:$B$501,A21,'22 2026 PAKETLEME'!$H$2:$H$501))</f>
        <v/>
      </c>
      <c r="H21" s="81">
        <f>IF(A21="","",D21-E21-F21-G21)</f>
        <v/>
      </c>
      <c r="I21" s="82">
        <f>IF(A21="","",SUMIF('23 2026 SEVKİYAT'!$E$2:$E$501,A21,'23 2026 SEVKİYAT'!$H$2:$H$501))</f>
        <v/>
      </c>
      <c r="J21" s="81">
        <f>IF(A21="","",E21+F21-I21)</f>
        <v/>
      </c>
      <c r="K21" s="81">
        <f>IF(A21="","",D21-E21-F21-G21-H21)</f>
        <v/>
      </c>
      <c r="L21" s="58">
        <f>IF(A21="","",IF(ABS(K21)&lt;0.001,"KAPALI","KONTROL"))</f>
        <v/>
      </c>
      <c r="M21" s="56">
        <f>IF(A21="","",IF(J21&lt;0,"SEVK PAKETLEMEYİ AŞIYOR",IF(H21&lt;&gt;0,"PAKETLEME BAKİYESİ VAR","DENKLİK KAPALI")))</f>
        <v/>
      </c>
    </row>
    <row r="22" ht="15" customHeight="1">
      <c r="A22" s="60">
        <f>'21 2026 ÜRETİM'!A22</f>
        <v/>
      </c>
      <c r="B22" s="81">
        <f>IF(A22="","",'21 2026 ÜRETİM'!D22)</f>
        <v/>
      </c>
      <c r="C22" s="81">
        <f>IF(A22="","",'21 2026 ÜRETİM'!E22)</f>
        <v/>
      </c>
      <c r="D22" s="82">
        <f>IF(A22="","",'21 2026 ÜRETİM'!F22)</f>
        <v/>
      </c>
      <c r="E22" s="81">
        <f>IF(A22="","",SUMIF('22 2026 PAKETLEME'!$B$2:$B$501,A22,'22 2026 PAKETLEME'!$E$2:$E$501))</f>
        <v/>
      </c>
      <c r="F22" s="82">
        <f>IF(A22="","",SUMIF('22 2026 PAKETLEME'!$B$2:$B$501,A22,'22 2026 PAKETLEME'!$G$2:$G$501))</f>
        <v/>
      </c>
      <c r="G22" s="81">
        <f>IF(A22="","",SUMIF('22 2026 PAKETLEME'!$B$2:$B$501,A22,'22 2026 PAKETLEME'!$H$2:$H$501))</f>
        <v/>
      </c>
      <c r="H22" s="81">
        <f>IF(A22="","",D22-E22-F22-G22)</f>
        <v/>
      </c>
      <c r="I22" s="82">
        <f>IF(A22="","",SUMIF('23 2026 SEVKİYAT'!$E$2:$E$501,A22,'23 2026 SEVKİYAT'!$H$2:$H$501))</f>
        <v/>
      </c>
      <c r="J22" s="81">
        <f>IF(A22="","",E22+F22-I22)</f>
        <v/>
      </c>
      <c r="K22" s="81">
        <f>IF(A22="","",D22-E22-F22-G22-H22)</f>
        <v/>
      </c>
      <c r="L22" s="58">
        <f>IF(A22="","",IF(ABS(K22)&lt;0.001,"KAPALI","KONTROL"))</f>
        <v/>
      </c>
      <c r="M22" s="56">
        <f>IF(A22="","",IF(J22&lt;0,"SEVK PAKETLEMEYİ AŞIYOR",IF(H22&lt;&gt;0,"PAKETLEME BAKİYESİ VAR","DENKLİK KAPALI")))</f>
        <v/>
      </c>
    </row>
    <row r="23" ht="15" customHeight="1">
      <c r="A23" s="60">
        <f>'21 2026 ÜRETİM'!A23</f>
        <v/>
      </c>
      <c r="B23" s="81">
        <f>IF(A23="","",'21 2026 ÜRETİM'!D23)</f>
        <v/>
      </c>
      <c r="C23" s="81">
        <f>IF(A23="","",'21 2026 ÜRETİM'!E23)</f>
        <v/>
      </c>
      <c r="D23" s="82">
        <f>IF(A23="","",'21 2026 ÜRETİM'!F23)</f>
        <v/>
      </c>
      <c r="E23" s="81">
        <f>IF(A23="","",SUMIF('22 2026 PAKETLEME'!$B$2:$B$501,A23,'22 2026 PAKETLEME'!$E$2:$E$501))</f>
        <v/>
      </c>
      <c r="F23" s="82">
        <f>IF(A23="","",SUMIF('22 2026 PAKETLEME'!$B$2:$B$501,A23,'22 2026 PAKETLEME'!$G$2:$G$501))</f>
        <v/>
      </c>
      <c r="G23" s="81">
        <f>IF(A23="","",SUMIF('22 2026 PAKETLEME'!$B$2:$B$501,A23,'22 2026 PAKETLEME'!$H$2:$H$501))</f>
        <v/>
      </c>
      <c r="H23" s="81">
        <f>IF(A23="","",D23-E23-F23-G23)</f>
        <v/>
      </c>
      <c r="I23" s="82">
        <f>IF(A23="","",SUMIF('23 2026 SEVKİYAT'!$E$2:$E$501,A23,'23 2026 SEVKİYAT'!$H$2:$H$501))</f>
        <v/>
      </c>
      <c r="J23" s="81">
        <f>IF(A23="","",E23+F23-I23)</f>
        <v/>
      </c>
      <c r="K23" s="81">
        <f>IF(A23="","",D23-E23-F23-G23-H23)</f>
        <v/>
      </c>
      <c r="L23" s="58">
        <f>IF(A23="","",IF(ABS(K23)&lt;0.001,"KAPALI","KONTROL"))</f>
        <v/>
      </c>
      <c r="M23" s="56">
        <f>IF(A23="","",IF(J23&lt;0,"SEVK PAKETLEMEYİ AŞIYOR",IF(H23&lt;&gt;0,"PAKETLEME BAKİYESİ VAR","DENKLİK KAPALI")))</f>
        <v/>
      </c>
    </row>
    <row r="24" ht="15" customHeight="1">
      <c r="A24" s="60">
        <f>'21 2026 ÜRETİM'!A24</f>
        <v/>
      </c>
      <c r="B24" s="81">
        <f>IF(A24="","",'21 2026 ÜRETİM'!D24)</f>
        <v/>
      </c>
      <c r="C24" s="81">
        <f>IF(A24="","",'21 2026 ÜRETİM'!E24)</f>
        <v/>
      </c>
      <c r="D24" s="82">
        <f>IF(A24="","",'21 2026 ÜRETİM'!F24)</f>
        <v/>
      </c>
      <c r="E24" s="81">
        <f>IF(A24="","",SUMIF('22 2026 PAKETLEME'!$B$2:$B$501,A24,'22 2026 PAKETLEME'!$E$2:$E$501))</f>
        <v/>
      </c>
      <c r="F24" s="82">
        <f>IF(A24="","",SUMIF('22 2026 PAKETLEME'!$B$2:$B$501,A24,'22 2026 PAKETLEME'!$G$2:$G$501))</f>
        <v/>
      </c>
      <c r="G24" s="81">
        <f>IF(A24="","",SUMIF('22 2026 PAKETLEME'!$B$2:$B$501,A24,'22 2026 PAKETLEME'!$H$2:$H$501))</f>
        <v/>
      </c>
      <c r="H24" s="81">
        <f>IF(A24="","",D24-E24-F24-G24)</f>
        <v/>
      </c>
      <c r="I24" s="82">
        <f>IF(A24="","",SUMIF('23 2026 SEVKİYAT'!$E$2:$E$501,A24,'23 2026 SEVKİYAT'!$H$2:$H$501))</f>
        <v/>
      </c>
      <c r="J24" s="81">
        <f>IF(A24="","",E24+F24-I24)</f>
        <v/>
      </c>
      <c r="K24" s="81">
        <f>IF(A24="","",D24-E24-F24-G24-H24)</f>
        <v/>
      </c>
      <c r="L24" s="58">
        <f>IF(A24="","",IF(ABS(K24)&lt;0.001,"KAPALI","KONTROL"))</f>
        <v/>
      </c>
      <c r="M24" s="56">
        <f>IF(A24="","",IF(J24&lt;0,"SEVK PAKETLEMEYİ AŞIYOR",IF(H24&lt;&gt;0,"PAKETLEME BAKİYESİ VAR","DENKLİK KAPALI")))</f>
        <v/>
      </c>
    </row>
    <row r="25" ht="15" customHeight="1">
      <c r="A25" s="60">
        <f>'21 2026 ÜRETİM'!A25</f>
        <v/>
      </c>
      <c r="B25" s="81">
        <f>IF(A25="","",'21 2026 ÜRETİM'!D25)</f>
        <v/>
      </c>
      <c r="C25" s="81">
        <f>IF(A25="","",'21 2026 ÜRETİM'!E25)</f>
        <v/>
      </c>
      <c r="D25" s="82">
        <f>IF(A25="","",'21 2026 ÜRETİM'!F25)</f>
        <v/>
      </c>
      <c r="E25" s="81">
        <f>IF(A25="","",SUMIF('22 2026 PAKETLEME'!$B$2:$B$501,A25,'22 2026 PAKETLEME'!$E$2:$E$501))</f>
        <v/>
      </c>
      <c r="F25" s="82">
        <f>IF(A25="","",SUMIF('22 2026 PAKETLEME'!$B$2:$B$501,A25,'22 2026 PAKETLEME'!$G$2:$G$501))</f>
        <v/>
      </c>
      <c r="G25" s="81">
        <f>IF(A25="","",SUMIF('22 2026 PAKETLEME'!$B$2:$B$501,A25,'22 2026 PAKETLEME'!$H$2:$H$501))</f>
        <v/>
      </c>
      <c r="H25" s="81">
        <f>IF(A25="","",D25-E25-F25-G25)</f>
        <v/>
      </c>
      <c r="I25" s="82">
        <f>IF(A25="","",SUMIF('23 2026 SEVKİYAT'!$E$2:$E$501,A25,'23 2026 SEVKİYAT'!$H$2:$H$501))</f>
        <v/>
      </c>
      <c r="J25" s="81">
        <f>IF(A25="","",E25+F25-I25)</f>
        <v/>
      </c>
      <c r="K25" s="81">
        <f>IF(A25="","",D25-E25-F25-G25-H25)</f>
        <v/>
      </c>
      <c r="L25" s="58">
        <f>IF(A25="","",IF(ABS(K25)&lt;0.001,"KAPALI","KONTROL"))</f>
        <v/>
      </c>
      <c r="M25" s="56">
        <f>IF(A25="","",IF(J25&lt;0,"SEVK PAKETLEMEYİ AŞIYOR",IF(H25&lt;&gt;0,"PAKETLEME BAKİYESİ VAR","DENKLİK KAPALI")))</f>
        <v/>
      </c>
    </row>
    <row r="26" ht="15" customHeight="1">
      <c r="A26" s="60">
        <f>'21 2026 ÜRETİM'!A26</f>
        <v/>
      </c>
      <c r="B26" s="81">
        <f>IF(A26="","",'21 2026 ÜRETİM'!D26)</f>
        <v/>
      </c>
      <c r="C26" s="81">
        <f>IF(A26="","",'21 2026 ÜRETİM'!E26)</f>
        <v/>
      </c>
      <c r="D26" s="82">
        <f>IF(A26="","",'21 2026 ÜRETİM'!F26)</f>
        <v/>
      </c>
      <c r="E26" s="81">
        <f>IF(A26="","",SUMIF('22 2026 PAKETLEME'!$B$2:$B$501,A26,'22 2026 PAKETLEME'!$E$2:$E$501))</f>
        <v/>
      </c>
      <c r="F26" s="82">
        <f>IF(A26="","",SUMIF('22 2026 PAKETLEME'!$B$2:$B$501,A26,'22 2026 PAKETLEME'!$G$2:$G$501))</f>
        <v/>
      </c>
      <c r="G26" s="81">
        <f>IF(A26="","",SUMIF('22 2026 PAKETLEME'!$B$2:$B$501,A26,'22 2026 PAKETLEME'!$H$2:$H$501))</f>
        <v/>
      </c>
      <c r="H26" s="81">
        <f>IF(A26="","",D26-E26-F26-G26)</f>
        <v/>
      </c>
      <c r="I26" s="82">
        <f>IF(A26="","",SUMIF('23 2026 SEVKİYAT'!$E$2:$E$501,A26,'23 2026 SEVKİYAT'!$H$2:$H$501))</f>
        <v/>
      </c>
      <c r="J26" s="81">
        <f>IF(A26="","",E26+F26-I26)</f>
        <v/>
      </c>
      <c r="K26" s="81">
        <f>IF(A26="","",D26-E26-F26-G26-H26)</f>
        <v/>
      </c>
      <c r="L26" s="58">
        <f>IF(A26="","",IF(ABS(K26)&lt;0.001,"KAPALI","KONTROL"))</f>
        <v/>
      </c>
      <c r="M26" s="56">
        <f>IF(A26="","",IF(J26&lt;0,"SEVK PAKETLEMEYİ AŞIYOR",IF(H26&lt;&gt;0,"PAKETLEME BAKİYESİ VAR","DENKLİK KAPALI")))</f>
        <v/>
      </c>
    </row>
    <row r="27" ht="15" customHeight="1">
      <c r="A27" s="60">
        <f>'21 2026 ÜRETİM'!A27</f>
        <v/>
      </c>
      <c r="B27" s="81">
        <f>IF(A27="","",'21 2026 ÜRETİM'!D27)</f>
        <v/>
      </c>
      <c r="C27" s="81">
        <f>IF(A27="","",'21 2026 ÜRETİM'!E27)</f>
        <v/>
      </c>
      <c r="D27" s="82">
        <f>IF(A27="","",'21 2026 ÜRETİM'!F27)</f>
        <v/>
      </c>
      <c r="E27" s="81">
        <f>IF(A27="","",SUMIF('22 2026 PAKETLEME'!$B$2:$B$501,A27,'22 2026 PAKETLEME'!$E$2:$E$501))</f>
        <v/>
      </c>
      <c r="F27" s="82">
        <f>IF(A27="","",SUMIF('22 2026 PAKETLEME'!$B$2:$B$501,A27,'22 2026 PAKETLEME'!$G$2:$G$501))</f>
        <v/>
      </c>
      <c r="G27" s="81">
        <f>IF(A27="","",SUMIF('22 2026 PAKETLEME'!$B$2:$B$501,A27,'22 2026 PAKETLEME'!$H$2:$H$501))</f>
        <v/>
      </c>
      <c r="H27" s="81">
        <f>IF(A27="","",D27-E27-F27-G27)</f>
        <v/>
      </c>
      <c r="I27" s="82">
        <f>IF(A27="","",SUMIF('23 2026 SEVKİYAT'!$E$2:$E$501,A27,'23 2026 SEVKİYAT'!$H$2:$H$501))</f>
        <v/>
      </c>
      <c r="J27" s="81">
        <f>IF(A27="","",E27+F27-I27)</f>
        <v/>
      </c>
      <c r="K27" s="81">
        <f>IF(A27="","",D27-E27-F27-G27-H27)</f>
        <v/>
      </c>
      <c r="L27" s="58">
        <f>IF(A27="","",IF(ABS(K27)&lt;0.001,"KAPALI","KONTROL"))</f>
        <v/>
      </c>
      <c r="M27" s="56">
        <f>IF(A27="","",IF(J27&lt;0,"SEVK PAKETLEMEYİ AŞIYOR",IF(H27&lt;&gt;0,"PAKETLEME BAKİYESİ VAR","DENKLİK KAPALI")))</f>
        <v/>
      </c>
    </row>
    <row r="28" ht="15" customHeight="1">
      <c r="A28" s="60">
        <f>'21 2026 ÜRETİM'!A28</f>
        <v/>
      </c>
      <c r="B28" s="81">
        <f>IF(A28="","",'21 2026 ÜRETİM'!D28)</f>
        <v/>
      </c>
      <c r="C28" s="81">
        <f>IF(A28="","",'21 2026 ÜRETİM'!E28)</f>
        <v/>
      </c>
      <c r="D28" s="82">
        <f>IF(A28="","",'21 2026 ÜRETİM'!F28)</f>
        <v/>
      </c>
      <c r="E28" s="81">
        <f>IF(A28="","",SUMIF('22 2026 PAKETLEME'!$B$2:$B$501,A28,'22 2026 PAKETLEME'!$E$2:$E$501))</f>
        <v/>
      </c>
      <c r="F28" s="82">
        <f>IF(A28="","",SUMIF('22 2026 PAKETLEME'!$B$2:$B$501,A28,'22 2026 PAKETLEME'!$G$2:$G$501))</f>
        <v/>
      </c>
      <c r="G28" s="81">
        <f>IF(A28="","",SUMIF('22 2026 PAKETLEME'!$B$2:$B$501,A28,'22 2026 PAKETLEME'!$H$2:$H$501))</f>
        <v/>
      </c>
      <c r="H28" s="81">
        <f>IF(A28="","",D28-E28-F28-G28)</f>
        <v/>
      </c>
      <c r="I28" s="82">
        <f>IF(A28="","",SUMIF('23 2026 SEVKİYAT'!$E$2:$E$501,A28,'23 2026 SEVKİYAT'!$H$2:$H$501))</f>
        <v/>
      </c>
      <c r="J28" s="81">
        <f>IF(A28="","",E28+F28-I28)</f>
        <v/>
      </c>
      <c r="K28" s="81">
        <f>IF(A28="","",D28-E28-F28-G28-H28)</f>
        <v/>
      </c>
      <c r="L28" s="58">
        <f>IF(A28="","",IF(ABS(K28)&lt;0.001,"KAPALI","KONTROL"))</f>
        <v/>
      </c>
      <c r="M28" s="56">
        <f>IF(A28="","",IF(J28&lt;0,"SEVK PAKETLEMEYİ AŞIYOR",IF(H28&lt;&gt;0,"PAKETLEME BAKİYESİ VAR","DENKLİK KAPALI")))</f>
        <v/>
      </c>
    </row>
    <row r="29" ht="15" customHeight="1">
      <c r="A29" s="60">
        <f>'21 2026 ÜRETİM'!A29</f>
        <v/>
      </c>
      <c r="B29" s="81">
        <f>IF(A29="","",'21 2026 ÜRETİM'!D29)</f>
        <v/>
      </c>
      <c r="C29" s="81">
        <f>IF(A29="","",'21 2026 ÜRETİM'!E29)</f>
        <v/>
      </c>
      <c r="D29" s="82">
        <f>IF(A29="","",'21 2026 ÜRETİM'!F29)</f>
        <v/>
      </c>
      <c r="E29" s="81">
        <f>IF(A29="","",SUMIF('22 2026 PAKETLEME'!$B$2:$B$501,A29,'22 2026 PAKETLEME'!$E$2:$E$501))</f>
        <v/>
      </c>
      <c r="F29" s="82">
        <f>IF(A29="","",SUMIF('22 2026 PAKETLEME'!$B$2:$B$501,A29,'22 2026 PAKETLEME'!$G$2:$G$501))</f>
        <v/>
      </c>
      <c r="G29" s="81">
        <f>IF(A29="","",SUMIF('22 2026 PAKETLEME'!$B$2:$B$501,A29,'22 2026 PAKETLEME'!$H$2:$H$501))</f>
        <v/>
      </c>
      <c r="H29" s="81">
        <f>IF(A29="","",D29-E29-F29-G29)</f>
        <v/>
      </c>
      <c r="I29" s="82">
        <f>IF(A29="","",SUMIF('23 2026 SEVKİYAT'!$E$2:$E$501,A29,'23 2026 SEVKİYAT'!$H$2:$H$501))</f>
        <v/>
      </c>
      <c r="J29" s="81">
        <f>IF(A29="","",E29+F29-I29)</f>
        <v/>
      </c>
      <c r="K29" s="81">
        <f>IF(A29="","",D29-E29-F29-G29-H29)</f>
        <v/>
      </c>
      <c r="L29" s="58">
        <f>IF(A29="","",IF(ABS(K29)&lt;0.001,"KAPALI","KONTROL"))</f>
        <v/>
      </c>
      <c r="M29" s="56">
        <f>IF(A29="","",IF(J29&lt;0,"SEVK PAKETLEMEYİ AŞIYOR",IF(H29&lt;&gt;0,"PAKETLEME BAKİYESİ VAR","DENKLİK KAPALI")))</f>
        <v/>
      </c>
    </row>
    <row r="30" ht="15" customHeight="1">
      <c r="A30" s="60">
        <f>'21 2026 ÜRETİM'!A30</f>
        <v/>
      </c>
      <c r="B30" s="81">
        <f>IF(A30="","",'21 2026 ÜRETİM'!D30)</f>
        <v/>
      </c>
      <c r="C30" s="81">
        <f>IF(A30="","",'21 2026 ÜRETİM'!E30)</f>
        <v/>
      </c>
      <c r="D30" s="82">
        <f>IF(A30="","",'21 2026 ÜRETİM'!F30)</f>
        <v/>
      </c>
      <c r="E30" s="81">
        <f>IF(A30="","",SUMIF('22 2026 PAKETLEME'!$B$2:$B$501,A30,'22 2026 PAKETLEME'!$E$2:$E$501))</f>
        <v/>
      </c>
      <c r="F30" s="82">
        <f>IF(A30="","",SUMIF('22 2026 PAKETLEME'!$B$2:$B$501,A30,'22 2026 PAKETLEME'!$G$2:$G$501))</f>
        <v/>
      </c>
      <c r="G30" s="81">
        <f>IF(A30="","",SUMIF('22 2026 PAKETLEME'!$B$2:$B$501,A30,'22 2026 PAKETLEME'!$H$2:$H$501))</f>
        <v/>
      </c>
      <c r="H30" s="81">
        <f>IF(A30="","",D30-E30-F30-G30)</f>
        <v/>
      </c>
      <c r="I30" s="82">
        <f>IF(A30="","",SUMIF('23 2026 SEVKİYAT'!$E$2:$E$501,A30,'23 2026 SEVKİYAT'!$H$2:$H$501))</f>
        <v/>
      </c>
      <c r="J30" s="81">
        <f>IF(A30="","",E30+F30-I30)</f>
        <v/>
      </c>
      <c r="K30" s="81">
        <f>IF(A30="","",D30-E30-F30-G30-H30)</f>
        <v/>
      </c>
      <c r="L30" s="58">
        <f>IF(A30="","",IF(ABS(K30)&lt;0.001,"KAPALI","KONTROL"))</f>
        <v/>
      </c>
      <c r="M30" s="56">
        <f>IF(A30="","",IF(J30&lt;0,"SEVK PAKETLEMEYİ AŞIYOR",IF(H30&lt;&gt;0,"PAKETLEME BAKİYESİ VAR","DENKLİK KAPALI")))</f>
        <v/>
      </c>
    </row>
    <row r="31" ht="15" customHeight="1">
      <c r="A31" s="60">
        <f>'21 2026 ÜRETİM'!A31</f>
        <v/>
      </c>
      <c r="B31" s="81">
        <f>IF(A31="","",'21 2026 ÜRETİM'!D31)</f>
        <v/>
      </c>
      <c r="C31" s="81">
        <f>IF(A31="","",'21 2026 ÜRETİM'!E31)</f>
        <v/>
      </c>
      <c r="D31" s="82">
        <f>IF(A31="","",'21 2026 ÜRETİM'!F31)</f>
        <v/>
      </c>
      <c r="E31" s="81">
        <f>IF(A31="","",SUMIF('22 2026 PAKETLEME'!$B$2:$B$501,A31,'22 2026 PAKETLEME'!$E$2:$E$501))</f>
        <v/>
      </c>
      <c r="F31" s="82">
        <f>IF(A31="","",SUMIF('22 2026 PAKETLEME'!$B$2:$B$501,A31,'22 2026 PAKETLEME'!$G$2:$G$501))</f>
        <v/>
      </c>
      <c r="G31" s="81">
        <f>IF(A31="","",SUMIF('22 2026 PAKETLEME'!$B$2:$B$501,A31,'22 2026 PAKETLEME'!$H$2:$H$501))</f>
        <v/>
      </c>
      <c r="H31" s="81">
        <f>IF(A31="","",D31-E31-F31-G31)</f>
        <v/>
      </c>
      <c r="I31" s="82">
        <f>IF(A31="","",SUMIF('23 2026 SEVKİYAT'!$E$2:$E$501,A31,'23 2026 SEVKİYAT'!$H$2:$H$501))</f>
        <v/>
      </c>
      <c r="J31" s="81">
        <f>IF(A31="","",E31+F31-I31)</f>
        <v/>
      </c>
      <c r="K31" s="81">
        <f>IF(A31="","",D31-E31-F31-G31-H31)</f>
        <v/>
      </c>
      <c r="L31" s="58">
        <f>IF(A31="","",IF(ABS(K31)&lt;0.001,"KAPALI","KONTROL"))</f>
        <v/>
      </c>
      <c r="M31" s="56">
        <f>IF(A31="","",IF(J31&lt;0,"SEVK PAKETLEMEYİ AŞIYOR",IF(H31&lt;&gt;0,"PAKETLEME BAKİYESİ VAR","DENKLİK KAPALI")))</f>
        <v/>
      </c>
    </row>
    <row r="32" ht="15" customHeight="1">
      <c r="A32" s="60">
        <f>'21 2026 ÜRETİM'!A32</f>
        <v/>
      </c>
      <c r="B32" s="81">
        <f>IF(A32="","",'21 2026 ÜRETİM'!D32)</f>
        <v/>
      </c>
      <c r="C32" s="81">
        <f>IF(A32="","",'21 2026 ÜRETİM'!E32)</f>
        <v/>
      </c>
      <c r="D32" s="82">
        <f>IF(A32="","",'21 2026 ÜRETİM'!F32)</f>
        <v/>
      </c>
      <c r="E32" s="81">
        <f>IF(A32="","",SUMIF('22 2026 PAKETLEME'!$B$2:$B$501,A32,'22 2026 PAKETLEME'!$E$2:$E$501))</f>
        <v/>
      </c>
      <c r="F32" s="82">
        <f>IF(A32="","",SUMIF('22 2026 PAKETLEME'!$B$2:$B$501,A32,'22 2026 PAKETLEME'!$G$2:$G$501))</f>
        <v/>
      </c>
      <c r="G32" s="81">
        <f>IF(A32="","",SUMIF('22 2026 PAKETLEME'!$B$2:$B$501,A32,'22 2026 PAKETLEME'!$H$2:$H$501))</f>
        <v/>
      </c>
      <c r="H32" s="81">
        <f>IF(A32="","",D32-E32-F32-G32)</f>
        <v/>
      </c>
      <c r="I32" s="82">
        <f>IF(A32="","",SUMIF('23 2026 SEVKİYAT'!$E$2:$E$501,A32,'23 2026 SEVKİYAT'!$H$2:$H$501))</f>
        <v/>
      </c>
      <c r="J32" s="81">
        <f>IF(A32="","",E32+F32-I32)</f>
        <v/>
      </c>
      <c r="K32" s="81">
        <f>IF(A32="","",D32-E32-F32-G32-H32)</f>
        <v/>
      </c>
      <c r="L32" s="58">
        <f>IF(A32="","",IF(ABS(K32)&lt;0.001,"KAPALI","KONTROL"))</f>
        <v/>
      </c>
      <c r="M32" s="56">
        <f>IF(A32="","",IF(J32&lt;0,"SEVK PAKETLEMEYİ AŞIYOR",IF(H32&lt;&gt;0,"PAKETLEME BAKİYESİ VAR","DENKLİK KAPALI")))</f>
        <v/>
      </c>
    </row>
    <row r="33" ht="15" customHeight="1">
      <c r="A33" s="60">
        <f>'21 2026 ÜRETİM'!A33</f>
        <v/>
      </c>
      <c r="B33" s="81">
        <f>IF(A33="","",'21 2026 ÜRETİM'!D33)</f>
        <v/>
      </c>
      <c r="C33" s="81">
        <f>IF(A33="","",'21 2026 ÜRETİM'!E33)</f>
        <v/>
      </c>
      <c r="D33" s="82">
        <f>IF(A33="","",'21 2026 ÜRETİM'!F33)</f>
        <v/>
      </c>
      <c r="E33" s="81">
        <f>IF(A33="","",SUMIF('22 2026 PAKETLEME'!$B$2:$B$501,A33,'22 2026 PAKETLEME'!$E$2:$E$501))</f>
        <v/>
      </c>
      <c r="F33" s="82">
        <f>IF(A33="","",SUMIF('22 2026 PAKETLEME'!$B$2:$B$501,A33,'22 2026 PAKETLEME'!$G$2:$G$501))</f>
        <v/>
      </c>
      <c r="G33" s="81">
        <f>IF(A33="","",SUMIF('22 2026 PAKETLEME'!$B$2:$B$501,A33,'22 2026 PAKETLEME'!$H$2:$H$501))</f>
        <v/>
      </c>
      <c r="H33" s="81">
        <f>IF(A33="","",D33-E33-F33-G33)</f>
        <v/>
      </c>
      <c r="I33" s="82">
        <f>IF(A33="","",SUMIF('23 2026 SEVKİYAT'!$E$2:$E$501,A33,'23 2026 SEVKİYAT'!$H$2:$H$501))</f>
        <v/>
      </c>
      <c r="J33" s="81">
        <f>IF(A33="","",E33+F33-I33)</f>
        <v/>
      </c>
      <c r="K33" s="81">
        <f>IF(A33="","",D33-E33-F33-G33-H33)</f>
        <v/>
      </c>
      <c r="L33" s="58">
        <f>IF(A33="","",IF(ABS(K33)&lt;0.001,"KAPALI","KONTROL"))</f>
        <v/>
      </c>
      <c r="M33" s="56">
        <f>IF(A33="","",IF(J33&lt;0,"SEVK PAKETLEMEYİ AŞIYOR",IF(H33&lt;&gt;0,"PAKETLEME BAKİYESİ VAR","DENKLİK KAPALI")))</f>
        <v/>
      </c>
    </row>
    <row r="34" ht="15" customHeight="1">
      <c r="A34" s="60">
        <f>'21 2026 ÜRETİM'!A34</f>
        <v/>
      </c>
      <c r="B34" s="81">
        <f>IF(A34="","",'21 2026 ÜRETİM'!D34)</f>
        <v/>
      </c>
      <c r="C34" s="81">
        <f>IF(A34="","",'21 2026 ÜRETİM'!E34)</f>
        <v/>
      </c>
      <c r="D34" s="82">
        <f>IF(A34="","",'21 2026 ÜRETİM'!F34)</f>
        <v/>
      </c>
      <c r="E34" s="81">
        <f>IF(A34="","",SUMIF('22 2026 PAKETLEME'!$B$2:$B$501,A34,'22 2026 PAKETLEME'!$E$2:$E$501))</f>
        <v/>
      </c>
      <c r="F34" s="82">
        <f>IF(A34="","",SUMIF('22 2026 PAKETLEME'!$B$2:$B$501,A34,'22 2026 PAKETLEME'!$G$2:$G$501))</f>
        <v/>
      </c>
      <c r="G34" s="81">
        <f>IF(A34="","",SUMIF('22 2026 PAKETLEME'!$B$2:$B$501,A34,'22 2026 PAKETLEME'!$H$2:$H$501))</f>
        <v/>
      </c>
      <c r="H34" s="81">
        <f>IF(A34="","",D34-E34-F34-G34)</f>
        <v/>
      </c>
      <c r="I34" s="82">
        <f>IF(A34="","",SUMIF('23 2026 SEVKİYAT'!$E$2:$E$501,A34,'23 2026 SEVKİYAT'!$H$2:$H$501))</f>
        <v/>
      </c>
      <c r="J34" s="81">
        <f>IF(A34="","",E34+F34-I34)</f>
        <v/>
      </c>
      <c r="K34" s="81">
        <f>IF(A34="","",D34-E34-F34-G34-H34)</f>
        <v/>
      </c>
      <c r="L34" s="58">
        <f>IF(A34="","",IF(ABS(K34)&lt;0.001,"KAPALI","KONTROL"))</f>
        <v/>
      </c>
      <c r="M34" s="56">
        <f>IF(A34="","",IF(J34&lt;0,"SEVK PAKETLEMEYİ AŞIYOR",IF(H34&lt;&gt;0,"PAKETLEME BAKİYESİ VAR","DENKLİK KAPALI")))</f>
        <v/>
      </c>
    </row>
    <row r="35" ht="15" customHeight="1">
      <c r="A35" s="60">
        <f>'21 2026 ÜRETİM'!A35</f>
        <v/>
      </c>
      <c r="B35" s="81">
        <f>IF(A35="","",'21 2026 ÜRETİM'!D35)</f>
        <v/>
      </c>
      <c r="C35" s="81">
        <f>IF(A35="","",'21 2026 ÜRETİM'!E35)</f>
        <v/>
      </c>
      <c r="D35" s="82">
        <f>IF(A35="","",'21 2026 ÜRETİM'!F35)</f>
        <v/>
      </c>
      <c r="E35" s="81">
        <f>IF(A35="","",SUMIF('22 2026 PAKETLEME'!$B$2:$B$501,A35,'22 2026 PAKETLEME'!$E$2:$E$501))</f>
        <v/>
      </c>
      <c r="F35" s="82">
        <f>IF(A35="","",SUMIF('22 2026 PAKETLEME'!$B$2:$B$501,A35,'22 2026 PAKETLEME'!$G$2:$G$501))</f>
        <v/>
      </c>
      <c r="G35" s="81">
        <f>IF(A35="","",SUMIF('22 2026 PAKETLEME'!$B$2:$B$501,A35,'22 2026 PAKETLEME'!$H$2:$H$501))</f>
        <v/>
      </c>
      <c r="H35" s="81">
        <f>IF(A35="","",D35-E35-F35-G35)</f>
        <v/>
      </c>
      <c r="I35" s="82">
        <f>IF(A35="","",SUMIF('23 2026 SEVKİYAT'!$E$2:$E$501,A35,'23 2026 SEVKİYAT'!$H$2:$H$501))</f>
        <v/>
      </c>
      <c r="J35" s="81">
        <f>IF(A35="","",E35+F35-I35)</f>
        <v/>
      </c>
      <c r="K35" s="81">
        <f>IF(A35="","",D35-E35-F35-G35-H35)</f>
        <v/>
      </c>
      <c r="L35" s="58">
        <f>IF(A35="","",IF(ABS(K35)&lt;0.001,"KAPALI","KONTROL"))</f>
        <v/>
      </c>
      <c r="M35" s="56">
        <f>IF(A35="","",IF(J35&lt;0,"SEVK PAKETLEMEYİ AŞIYOR",IF(H35&lt;&gt;0,"PAKETLEME BAKİYESİ VAR","DENKLİK KAPALI")))</f>
        <v/>
      </c>
    </row>
    <row r="36" ht="15" customHeight="1">
      <c r="A36" s="60">
        <f>'21 2026 ÜRETİM'!A36</f>
        <v/>
      </c>
      <c r="B36" s="81">
        <f>IF(A36="","",'21 2026 ÜRETİM'!D36)</f>
        <v/>
      </c>
      <c r="C36" s="81">
        <f>IF(A36="","",'21 2026 ÜRETİM'!E36)</f>
        <v/>
      </c>
      <c r="D36" s="82">
        <f>IF(A36="","",'21 2026 ÜRETİM'!F36)</f>
        <v/>
      </c>
      <c r="E36" s="81">
        <f>IF(A36="","",SUMIF('22 2026 PAKETLEME'!$B$2:$B$501,A36,'22 2026 PAKETLEME'!$E$2:$E$501))</f>
        <v/>
      </c>
      <c r="F36" s="82">
        <f>IF(A36="","",SUMIF('22 2026 PAKETLEME'!$B$2:$B$501,A36,'22 2026 PAKETLEME'!$G$2:$G$501))</f>
        <v/>
      </c>
      <c r="G36" s="81">
        <f>IF(A36="","",SUMIF('22 2026 PAKETLEME'!$B$2:$B$501,A36,'22 2026 PAKETLEME'!$H$2:$H$501))</f>
        <v/>
      </c>
      <c r="H36" s="81">
        <f>IF(A36="","",D36-E36-F36-G36)</f>
        <v/>
      </c>
      <c r="I36" s="82">
        <f>IF(A36="","",SUMIF('23 2026 SEVKİYAT'!$E$2:$E$501,A36,'23 2026 SEVKİYAT'!$H$2:$H$501))</f>
        <v/>
      </c>
      <c r="J36" s="81">
        <f>IF(A36="","",E36+F36-I36)</f>
        <v/>
      </c>
      <c r="K36" s="81">
        <f>IF(A36="","",D36-E36-F36-G36-H36)</f>
        <v/>
      </c>
      <c r="L36" s="58">
        <f>IF(A36="","",IF(ABS(K36)&lt;0.001,"KAPALI","KONTROL"))</f>
        <v/>
      </c>
      <c r="M36" s="56">
        <f>IF(A36="","",IF(J36&lt;0,"SEVK PAKETLEMEYİ AŞIYOR",IF(H36&lt;&gt;0,"PAKETLEME BAKİYESİ VAR","DENKLİK KAPALI")))</f>
        <v/>
      </c>
    </row>
    <row r="37" ht="15" customHeight="1">
      <c r="A37" s="60">
        <f>'21 2026 ÜRETİM'!A37</f>
        <v/>
      </c>
      <c r="B37" s="81">
        <f>IF(A37="","",'21 2026 ÜRETİM'!D37)</f>
        <v/>
      </c>
      <c r="C37" s="81">
        <f>IF(A37="","",'21 2026 ÜRETİM'!E37)</f>
        <v/>
      </c>
      <c r="D37" s="82">
        <f>IF(A37="","",'21 2026 ÜRETİM'!F37)</f>
        <v/>
      </c>
      <c r="E37" s="81">
        <f>IF(A37="","",SUMIF('22 2026 PAKETLEME'!$B$2:$B$501,A37,'22 2026 PAKETLEME'!$E$2:$E$501))</f>
        <v/>
      </c>
      <c r="F37" s="82">
        <f>IF(A37="","",SUMIF('22 2026 PAKETLEME'!$B$2:$B$501,A37,'22 2026 PAKETLEME'!$G$2:$G$501))</f>
        <v/>
      </c>
      <c r="G37" s="81">
        <f>IF(A37="","",SUMIF('22 2026 PAKETLEME'!$B$2:$B$501,A37,'22 2026 PAKETLEME'!$H$2:$H$501))</f>
        <v/>
      </c>
      <c r="H37" s="81">
        <f>IF(A37="","",D37-E37-F37-G37)</f>
        <v/>
      </c>
      <c r="I37" s="82">
        <f>IF(A37="","",SUMIF('23 2026 SEVKİYAT'!$E$2:$E$501,A37,'23 2026 SEVKİYAT'!$H$2:$H$501))</f>
        <v/>
      </c>
      <c r="J37" s="81">
        <f>IF(A37="","",E37+F37-I37)</f>
        <v/>
      </c>
      <c r="K37" s="81">
        <f>IF(A37="","",D37-E37-F37-G37-H37)</f>
        <v/>
      </c>
      <c r="L37" s="58">
        <f>IF(A37="","",IF(ABS(K37)&lt;0.001,"KAPALI","KONTROL"))</f>
        <v/>
      </c>
      <c r="M37" s="56">
        <f>IF(A37="","",IF(J37&lt;0,"SEVK PAKETLEMEYİ AŞIYOR",IF(H37&lt;&gt;0,"PAKETLEME BAKİYESİ VAR","DENKLİK KAPALI")))</f>
        <v/>
      </c>
    </row>
    <row r="38" ht="15" customHeight="1">
      <c r="A38" s="60">
        <f>'21 2026 ÜRETİM'!A38</f>
        <v/>
      </c>
      <c r="B38" s="81">
        <f>IF(A38="","",'21 2026 ÜRETİM'!D38)</f>
        <v/>
      </c>
      <c r="C38" s="81">
        <f>IF(A38="","",'21 2026 ÜRETİM'!E38)</f>
        <v/>
      </c>
      <c r="D38" s="82">
        <f>IF(A38="","",'21 2026 ÜRETİM'!F38)</f>
        <v/>
      </c>
      <c r="E38" s="81">
        <f>IF(A38="","",SUMIF('22 2026 PAKETLEME'!$B$2:$B$501,A38,'22 2026 PAKETLEME'!$E$2:$E$501))</f>
        <v/>
      </c>
      <c r="F38" s="82">
        <f>IF(A38="","",SUMIF('22 2026 PAKETLEME'!$B$2:$B$501,A38,'22 2026 PAKETLEME'!$G$2:$G$501))</f>
        <v/>
      </c>
      <c r="G38" s="81">
        <f>IF(A38="","",SUMIF('22 2026 PAKETLEME'!$B$2:$B$501,A38,'22 2026 PAKETLEME'!$H$2:$H$501))</f>
        <v/>
      </c>
      <c r="H38" s="81">
        <f>IF(A38="","",D38-E38-F38-G38)</f>
        <v/>
      </c>
      <c r="I38" s="82">
        <f>IF(A38="","",SUMIF('23 2026 SEVKİYAT'!$E$2:$E$501,A38,'23 2026 SEVKİYAT'!$H$2:$H$501))</f>
        <v/>
      </c>
      <c r="J38" s="81">
        <f>IF(A38="","",E38+F38-I38)</f>
        <v/>
      </c>
      <c r="K38" s="81">
        <f>IF(A38="","",D38-E38-F38-G38-H38)</f>
        <v/>
      </c>
      <c r="L38" s="58">
        <f>IF(A38="","",IF(ABS(K38)&lt;0.001,"KAPALI","KONTROL"))</f>
        <v/>
      </c>
      <c r="M38" s="56">
        <f>IF(A38="","",IF(J38&lt;0,"SEVK PAKETLEMEYİ AŞIYOR",IF(H38&lt;&gt;0,"PAKETLEME BAKİYESİ VAR","DENKLİK KAPALI")))</f>
        <v/>
      </c>
    </row>
    <row r="39" ht="15" customHeight="1">
      <c r="A39" s="60">
        <f>'21 2026 ÜRETİM'!A39</f>
        <v/>
      </c>
      <c r="B39" s="81">
        <f>IF(A39="","",'21 2026 ÜRETİM'!D39)</f>
        <v/>
      </c>
      <c r="C39" s="81">
        <f>IF(A39="","",'21 2026 ÜRETİM'!E39)</f>
        <v/>
      </c>
      <c r="D39" s="82">
        <f>IF(A39="","",'21 2026 ÜRETİM'!F39)</f>
        <v/>
      </c>
      <c r="E39" s="81">
        <f>IF(A39="","",SUMIF('22 2026 PAKETLEME'!$B$2:$B$501,A39,'22 2026 PAKETLEME'!$E$2:$E$501))</f>
        <v/>
      </c>
      <c r="F39" s="82">
        <f>IF(A39="","",SUMIF('22 2026 PAKETLEME'!$B$2:$B$501,A39,'22 2026 PAKETLEME'!$G$2:$G$501))</f>
        <v/>
      </c>
      <c r="G39" s="81">
        <f>IF(A39="","",SUMIF('22 2026 PAKETLEME'!$B$2:$B$501,A39,'22 2026 PAKETLEME'!$H$2:$H$501))</f>
        <v/>
      </c>
      <c r="H39" s="81">
        <f>IF(A39="","",D39-E39-F39-G39)</f>
        <v/>
      </c>
      <c r="I39" s="82">
        <f>IF(A39="","",SUMIF('23 2026 SEVKİYAT'!$E$2:$E$501,A39,'23 2026 SEVKİYAT'!$H$2:$H$501))</f>
        <v/>
      </c>
      <c r="J39" s="81">
        <f>IF(A39="","",E39+F39-I39)</f>
        <v/>
      </c>
      <c r="K39" s="81">
        <f>IF(A39="","",D39-E39-F39-G39-H39)</f>
        <v/>
      </c>
      <c r="L39" s="58">
        <f>IF(A39="","",IF(ABS(K39)&lt;0.001,"KAPALI","KONTROL"))</f>
        <v/>
      </c>
      <c r="M39" s="56">
        <f>IF(A39="","",IF(J39&lt;0,"SEVK PAKETLEMEYİ AŞIYOR",IF(H39&lt;&gt;0,"PAKETLEME BAKİYESİ VAR","DENKLİK KAPALI")))</f>
        <v/>
      </c>
    </row>
    <row r="40" ht="15" customHeight="1">
      <c r="A40" s="60">
        <f>'21 2026 ÜRETİM'!A40</f>
        <v/>
      </c>
      <c r="B40" s="81">
        <f>IF(A40="","",'21 2026 ÜRETİM'!D40)</f>
        <v/>
      </c>
      <c r="C40" s="81">
        <f>IF(A40="","",'21 2026 ÜRETİM'!E40)</f>
        <v/>
      </c>
      <c r="D40" s="82">
        <f>IF(A40="","",'21 2026 ÜRETİM'!F40)</f>
        <v/>
      </c>
      <c r="E40" s="81">
        <f>IF(A40="","",SUMIF('22 2026 PAKETLEME'!$B$2:$B$501,A40,'22 2026 PAKETLEME'!$E$2:$E$501))</f>
        <v/>
      </c>
      <c r="F40" s="82">
        <f>IF(A40="","",SUMIF('22 2026 PAKETLEME'!$B$2:$B$501,A40,'22 2026 PAKETLEME'!$G$2:$G$501))</f>
        <v/>
      </c>
      <c r="G40" s="81">
        <f>IF(A40="","",SUMIF('22 2026 PAKETLEME'!$B$2:$B$501,A40,'22 2026 PAKETLEME'!$H$2:$H$501))</f>
        <v/>
      </c>
      <c r="H40" s="81">
        <f>IF(A40="","",D40-E40-F40-G40)</f>
        <v/>
      </c>
      <c r="I40" s="82">
        <f>IF(A40="","",SUMIF('23 2026 SEVKİYAT'!$E$2:$E$501,A40,'23 2026 SEVKİYAT'!$H$2:$H$501))</f>
        <v/>
      </c>
      <c r="J40" s="81">
        <f>IF(A40="","",E40+F40-I40)</f>
        <v/>
      </c>
      <c r="K40" s="81">
        <f>IF(A40="","",D40-E40-F40-G40-H40)</f>
        <v/>
      </c>
      <c r="L40" s="58">
        <f>IF(A40="","",IF(ABS(K40)&lt;0.001,"KAPALI","KONTROL"))</f>
        <v/>
      </c>
      <c r="M40" s="56">
        <f>IF(A40="","",IF(J40&lt;0,"SEVK PAKETLEMEYİ AŞIYOR",IF(H40&lt;&gt;0,"PAKETLEME BAKİYESİ VAR","DENKLİK KAPALI")))</f>
        <v/>
      </c>
    </row>
    <row r="41" ht="15" customHeight="1">
      <c r="A41" s="60">
        <f>'21 2026 ÜRETİM'!A41</f>
        <v/>
      </c>
      <c r="B41" s="81">
        <f>IF(A41="","",'21 2026 ÜRETİM'!D41)</f>
        <v/>
      </c>
      <c r="C41" s="81">
        <f>IF(A41="","",'21 2026 ÜRETİM'!E41)</f>
        <v/>
      </c>
      <c r="D41" s="82">
        <f>IF(A41="","",'21 2026 ÜRETİM'!F41)</f>
        <v/>
      </c>
      <c r="E41" s="81">
        <f>IF(A41="","",SUMIF('22 2026 PAKETLEME'!$B$2:$B$501,A41,'22 2026 PAKETLEME'!$E$2:$E$501))</f>
        <v/>
      </c>
      <c r="F41" s="82">
        <f>IF(A41="","",SUMIF('22 2026 PAKETLEME'!$B$2:$B$501,A41,'22 2026 PAKETLEME'!$G$2:$G$501))</f>
        <v/>
      </c>
      <c r="G41" s="81">
        <f>IF(A41="","",SUMIF('22 2026 PAKETLEME'!$B$2:$B$501,A41,'22 2026 PAKETLEME'!$H$2:$H$501))</f>
        <v/>
      </c>
      <c r="H41" s="81">
        <f>IF(A41="","",D41-E41-F41-G41)</f>
        <v/>
      </c>
      <c r="I41" s="82">
        <f>IF(A41="","",SUMIF('23 2026 SEVKİYAT'!$E$2:$E$501,A41,'23 2026 SEVKİYAT'!$H$2:$H$501))</f>
        <v/>
      </c>
      <c r="J41" s="81">
        <f>IF(A41="","",E41+F41-I41)</f>
        <v/>
      </c>
      <c r="K41" s="81">
        <f>IF(A41="","",D41-E41-F41-G41-H41)</f>
        <v/>
      </c>
      <c r="L41" s="58">
        <f>IF(A41="","",IF(ABS(K41)&lt;0.001,"KAPALI","KONTROL"))</f>
        <v/>
      </c>
      <c r="M41" s="56">
        <f>IF(A41="","",IF(J41&lt;0,"SEVK PAKETLEMEYİ AŞIYOR",IF(H41&lt;&gt;0,"PAKETLEME BAKİYESİ VAR","DENKLİK KAPALI")))</f>
        <v/>
      </c>
    </row>
    <row r="42" ht="15" customHeight="1">
      <c r="A42" s="60">
        <f>'21 2026 ÜRETİM'!A42</f>
        <v/>
      </c>
      <c r="B42" s="81">
        <f>IF(A42="","",'21 2026 ÜRETİM'!D42)</f>
        <v/>
      </c>
      <c r="C42" s="81">
        <f>IF(A42="","",'21 2026 ÜRETİM'!E42)</f>
        <v/>
      </c>
      <c r="D42" s="82">
        <f>IF(A42="","",'21 2026 ÜRETİM'!F42)</f>
        <v/>
      </c>
      <c r="E42" s="81">
        <f>IF(A42="","",SUMIF('22 2026 PAKETLEME'!$B$2:$B$501,A42,'22 2026 PAKETLEME'!$E$2:$E$501))</f>
        <v/>
      </c>
      <c r="F42" s="82">
        <f>IF(A42="","",SUMIF('22 2026 PAKETLEME'!$B$2:$B$501,A42,'22 2026 PAKETLEME'!$G$2:$G$501))</f>
        <v/>
      </c>
      <c r="G42" s="81">
        <f>IF(A42="","",SUMIF('22 2026 PAKETLEME'!$B$2:$B$501,A42,'22 2026 PAKETLEME'!$H$2:$H$501))</f>
        <v/>
      </c>
      <c r="H42" s="81">
        <f>IF(A42="","",D42-E42-F42-G42)</f>
        <v/>
      </c>
      <c r="I42" s="82">
        <f>IF(A42="","",SUMIF('23 2026 SEVKİYAT'!$E$2:$E$501,A42,'23 2026 SEVKİYAT'!$H$2:$H$501))</f>
        <v/>
      </c>
      <c r="J42" s="81">
        <f>IF(A42="","",E42+F42-I42)</f>
        <v/>
      </c>
      <c r="K42" s="81">
        <f>IF(A42="","",D42-E42-F42-G42-H42)</f>
        <v/>
      </c>
      <c r="L42" s="58">
        <f>IF(A42="","",IF(ABS(K42)&lt;0.001,"KAPALI","KONTROL"))</f>
        <v/>
      </c>
      <c r="M42" s="56">
        <f>IF(A42="","",IF(J42&lt;0,"SEVK PAKETLEMEYİ AŞIYOR",IF(H42&lt;&gt;0,"PAKETLEME BAKİYESİ VAR","DENKLİK KAPALI")))</f>
        <v/>
      </c>
    </row>
    <row r="43" ht="15" customHeight="1">
      <c r="A43" s="60">
        <f>'21 2026 ÜRETİM'!A43</f>
        <v/>
      </c>
      <c r="B43" s="81">
        <f>IF(A43="","",'21 2026 ÜRETİM'!D43)</f>
        <v/>
      </c>
      <c r="C43" s="81">
        <f>IF(A43="","",'21 2026 ÜRETİM'!E43)</f>
        <v/>
      </c>
      <c r="D43" s="82">
        <f>IF(A43="","",'21 2026 ÜRETİM'!F43)</f>
        <v/>
      </c>
      <c r="E43" s="81">
        <f>IF(A43="","",SUMIF('22 2026 PAKETLEME'!$B$2:$B$501,A43,'22 2026 PAKETLEME'!$E$2:$E$501))</f>
        <v/>
      </c>
      <c r="F43" s="82">
        <f>IF(A43="","",SUMIF('22 2026 PAKETLEME'!$B$2:$B$501,A43,'22 2026 PAKETLEME'!$G$2:$G$501))</f>
        <v/>
      </c>
      <c r="G43" s="81">
        <f>IF(A43="","",SUMIF('22 2026 PAKETLEME'!$B$2:$B$501,A43,'22 2026 PAKETLEME'!$H$2:$H$501))</f>
        <v/>
      </c>
      <c r="H43" s="81">
        <f>IF(A43="","",D43-E43-F43-G43)</f>
        <v/>
      </c>
      <c r="I43" s="82">
        <f>IF(A43="","",SUMIF('23 2026 SEVKİYAT'!$E$2:$E$501,A43,'23 2026 SEVKİYAT'!$H$2:$H$501))</f>
        <v/>
      </c>
      <c r="J43" s="81">
        <f>IF(A43="","",E43+F43-I43)</f>
        <v/>
      </c>
      <c r="K43" s="81">
        <f>IF(A43="","",D43-E43-F43-G43-H43)</f>
        <v/>
      </c>
      <c r="L43" s="58">
        <f>IF(A43="","",IF(ABS(K43)&lt;0.001,"KAPALI","KONTROL"))</f>
        <v/>
      </c>
      <c r="M43" s="56">
        <f>IF(A43="","",IF(J43&lt;0,"SEVK PAKETLEMEYİ AŞIYOR",IF(H43&lt;&gt;0,"PAKETLEME BAKİYESİ VAR","DENKLİK KAPALI")))</f>
        <v/>
      </c>
    </row>
    <row r="44" ht="15" customHeight="1">
      <c r="A44" s="60">
        <f>'21 2026 ÜRETİM'!A44</f>
        <v/>
      </c>
      <c r="B44" s="81">
        <f>IF(A44="","",'21 2026 ÜRETİM'!D44)</f>
        <v/>
      </c>
      <c r="C44" s="81">
        <f>IF(A44="","",'21 2026 ÜRETİM'!E44)</f>
        <v/>
      </c>
      <c r="D44" s="82">
        <f>IF(A44="","",'21 2026 ÜRETİM'!F44)</f>
        <v/>
      </c>
      <c r="E44" s="81">
        <f>IF(A44="","",SUMIF('22 2026 PAKETLEME'!$B$2:$B$501,A44,'22 2026 PAKETLEME'!$E$2:$E$501))</f>
        <v/>
      </c>
      <c r="F44" s="82">
        <f>IF(A44="","",SUMIF('22 2026 PAKETLEME'!$B$2:$B$501,A44,'22 2026 PAKETLEME'!$G$2:$G$501))</f>
        <v/>
      </c>
      <c r="G44" s="81">
        <f>IF(A44="","",SUMIF('22 2026 PAKETLEME'!$B$2:$B$501,A44,'22 2026 PAKETLEME'!$H$2:$H$501))</f>
        <v/>
      </c>
      <c r="H44" s="81">
        <f>IF(A44="","",D44-E44-F44-G44)</f>
        <v/>
      </c>
      <c r="I44" s="82">
        <f>IF(A44="","",SUMIF('23 2026 SEVKİYAT'!$E$2:$E$501,A44,'23 2026 SEVKİYAT'!$H$2:$H$501))</f>
        <v/>
      </c>
      <c r="J44" s="81">
        <f>IF(A44="","",E44+F44-I44)</f>
        <v/>
      </c>
      <c r="K44" s="81">
        <f>IF(A44="","",D44-E44-F44-G44-H44)</f>
        <v/>
      </c>
      <c r="L44" s="58">
        <f>IF(A44="","",IF(ABS(K44)&lt;0.001,"KAPALI","KONTROL"))</f>
        <v/>
      </c>
      <c r="M44" s="56">
        <f>IF(A44="","",IF(J44&lt;0,"SEVK PAKETLEMEYİ AŞIYOR",IF(H44&lt;&gt;0,"PAKETLEME BAKİYESİ VAR","DENKLİK KAPALI")))</f>
        <v/>
      </c>
    </row>
    <row r="45" ht="15" customHeight="1">
      <c r="A45" s="60">
        <f>'21 2026 ÜRETİM'!A45</f>
        <v/>
      </c>
      <c r="B45" s="81">
        <f>IF(A45="","",'21 2026 ÜRETİM'!D45)</f>
        <v/>
      </c>
      <c r="C45" s="81">
        <f>IF(A45="","",'21 2026 ÜRETİM'!E45)</f>
        <v/>
      </c>
      <c r="D45" s="82">
        <f>IF(A45="","",'21 2026 ÜRETİM'!F45)</f>
        <v/>
      </c>
      <c r="E45" s="81">
        <f>IF(A45="","",SUMIF('22 2026 PAKETLEME'!$B$2:$B$501,A45,'22 2026 PAKETLEME'!$E$2:$E$501))</f>
        <v/>
      </c>
      <c r="F45" s="82">
        <f>IF(A45="","",SUMIF('22 2026 PAKETLEME'!$B$2:$B$501,A45,'22 2026 PAKETLEME'!$G$2:$G$501))</f>
        <v/>
      </c>
      <c r="G45" s="81">
        <f>IF(A45="","",SUMIF('22 2026 PAKETLEME'!$B$2:$B$501,A45,'22 2026 PAKETLEME'!$H$2:$H$501))</f>
        <v/>
      </c>
      <c r="H45" s="81">
        <f>IF(A45="","",D45-E45-F45-G45)</f>
        <v/>
      </c>
      <c r="I45" s="82">
        <f>IF(A45="","",SUMIF('23 2026 SEVKİYAT'!$E$2:$E$501,A45,'23 2026 SEVKİYAT'!$H$2:$H$501))</f>
        <v/>
      </c>
      <c r="J45" s="81">
        <f>IF(A45="","",E45+F45-I45)</f>
        <v/>
      </c>
      <c r="K45" s="81">
        <f>IF(A45="","",D45-E45-F45-G45-H45)</f>
        <v/>
      </c>
      <c r="L45" s="58">
        <f>IF(A45="","",IF(ABS(K45)&lt;0.001,"KAPALI","KONTROL"))</f>
        <v/>
      </c>
      <c r="M45" s="56">
        <f>IF(A45="","",IF(J45&lt;0,"SEVK PAKETLEMEYİ AŞIYOR",IF(H45&lt;&gt;0,"PAKETLEME BAKİYESİ VAR","DENKLİK KAPALI")))</f>
        <v/>
      </c>
    </row>
    <row r="46" ht="15" customHeight="1">
      <c r="A46" s="60">
        <f>'21 2026 ÜRETİM'!A46</f>
        <v/>
      </c>
      <c r="B46" s="81">
        <f>IF(A46="","",'21 2026 ÜRETİM'!D46)</f>
        <v/>
      </c>
      <c r="C46" s="81">
        <f>IF(A46="","",'21 2026 ÜRETİM'!E46)</f>
        <v/>
      </c>
      <c r="D46" s="82">
        <f>IF(A46="","",'21 2026 ÜRETİM'!F46)</f>
        <v/>
      </c>
      <c r="E46" s="81">
        <f>IF(A46="","",SUMIF('22 2026 PAKETLEME'!$B$2:$B$501,A46,'22 2026 PAKETLEME'!$E$2:$E$501))</f>
        <v/>
      </c>
      <c r="F46" s="82">
        <f>IF(A46="","",SUMIF('22 2026 PAKETLEME'!$B$2:$B$501,A46,'22 2026 PAKETLEME'!$G$2:$G$501))</f>
        <v/>
      </c>
      <c r="G46" s="81">
        <f>IF(A46="","",SUMIF('22 2026 PAKETLEME'!$B$2:$B$501,A46,'22 2026 PAKETLEME'!$H$2:$H$501))</f>
        <v/>
      </c>
      <c r="H46" s="81">
        <f>IF(A46="","",D46-E46-F46-G46)</f>
        <v/>
      </c>
      <c r="I46" s="82">
        <f>IF(A46="","",SUMIF('23 2026 SEVKİYAT'!$E$2:$E$501,A46,'23 2026 SEVKİYAT'!$H$2:$H$501))</f>
        <v/>
      </c>
      <c r="J46" s="81">
        <f>IF(A46="","",E46+F46-I46)</f>
        <v/>
      </c>
      <c r="K46" s="81">
        <f>IF(A46="","",D46-E46-F46-G46-H46)</f>
        <v/>
      </c>
      <c r="L46" s="58">
        <f>IF(A46="","",IF(ABS(K46)&lt;0.001,"KAPALI","KONTROL"))</f>
        <v/>
      </c>
      <c r="M46" s="56">
        <f>IF(A46="","",IF(J46&lt;0,"SEVK PAKETLEMEYİ AŞIYOR",IF(H46&lt;&gt;0,"PAKETLEME BAKİYESİ VAR","DENKLİK KAPALI")))</f>
        <v/>
      </c>
    </row>
    <row r="47" ht="15" customHeight="1">
      <c r="A47" s="60">
        <f>'21 2026 ÜRETİM'!A47</f>
        <v/>
      </c>
      <c r="B47" s="81">
        <f>IF(A47="","",'21 2026 ÜRETİM'!D47)</f>
        <v/>
      </c>
      <c r="C47" s="81">
        <f>IF(A47="","",'21 2026 ÜRETİM'!E47)</f>
        <v/>
      </c>
      <c r="D47" s="82">
        <f>IF(A47="","",'21 2026 ÜRETİM'!F47)</f>
        <v/>
      </c>
      <c r="E47" s="81">
        <f>IF(A47="","",SUMIF('22 2026 PAKETLEME'!$B$2:$B$501,A47,'22 2026 PAKETLEME'!$E$2:$E$501))</f>
        <v/>
      </c>
      <c r="F47" s="82">
        <f>IF(A47="","",SUMIF('22 2026 PAKETLEME'!$B$2:$B$501,A47,'22 2026 PAKETLEME'!$G$2:$G$501))</f>
        <v/>
      </c>
      <c r="G47" s="81">
        <f>IF(A47="","",SUMIF('22 2026 PAKETLEME'!$B$2:$B$501,A47,'22 2026 PAKETLEME'!$H$2:$H$501))</f>
        <v/>
      </c>
      <c r="H47" s="81">
        <f>IF(A47="","",D47-E47-F47-G47)</f>
        <v/>
      </c>
      <c r="I47" s="82">
        <f>IF(A47="","",SUMIF('23 2026 SEVKİYAT'!$E$2:$E$501,A47,'23 2026 SEVKİYAT'!$H$2:$H$501))</f>
        <v/>
      </c>
      <c r="J47" s="81">
        <f>IF(A47="","",E47+F47-I47)</f>
        <v/>
      </c>
      <c r="K47" s="81">
        <f>IF(A47="","",D47-E47-F47-G47-H47)</f>
        <v/>
      </c>
      <c r="L47" s="58">
        <f>IF(A47="","",IF(ABS(K47)&lt;0.001,"KAPALI","KONTROL"))</f>
        <v/>
      </c>
      <c r="M47" s="56">
        <f>IF(A47="","",IF(J47&lt;0,"SEVK PAKETLEMEYİ AŞIYOR",IF(H47&lt;&gt;0,"PAKETLEME BAKİYESİ VAR","DENKLİK KAPALI")))</f>
        <v/>
      </c>
    </row>
    <row r="48" ht="15" customHeight="1">
      <c r="A48" s="60">
        <f>'21 2026 ÜRETİM'!A48</f>
        <v/>
      </c>
      <c r="B48" s="81">
        <f>IF(A48="","",'21 2026 ÜRETİM'!D48)</f>
        <v/>
      </c>
      <c r="C48" s="81">
        <f>IF(A48="","",'21 2026 ÜRETİM'!E48)</f>
        <v/>
      </c>
      <c r="D48" s="82">
        <f>IF(A48="","",'21 2026 ÜRETİM'!F48)</f>
        <v/>
      </c>
      <c r="E48" s="81">
        <f>IF(A48="","",SUMIF('22 2026 PAKETLEME'!$B$2:$B$501,A48,'22 2026 PAKETLEME'!$E$2:$E$501))</f>
        <v/>
      </c>
      <c r="F48" s="82">
        <f>IF(A48="","",SUMIF('22 2026 PAKETLEME'!$B$2:$B$501,A48,'22 2026 PAKETLEME'!$G$2:$G$501))</f>
        <v/>
      </c>
      <c r="G48" s="81">
        <f>IF(A48="","",SUMIF('22 2026 PAKETLEME'!$B$2:$B$501,A48,'22 2026 PAKETLEME'!$H$2:$H$501))</f>
        <v/>
      </c>
      <c r="H48" s="81">
        <f>IF(A48="","",D48-E48-F48-G48)</f>
        <v/>
      </c>
      <c r="I48" s="82">
        <f>IF(A48="","",SUMIF('23 2026 SEVKİYAT'!$E$2:$E$501,A48,'23 2026 SEVKİYAT'!$H$2:$H$501))</f>
        <v/>
      </c>
      <c r="J48" s="81">
        <f>IF(A48="","",E48+F48-I48)</f>
        <v/>
      </c>
      <c r="K48" s="81">
        <f>IF(A48="","",D48-E48-F48-G48-H48)</f>
        <v/>
      </c>
      <c r="L48" s="58">
        <f>IF(A48="","",IF(ABS(K48)&lt;0.001,"KAPALI","KONTROL"))</f>
        <v/>
      </c>
      <c r="M48" s="56">
        <f>IF(A48="","",IF(J48&lt;0,"SEVK PAKETLEMEYİ AŞIYOR",IF(H48&lt;&gt;0,"PAKETLEME BAKİYESİ VAR","DENKLİK KAPALI")))</f>
        <v/>
      </c>
    </row>
    <row r="49" ht="15" customHeight="1">
      <c r="A49" s="60">
        <f>'21 2026 ÜRETİM'!A49</f>
        <v/>
      </c>
      <c r="B49" s="81">
        <f>IF(A49="","",'21 2026 ÜRETİM'!D49)</f>
        <v/>
      </c>
      <c r="C49" s="81">
        <f>IF(A49="","",'21 2026 ÜRETİM'!E49)</f>
        <v/>
      </c>
      <c r="D49" s="82">
        <f>IF(A49="","",'21 2026 ÜRETİM'!F49)</f>
        <v/>
      </c>
      <c r="E49" s="81">
        <f>IF(A49="","",SUMIF('22 2026 PAKETLEME'!$B$2:$B$501,A49,'22 2026 PAKETLEME'!$E$2:$E$501))</f>
        <v/>
      </c>
      <c r="F49" s="82">
        <f>IF(A49="","",SUMIF('22 2026 PAKETLEME'!$B$2:$B$501,A49,'22 2026 PAKETLEME'!$G$2:$G$501))</f>
        <v/>
      </c>
      <c r="G49" s="81">
        <f>IF(A49="","",SUMIF('22 2026 PAKETLEME'!$B$2:$B$501,A49,'22 2026 PAKETLEME'!$H$2:$H$501))</f>
        <v/>
      </c>
      <c r="H49" s="81">
        <f>IF(A49="","",D49-E49-F49-G49)</f>
        <v/>
      </c>
      <c r="I49" s="82">
        <f>IF(A49="","",SUMIF('23 2026 SEVKİYAT'!$E$2:$E$501,A49,'23 2026 SEVKİYAT'!$H$2:$H$501))</f>
        <v/>
      </c>
      <c r="J49" s="81">
        <f>IF(A49="","",E49+F49-I49)</f>
        <v/>
      </c>
      <c r="K49" s="81">
        <f>IF(A49="","",D49-E49-F49-G49-H49)</f>
        <v/>
      </c>
      <c r="L49" s="58">
        <f>IF(A49="","",IF(ABS(K49)&lt;0.001,"KAPALI","KONTROL"))</f>
        <v/>
      </c>
      <c r="M49" s="56">
        <f>IF(A49="","",IF(J49&lt;0,"SEVK PAKETLEMEYİ AŞIYOR",IF(H49&lt;&gt;0,"PAKETLEME BAKİYESİ VAR","DENKLİK KAPALI")))</f>
        <v/>
      </c>
    </row>
    <row r="50" ht="15" customHeight="1">
      <c r="A50" s="60">
        <f>'21 2026 ÜRETİM'!A50</f>
        <v/>
      </c>
      <c r="B50" s="81">
        <f>IF(A50="","",'21 2026 ÜRETİM'!D50)</f>
        <v/>
      </c>
      <c r="C50" s="81">
        <f>IF(A50="","",'21 2026 ÜRETİM'!E50)</f>
        <v/>
      </c>
      <c r="D50" s="82">
        <f>IF(A50="","",'21 2026 ÜRETİM'!F50)</f>
        <v/>
      </c>
      <c r="E50" s="81">
        <f>IF(A50="","",SUMIF('22 2026 PAKETLEME'!$B$2:$B$501,A50,'22 2026 PAKETLEME'!$E$2:$E$501))</f>
        <v/>
      </c>
      <c r="F50" s="82">
        <f>IF(A50="","",SUMIF('22 2026 PAKETLEME'!$B$2:$B$501,A50,'22 2026 PAKETLEME'!$G$2:$G$501))</f>
        <v/>
      </c>
      <c r="G50" s="81">
        <f>IF(A50="","",SUMIF('22 2026 PAKETLEME'!$B$2:$B$501,A50,'22 2026 PAKETLEME'!$H$2:$H$501))</f>
        <v/>
      </c>
      <c r="H50" s="81">
        <f>IF(A50="","",D50-E50-F50-G50)</f>
        <v/>
      </c>
      <c r="I50" s="82">
        <f>IF(A50="","",SUMIF('23 2026 SEVKİYAT'!$E$2:$E$501,A50,'23 2026 SEVKİYAT'!$H$2:$H$501))</f>
        <v/>
      </c>
      <c r="J50" s="81">
        <f>IF(A50="","",E50+F50-I50)</f>
        <v/>
      </c>
      <c r="K50" s="81">
        <f>IF(A50="","",D50-E50-F50-G50-H50)</f>
        <v/>
      </c>
      <c r="L50" s="58">
        <f>IF(A50="","",IF(ABS(K50)&lt;0.001,"KAPALI","KONTROL"))</f>
        <v/>
      </c>
      <c r="M50" s="56">
        <f>IF(A50="","",IF(J50&lt;0,"SEVK PAKETLEMEYİ AŞIYOR",IF(H50&lt;&gt;0,"PAKETLEME BAKİYESİ VAR","DENKLİK KAPALI")))</f>
        <v/>
      </c>
    </row>
    <row r="51" ht="15" customHeight="1">
      <c r="A51" s="60">
        <f>'21 2026 ÜRETİM'!A51</f>
        <v/>
      </c>
      <c r="B51" s="81">
        <f>IF(A51="","",'21 2026 ÜRETİM'!D51)</f>
        <v/>
      </c>
      <c r="C51" s="81">
        <f>IF(A51="","",'21 2026 ÜRETİM'!E51)</f>
        <v/>
      </c>
      <c r="D51" s="82">
        <f>IF(A51="","",'21 2026 ÜRETİM'!F51)</f>
        <v/>
      </c>
      <c r="E51" s="81">
        <f>IF(A51="","",SUMIF('22 2026 PAKETLEME'!$B$2:$B$501,A51,'22 2026 PAKETLEME'!$E$2:$E$501))</f>
        <v/>
      </c>
      <c r="F51" s="82">
        <f>IF(A51="","",SUMIF('22 2026 PAKETLEME'!$B$2:$B$501,A51,'22 2026 PAKETLEME'!$G$2:$G$501))</f>
        <v/>
      </c>
      <c r="G51" s="81">
        <f>IF(A51="","",SUMIF('22 2026 PAKETLEME'!$B$2:$B$501,A51,'22 2026 PAKETLEME'!$H$2:$H$501))</f>
        <v/>
      </c>
      <c r="H51" s="81">
        <f>IF(A51="","",D51-E51-F51-G51)</f>
        <v/>
      </c>
      <c r="I51" s="82">
        <f>IF(A51="","",SUMIF('23 2026 SEVKİYAT'!$E$2:$E$501,A51,'23 2026 SEVKİYAT'!$H$2:$H$501))</f>
        <v/>
      </c>
      <c r="J51" s="81">
        <f>IF(A51="","",E51+F51-I51)</f>
        <v/>
      </c>
      <c r="K51" s="81">
        <f>IF(A51="","",D51-E51-F51-G51-H51)</f>
        <v/>
      </c>
      <c r="L51" s="58">
        <f>IF(A51="","",IF(ABS(K51)&lt;0.001,"KAPALI","KONTROL"))</f>
        <v/>
      </c>
      <c r="M51" s="56">
        <f>IF(A51="","",IF(J51&lt;0,"SEVK PAKETLEMEYİ AŞIYOR",IF(H51&lt;&gt;0,"PAKETLEME BAKİYESİ VAR","DENKLİK KAPALI")))</f>
        <v/>
      </c>
    </row>
    <row r="52" ht="15" customHeight="1">
      <c r="A52" s="60">
        <f>'21 2026 ÜRETİM'!A52</f>
        <v/>
      </c>
      <c r="B52" s="81">
        <f>IF(A52="","",'21 2026 ÜRETİM'!D52)</f>
        <v/>
      </c>
      <c r="C52" s="81">
        <f>IF(A52="","",'21 2026 ÜRETİM'!E52)</f>
        <v/>
      </c>
      <c r="D52" s="82">
        <f>IF(A52="","",'21 2026 ÜRETİM'!F52)</f>
        <v/>
      </c>
      <c r="E52" s="81">
        <f>IF(A52="","",SUMIF('22 2026 PAKETLEME'!$B$2:$B$501,A52,'22 2026 PAKETLEME'!$E$2:$E$501))</f>
        <v/>
      </c>
      <c r="F52" s="82">
        <f>IF(A52="","",SUMIF('22 2026 PAKETLEME'!$B$2:$B$501,A52,'22 2026 PAKETLEME'!$G$2:$G$501))</f>
        <v/>
      </c>
      <c r="G52" s="81">
        <f>IF(A52="","",SUMIF('22 2026 PAKETLEME'!$B$2:$B$501,A52,'22 2026 PAKETLEME'!$H$2:$H$501))</f>
        <v/>
      </c>
      <c r="H52" s="81">
        <f>IF(A52="","",D52-E52-F52-G52)</f>
        <v/>
      </c>
      <c r="I52" s="82">
        <f>IF(A52="","",SUMIF('23 2026 SEVKİYAT'!$E$2:$E$501,A52,'23 2026 SEVKİYAT'!$H$2:$H$501))</f>
        <v/>
      </c>
      <c r="J52" s="81">
        <f>IF(A52="","",E52+F52-I52)</f>
        <v/>
      </c>
      <c r="K52" s="81">
        <f>IF(A52="","",D52-E52-F52-G52-H52)</f>
        <v/>
      </c>
      <c r="L52" s="58">
        <f>IF(A52="","",IF(ABS(K52)&lt;0.001,"KAPALI","KONTROL"))</f>
        <v/>
      </c>
      <c r="M52" s="56">
        <f>IF(A52="","",IF(J52&lt;0,"SEVK PAKETLEMEYİ AŞIYOR",IF(H52&lt;&gt;0,"PAKETLEME BAKİYESİ VAR","DENKLİK KAPALI")))</f>
        <v/>
      </c>
    </row>
    <row r="53" ht="15" customHeight="1">
      <c r="A53" s="60">
        <f>'21 2026 ÜRETİM'!A53</f>
        <v/>
      </c>
      <c r="B53" s="81">
        <f>IF(A53="","",'21 2026 ÜRETİM'!D53)</f>
        <v/>
      </c>
      <c r="C53" s="81">
        <f>IF(A53="","",'21 2026 ÜRETİM'!E53)</f>
        <v/>
      </c>
      <c r="D53" s="82">
        <f>IF(A53="","",'21 2026 ÜRETİM'!F53)</f>
        <v/>
      </c>
      <c r="E53" s="81">
        <f>IF(A53="","",SUMIF('22 2026 PAKETLEME'!$B$2:$B$501,A53,'22 2026 PAKETLEME'!$E$2:$E$501))</f>
        <v/>
      </c>
      <c r="F53" s="82">
        <f>IF(A53="","",SUMIF('22 2026 PAKETLEME'!$B$2:$B$501,A53,'22 2026 PAKETLEME'!$G$2:$G$501))</f>
        <v/>
      </c>
      <c r="G53" s="81">
        <f>IF(A53="","",SUMIF('22 2026 PAKETLEME'!$B$2:$B$501,A53,'22 2026 PAKETLEME'!$H$2:$H$501))</f>
        <v/>
      </c>
      <c r="H53" s="81">
        <f>IF(A53="","",D53-E53-F53-G53)</f>
        <v/>
      </c>
      <c r="I53" s="82">
        <f>IF(A53="","",SUMIF('23 2026 SEVKİYAT'!$E$2:$E$501,A53,'23 2026 SEVKİYAT'!$H$2:$H$501))</f>
        <v/>
      </c>
      <c r="J53" s="81">
        <f>IF(A53="","",E53+F53-I53)</f>
        <v/>
      </c>
      <c r="K53" s="81">
        <f>IF(A53="","",D53-E53-F53-G53-H53)</f>
        <v/>
      </c>
      <c r="L53" s="58">
        <f>IF(A53="","",IF(ABS(K53)&lt;0.001,"KAPALI","KONTROL"))</f>
        <v/>
      </c>
      <c r="M53" s="56">
        <f>IF(A53="","",IF(J53&lt;0,"SEVK PAKETLEMEYİ AŞIYOR",IF(H53&lt;&gt;0,"PAKETLEME BAKİYESİ VAR","DENKLİK KAPALI")))</f>
        <v/>
      </c>
    </row>
    <row r="54" ht="15" customHeight="1">
      <c r="A54" s="60">
        <f>'21 2026 ÜRETİM'!A54</f>
        <v/>
      </c>
      <c r="B54" s="81">
        <f>IF(A54="","",'21 2026 ÜRETİM'!D54)</f>
        <v/>
      </c>
      <c r="C54" s="81">
        <f>IF(A54="","",'21 2026 ÜRETİM'!E54)</f>
        <v/>
      </c>
      <c r="D54" s="82">
        <f>IF(A54="","",'21 2026 ÜRETİM'!F54)</f>
        <v/>
      </c>
      <c r="E54" s="81">
        <f>IF(A54="","",SUMIF('22 2026 PAKETLEME'!$B$2:$B$501,A54,'22 2026 PAKETLEME'!$E$2:$E$501))</f>
        <v/>
      </c>
      <c r="F54" s="82">
        <f>IF(A54="","",SUMIF('22 2026 PAKETLEME'!$B$2:$B$501,A54,'22 2026 PAKETLEME'!$G$2:$G$501))</f>
        <v/>
      </c>
      <c r="G54" s="81">
        <f>IF(A54="","",SUMIF('22 2026 PAKETLEME'!$B$2:$B$501,A54,'22 2026 PAKETLEME'!$H$2:$H$501))</f>
        <v/>
      </c>
      <c r="H54" s="81">
        <f>IF(A54="","",D54-E54-F54-G54)</f>
        <v/>
      </c>
      <c r="I54" s="82">
        <f>IF(A54="","",SUMIF('23 2026 SEVKİYAT'!$E$2:$E$501,A54,'23 2026 SEVKİYAT'!$H$2:$H$501))</f>
        <v/>
      </c>
      <c r="J54" s="81">
        <f>IF(A54="","",E54+F54-I54)</f>
        <v/>
      </c>
      <c r="K54" s="81">
        <f>IF(A54="","",D54-E54-F54-G54-H54)</f>
        <v/>
      </c>
      <c r="L54" s="58">
        <f>IF(A54="","",IF(ABS(K54)&lt;0.001,"KAPALI","KONTROL"))</f>
        <v/>
      </c>
      <c r="M54" s="56">
        <f>IF(A54="","",IF(J54&lt;0,"SEVK PAKETLEMEYİ AŞIYOR",IF(H54&lt;&gt;0,"PAKETLEME BAKİYESİ VAR","DENKLİK KAPALI")))</f>
        <v/>
      </c>
    </row>
    <row r="55" ht="15" customHeight="1">
      <c r="A55" s="60">
        <f>'21 2026 ÜRETİM'!A55</f>
        <v/>
      </c>
      <c r="B55" s="81">
        <f>IF(A55="","",'21 2026 ÜRETİM'!D55)</f>
        <v/>
      </c>
      <c r="C55" s="81">
        <f>IF(A55="","",'21 2026 ÜRETİM'!E55)</f>
        <v/>
      </c>
      <c r="D55" s="82">
        <f>IF(A55="","",'21 2026 ÜRETİM'!F55)</f>
        <v/>
      </c>
      <c r="E55" s="81">
        <f>IF(A55="","",SUMIF('22 2026 PAKETLEME'!$B$2:$B$501,A55,'22 2026 PAKETLEME'!$E$2:$E$501))</f>
        <v/>
      </c>
      <c r="F55" s="82">
        <f>IF(A55="","",SUMIF('22 2026 PAKETLEME'!$B$2:$B$501,A55,'22 2026 PAKETLEME'!$G$2:$G$501))</f>
        <v/>
      </c>
      <c r="G55" s="81">
        <f>IF(A55="","",SUMIF('22 2026 PAKETLEME'!$B$2:$B$501,A55,'22 2026 PAKETLEME'!$H$2:$H$501))</f>
        <v/>
      </c>
      <c r="H55" s="81">
        <f>IF(A55="","",D55-E55-F55-G55)</f>
        <v/>
      </c>
      <c r="I55" s="82">
        <f>IF(A55="","",SUMIF('23 2026 SEVKİYAT'!$E$2:$E$501,A55,'23 2026 SEVKİYAT'!$H$2:$H$501))</f>
        <v/>
      </c>
      <c r="J55" s="81">
        <f>IF(A55="","",E55+F55-I55)</f>
        <v/>
      </c>
      <c r="K55" s="81">
        <f>IF(A55="","",D55-E55-F55-G55-H55)</f>
        <v/>
      </c>
      <c r="L55" s="58">
        <f>IF(A55="","",IF(ABS(K55)&lt;0.001,"KAPALI","KONTROL"))</f>
        <v/>
      </c>
      <c r="M55" s="56">
        <f>IF(A55="","",IF(J55&lt;0,"SEVK PAKETLEMEYİ AŞIYOR",IF(H55&lt;&gt;0,"PAKETLEME BAKİYESİ VAR","DENKLİK KAPALI")))</f>
        <v/>
      </c>
    </row>
    <row r="56" ht="15" customHeight="1">
      <c r="A56" s="60">
        <f>'21 2026 ÜRETİM'!A56</f>
        <v/>
      </c>
      <c r="B56" s="81">
        <f>IF(A56="","",'21 2026 ÜRETİM'!D56)</f>
        <v/>
      </c>
      <c r="C56" s="81">
        <f>IF(A56="","",'21 2026 ÜRETİM'!E56)</f>
        <v/>
      </c>
      <c r="D56" s="82">
        <f>IF(A56="","",'21 2026 ÜRETİM'!F56)</f>
        <v/>
      </c>
      <c r="E56" s="81">
        <f>IF(A56="","",SUMIF('22 2026 PAKETLEME'!$B$2:$B$501,A56,'22 2026 PAKETLEME'!$E$2:$E$501))</f>
        <v/>
      </c>
      <c r="F56" s="82">
        <f>IF(A56="","",SUMIF('22 2026 PAKETLEME'!$B$2:$B$501,A56,'22 2026 PAKETLEME'!$G$2:$G$501))</f>
        <v/>
      </c>
      <c r="G56" s="81">
        <f>IF(A56="","",SUMIF('22 2026 PAKETLEME'!$B$2:$B$501,A56,'22 2026 PAKETLEME'!$H$2:$H$501))</f>
        <v/>
      </c>
      <c r="H56" s="81">
        <f>IF(A56="","",D56-E56-F56-G56)</f>
        <v/>
      </c>
      <c r="I56" s="82">
        <f>IF(A56="","",SUMIF('23 2026 SEVKİYAT'!$E$2:$E$501,A56,'23 2026 SEVKİYAT'!$H$2:$H$501))</f>
        <v/>
      </c>
      <c r="J56" s="81">
        <f>IF(A56="","",E56+F56-I56)</f>
        <v/>
      </c>
      <c r="K56" s="81">
        <f>IF(A56="","",D56-E56-F56-G56-H56)</f>
        <v/>
      </c>
      <c r="L56" s="58">
        <f>IF(A56="","",IF(ABS(K56)&lt;0.001,"KAPALI","KONTROL"))</f>
        <v/>
      </c>
      <c r="M56" s="56">
        <f>IF(A56="","",IF(J56&lt;0,"SEVK PAKETLEMEYİ AŞIYOR",IF(H56&lt;&gt;0,"PAKETLEME BAKİYESİ VAR","DENKLİK KAPALI")))</f>
        <v/>
      </c>
    </row>
    <row r="57" ht="15" customHeight="1">
      <c r="A57" s="60">
        <f>'21 2026 ÜRETİM'!A57</f>
        <v/>
      </c>
      <c r="B57" s="81">
        <f>IF(A57="","",'21 2026 ÜRETİM'!D57)</f>
        <v/>
      </c>
      <c r="C57" s="81">
        <f>IF(A57="","",'21 2026 ÜRETİM'!E57)</f>
        <v/>
      </c>
      <c r="D57" s="82">
        <f>IF(A57="","",'21 2026 ÜRETİM'!F57)</f>
        <v/>
      </c>
      <c r="E57" s="81">
        <f>IF(A57="","",SUMIF('22 2026 PAKETLEME'!$B$2:$B$501,A57,'22 2026 PAKETLEME'!$E$2:$E$501))</f>
        <v/>
      </c>
      <c r="F57" s="82">
        <f>IF(A57="","",SUMIF('22 2026 PAKETLEME'!$B$2:$B$501,A57,'22 2026 PAKETLEME'!$G$2:$G$501))</f>
        <v/>
      </c>
      <c r="G57" s="81">
        <f>IF(A57="","",SUMIF('22 2026 PAKETLEME'!$B$2:$B$501,A57,'22 2026 PAKETLEME'!$H$2:$H$501))</f>
        <v/>
      </c>
      <c r="H57" s="81">
        <f>IF(A57="","",D57-E57-F57-G57)</f>
        <v/>
      </c>
      <c r="I57" s="82">
        <f>IF(A57="","",SUMIF('23 2026 SEVKİYAT'!$E$2:$E$501,A57,'23 2026 SEVKİYAT'!$H$2:$H$501))</f>
        <v/>
      </c>
      <c r="J57" s="81">
        <f>IF(A57="","",E57+F57-I57)</f>
        <v/>
      </c>
      <c r="K57" s="81">
        <f>IF(A57="","",D57-E57-F57-G57-H57)</f>
        <v/>
      </c>
      <c r="L57" s="58">
        <f>IF(A57="","",IF(ABS(K57)&lt;0.001,"KAPALI","KONTROL"))</f>
        <v/>
      </c>
      <c r="M57" s="56">
        <f>IF(A57="","",IF(J57&lt;0,"SEVK PAKETLEMEYİ AŞIYOR",IF(H57&lt;&gt;0,"PAKETLEME BAKİYESİ VAR","DENKLİK KAPALI")))</f>
        <v/>
      </c>
    </row>
    <row r="58" ht="15" customHeight="1">
      <c r="A58" s="60">
        <f>'21 2026 ÜRETİM'!A58</f>
        <v/>
      </c>
      <c r="B58" s="81">
        <f>IF(A58="","",'21 2026 ÜRETİM'!D58)</f>
        <v/>
      </c>
      <c r="C58" s="81">
        <f>IF(A58="","",'21 2026 ÜRETİM'!E58)</f>
        <v/>
      </c>
      <c r="D58" s="82">
        <f>IF(A58="","",'21 2026 ÜRETİM'!F58)</f>
        <v/>
      </c>
      <c r="E58" s="81">
        <f>IF(A58="","",SUMIF('22 2026 PAKETLEME'!$B$2:$B$501,A58,'22 2026 PAKETLEME'!$E$2:$E$501))</f>
        <v/>
      </c>
      <c r="F58" s="82">
        <f>IF(A58="","",SUMIF('22 2026 PAKETLEME'!$B$2:$B$501,A58,'22 2026 PAKETLEME'!$G$2:$G$501))</f>
        <v/>
      </c>
      <c r="G58" s="81">
        <f>IF(A58="","",SUMIF('22 2026 PAKETLEME'!$B$2:$B$501,A58,'22 2026 PAKETLEME'!$H$2:$H$501))</f>
        <v/>
      </c>
      <c r="H58" s="81">
        <f>IF(A58="","",D58-E58-F58-G58)</f>
        <v/>
      </c>
      <c r="I58" s="82">
        <f>IF(A58="","",SUMIF('23 2026 SEVKİYAT'!$E$2:$E$501,A58,'23 2026 SEVKİYAT'!$H$2:$H$501))</f>
        <v/>
      </c>
      <c r="J58" s="81">
        <f>IF(A58="","",E58+F58-I58)</f>
        <v/>
      </c>
      <c r="K58" s="81">
        <f>IF(A58="","",D58-E58-F58-G58-H58)</f>
        <v/>
      </c>
      <c r="L58" s="58">
        <f>IF(A58="","",IF(ABS(K58)&lt;0.001,"KAPALI","KONTROL"))</f>
        <v/>
      </c>
      <c r="M58" s="56">
        <f>IF(A58="","",IF(J58&lt;0,"SEVK PAKETLEMEYİ AŞIYOR",IF(H58&lt;&gt;0,"PAKETLEME BAKİYESİ VAR","DENKLİK KAPALI")))</f>
        <v/>
      </c>
    </row>
    <row r="59" ht="15" customHeight="1">
      <c r="A59" s="60">
        <f>'21 2026 ÜRETİM'!A59</f>
        <v/>
      </c>
      <c r="B59" s="81">
        <f>IF(A59="","",'21 2026 ÜRETİM'!D59)</f>
        <v/>
      </c>
      <c r="C59" s="81">
        <f>IF(A59="","",'21 2026 ÜRETİM'!E59)</f>
        <v/>
      </c>
      <c r="D59" s="82">
        <f>IF(A59="","",'21 2026 ÜRETİM'!F59)</f>
        <v/>
      </c>
      <c r="E59" s="81">
        <f>IF(A59="","",SUMIF('22 2026 PAKETLEME'!$B$2:$B$501,A59,'22 2026 PAKETLEME'!$E$2:$E$501))</f>
        <v/>
      </c>
      <c r="F59" s="82">
        <f>IF(A59="","",SUMIF('22 2026 PAKETLEME'!$B$2:$B$501,A59,'22 2026 PAKETLEME'!$G$2:$G$501))</f>
        <v/>
      </c>
      <c r="G59" s="81">
        <f>IF(A59="","",SUMIF('22 2026 PAKETLEME'!$B$2:$B$501,A59,'22 2026 PAKETLEME'!$H$2:$H$501))</f>
        <v/>
      </c>
      <c r="H59" s="81">
        <f>IF(A59="","",D59-E59-F59-G59)</f>
        <v/>
      </c>
      <c r="I59" s="82">
        <f>IF(A59="","",SUMIF('23 2026 SEVKİYAT'!$E$2:$E$501,A59,'23 2026 SEVKİYAT'!$H$2:$H$501))</f>
        <v/>
      </c>
      <c r="J59" s="81">
        <f>IF(A59="","",E59+F59-I59)</f>
        <v/>
      </c>
      <c r="K59" s="81">
        <f>IF(A59="","",D59-E59-F59-G59-H59)</f>
        <v/>
      </c>
      <c r="L59" s="58">
        <f>IF(A59="","",IF(ABS(K59)&lt;0.001,"KAPALI","KONTROL"))</f>
        <v/>
      </c>
      <c r="M59" s="56">
        <f>IF(A59="","",IF(J59&lt;0,"SEVK PAKETLEMEYİ AŞIYOR",IF(H59&lt;&gt;0,"PAKETLEME BAKİYESİ VAR","DENKLİK KAPALI")))</f>
        <v/>
      </c>
    </row>
    <row r="60" ht="15" customHeight="1">
      <c r="A60" s="60">
        <f>'21 2026 ÜRETİM'!A60</f>
        <v/>
      </c>
      <c r="B60" s="81">
        <f>IF(A60="","",'21 2026 ÜRETİM'!D60)</f>
        <v/>
      </c>
      <c r="C60" s="81">
        <f>IF(A60="","",'21 2026 ÜRETİM'!E60)</f>
        <v/>
      </c>
      <c r="D60" s="82">
        <f>IF(A60="","",'21 2026 ÜRETİM'!F60)</f>
        <v/>
      </c>
      <c r="E60" s="81">
        <f>IF(A60="","",SUMIF('22 2026 PAKETLEME'!$B$2:$B$501,A60,'22 2026 PAKETLEME'!$E$2:$E$501))</f>
        <v/>
      </c>
      <c r="F60" s="82">
        <f>IF(A60="","",SUMIF('22 2026 PAKETLEME'!$B$2:$B$501,A60,'22 2026 PAKETLEME'!$G$2:$G$501))</f>
        <v/>
      </c>
      <c r="G60" s="81">
        <f>IF(A60="","",SUMIF('22 2026 PAKETLEME'!$B$2:$B$501,A60,'22 2026 PAKETLEME'!$H$2:$H$501))</f>
        <v/>
      </c>
      <c r="H60" s="81">
        <f>IF(A60="","",D60-E60-F60-G60)</f>
        <v/>
      </c>
      <c r="I60" s="82">
        <f>IF(A60="","",SUMIF('23 2026 SEVKİYAT'!$E$2:$E$501,A60,'23 2026 SEVKİYAT'!$H$2:$H$501))</f>
        <v/>
      </c>
      <c r="J60" s="81">
        <f>IF(A60="","",E60+F60-I60)</f>
        <v/>
      </c>
      <c r="K60" s="81">
        <f>IF(A60="","",D60-E60-F60-G60-H60)</f>
        <v/>
      </c>
      <c r="L60" s="58">
        <f>IF(A60="","",IF(ABS(K60)&lt;0.001,"KAPALI","KONTROL"))</f>
        <v/>
      </c>
      <c r="M60" s="56">
        <f>IF(A60="","",IF(J60&lt;0,"SEVK PAKETLEMEYİ AŞIYOR",IF(H60&lt;&gt;0,"PAKETLEME BAKİYESİ VAR","DENKLİK KAPALI")))</f>
        <v/>
      </c>
    </row>
    <row r="61" ht="15" customHeight="1">
      <c r="A61" s="60">
        <f>'21 2026 ÜRETİM'!A61</f>
        <v/>
      </c>
      <c r="B61" s="81">
        <f>IF(A61="","",'21 2026 ÜRETİM'!D61)</f>
        <v/>
      </c>
      <c r="C61" s="81">
        <f>IF(A61="","",'21 2026 ÜRETİM'!E61)</f>
        <v/>
      </c>
      <c r="D61" s="82">
        <f>IF(A61="","",'21 2026 ÜRETİM'!F61)</f>
        <v/>
      </c>
      <c r="E61" s="81">
        <f>IF(A61="","",SUMIF('22 2026 PAKETLEME'!$B$2:$B$501,A61,'22 2026 PAKETLEME'!$E$2:$E$501))</f>
        <v/>
      </c>
      <c r="F61" s="82">
        <f>IF(A61="","",SUMIF('22 2026 PAKETLEME'!$B$2:$B$501,A61,'22 2026 PAKETLEME'!$G$2:$G$501))</f>
        <v/>
      </c>
      <c r="G61" s="81">
        <f>IF(A61="","",SUMIF('22 2026 PAKETLEME'!$B$2:$B$501,A61,'22 2026 PAKETLEME'!$H$2:$H$501))</f>
        <v/>
      </c>
      <c r="H61" s="81">
        <f>IF(A61="","",D61-E61-F61-G61)</f>
        <v/>
      </c>
      <c r="I61" s="82">
        <f>IF(A61="","",SUMIF('23 2026 SEVKİYAT'!$E$2:$E$501,A61,'23 2026 SEVKİYAT'!$H$2:$H$501))</f>
        <v/>
      </c>
      <c r="J61" s="81">
        <f>IF(A61="","",E61+F61-I61)</f>
        <v/>
      </c>
      <c r="K61" s="81">
        <f>IF(A61="","",D61-E61-F61-G61-H61)</f>
        <v/>
      </c>
      <c r="L61" s="58">
        <f>IF(A61="","",IF(ABS(K61)&lt;0.001,"KAPALI","KONTROL"))</f>
        <v/>
      </c>
      <c r="M61" s="56">
        <f>IF(A61="","",IF(J61&lt;0,"SEVK PAKETLEMEYİ AŞIYOR",IF(H61&lt;&gt;0,"PAKETLEME BAKİYESİ VAR","DENKLİK KAPALI")))</f>
        <v/>
      </c>
    </row>
    <row r="62" ht="15" customHeight="1">
      <c r="A62" s="60">
        <f>'21 2026 ÜRETİM'!A62</f>
        <v/>
      </c>
      <c r="B62" s="81">
        <f>IF(A62="","",'21 2026 ÜRETİM'!D62)</f>
        <v/>
      </c>
      <c r="C62" s="81">
        <f>IF(A62="","",'21 2026 ÜRETİM'!E62)</f>
        <v/>
      </c>
      <c r="D62" s="82">
        <f>IF(A62="","",'21 2026 ÜRETİM'!F62)</f>
        <v/>
      </c>
      <c r="E62" s="81">
        <f>IF(A62="","",SUMIF('22 2026 PAKETLEME'!$B$2:$B$501,A62,'22 2026 PAKETLEME'!$E$2:$E$501))</f>
        <v/>
      </c>
      <c r="F62" s="82">
        <f>IF(A62="","",SUMIF('22 2026 PAKETLEME'!$B$2:$B$501,A62,'22 2026 PAKETLEME'!$G$2:$G$501))</f>
        <v/>
      </c>
      <c r="G62" s="81">
        <f>IF(A62="","",SUMIF('22 2026 PAKETLEME'!$B$2:$B$501,A62,'22 2026 PAKETLEME'!$H$2:$H$501))</f>
        <v/>
      </c>
      <c r="H62" s="81">
        <f>IF(A62="","",D62-E62-F62-G62)</f>
        <v/>
      </c>
      <c r="I62" s="82">
        <f>IF(A62="","",SUMIF('23 2026 SEVKİYAT'!$E$2:$E$501,A62,'23 2026 SEVKİYAT'!$H$2:$H$501))</f>
        <v/>
      </c>
      <c r="J62" s="81">
        <f>IF(A62="","",E62+F62-I62)</f>
        <v/>
      </c>
      <c r="K62" s="81">
        <f>IF(A62="","",D62-E62-F62-G62-H62)</f>
        <v/>
      </c>
      <c r="L62" s="58">
        <f>IF(A62="","",IF(ABS(K62)&lt;0.001,"KAPALI","KONTROL"))</f>
        <v/>
      </c>
      <c r="M62" s="56">
        <f>IF(A62="","",IF(J62&lt;0,"SEVK PAKETLEMEYİ AŞIYOR",IF(H62&lt;&gt;0,"PAKETLEME BAKİYESİ VAR","DENKLİK KAPALI")))</f>
        <v/>
      </c>
    </row>
    <row r="63" ht="15" customHeight="1">
      <c r="A63" s="60">
        <f>'21 2026 ÜRETİM'!A63</f>
        <v/>
      </c>
      <c r="B63" s="81">
        <f>IF(A63="","",'21 2026 ÜRETİM'!D63)</f>
        <v/>
      </c>
      <c r="C63" s="81">
        <f>IF(A63="","",'21 2026 ÜRETİM'!E63)</f>
        <v/>
      </c>
      <c r="D63" s="82">
        <f>IF(A63="","",'21 2026 ÜRETİM'!F63)</f>
        <v/>
      </c>
      <c r="E63" s="81">
        <f>IF(A63="","",SUMIF('22 2026 PAKETLEME'!$B$2:$B$501,A63,'22 2026 PAKETLEME'!$E$2:$E$501))</f>
        <v/>
      </c>
      <c r="F63" s="82">
        <f>IF(A63="","",SUMIF('22 2026 PAKETLEME'!$B$2:$B$501,A63,'22 2026 PAKETLEME'!$G$2:$G$501))</f>
        <v/>
      </c>
      <c r="G63" s="81">
        <f>IF(A63="","",SUMIF('22 2026 PAKETLEME'!$B$2:$B$501,A63,'22 2026 PAKETLEME'!$H$2:$H$501))</f>
        <v/>
      </c>
      <c r="H63" s="81">
        <f>IF(A63="","",D63-E63-F63-G63)</f>
        <v/>
      </c>
      <c r="I63" s="82">
        <f>IF(A63="","",SUMIF('23 2026 SEVKİYAT'!$E$2:$E$501,A63,'23 2026 SEVKİYAT'!$H$2:$H$501))</f>
        <v/>
      </c>
      <c r="J63" s="81">
        <f>IF(A63="","",E63+F63-I63)</f>
        <v/>
      </c>
      <c r="K63" s="81">
        <f>IF(A63="","",D63-E63-F63-G63-H63)</f>
        <v/>
      </c>
      <c r="L63" s="58">
        <f>IF(A63="","",IF(ABS(K63)&lt;0.001,"KAPALI","KONTROL"))</f>
        <v/>
      </c>
      <c r="M63" s="56">
        <f>IF(A63="","",IF(J63&lt;0,"SEVK PAKETLEMEYİ AŞIYOR",IF(H63&lt;&gt;0,"PAKETLEME BAKİYESİ VAR","DENKLİK KAPALI")))</f>
        <v/>
      </c>
    </row>
    <row r="64" ht="15" customHeight="1">
      <c r="A64" s="60">
        <f>'21 2026 ÜRETİM'!A64</f>
        <v/>
      </c>
      <c r="B64" s="81">
        <f>IF(A64="","",'21 2026 ÜRETİM'!D64)</f>
        <v/>
      </c>
      <c r="C64" s="81">
        <f>IF(A64="","",'21 2026 ÜRETİM'!E64)</f>
        <v/>
      </c>
      <c r="D64" s="82">
        <f>IF(A64="","",'21 2026 ÜRETİM'!F64)</f>
        <v/>
      </c>
      <c r="E64" s="81">
        <f>IF(A64="","",SUMIF('22 2026 PAKETLEME'!$B$2:$B$501,A64,'22 2026 PAKETLEME'!$E$2:$E$501))</f>
        <v/>
      </c>
      <c r="F64" s="82">
        <f>IF(A64="","",SUMIF('22 2026 PAKETLEME'!$B$2:$B$501,A64,'22 2026 PAKETLEME'!$G$2:$G$501))</f>
        <v/>
      </c>
      <c r="G64" s="81">
        <f>IF(A64="","",SUMIF('22 2026 PAKETLEME'!$B$2:$B$501,A64,'22 2026 PAKETLEME'!$H$2:$H$501))</f>
        <v/>
      </c>
      <c r="H64" s="81">
        <f>IF(A64="","",D64-E64-F64-G64)</f>
        <v/>
      </c>
      <c r="I64" s="82">
        <f>IF(A64="","",SUMIF('23 2026 SEVKİYAT'!$E$2:$E$501,A64,'23 2026 SEVKİYAT'!$H$2:$H$501))</f>
        <v/>
      </c>
      <c r="J64" s="81">
        <f>IF(A64="","",E64+F64-I64)</f>
        <v/>
      </c>
      <c r="K64" s="81">
        <f>IF(A64="","",D64-E64-F64-G64-H64)</f>
        <v/>
      </c>
      <c r="L64" s="58">
        <f>IF(A64="","",IF(ABS(K64)&lt;0.001,"KAPALI","KONTROL"))</f>
        <v/>
      </c>
      <c r="M64" s="56">
        <f>IF(A64="","",IF(J64&lt;0,"SEVK PAKETLEMEYİ AŞIYOR",IF(H64&lt;&gt;0,"PAKETLEME BAKİYESİ VAR","DENKLİK KAPALI")))</f>
        <v/>
      </c>
    </row>
    <row r="65" ht="15" customHeight="1">
      <c r="A65" s="60">
        <f>'21 2026 ÜRETİM'!A65</f>
        <v/>
      </c>
      <c r="B65" s="81">
        <f>IF(A65="","",'21 2026 ÜRETİM'!D65)</f>
        <v/>
      </c>
      <c r="C65" s="81">
        <f>IF(A65="","",'21 2026 ÜRETİM'!E65)</f>
        <v/>
      </c>
      <c r="D65" s="82">
        <f>IF(A65="","",'21 2026 ÜRETİM'!F65)</f>
        <v/>
      </c>
      <c r="E65" s="81">
        <f>IF(A65="","",SUMIF('22 2026 PAKETLEME'!$B$2:$B$501,A65,'22 2026 PAKETLEME'!$E$2:$E$501))</f>
        <v/>
      </c>
      <c r="F65" s="82">
        <f>IF(A65="","",SUMIF('22 2026 PAKETLEME'!$B$2:$B$501,A65,'22 2026 PAKETLEME'!$G$2:$G$501))</f>
        <v/>
      </c>
      <c r="G65" s="81">
        <f>IF(A65="","",SUMIF('22 2026 PAKETLEME'!$B$2:$B$501,A65,'22 2026 PAKETLEME'!$H$2:$H$501))</f>
        <v/>
      </c>
      <c r="H65" s="81">
        <f>IF(A65="","",D65-E65-F65-G65)</f>
        <v/>
      </c>
      <c r="I65" s="82">
        <f>IF(A65="","",SUMIF('23 2026 SEVKİYAT'!$E$2:$E$501,A65,'23 2026 SEVKİYAT'!$H$2:$H$501))</f>
        <v/>
      </c>
      <c r="J65" s="81">
        <f>IF(A65="","",E65+F65-I65)</f>
        <v/>
      </c>
      <c r="K65" s="81">
        <f>IF(A65="","",D65-E65-F65-G65-H65)</f>
        <v/>
      </c>
      <c r="L65" s="58">
        <f>IF(A65="","",IF(ABS(K65)&lt;0.001,"KAPALI","KONTROL"))</f>
        <v/>
      </c>
      <c r="M65" s="56">
        <f>IF(A65="","",IF(J65&lt;0,"SEVK PAKETLEMEYİ AŞIYOR",IF(H65&lt;&gt;0,"PAKETLEME BAKİYESİ VAR","DENKLİK KAPALI")))</f>
        <v/>
      </c>
    </row>
    <row r="66" ht="15" customHeight="1">
      <c r="A66" s="60">
        <f>'21 2026 ÜRETİM'!A66</f>
        <v/>
      </c>
      <c r="B66" s="81">
        <f>IF(A66="","",'21 2026 ÜRETİM'!D66)</f>
        <v/>
      </c>
      <c r="C66" s="81">
        <f>IF(A66="","",'21 2026 ÜRETİM'!E66)</f>
        <v/>
      </c>
      <c r="D66" s="82">
        <f>IF(A66="","",'21 2026 ÜRETİM'!F66)</f>
        <v/>
      </c>
      <c r="E66" s="81">
        <f>IF(A66="","",SUMIF('22 2026 PAKETLEME'!$B$2:$B$501,A66,'22 2026 PAKETLEME'!$E$2:$E$501))</f>
        <v/>
      </c>
      <c r="F66" s="82">
        <f>IF(A66="","",SUMIF('22 2026 PAKETLEME'!$B$2:$B$501,A66,'22 2026 PAKETLEME'!$G$2:$G$501))</f>
        <v/>
      </c>
      <c r="G66" s="81">
        <f>IF(A66="","",SUMIF('22 2026 PAKETLEME'!$B$2:$B$501,A66,'22 2026 PAKETLEME'!$H$2:$H$501))</f>
        <v/>
      </c>
      <c r="H66" s="81">
        <f>IF(A66="","",D66-E66-F66-G66)</f>
        <v/>
      </c>
      <c r="I66" s="82">
        <f>IF(A66="","",SUMIF('23 2026 SEVKİYAT'!$E$2:$E$501,A66,'23 2026 SEVKİYAT'!$H$2:$H$501))</f>
        <v/>
      </c>
      <c r="J66" s="81">
        <f>IF(A66="","",E66+F66-I66)</f>
        <v/>
      </c>
      <c r="K66" s="81">
        <f>IF(A66="","",D66-E66-F66-G66-H66)</f>
        <v/>
      </c>
      <c r="L66" s="58">
        <f>IF(A66="","",IF(ABS(K66)&lt;0.001,"KAPALI","KONTROL"))</f>
        <v/>
      </c>
      <c r="M66" s="56">
        <f>IF(A66="","",IF(J66&lt;0,"SEVK PAKETLEMEYİ AŞIYOR",IF(H66&lt;&gt;0,"PAKETLEME BAKİYESİ VAR","DENKLİK KAPALI")))</f>
        <v/>
      </c>
    </row>
    <row r="67" ht="15" customHeight="1">
      <c r="A67" s="60">
        <f>'21 2026 ÜRETİM'!A67</f>
        <v/>
      </c>
      <c r="B67" s="81">
        <f>IF(A67="","",'21 2026 ÜRETİM'!D67)</f>
        <v/>
      </c>
      <c r="C67" s="81">
        <f>IF(A67="","",'21 2026 ÜRETİM'!E67)</f>
        <v/>
      </c>
      <c r="D67" s="82">
        <f>IF(A67="","",'21 2026 ÜRETİM'!F67)</f>
        <v/>
      </c>
      <c r="E67" s="81">
        <f>IF(A67="","",SUMIF('22 2026 PAKETLEME'!$B$2:$B$501,A67,'22 2026 PAKETLEME'!$E$2:$E$501))</f>
        <v/>
      </c>
      <c r="F67" s="82">
        <f>IF(A67="","",SUMIF('22 2026 PAKETLEME'!$B$2:$B$501,A67,'22 2026 PAKETLEME'!$G$2:$G$501))</f>
        <v/>
      </c>
      <c r="G67" s="81">
        <f>IF(A67="","",SUMIF('22 2026 PAKETLEME'!$B$2:$B$501,A67,'22 2026 PAKETLEME'!$H$2:$H$501))</f>
        <v/>
      </c>
      <c r="H67" s="81">
        <f>IF(A67="","",D67-E67-F67-G67)</f>
        <v/>
      </c>
      <c r="I67" s="82">
        <f>IF(A67="","",SUMIF('23 2026 SEVKİYAT'!$E$2:$E$501,A67,'23 2026 SEVKİYAT'!$H$2:$H$501))</f>
        <v/>
      </c>
      <c r="J67" s="81">
        <f>IF(A67="","",E67+F67-I67)</f>
        <v/>
      </c>
      <c r="K67" s="81">
        <f>IF(A67="","",D67-E67-F67-G67-H67)</f>
        <v/>
      </c>
      <c r="L67" s="58">
        <f>IF(A67="","",IF(ABS(K67)&lt;0.001,"KAPALI","KONTROL"))</f>
        <v/>
      </c>
      <c r="M67" s="56">
        <f>IF(A67="","",IF(J67&lt;0,"SEVK PAKETLEMEYİ AŞIYOR",IF(H67&lt;&gt;0,"PAKETLEME BAKİYESİ VAR","DENKLİK KAPALI")))</f>
        <v/>
      </c>
    </row>
    <row r="68" ht="15" customHeight="1">
      <c r="A68" s="60">
        <f>'21 2026 ÜRETİM'!A68</f>
        <v/>
      </c>
      <c r="B68" s="81">
        <f>IF(A68="","",'21 2026 ÜRETİM'!D68)</f>
        <v/>
      </c>
      <c r="C68" s="81">
        <f>IF(A68="","",'21 2026 ÜRETİM'!E68)</f>
        <v/>
      </c>
      <c r="D68" s="82">
        <f>IF(A68="","",'21 2026 ÜRETİM'!F68)</f>
        <v/>
      </c>
      <c r="E68" s="81">
        <f>IF(A68="","",SUMIF('22 2026 PAKETLEME'!$B$2:$B$501,A68,'22 2026 PAKETLEME'!$E$2:$E$501))</f>
        <v/>
      </c>
      <c r="F68" s="82">
        <f>IF(A68="","",SUMIF('22 2026 PAKETLEME'!$B$2:$B$501,A68,'22 2026 PAKETLEME'!$G$2:$G$501))</f>
        <v/>
      </c>
      <c r="G68" s="81">
        <f>IF(A68="","",SUMIF('22 2026 PAKETLEME'!$B$2:$B$501,A68,'22 2026 PAKETLEME'!$H$2:$H$501))</f>
        <v/>
      </c>
      <c r="H68" s="81">
        <f>IF(A68="","",D68-E68-F68-G68)</f>
        <v/>
      </c>
      <c r="I68" s="82">
        <f>IF(A68="","",SUMIF('23 2026 SEVKİYAT'!$E$2:$E$501,A68,'23 2026 SEVKİYAT'!$H$2:$H$501))</f>
        <v/>
      </c>
      <c r="J68" s="81">
        <f>IF(A68="","",E68+F68-I68)</f>
        <v/>
      </c>
      <c r="K68" s="81">
        <f>IF(A68="","",D68-E68-F68-G68-H68)</f>
        <v/>
      </c>
      <c r="L68" s="58">
        <f>IF(A68="","",IF(ABS(K68)&lt;0.001,"KAPALI","KONTROL"))</f>
        <v/>
      </c>
      <c r="M68" s="56">
        <f>IF(A68="","",IF(J68&lt;0,"SEVK PAKETLEMEYİ AŞIYOR",IF(H68&lt;&gt;0,"PAKETLEME BAKİYESİ VAR","DENKLİK KAPALI")))</f>
        <v/>
      </c>
    </row>
    <row r="69" ht="15" customHeight="1">
      <c r="A69" s="60">
        <f>'21 2026 ÜRETİM'!A69</f>
        <v/>
      </c>
      <c r="B69" s="81">
        <f>IF(A69="","",'21 2026 ÜRETİM'!D69)</f>
        <v/>
      </c>
      <c r="C69" s="81">
        <f>IF(A69="","",'21 2026 ÜRETİM'!E69)</f>
        <v/>
      </c>
      <c r="D69" s="82">
        <f>IF(A69="","",'21 2026 ÜRETİM'!F69)</f>
        <v/>
      </c>
      <c r="E69" s="81">
        <f>IF(A69="","",SUMIF('22 2026 PAKETLEME'!$B$2:$B$501,A69,'22 2026 PAKETLEME'!$E$2:$E$501))</f>
        <v/>
      </c>
      <c r="F69" s="82">
        <f>IF(A69="","",SUMIF('22 2026 PAKETLEME'!$B$2:$B$501,A69,'22 2026 PAKETLEME'!$G$2:$G$501))</f>
        <v/>
      </c>
      <c r="G69" s="81">
        <f>IF(A69="","",SUMIF('22 2026 PAKETLEME'!$B$2:$B$501,A69,'22 2026 PAKETLEME'!$H$2:$H$501))</f>
        <v/>
      </c>
      <c r="H69" s="81">
        <f>IF(A69="","",D69-E69-F69-G69)</f>
        <v/>
      </c>
      <c r="I69" s="82">
        <f>IF(A69="","",SUMIF('23 2026 SEVKİYAT'!$E$2:$E$501,A69,'23 2026 SEVKİYAT'!$H$2:$H$501))</f>
        <v/>
      </c>
      <c r="J69" s="81">
        <f>IF(A69="","",E69+F69-I69)</f>
        <v/>
      </c>
      <c r="K69" s="81">
        <f>IF(A69="","",D69-E69-F69-G69-H69)</f>
        <v/>
      </c>
      <c r="L69" s="58">
        <f>IF(A69="","",IF(ABS(K69)&lt;0.001,"KAPALI","KONTROL"))</f>
        <v/>
      </c>
      <c r="M69" s="56">
        <f>IF(A69="","",IF(J69&lt;0,"SEVK PAKETLEMEYİ AŞIYOR",IF(H69&lt;&gt;0,"PAKETLEME BAKİYESİ VAR","DENKLİK KAPALI")))</f>
        <v/>
      </c>
    </row>
    <row r="70" ht="15" customHeight="1">
      <c r="A70" s="60">
        <f>'21 2026 ÜRETİM'!A70</f>
        <v/>
      </c>
      <c r="B70" s="81">
        <f>IF(A70="","",'21 2026 ÜRETİM'!D70)</f>
        <v/>
      </c>
      <c r="C70" s="81">
        <f>IF(A70="","",'21 2026 ÜRETİM'!E70)</f>
        <v/>
      </c>
      <c r="D70" s="82">
        <f>IF(A70="","",'21 2026 ÜRETİM'!F70)</f>
        <v/>
      </c>
      <c r="E70" s="81">
        <f>IF(A70="","",SUMIF('22 2026 PAKETLEME'!$B$2:$B$501,A70,'22 2026 PAKETLEME'!$E$2:$E$501))</f>
        <v/>
      </c>
      <c r="F70" s="82">
        <f>IF(A70="","",SUMIF('22 2026 PAKETLEME'!$B$2:$B$501,A70,'22 2026 PAKETLEME'!$G$2:$G$501))</f>
        <v/>
      </c>
      <c r="G70" s="81">
        <f>IF(A70="","",SUMIF('22 2026 PAKETLEME'!$B$2:$B$501,A70,'22 2026 PAKETLEME'!$H$2:$H$501))</f>
        <v/>
      </c>
      <c r="H70" s="81">
        <f>IF(A70="","",D70-E70-F70-G70)</f>
        <v/>
      </c>
      <c r="I70" s="82">
        <f>IF(A70="","",SUMIF('23 2026 SEVKİYAT'!$E$2:$E$501,A70,'23 2026 SEVKİYAT'!$H$2:$H$501))</f>
        <v/>
      </c>
      <c r="J70" s="81">
        <f>IF(A70="","",E70+F70-I70)</f>
        <v/>
      </c>
      <c r="K70" s="81">
        <f>IF(A70="","",D70-E70-F70-G70-H70)</f>
        <v/>
      </c>
      <c r="L70" s="58">
        <f>IF(A70="","",IF(ABS(K70)&lt;0.001,"KAPALI","KONTROL"))</f>
        <v/>
      </c>
      <c r="M70" s="56">
        <f>IF(A70="","",IF(J70&lt;0,"SEVK PAKETLEMEYİ AŞIYOR",IF(H70&lt;&gt;0,"PAKETLEME BAKİYESİ VAR","DENKLİK KAPALI")))</f>
        <v/>
      </c>
    </row>
    <row r="71" ht="15" customHeight="1">
      <c r="A71" s="60">
        <f>'21 2026 ÜRETİM'!A71</f>
        <v/>
      </c>
      <c r="B71" s="81">
        <f>IF(A71="","",'21 2026 ÜRETİM'!D71)</f>
        <v/>
      </c>
      <c r="C71" s="81">
        <f>IF(A71="","",'21 2026 ÜRETİM'!E71)</f>
        <v/>
      </c>
      <c r="D71" s="82">
        <f>IF(A71="","",'21 2026 ÜRETİM'!F71)</f>
        <v/>
      </c>
      <c r="E71" s="81">
        <f>IF(A71="","",SUMIF('22 2026 PAKETLEME'!$B$2:$B$501,A71,'22 2026 PAKETLEME'!$E$2:$E$501))</f>
        <v/>
      </c>
      <c r="F71" s="82">
        <f>IF(A71="","",SUMIF('22 2026 PAKETLEME'!$B$2:$B$501,A71,'22 2026 PAKETLEME'!$G$2:$G$501))</f>
        <v/>
      </c>
      <c r="G71" s="81">
        <f>IF(A71="","",SUMIF('22 2026 PAKETLEME'!$B$2:$B$501,A71,'22 2026 PAKETLEME'!$H$2:$H$501))</f>
        <v/>
      </c>
      <c r="H71" s="81">
        <f>IF(A71="","",D71-E71-F71-G71)</f>
        <v/>
      </c>
      <c r="I71" s="82">
        <f>IF(A71="","",SUMIF('23 2026 SEVKİYAT'!$E$2:$E$501,A71,'23 2026 SEVKİYAT'!$H$2:$H$501))</f>
        <v/>
      </c>
      <c r="J71" s="81">
        <f>IF(A71="","",E71+F71-I71)</f>
        <v/>
      </c>
      <c r="K71" s="81">
        <f>IF(A71="","",D71-E71-F71-G71-H71)</f>
        <v/>
      </c>
      <c r="L71" s="58">
        <f>IF(A71="","",IF(ABS(K71)&lt;0.001,"KAPALI","KONTROL"))</f>
        <v/>
      </c>
      <c r="M71" s="56">
        <f>IF(A71="","",IF(J71&lt;0,"SEVK PAKETLEMEYİ AŞIYOR",IF(H71&lt;&gt;0,"PAKETLEME BAKİYESİ VAR","DENKLİK KAPALI")))</f>
        <v/>
      </c>
    </row>
    <row r="72" ht="15" customHeight="1">
      <c r="A72" s="60">
        <f>'21 2026 ÜRETİM'!A72</f>
        <v/>
      </c>
      <c r="B72" s="81">
        <f>IF(A72="","",'21 2026 ÜRETİM'!D72)</f>
        <v/>
      </c>
      <c r="C72" s="81">
        <f>IF(A72="","",'21 2026 ÜRETİM'!E72)</f>
        <v/>
      </c>
      <c r="D72" s="82">
        <f>IF(A72="","",'21 2026 ÜRETİM'!F72)</f>
        <v/>
      </c>
      <c r="E72" s="81">
        <f>IF(A72="","",SUMIF('22 2026 PAKETLEME'!$B$2:$B$501,A72,'22 2026 PAKETLEME'!$E$2:$E$501))</f>
        <v/>
      </c>
      <c r="F72" s="82">
        <f>IF(A72="","",SUMIF('22 2026 PAKETLEME'!$B$2:$B$501,A72,'22 2026 PAKETLEME'!$G$2:$G$501))</f>
        <v/>
      </c>
      <c r="G72" s="81">
        <f>IF(A72="","",SUMIF('22 2026 PAKETLEME'!$B$2:$B$501,A72,'22 2026 PAKETLEME'!$H$2:$H$501))</f>
        <v/>
      </c>
      <c r="H72" s="81">
        <f>IF(A72="","",D72-E72-F72-G72)</f>
        <v/>
      </c>
      <c r="I72" s="82">
        <f>IF(A72="","",SUMIF('23 2026 SEVKİYAT'!$E$2:$E$501,A72,'23 2026 SEVKİYAT'!$H$2:$H$501))</f>
        <v/>
      </c>
      <c r="J72" s="81">
        <f>IF(A72="","",E72+F72-I72)</f>
        <v/>
      </c>
      <c r="K72" s="81">
        <f>IF(A72="","",D72-E72-F72-G72-H72)</f>
        <v/>
      </c>
      <c r="L72" s="58">
        <f>IF(A72="","",IF(ABS(K72)&lt;0.001,"KAPALI","KONTROL"))</f>
        <v/>
      </c>
      <c r="M72" s="56">
        <f>IF(A72="","",IF(J72&lt;0,"SEVK PAKETLEMEYİ AŞIYOR",IF(H72&lt;&gt;0,"PAKETLEME BAKİYESİ VAR","DENKLİK KAPALI")))</f>
        <v/>
      </c>
    </row>
    <row r="73" ht="15" customHeight="1">
      <c r="A73" s="60">
        <f>'21 2026 ÜRETİM'!A73</f>
        <v/>
      </c>
      <c r="B73" s="81">
        <f>IF(A73="","",'21 2026 ÜRETİM'!D73)</f>
        <v/>
      </c>
      <c r="C73" s="81">
        <f>IF(A73="","",'21 2026 ÜRETİM'!E73)</f>
        <v/>
      </c>
      <c r="D73" s="82">
        <f>IF(A73="","",'21 2026 ÜRETİM'!F73)</f>
        <v/>
      </c>
      <c r="E73" s="81">
        <f>IF(A73="","",SUMIF('22 2026 PAKETLEME'!$B$2:$B$501,A73,'22 2026 PAKETLEME'!$E$2:$E$501))</f>
        <v/>
      </c>
      <c r="F73" s="82">
        <f>IF(A73="","",SUMIF('22 2026 PAKETLEME'!$B$2:$B$501,A73,'22 2026 PAKETLEME'!$G$2:$G$501))</f>
        <v/>
      </c>
      <c r="G73" s="81">
        <f>IF(A73="","",SUMIF('22 2026 PAKETLEME'!$B$2:$B$501,A73,'22 2026 PAKETLEME'!$H$2:$H$501))</f>
        <v/>
      </c>
      <c r="H73" s="81">
        <f>IF(A73="","",D73-E73-F73-G73)</f>
        <v/>
      </c>
      <c r="I73" s="82">
        <f>IF(A73="","",SUMIF('23 2026 SEVKİYAT'!$E$2:$E$501,A73,'23 2026 SEVKİYAT'!$H$2:$H$501))</f>
        <v/>
      </c>
      <c r="J73" s="81">
        <f>IF(A73="","",E73+F73-I73)</f>
        <v/>
      </c>
      <c r="K73" s="81">
        <f>IF(A73="","",D73-E73-F73-G73-H73)</f>
        <v/>
      </c>
      <c r="L73" s="58">
        <f>IF(A73="","",IF(ABS(K73)&lt;0.001,"KAPALI","KONTROL"))</f>
        <v/>
      </c>
      <c r="M73" s="56">
        <f>IF(A73="","",IF(J73&lt;0,"SEVK PAKETLEMEYİ AŞIYOR",IF(H73&lt;&gt;0,"PAKETLEME BAKİYESİ VAR","DENKLİK KAPALI")))</f>
        <v/>
      </c>
    </row>
    <row r="74" ht="15" customHeight="1">
      <c r="A74" s="60">
        <f>'21 2026 ÜRETİM'!A74</f>
        <v/>
      </c>
      <c r="B74" s="81">
        <f>IF(A74="","",'21 2026 ÜRETİM'!D74)</f>
        <v/>
      </c>
      <c r="C74" s="81">
        <f>IF(A74="","",'21 2026 ÜRETİM'!E74)</f>
        <v/>
      </c>
      <c r="D74" s="82">
        <f>IF(A74="","",'21 2026 ÜRETİM'!F74)</f>
        <v/>
      </c>
      <c r="E74" s="81">
        <f>IF(A74="","",SUMIF('22 2026 PAKETLEME'!$B$2:$B$501,A74,'22 2026 PAKETLEME'!$E$2:$E$501))</f>
        <v/>
      </c>
      <c r="F74" s="82">
        <f>IF(A74="","",SUMIF('22 2026 PAKETLEME'!$B$2:$B$501,A74,'22 2026 PAKETLEME'!$G$2:$G$501))</f>
        <v/>
      </c>
      <c r="G74" s="81">
        <f>IF(A74="","",SUMIF('22 2026 PAKETLEME'!$B$2:$B$501,A74,'22 2026 PAKETLEME'!$H$2:$H$501))</f>
        <v/>
      </c>
      <c r="H74" s="81">
        <f>IF(A74="","",D74-E74-F74-G74)</f>
        <v/>
      </c>
      <c r="I74" s="82">
        <f>IF(A74="","",SUMIF('23 2026 SEVKİYAT'!$E$2:$E$501,A74,'23 2026 SEVKİYAT'!$H$2:$H$501))</f>
        <v/>
      </c>
      <c r="J74" s="81">
        <f>IF(A74="","",E74+F74-I74)</f>
        <v/>
      </c>
      <c r="K74" s="81">
        <f>IF(A74="","",D74-E74-F74-G74-H74)</f>
        <v/>
      </c>
      <c r="L74" s="58">
        <f>IF(A74="","",IF(ABS(K74)&lt;0.001,"KAPALI","KONTROL"))</f>
        <v/>
      </c>
      <c r="M74" s="56">
        <f>IF(A74="","",IF(J74&lt;0,"SEVK PAKETLEMEYİ AŞIYOR",IF(H74&lt;&gt;0,"PAKETLEME BAKİYESİ VAR","DENKLİK KAPALI")))</f>
        <v/>
      </c>
    </row>
    <row r="75" ht="15" customHeight="1">
      <c r="A75" s="60">
        <f>'21 2026 ÜRETİM'!A75</f>
        <v/>
      </c>
      <c r="B75" s="81">
        <f>IF(A75="","",'21 2026 ÜRETİM'!D75)</f>
        <v/>
      </c>
      <c r="C75" s="81">
        <f>IF(A75="","",'21 2026 ÜRETİM'!E75)</f>
        <v/>
      </c>
      <c r="D75" s="82">
        <f>IF(A75="","",'21 2026 ÜRETİM'!F75)</f>
        <v/>
      </c>
      <c r="E75" s="81">
        <f>IF(A75="","",SUMIF('22 2026 PAKETLEME'!$B$2:$B$501,A75,'22 2026 PAKETLEME'!$E$2:$E$501))</f>
        <v/>
      </c>
      <c r="F75" s="82">
        <f>IF(A75="","",SUMIF('22 2026 PAKETLEME'!$B$2:$B$501,A75,'22 2026 PAKETLEME'!$G$2:$G$501))</f>
        <v/>
      </c>
      <c r="G75" s="81">
        <f>IF(A75="","",SUMIF('22 2026 PAKETLEME'!$B$2:$B$501,A75,'22 2026 PAKETLEME'!$H$2:$H$501))</f>
        <v/>
      </c>
      <c r="H75" s="81">
        <f>IF(A75="","",D75-E75-F75-G75)</f>
        <v/>
      </c>
      <c r="I75" s="82">
        <f>IF(A75="","",SUMIF('23 2026 SEVKİYAT'!$E$2:$E$501,A75,'23 2026 SEVKİYAT'!$H$2:$H$501))</f>
        <v/>
      </c>
      <c r="J75" s="81">
        <f>IF(A75="","",E75+F75-I75)</f>
        <v/>
      </c>
      <c r="K75" s="81">
        <f>IF(A75="","",D75-E75-F75-G75-H75)</f>
        <v/>
      </c>
      <c r="L75" s="58">
        <f>IF(A75="","",IF(ABS(K75)&lt;0.001,"KAPALI","KONTROL"))</f>
        <v/>
      </c>
      <c r="M75" s="56">
        <f>IF(A75="","",IF(J75&lt;0,"SEVK PAKETLEMEYİ AŞIYOR",IF(H75&lt;&gt;0,"PAKETLEME BAKİYESİ VAR","DENKLİK KAPALI")))</f>
        <v/>
      </c>
    </row>
    <row r="76" ht="15" customHeight="1">
      <c r="A76" s="60">
        <f>'21 2026 ÜRETİM'!A76</f>
        <v/>
      </c>
      <c r="B76" s="81">
        <f>IF(A76="","",'21 2026 ÜRETİM'!D76)</f>
        <v/>
      </c>
      <c r="C76" s="81">
        <f>IF(A76="","",'21 2026 ÜRETİM'!E76)</f>
        <v/>
      </c>
      <c r="D76" s="82">
        <f>IF(A76="","",'21 2026 ÜRETİM'!F76)</f>
        <v/>
      </c>
      <c r="E76" s="81">
        <f>IF(A76="","",SUMIF('22 2026 PAKETLEME'!$B$2:$B$501,A76,'22 2026 PAKETLEME'!$E$2:$E$501))</f>
        <v/>
      </c>
      <c r="F76" s="82">
        <f>IF(A76="","",SUMIF('22 2026 PAKETLEME'!$B$2:$B$501,A76,'22 2026 PAKETLEME'!$G$2:$G$501))</f>
        <v/>
      </c>
      <c r="G76" s="81">
        <f>IF(A76="","",SUMIF('22 2026 PAKETLEME'!$B$2:$B$501,A76,'22 2026 PAKETLEME'!$H$2:$H$501))</f>
        <v/>
      </c>
      <c r="H76" s="81">
        <f>IF(A76="","",D76-E76-F76-G76)</f>
        <v/>
      </c>
      <c r="I76" s="82">
        <f>IF(A76="","",SUMIF('23 2026 SEVKİYAT'!$E$2:$E$501,A76,'23 2026 SEVKİYAT'!$H$2:$H$501))</f>
        <v/>
      </c>
      <c r="J76" s="81">
        <f>IF(A76="","",E76+F76-I76)</f>
        <v/>
      </c>
      <c r="K76" s="81">
        <f>IF(A76="","",D76-E76-F76-G76-H76)</f>
        <v/>
      </c>
      <c r="L76" s="58">
        <f>IF(A76="","",IF(ABS(K76)&lt;0.001,"KAPALI","KONTROL"))</f>
        <v/>
      </c>
      <c r="M76" s="56">
        <f>IF(A76="","",IF(J76&lt;0,"SEVK PAKETLEMEYİ AŞIYOR",IF(H76&lt;&gt;0,"PAKETLEME BAKİYESİ VAR","DENKLİK KAPALI")))</f>
        <v/>
      </c>
    </row>
    <row r="77" ht="15" customHeight="1">
      <c r="A77" s="60">
        <f>'21 2026 ÜRETİM'!A77</f>
        <v/>
      </c>
      <c r="B77" s="81">
        <f>IF(A77="","",'21 2026 ÜRETİM'!D77)</f>
        <v/>
      </c>
      <c r="C77" s="81">
        <f>IF(A77="","",'21 2026 ÜRETİM'!E77)</f>
        <v/>
      </c>
      <c r="D77" s="82">
        <f>IF(A77="","",'21 2026 ÜRETİM'!F77)</f>
        <v/>
      </c>
      <c r="E77" s="81">
        <f>IF(A77="","",SUMIF('22 2026 PAKETLEME'!$B$2:$B$501,A77,'22 2026 PAKETLEME'!$E$2:$E$501))</f>
        <v/>
      </c>
      <c r="F77" s="82">
        <f>IF(A77="","",SUMIF('22 2026 PAKETLEME'!$B$2:$B$501,A77,'22 2026 PAKETLEME'!$G$2:$G$501))</f>
        <v/>
      </c>
      <c r="G77" s="81">
        <f>IF(A77="","",SUMIF('22 2026 PAKETLEME'!$B$2:$B$501,A77,'22 2026 PAKETLEME'!$H$2:$H$501))</f>
        <v/>
      </c>
      <c r="H77" s="81">
        <f>IF(A77="","",D77-E77-F77-G77)</f>
        <v/>
      </c>
      <c r="I77" s="82">
        <f>IF(A77="","",SUMIF('23 2026 SEVKİYAT'!$E$2:$E$501,A77,'23 2026 SEVKİYAT'!$H$2:$H$501))</f>
        <v/>
      </c>
      <c r="J77" s="81">
        <f>IF(A77="","",E77+F77-I77)</f>
        <v/>
      </c>
      <c r="K77" s="81">
        <f>IF(A77="","",D77-E77-F77-G77-H77)</f>
        <v/>
      </c>
      <c r="L77" s="58">
        <f>IF(A77="","",IF(ABS(K77)&lt;0.001,"KAPALI","KONTROL"))</f>
        <v/>
      </c>
      <c r="M77" s="56">
        <f>IF(A77="","",IF(J77&lt;0,"SEVK PAKETLEMEYİ AŞIYOR",IF(H77&lt;&gt;0,"PAKETLEME BAKİYESİ VAR","DENKLİK KAPALI")))</f>
        <v/>
      </c>
    </row>
    <row r="78" ht="15" customHeight="1">
      <c r="A78" s="60">
        <f>'21 2026 ÜRETİM'!A78</f>
        <v/>
      </c>
      <c r="B78" s="81">
        <f>IF(A78="","",'21 2026 ÜRETİM'!D78)</f>
        <v/>
      </c>
      <c r="C78" s="81">
        <f>IF(A78="","",'21 2026 ÜRETİM'!E78)</f>
        <v/>
      </c>
      <c r="D78" s="82">
        <f>IF(A78="","",'21 2026 ÜRETİM'!F78)</f>
        <v/>
      </c>
      <c r="E78" s="81">
        <f>IF(A78="","",SUMIF('22 2026 PAKETLEME'!$B$2:$B$501,A78,'22 2026 PAKETLEME'!$E$2:$E$501))</f>
        <v/>
      </c>
      <c r="F78" s="82">
        <f>IF(A78="","",SUMIF('22 2026 PAKETLEME'!$B$2:$B$501,A78,'22 2026 PAKETLEME'!$G$2:$G$501))</f>
        <v/>
      </c>
      <c r="G78" s="81">
        <f>IF(A78="","",SUMIF('22 2026 PAKETLEME'!$B$2:$B$501,A78,'22 2026 PAKETLEME'!$H$2:$H$501))</f>
        <v/>
      </c>
      <c r="H78" s="81">
        <f>IF(A78="","",D78-E78-F78-G78)</f>
        <v/>
      </c>
      <c r="I78" s="82">
        <f>IF(A78="","",SUMIF('23 2026 SEVKİYAT'!$E$2:$E$501,A78,'23 2026 SEVKİYAT'!$H$2:$H$501))</f>
        <v/>
      </c>
      <c r="J78" s="81">
        <f>IF(A78="","",E78+F78-I78)</f>
        <v/>
      </c>
      <c r="K78" s="81">
        <f>IF(A78="","",D78-E78-F78-G78-H78)</f>
        <v/>
      </c>
      <c r="L78" s="58">
        <f>IF(A78="","",IF(ABS(K78)&lt;0.001,"KAPALI","KONTROL"))</f>
        <v/>
      </c>
      <c r="M78" s="56">
        <f>IF(A78="","",IF(J78&lt;0,"SEVK PAKETLEMEYİ AŞIYOR",IF(H78&lt;&gt;0,"PAKETLEME BAKİYESİ VAR","DENKLİK KAPALI")))</f>
        <v/>
      </c>
    </row>
    <row r="79" ht="15" customHeight="1">
      <c r="A79" s="60">
        <f>'21 2026 ÜRETİM'!A79</f>
        <v/>
      </c>
      <c r="B79" s="81">
        <f>IF(A79="","",'21 2026 ÜRETİM'!D79)</f>
        <v/>
      </c>
      <c r="C79" s="81">
        <f>IF(A79="","",'21 2026 ÜRETİM'!E79)</f>
        <v/>
      </c>
      <c r="D79" s="82">
        <f>IF(A79="","",'21 2026 ÜRETİM'!F79)</f>
        <v/>
      </c>
      <c r="E79" s="81">
        <f>IF(A79="","",SUMIF('22 2026 PAKETLEME'!$B$2:$B$501,A79,'22 2026 PAKETLEME'!$E$2:$E$501))</f>
        <v/>
      </c>
      <c r="F79" s="82">
        <f>IF(A79="","",SUMIF('22 2026 PAKETLEME'!$B$2:$B$501,A79,'22 2026 PAKETLEME'!$G$2:$G$501))</f>
        <v/>
      </c>
      <c r="G79" s="81">
        <f>IF(A79="","",SUMIF('22 2026 PAKETLEME'!$B$2:$B$501,A79,'22 2026 PAKETLEME'!$H$2:$H$501))</f>
        <v/>
      </c>
      <c r="H79" s="81">
        <f>IF(A79="","",D79-E79-F79-G79)</f>
        <v/>
      </c>
      <c r="I79" s="82">
        <f>IF(A79="","",SUMIF('23 2026 SEVKİYAT'!$E$2:$E$501,A79,'23 2026 SEVKİYAT'!$H$2:$H$501))</f>
        <v/>
      </c>
      <c r="J79" s="81">
        <f>IF(A79="","",E79+F79-I79)</f>
        <v/>
      </c>
      <c r="K79" s="81">
        <f>IF(A79="","",D79-E79-F79-G79-H79)</f>
        <v/>
      </c>
      <c r="L79" s="58">
        <f>IF(A79="","",IF(ABS(K79)&lt;0.001,"KAPALI","KONTROL"))</f>
        <v/>
      </c>
      <c r="M79" s="56">
        <f>IF(A79="","",IF(J79&lt;0,"SEVK PAKETLEMEYİ AŞIYOR",IF(H79&lt;&gt;0,"PAKETLEME BAKİYESİ VAR","DENKLİK KAPALI")))</f>
        <v/>
      </c>
    </row>
    <row r="80" ht="15" customHeight="1">
      <c r="A80" s="60">
        <f>'21 2026 ÜRETİM'!A80</f>
        <v/>
      </c>
      <c r="B80" s="81">
        <f>IF(A80="","",'21 2026 ÜRETİM'!D80)</f>
        <v/>
      </c>
      <c r="C80" s="81">
        <f>IF(A80="","",'21 2026 ÜRETİM'!E80)</f>
        <v/>
      </c>
      <c r="D80" s="82">
        <f>IF(A80="","",'21 2026 ÜRETİM'!F80)</f>
        <v/>
      </c>
      <c r="E80" s="81">
        <f>IF(A80="","",SUMIF('22 2026 PAKETLEME'!$B$2:$B$501,A80,'22 2026 PAKETLEME'!$E$2:$E$501))</f>
        <v/>
      </c>
      <c r="F80" s="82">
        <f>IF(A80="","",SUMIF('22 2026 PAKETLEME'!$B$2:$B$501,A80,'22 2026 PAKETLEME'!$G$2:$G$501))</f>
        <v/>
      </c>
      <c r="G80" s="81">
        <f>IF(A80="","",SUMIF('22 2026 PAKETLEME'!$B$2:$B$501,A80,'22 2026 PAKETLEME'!$H$2:$H$501))</f>
        <v/>
      </c>
      <c r="H80" s="81">
        <f>IF(A80="","",D80-E80-F80-G80)</f>
        <v/>
      </c>
      <c r="I80" s="82">
        <f>IF(A80="","",SUMIF('23 2026 SEVKİYAT'!$E$2:$E$501,A80,'23 2026 SEVKİYAT'!$H$2:$H$501))</f>
        <v/>
      </c>
      <c r="J80" s="81">
        <f>IF(A80="","",E80+F80-I80)</f>
        <v/>
      </c>
      <c r="K80" s="81">
        <f>IF(A80="","",D80-E80-F80-G80-H80)</f>
        <v/>
      </c>
      <c r="L80" s="58">
        <f>IF(A80="","",IF(ABS(K80)&lt;0.001,"KAPALI","KONTROL"))</f>
        <v/>
      </c>
      <c r="M80" s="56">
        <f>IF(A80="","",IF(J80&lt;0,"SEVK PAKETLEMEYİ AŞIYOR",IF(H80&lt;&gt;0,"PAKETLEME BAKİYESİ VAR","DENKLİK KAPALI")))</f>
        <v/>
      </c>
    </row>
    <row r="81" ht="15" customHeight="1">
      <c r="A81" s="60">
        <f>'21 2026 ÜRETİM'!A81</f>
        <v/>
      </c>
      <c r="B81" s="81">
        <f>IF(A81="","",'21 2026 ÜRETİM'!D81)</f>
        <v/>
      </c>
      <c r="C81" s="81">
        <f>IF(A81="","",'21 2026 ÜRETİM'!E81)</f>
        <v/>
      </c>
      <c r="D81" s="82">
        <f>IF(A81="","",'21 2026 ÜRETİM'!F81)</f>
        <v/>
      </c>
      <c r="E81" s="81">
        <f>IF(A81="","",SUMIF('22 2026 PAKETLEME'!$B$2:$B$501,A81,'22 2026 PAKETLEME'!$E$2:$E$501))</f>
        <v/>
      </c>
      <c r="F81" s="82">
        <f>IF(A81="","",SUMIF('22 2026 PAKETLEME'!$B$2:$B$501,A81,'22 2026 PAKETLEME'!$G$2:$G$501))</f>
        <v/>
      </c>
      <c r="G81" s="81">
        <f>IF(A81="","",SUMIF('22 2026 PAKETLEME'!$B$2:$B$501,A81,'22 2026 PAKETLEME'!$H$2:$H$501))</f>
        <v/>
      </c>
      <c r="H81" s="81">
        <f>IF(A81="","",D81-E81-F81-G81)</f>
        <v/>
      </c>
      <c r="I81" s="82">
        <f>IF(A81="","",SUMIF('23 2026 SEVKİYAT'!$E$2:$E$501,A81,'23 2026 SEVKİYAT'!$H$2:$H$501))</f>
        <v/>
      </c>
      <c r="J81" s="81">
        <f>IF(A81="","",E81+F81-I81)</f>
        <v/>
      </c>
      <c r="K81" s="81">
        <f>IF(A81="","",D81-E81-F81-G81-H81)</f>
        <v/>
      </c>
      <c r="L81" s="58">
        <f>IF(A81="","",IF(ABS(K81)&lt;0.001,"KAPALI","KONTROL"))</f>
        <v/>
      </c>
      <c r="M81" s="56">
        <f>IF(A81="","",IF(J81&lt;0,"SEVK PAKETLEMEYİ AŞIYOR",IF(H81&lt;&gt;0,"PAKETLEME BAKİYESİ VAR","DENKLİK KAPALI")))</f>
        <v/>
      </c>
    </row>
    <row r="82" ht="15" customHeight="1">
      <c r="A82" s="60">
        <f>'21 2026 ÜRETİM'!A82</f>
        <v/>
      </c>
      <c r="B82" s="81">
        <f>IF(A82="","",'21 2026 ÜRETİM'!D82)</f>
        <v/>
      </c>
      <c r="C82" s="81">
        <f>IF(A82="","",'21 2026 ÜRETİM'!E82)</f>
        <v/>
      </c>
      <c r="D82" s="82">
        <f>IF(A82="","",'21 2026 ÜRETİM'!F82)</f>
        <v/>
      </c>
      <c r="E82" s="81">
        <f>IF(A82="","",SUMIF('22 2026 PAKETLEME'!$B$2:$B$501,A82,'22 2026 PAKETLEME'!$E$2:$E$501))</f>
        <v/>
      </c>
      <c r="F82" s="82">
        <f>IF(A82="","",SUMIF('22 2026 PAKETLEME'!$B$2:$B$501,A82,'22 2026 PAKETLEME'!$G$2:$G$501))</f>
        <v/>
      </c>
      <c r="G82" s="81">
        <f>IF(A82="","",SUMIF('22 2026 PAKETLEME'!$B$2:$B$501,A82,'22 2026 PAKETLEME'!$H$2:$H$501))</f>
        <v/>
      </c>
      <c r="H82" s="81">
        <f>IF(A82="","",D82-E82-F82-G82)</f>
        <v/>
      </c>
      <c r="I82" s="82">
        <f>IF(A82="","",SUMIF('23 2026 SEVKİYAT'!$E$2:$E$501,A82,'23 2026 SEVKİYAT'!$H$2:$H$501))</f>
        <v/>
      </c>
      <c r="J82" s="81">
        <f>IF(A82="","",E82+F82-I82)</f>
        <v/>
      </c>
      <c r="K82" s="81">
        <f>IF(A82="","",D82-E82-F82-G82-H82)</f>
        <v/>
      </c>
      <c r="L82" s="58">
        <f>IF(A82="","",IF(ABS(K82)&lt;0.001,"KAPALI","KONTROL"))</f>
        <v/>
      </c>
      <c r="M82" s="56">
        <f>IF(A82="","",IF(J82&lt;0,"SEVK PAKETLEMEYİ AŞIYOR",IF(H82&lt;&gt;0,"PAKETLEME BAKİYESİ VAR","DENKLİK KAPALI")))</f>
        <v/>
      </c>
    </row>
    <row r="83" ht="15" customHeight="1">
      <c r="A83" s="60">
        <f>'21 2026 ÜRETİM'!A83</f>
        <v/>
      </c>
      <c r="B83" s="81">
        <f>IF(A83="","",'21 2026 ÜRETİM'!D83)</f>
        <v/>
      </c>
      <c r="C83" s="81">
        <f>IF(A83="","",'21 2026 ÜRETİM'!E83)</f>
        <v/>
      </c>
      <c r="D83" s="82">
        <f>IF(A83="","",'21 2026 ÜRETİM'!F83)</f>
        <v/>
      </c>
      <c r="E83" s="81">
        <f>IF(A83="","",SUMIF('22 2026 PAKETLEME'!$B$2:$B$501,A83,'22 2026 PAKETLEME'!$E$2:$E$501))</f>
        <v/>
      </c>
      <c r="F83" s="82">
        <f>IF(A83="","",SUMIF('22 2026 PAKETLEME'!$B$2:$B$501,A83,'22 2026 PAKETLEME'!$G$2:$G$501))</f>
        <v/>
      </c>
      <c r="G83" s="81">
        <f>IF(A83="","",SUMIF('22 2026 PAKETLEME'!$B$2:$B$501,A83,'22 2026 PAKETLEME'!$H$2:$H$501))</f>
        <v/>
      </c>
      <c r="H83" s="81">
        <f>IF(A83="","",D83-E83-F83-G83)</f>
        <v/>
      </c>
      <c r="I83" s="82">
        <f>IF(A83="","",SUMIF('23 2026 SEVKİYAT'!$E$2:$E$501,A83,'23 2026 SEVKİYAT'!$H$2:$H$501))</f>
        <v/>
      </c>
      <c r="J83" s="81">
        <f>IF(A83="","",E83+F83-I83)</f>
        <v/>
      </c>
      <c r="K83" s="81">
        <f>IF(A83="","",D83-E83-F83-G83-H83)</f>
        <v/>
      </c>
      <c r="L83" s="58">
        <f>IF(A83="","",IF(ABS(K83)&lt;0.001,"KAPALI","KONTROL"))</f>
        <v/>
      </c>
      <c r="M83" s="56">
        <f>IF(A83="","",IF(J83&lt;0,"SEVK PAKETLEMEYİ AŞIYOR",IF(H83&lt;&gt;0,"PAKETLEME BAKİYESİ VAR","DENKLİK KAPALI")))</f>
        <v/>
      </c>
    </row>
    <row r="84" ht="15" customHeight="1">
      <c r="A84" s="60">
        <f>'21 2026 ÜRETİM'!A84</f>
        <v/>
      </c>
      <c r="B84" s="81">
        <f>IF(A84="","",'21 2026 ÜRETİM'!D84)</f>
        <v/>
      </c>
      <c r="C84" s="81">
        <f>IF(A84="","",'21 2026 ÜRETİM'!E84)</f>
        <v/>
      </c>
      <c r="D84" s="82">
        <f>IF(A84="","",'21 2026 ÜRETİM'!F84)</f>
        <v/>
      </c>
      <c r="E84" s="81">
        <f>IF(A84="","",SUMIF('22 2026 PAKETLEME'!$B$2:$B$501,A84,'22 2026 PAKETLEME'!$E$2:$E$501))</f>
        <v/>
      </c>
      <c r="F84" s="82">
        <f>IF(A84="","",SUMIF('22 2026 PAKETLEME'!$B$2:$B$501,A84,'22 2026 PAKETLEME'!$G$2:$G$501))</f>
        <v/>
      </c>
      <c r="G84" s="81">
        <f>IF(A84="","",SUMIF('22 2026 PAKETLEME'!$B$2:$B$501,A84,'22 2026 PAKETLEME'!$H$2:$H$501))</f>
        <v/>
      </c>
      <c r="H84" s="81">
        <f>IF(A84="","",D84-E84-F84-G84)</f>
        <v/>
      </c>
      <c r="I84" s="82">
        <f>IF(A84="","",SUMIF('23 2026 SEVKİYAT'!$E$2:$E$501,A84,'23 2026 SEVKİYAT'!$H$2:$H$501))</f>
        <v/>
      </c>
      <c r="J84" s="81">
        <f>IF(A84="","",E84+F84-I84)</f>
        <v/>
      </c>
      <c r="K84" s="81">
        <f>IF(A84="","",D84-E84-F84-G84-H84)</f>
        <v/>
      </c>
      <c r="L84" s="58">
        <f>IF(A84="","",IF(ABS(K84)&lt;0.001,"KAPALI","KONTROL"))</f>
        <v/>
      </c>
      <c r="M84" s="56">
        <f>IF(A84="","",IF(J84&lt;0,"SEVK PAKETLEMEYİ AŞIYOR",IF(H84&lt;&gt;0,"PAKETLEME BAKİYESİ VAR","DENKLİK KAPALI")))</f>
        <v/>
      </c>
    </row>
    <row r="85" ht="15" customHeight="1">
      <c r="A85" s="60">
        <f>'21 2026 ÜRETİM'!A85</f>
        <v/>
      </c>
      <c r="B85" s="81">
        <f>IF(A85="","",'21 2026 ÜRETİM'!D85)</f>
        <v/>
      </c>
      <c r="C85" s="81">
        <f>IF(A85="","",'21 2026 ÜRETİM'!E85)</f>
        <v/>
      </c>
      <c r="D85" s="82">
        <f>IF(A85="","",'21 2026 ÜRETİM'!F85)</f>
        <v/>
      </c>
      <c r="E85" s="81">
        <f>IF(A85="","",SUMIF('22 2026 PAKETLEME'!$B$2:$B$501,A85,'22 2026 PAKETLEME'!$E$2:$E$501))</f>
        <v/>
      </c>
      <c r="F85" s="82">
        <f>IF(A85="","",SUMIF('22 2026 PAKETLEME'!$B$2:$B$501,A85,'22 2026 PAKETLEME'!$G$2:$G$501))</f>
        <v/>
      </c>
      <c r="G85" s="81">
        <f>IF(A85="","",SUMIF('22 2026 PAKETLEME'!$B$2:$B$501,A85,'22 2026 PAKETLEME'!$H$2:$H$501))</f>
        <v/>
      </c>
      <c r="H85" s="81">
        <f>IF(A85="","",D85-E85-F85-G85)</f>
        <v/>
      </c>
      <c r="I85" s="82">
        <f>IF(A85="","",SUMIF('23 2026 SEVKİYAT'!$E$2:$E$501,A85,'23 2026 SEVKİYAT'!$H$2:$H$501))</f>
        <v/>
      </c>
      <c r="J85" s="81">
        <f>IF(A85="","",E85+F85-I85)</f>
        <v/>
      </c>
      <c r="K85" s="81">
        <f>IF(A85="","",D85-E85-F85-G85-H85)</f>
        <v/>
      </c>
      <c r="L85" s="58">
        <f>IF(A85="","",IF(ABS(K85)&lt;0.001,"KAPALI","KONTROL"))</f>
        <v/>
      </c>
      <c r="M85" s="56">
        <f>IF(A85="","",IF(J85&lt;0,"SEVK PAKETLEMEYİ AŞIYOR",IF(H85&lt;&gt;0,"PAKETLEME BAKİYESİ VAR","DENKLİK KAPALI")))</f>
        <v/>
      </c>
    </row>
    <row r="86" ht="15" customHeight="1">
      <c r="A86" s="60">
        <f>'21 2026 ÜRETİM'!A86</f>
        <v/>
      </c>
      <c r="B86" s="81">
        <f>IF(A86="","",'21 2026 ÜRETİM'!D86)</f>
        <v/>
      </c>
      <c r="C86" s="81">
        <f>IF(A86="","",'21 2026 ÜRETİM'!E86)</f>
        <v/>
      </c>
      <c r="D86" s="82">
        <f>IF(A86="","",'21 2026 ÜRETİM'!F86)</f>
        <v/>
      </c>
      <c r="E86" s="81">
        <f>IF(A86="","",SUMIF('22 2026 PAKETLEME'!$B$2:$B$501,A86,'22 2026 PAKETLEME'!$E$2:$E$501))</f>
        <v/>
      </c>
      <c r="F86" s="82">
        <f>IF(A86="","",SUMIF('22 2026 PAKETLEME'!$B$2:$B$501,A86,'22 2026 PAKETLEME'!$G$2:$G$501))</f>
        <v/>
      </c>
      <c r="G86" s="81">
        <f>IF(A86="","",SUMIF('22 2026 PAKETLEME'!$B$2:$B$501,A86,'22 2026 PAKETLEME'!$H$2:$H$501))</f>
        <v/>
      </c>
      <c r="H86" s="81">
        <f>IF(A86="","",D86-E86-F86-G86)</f>
        <v/>
      </c>
      <c r="I86" s="82">
        <f>IF(A86="","",SUMIF('23 2026 SEVKİYAT'!$E$2:$E$501,A86,'23 2026 SEVKİYAT'!$H$2:$H$501))</f>
        <v/>
      </c>
      <c r="J86" s="81">
        <f>IF(A86="","",E86+F86-I86)</f>
        <v/>
      </c>
      <c r="K86" s="81">
        <f>IF(A86="","",D86-E86-F86-G86-H86)</f>
        <v/>
      </c>
      <c r="L86" s="58">
        <f>IF(A86="","",IF(ABS(K86)&lt;0.001,"KAPALI","KONTROL"))</f>
        <v/>
      </c>
      <c r="M86" s="56">
        <f>IF(A86="","",IF(J86&lt;0,"SEVK PAKETLEMEYİ AŞIYOR",IF(H86&lt;&gt;0,"PAKETLEME BAKİYESİ VAR","DENKLİK KAPALI")))</f>
        <v/>
      </c>
    </row>
    <row r="87" ht="15" customHeight="1">
      <c r="A87" s="60">
        <f>'21 2026 ÜRETİM'!A87</f>
        <v/>
      </c>
      <c r="B87" s="81">
        <f>IF(A87="","",'21 2026 ÜRETİM'!D87)</f>
        <v/>
      </c>
      <c r="C87" s="81">
        <f>IF(A87="","",'21 2026 ÜRETİM'!E87)</f>
        <v/>
      </c>
      <c r="D87" s="82">
        <f>IF(A87="","",'21 2026 ÜRETİM'!F87)</f>
        <v/>
      </c>
      <c r="E87" s="81">
        <f>IF(A87="","",SUMIF('22 2026 PAKETLEME'!$B$2:$B$501,A87,'22 2026 PAKETLEME'!$E$2:$E$501))</f>
        <v/>
      </c>
      <c r="F87" s="82">
        <f>IF(A87="","",SUMIF('22 2026 PAKETLEME'!$B$2:$B$501,A87,'22 2026 PAKETLEME'!$G$2:$G$501))</f>
        <v/>
      </c>
      <c r="G87" s="81">
        <f>IF(A87="","",SUMIF('22 2026 PAKETLEME'!$B$2:$B$501,A87,'22 2026 PAKETLEME'!$H$2:$H$501))</f>
        <v/>
      </c>
      <c r="H87" s="81">
        <f>IF(A87="","",D87-E87-F87-G87)</f>
        <v/>
      </c>
      <c r="I87" s="82">
        <f>IF(A87="","",SUMIF('23 2026 SEVKİYAT'!$E$2:$E$501,A87,'23 2026 SEVKİYAT'!$H$2:$H$501))</f>
        <v/>
      </c>
      <c r="J87" s="81">
        <f>IF(A87="","",E87+F87-I87)</f>
        <v/>
      </c>
      <c r="K87" s="81">
        <f>IF(A87="","",D87-E87-F87-G87-H87)</f>
        <v/>
      </c>
      <c r="L87" s="58">
        <f>IF(A87="","",IF(ABS(K87)&lt;0.001,"KAPALI","KONTROL"))</f>
        <v/>
      </c>
      <c r="M87" s="56">
        <f>IF(A87="","",IF(J87&lt;0,"SEVK PAKETLEMEYİ AŞIYOR",IF(H87&lt;&gt;0,"PAKETLEME BAKİYESİ VAR","DENKLİK KAPALI")))</f>
        <v/>
      </c>
    </row>
    <row r="88" ht="15" customHeight="1">
      <c r="A88" s="60">
        <f>'21 2026 ÜRETİM'!A88</f>
        <v/>
      </c>
      <c r="B88" s="81">
        <f>IF(A88="","",'21 2026 ÜRETİM'!D88)</f>
        <v/>
      </c>
      <c r="C88" s="81">
        <f>IF(A88="","",'21 2026 ÜRETİM'!E88)</f>
        <v/>
      </c>
      <c r="D88" s="82">
        <f>IF(A88="","",'21 2026 ÜRETİM'!F88)</f>
        <v/>
      </c>
      <c r="E88" s="81">
        <f>IF(A88="","",SUMIF('22 2026 PAKETLEME'!$B$2:$B$501,A88,'22 2026 PAKETLEME'!$E$2:$E$501))</f>
        <v/>
      </c>
      <c r="F88" s="82">
        <f>IF(A88="","",SUMIF('22 2026 PAKETLEME'!$B$2:$B$501,A88,'22 2026 PAKETLEME'!$G$2:$G$501))</f>
        <v/>
      </c>
      <c r="G88" s="81">
        <f>IF(A88="","",SUMIF('22 2026 PAKETLEME'!$B$2:$B$501,A88,'22 2026 PAKETLEME'!$H$2:$H$501))</f>
        <v/>
      </c>
      <c r="H88" s="81">
        <f>IF(A88="","",D88-E88-F88-G88)</f>
        <v/>
      </c>
      <c r="I88" s="82">
        <f>IF(A88="","",SUMIF('23 2026 SEVKİYAT'!$E$2:$E$501,A88,'23 2026 SEVKİYAT'!$H$2:$H$501))</f>
        <v/>
      </c>
      <c r="J88" s="81">
        <f>IF(A88="","",E88+F88-I88)</f>
        <v/>
      </c>
      <c r="K88" s="81">
        <f>IF(A88="","",D88-E88-F88-G88-H88)</f>
        <v/>
      </c>
      <c r="L88" s="58">
        <f>IF(A88="","",IF(ABS(K88)&lt;0.001,"KAPALI","KONTROL"))</f>
        <v/>
      </c>
      <c r="M88" s="56">
        <f>IF(A88="","",IF(J88&lt;0,"SEVK PAKETLEMEYİ AŞIYOR",IF(H88&lt;&gt;0,"PAKETLEME BAKİYESİ VAR","DENKLİK KAPALI")))</f>
        <v/>
      </c>
    </row>
    <row r="89" ht="15" customHeight="1">
      <c r="A89" s="60">
        <f>'21 2026 ÜRETİM'!A89</f>
        <v/>
      </c>
      <c r="B89" s="81">
        <f>IF(A89="","",'21 2026 ÜRETİM'!D89)</f>
        <v/>
      </c>
      <c r="C89" s="81">
        <f>IF(A89="","",'21 2026 ÜRETİM'!E89)</f>
        <v/>
      </c>
      <c r="D89" s="82">
        <f>IF(A89="","",'21 2026 ÜRETİM'!F89)</f>
        <v/>
      </c>
      <c r="E89" s="81">
        <f>IF(A89="","",SUMIF('22 2026 PAKETLEME'!$B$2:$B$501,A89,'22 2026 PAKETLEME'!$E$2:$E$501))</f>
        <v/>
      </c>
      <c r="F89" s="82">
        <f>IF(A89="","",SUMIF('22 2026 PAKETLEME'!$B$2:$B$501,A89,'22 2026 PAKETLEME'!$G$2:$G$501))</f>
        <v/>
      </c>
      <c r="G89" s="81">
        <f>IF(A89="","",SUMIF('22 2026 PAKETLEME'!$B$2:$B$501,A89,'22 2026 PAKETLEME'!$H$2:$H$501))</f>
        <v/>
      </c>
      <c r="H89" s="81">
        <f>IF(A89="","",D89-E89-F89-G89)</f>
        <v/>
      </c>
      <c r="I89" s="82">
        <f>IF(A89="","",SUMIF('23 2026 SEVKİYAT'!$E$2:$E$501,A89,'23 2026 SEVKİYAT'!$H$2:$H$501))</f>
        <v/>
      </c>
      <c r="J89" s="81">
        <f>IF(A89="","",E89+F89-I89)</f>
        <v/>
      </c>
      <c r="K89" s="81">
        <f>IF(A89="","",D89-E89-F89-G89-H89)</f>
        <v/>
      </c>
      <c r="L89" s="58">
        <f>IF(A89="","",IF(ABS(K89)&lt;0.001,"KAPALI","KONTROL"))</f>
        <v/>
      </c>
      <c r="M89" s="56">
        <f>IF(A89="","",IF(J89&lt;0,"SEVK PAKETLEMEYİ AŞIYOR",IF(H89&lt;&gt;0,"PAKETLEME BAKİYESİ VAR","DENKLİK KAPALI")))</f>
        <v/>
      </c>
    </row>
    <row r="90" ht="15" customHeight="1">
      <c r="A90" s="60">
        <f>'21 2026 ÜRETİM'!A90</f>
        <v/>
      </c>
      <c r="B90" s="81">
        <f>IF(A90="","",'21 2026 ÜRETİM'!D90)</f>
        <v/>
      </c>
      <c r="C90" s="81">
        <f>IF(A90="","",'21 2026 ÜRETİM'!E90)</f>
        <v/>
      </c>
      <c r="D90" s="82">
        <f>IF(A90="","",'21 2026 ÜRETİM'!F90)</f>
        <v/>
      </c>
      <c r="E90" s="81">
        <f>IF(A90="","",SUMIF('22 2026 PAKETLEME'!$B$2:$B$501,A90,'22 2026 PAKETLEME'!$E$2:$E$501))</f>
        <v/>
      </c>
      <c r="F90" s="82">
        <f>IF(A90="","",SUMIF('22 2026 PAKETLEME'!$B$2:$B$501,A90,'22 2026 PAKETLEME'!$G$2:$G$501))</f>
        <v/>
      </c>
      <c r="G90" s="81">
        <f>IF(A90="","",SUMIF('22 2026 PAKETLEME'!$B$2:$B$501,A90,'22 2026 PAKETLEME'!$H$2:$H$501))</f>
        <v/>
      </c>
      <c r="H90" s="81">
        <f>IF(A90="","",D90-E90-F90-G90)</f>
        <v/>
      </c>
      <c r="I90" s="82">
        <f>IF(A90="","",SUMIF('23 2026 SEVKİYAT'!$E$2:$E$501,A90,'23 2026 SEVKİYAT'!$H$2:$H$501))</f>
        <v/>
      </c>
      <c r="J90" s="81">
        <f>IF(A90="","",E90+F90-I90)</f>
        <v/>
      </c>
      <c r="K90" s="81">
        <f>IF(A90="","",D90-E90-F90-G90-H90)</f>
        <v/>
      </c>
      <c r="L90" s="58">
        <f>IF(A90="","",IF(ABS(K90)&lt;0.001,"KAPALI","KONTROL"))</f>
        <v/>
      </c>
      <c r="M90" s="56">
        <f>IF(A90="","",IF(J90&lt;0,"SEVK PAKETLEMEYİ AŞIYOR",IF(H90&lt;&gt;0,"PAKETLEME BAKİYESİ VAR","DENKLİK KAPALI")))</f>
        <v/>
      </c>
    </row>
    <row r="91" ht="15" customHeight="1">
      <c r="A91" s="60">
        <f>'21 2026 ÜRETİM'!A91</f>
        <v/>
      </c>
      <c r="B91" s="81">
        <f>IF(A91="","",'21 2026 ÜRETİM'!D91)</f>
        <v/>
      </c>
      <c r="C91" s="81">
        <f>IF(A91="","",'21 2026 ÜRETİM'!E91)</f>
        <v/>
      </c>
      <c r="D91" s="82">
        <f>IF(A91="","",'21 2026 ÜRETİM'!F91)</f>
        <v/>
      </c>
      <c r="E91" s="81">
        <f>IF(A91="","",SUMIF('22 2026 PAKETLEME'!$B$2:$B$501,A91,'22 2026 PAKETLEME'!$E$2:$E$501))</f>
        <v/>
      </c>
      <c r="F91" s="82">
        <f>IF(A91="","",SUMIF('22 2026 PAKETLEME'!$B$2:$B$501,A91,'22 2026 PAKETLEME'!$G$2:$G$501))</f>
        <v/>
      </c>
      <c r="G91" s="81">
        <f>IF(A91="","",SUMIF('22 2026 PAKETLEME'!$B$2:$B$501,A91,'22 2026 PAKETLEME'!$H$2:$H$501))</f>
        <v/>
      </c>
      <c r="H91" s="81">
        <f>IF(A91="","",D91-E91-F91-G91)</f>
        <v/>
      </c>
      <c r="I91" s="82">
        <f>IF(A91="","",SUMIF('23 2026 SEVKİYAT'!$E$2:$E$501,A91,'23 2026 SEVKİYAT'!$H$2:$H$501))</f>
        <v/>
      </c>
      <c r="J91" s="81">
        <f>IF(A91="","",E91+F91-I91)</f>
        <v/>
      </c>
      <c r="K91" s="81">
        <f>IF(A91="","",D91-E91-F91-G91-H91)</f>
        <v/>
      </c>
      <c r="L91" s="58">
        <f>IF(A91="","",IF(ABS(K91)&lt;0.001,"KAPALI","KONTROL"))</f>
        <v/>
      </c>
      <c r="M91" s="56">
        <f>IF(A91="","",IF(J91&lt;0,"SEVK PAKETLEMEYİ AŞIYOR",IF(H91&lt;&gt;0,"PAKETLEME BAKİYESİ VAR","DENKLİK KAPALI")))</f>
        <v/>
      </c>
    </row>
    <row r="92" ht="15" customHeight="1">
      <c r="A92" s="60">
        <f>'21 2026 ÜRETİM'!A92</f>
        <v/>
      </c>
      <c r="B92" s="81">
        <f>IF(A92="","",'21 2026 ÜRETİM'!D92)</f>
        <v/>
      </c>
      <c r="C92" s="81">
        <f>IF(A92="","",'21 2026 ÜRETİM'!E92)</f>
        <v/>
      </c>
      <c r="D92" s="82">
        <f>IF(A92="","",'21 2026 ÜRETİM'!F92)</f>
        <v/>
      </c>
      <c r="E92" s="81">
        <f>IF(A92="","",SUMIF('22 2026 PAKETLEME'!$B$2:$B$501,A92,'22 2026 PAKETLEME'!$E$2:$E$501))</f>
        <v/>
      </c>
      <c r="F92" s="82">
        <f>IF(A92="","",SUMIF('22 2026 PAKETLEME'!$B$2:$B$501,A92,'22 2026 PAKETLEME'!$G$2:$G$501))</f>
        <v/>
      </c>
      <c r="G92" s="81">
        <f>IF(A92="","",SUMIF('22 2026 PAKETLEME'!$B$2:$B$501,A92,'22 2026 PAKETLEME'!$H$2:$H$501))</f>
        <v/>
      </c>
      <c r="H92" s="81">
        <f>IF(A92="","",D92-E92-F92-G92)</f>
        <v/>
      </c>
      <c r="I92" s="82">
        <f>IF(A92="","",SUMIF('23 2026 SEVKİYAT'!$E$2:$E$501,A92,'23 2026 SEVKİYAT'!$H$2:$H$501))</f>
        <v/>
      </c>
      <c r="J92" s="81">
        <f>IF(A92="","",E92+F92-I92)</f>
        <v/>
      </c>
      <c r="K92" s="81">
        <f>IF(A92="","",D92-E92-F92-G92-H92)</f>
        <v/>
      </c>
      <c r="L92" s="58">
        <f>IF(A92="","",IF(ABS(K92)&lt;0.001,"KAPALI","KONTROL"))</f>
        <v/>
      </c>
      <c r="M92" s="56">
        <f>IF(A92="","",IF(J92&lt;0,"SEVK PAKETLEMEYİ AŞIYOR",IF(H92&lt;&gt;0,"PAKETLEME BAKİYESİ VAR","DENKLİK KAPALI")))</f>
        <v/>
      </c>
    </row>
    <row r="93" ht="15" customHeight="1">
      <c r="A93" s="60">
        <f>'21 2026 ÜRETİM'!A93</f>
        <v/>
      </c>
      <c r="B93" s="81">
        <f>IF(A93="","",'21 2026 ÜRETİM'!D93)</f>
        <v/>
      </c>
      <c r="C93" s="81">
        <f>IF(A93="","",'21 2026 ÜRETİM'!E93)</f>
        <v/>
      </c>
      <c r="D93" s="82">
        <f>IF(A93="","",'21 2026 ÜRETİM'!F93)</f>
        <v/>
      </c>
      <c r="E93" s="81">
        <f>IF(A93="","",SUMIF('22 2026 PAKETLEME'!$B$2:$B$501,A93,'22 2026 PAKETLEME'!$E$2:$E$501))</f>
        <v/>
      </c>
      <c r="F93" s="82">
        <f>IF(A93="","",SUMIF('22 2026 PAKETLEME'!$B$2:$B$501,A93,'22 2026 PAKETLEME'!$G$2:$G$501))</f>
        <v/>
      </c>
      <c r="G93" s="81">
        <f>IF(A93="","",SUMIF('22 2026 PAKETLEME'!$B$2:$B$501,A93,'22 2026 PAKETLEME'!$H$2:$H$501))</f>
        <v/>
      </c>
      <c r="H93" s="81">
        <f>IF(A93="","",D93-E93-F93-G93)</f>
        <v/>
      </c>
      <c r="I93" s="82">
        <f>IF(A93="","",SUMIF('23 2026 SEVKİYAT'!$E$2:$E$501,A93,'23 2026 SEVKİYAT'!$H$2:$H$501))</f>
        <v/>
      </c>
      <c r="J93" s="81">
        <f>IF(A93="","",E93+F93-I93)</f>
        <v/>
      </c>
      <c r="K93" s="81">
        <f>IF(A93="","",D93-E93-F93-G93-H93)</f>
        <v/>
      </c>
      <c r="L93" s="58">
        <f>IF(A93="","",IF(ABS(K93)&lt;0.001,"KAPALI","KONTROL"))</f>
        <v/>
      </c>
      <c r="M93" s="56">
        <f>IF(A93="","",IF(J93&lt;0,"SEVK PAKETLEMEYİ AŞIYOR",IF(H93&lt;&gt;0,"PAKETLEME BAKİYESİ VAR","DENKLİK KAPALI")))</f>
        <v/>
      </c>
    </row>
    <row r="94" ht="15" customHeight="1">
      <c r="A94" s="60">
        <f>'21 2026 ÜRETİM'!A94</f>
        <v/>
      </c>
      <c r="B94" s="81">
        <f>IF(A94="","",'21 2026 ÜRETİM'!D94)</f>
        <v/>
      </c>
      <c r="C94" s="81">
        <f>IF(A94="","",'21 2026 ÜRETİM'!E94)</f>
        <v/>
      </c>
      <c r="D94" s="82">
        <f>IF(A94="","",'21 2026 ÜRETİM'!F94)</f>
        <v/>
      </c>
      <c r="E94" s="81">
        <f>IF(A94="","",SUMIF('22 2026 PAKETLEME'!$B$2:$B$501,A94,'22 2026 PAKETLEME'!$E$2:$E$501))</f>
        <v/>
      </c>
      <c r="F94" s="82">
        <f>IF(A94="","",SUMIF('22 2026 PAKETLEME'!$B$2:$B$501,A94,'22 2026 PAKETLEME'!$G$2:$G$501))</f>
        <v/>
      </c>
      <c r="G94" s="81">
        <f>IF(A94="","",SUMIF('22 2026 PAKETLEME'!$B$2:$B$501,A94,'22 2026 PAKETLEME'!$H$2:$H$501))</f>
        <v/>
      </c>
      <c r="H94" s="81">
        <f>IF(A94="","",D94-E94-F94-G94)</f>
        <v/>
      </c>
      <c r="I94" s="82">
        <f>IF(A94="","",SUMIF('23 2026 SEVKİYAT'!$E$2:$E$501,A94,'23 2026 SEVKİYAT'!$H$2:$H$501))</f>
        <v/>
      </c>
      <c r="J94" s="81">
        <f>IF(A94="","",E94+F94-I94)</f>
        <v/>
      </c>
      <c r="K94" s="81">
        <f>IF(A94="","",D94-E94-F94-G94-H94)</f>
        <v/>
      </c>
      <c r="L94" s="58">
        <f>IF(A94="","",IF(ABS(K94)&lt;0.001,"KAPALI","KONTROL"))</f>
        <v/>
      </c>
      <c r="M94" s="56">
        <f>IF(A94="","",IF(J94&lt;0,"SEVK PAKETLEMEYİ AŞIYOR",IF(H94&lt;&gt;0,"PAKETLEME BAKİYESİ VAR","DENKLİK KAPALI")))</f>
        <v/>
      </c>
    </row>
    <row r="95" ht="15" customHeight="1">
      <c r="A95" s="60">
        <f>'21 2026 ÜRETİM'!A95</f>
        <v/>
      </c>
      <c r="B95" s="81">
        <f>IF(A95="","",'21 2026 ÜRETİM'!D95)</f>
        <v/>
      </c>
      <c r="C95" s="81">
        <f>IF(A95="","",'21 2026 ÜRETİM'!E95)</f>
        <v/>
      </c>
      <c r="D95" s="82">
        <f>IF(A95="","",'21 2026 ÜRETİM'!F95)</f>
        <v/>
      </c>
      <c r="E95" s="81">
        <f>IF(A95="","",SUMIF('22 2026 PAKETLEME'!$B$2:$B$501,A95,'22 2026 PAKETLEME'!$E$2:$E$501))</f>
        <v/>
      </c>
      <c r="F95" s="82">
        <f>IF(A95="","",SUMIF('22 2026 PAKETLEME'!$B$2:$B$501,A95,'22 2026 PAKETLEME'!$G$2:$G$501))</f>
        <v/>
      </c>
      <c r="G95" s="81">
        <f>IF(A95="","",SUMIF('22 2026 PAKETLEME'!$B$2:$B$501,A95,'22 2026 PAKETLEME'!$H$2:$H$501))</f>
        <v/>
      </c>
      <c r="H95" s="81">
        <f>IF(A95="","",D95-E95-F95-G95)</f>
        <v/>
      </c>
      <c r="I95" s="82">
        <f>IF(A95="","",SUMIF('23 2026 SEVKİYAT'!$E$2:$E$501,A95,'23 2026 SEVKİYAT'!$H$2:$H$501))</f>
        <v/>
      </c>
      <c r="J95" s="81">
        <f>IF(A95="","",E95+F95-I95)</f>
        <v/>
      </c>
      <c r="K95" s="81">
        <f>IF(A95="","",D95-E95-F95-G95-H95)</f>
        <v/>
      </c>
      <c r="L95" s="58">
        <f>IF(A95="","",IF(ABS(K95)&lt;0.001,"KAPALI","KONTROL"))</f>
        <v/>
      </c>
      <c r="M95" s="56">
        <f>IF(A95="","",IF(J95&lt;0,"SEVK PAKETLEMEYİ AŞIYOR",IF(H95&lt;&gt;0,"PAKETLEME BAKİYESİ VAR","DENKLİK KAPALI")))</f>
        <v/>
      </c>
    </row>
    <row r="96" ht="15" customHeight="1">
      <c r="A96" s="60">
        <f>'21 2026 ÜRETİM'!A96</f>
        <v/>
      </c>
      <c r="B96" s="81">
        <f>IF(A96="","",'21 2026 ÜRETİM'!D96)</f>
        <v/>
      </c>
      <c r="C96" s="81">
        <f>IF(A96="","",'21 2026 ÜRETİM'!E96)</f>
        <v/>
      </c>
      <c r="D96" s="82">
        <f>IF(A96="","",'21 2026 ÜRETİM'!F96)</f>
        <v/>
      </c>
      <c r="E96" s="81">
        <f>IF(A96="","",SUMIF('22 2026 PAKETLEME'!$B$2:$B$501,A96,'22 2026 PAKETLEME'!$E$2:$E$501))</f>
        <v/>
      </c>
      <c r="F96" s="82">
        <f>IF(A96="","",SUMIF('22 2026 PAKETLEME'!$B$2:$B$501,A96,'22 2026 PAKETLEME'!$G$2:$G$501))</f>
        <v/>
      </c>
      <c r="G96" s="81">
        <f>IF(A96="","",SUMIF('22 2026 PAKETLEME'!$B$2:$B$501,A96,'22 2026 PAKETLEME'!$H$2:$H$501))</f>
        <v/>
      </c>
      <c r="H96" s="81">
        <f>IF(A96="","",D96-E96-F96-G96)</f>
        <v/>
      </c>
      <c r="I96" s="82">
        <f>IF(A96="","",SUMIF('23 2026 SEVKİYAT'!$E$2:$E$501,A96,'23 2026 SEVKİYAT'!$H$2:$H$501))</f>
        <v/>
      </c>
      <c r="J96" s="81">
        <f>IF(A96="","",E96+F96-I96)</f>
        <v/>
      </c>
      <c r="K96" s="81">
        <f>IF(A96="","",D96-E96-F96-G96-H96)</f>
        <v/>
      </c>
      <c r="L96" s="58">
        <f>IF(A96="","",IF(ABS(K96)&lt;0.001,"KAPALI","KONTROL"))</f>
        <v/>
      </c>
      <c r="M96" s="56">
        <f>IF(A96="","",IF(J96&lt;0,"SEVK PAKETLEMEYİ AŞIYOR",IF(H96&lt;&gt;0,"PAKETLEME BAKİYESİ VAR","DENKLİK KAPALI")))</f>
        <v/>
      </c>
    </row>
    <row r="97" ht="15" customHeight="1">
      <c r="A97" s="60">
        <f>'21 2026 ÜRETİM'!A97</f>
        <v/>
      </c>
      <c r="B97" s="81">
        <f>IF(A97="","",'21 2026 ÜRETİM'!D97)</f>
        <v/>
      </c>
      <c r="C97" s="81">
        <f>IF(A97="","",'21 2026 ÜRETİM'!E97)</f>
        <v/>
      </c>
      <c r="D97" s="82">
        <f>IF(A97="","",'21 2026 ÜRETİM'!F97)</f>
        <v/>
      </c>
      <c r="E97" s="81">
        <f>IF(A97="","",SUMIF('22 2026 PAKETLEME'!$B$2:$B$501,A97,'22 2026 PAKETLEME'!$E$2:$E$501))</f>
        <v/>
      </c>
      <c r="F97" s="82">
        <f>IF(A97="","",SUMIF('22 2026 PAKETLEME'!$B$2:$B$501,A97,'22 2026 PAKETLEME'!$G$2:$G$501))</f>
        <v/>
      </c>
      <c r="G97" s="81">
        <f>IF(A97="","",SUMIF('22 2026 PAKETLEME'!$B$2:$B$501,A97,'22 2026 PAKETLEME'!$H$2:$H$501))</f>
        <v/>
      </c>
      <c r="H97" s="81">
        <f>IF(A97="","",D97-E97-F97-G97)</f>
        <v/>
      </c>
      <c r="I97" s="82">
        <f>IF(A97="","",SUMIF('23 2026 SEVKİYAT'!$E$2:$E$501,A97,'23 2026 SEVKİYAT'!$H$2:$H$501))</f>
        <v/>
      </c>
      <c r="J97" s="81">
        <f>IF(A97="","",E97+F97-I97)</f>
        <v/>
      </c>
      <c r="K97" s="81">
        <f>IF(A97="","",D97-E97-F97-G97-H97)</f>
        <v/>
      </c>
      <c r="L97" s="58">
        <f>IF(A97="","",IF(ABS(K97)&lt;0.001,"KAPALI","KONTROL"))</f>
        <v/>
      </c>
      <c r="M97" s="56">
        <f>IF(A97="","",IF(J97&lt;0,"SEVK PAKETLEMEYİ AŞIYOR",IF(H97&lt;&gt;0,"PAKETLEME BAKİYESİ VAR","DENKLİK KAPALI")))</f>
        <v/>
      </c>
    </row>
    <row r="98" ht="15" customHeight="1">
      <c r="A98" s="60">
        <f>'21 2026 ÜRETİM'!A98</f>
        <v/>
      </c>
      <c r="B98" s="81">
        <f>IF(A98="","",'21 2026 ÜRETİM'!D98)</f>
        <v/>
      </c>
      <c r="C98" s="81">
        <f>IF(A98="","",'21 2026 ÜRETİM'!E98)</f>
        <v/>
      </c>
      <c r="D98" s="82">
        <f>IF(A98="","",'21 2026 ÜRETİM'!F98)</f>
        <v/>
      </c>
      <c r="E98" s="81">
        <f>IF(A98="","",SUMIF('22 2026 PAKETLEME'!$B$2:$B$501,A98,'22 2026 PAKETLEME'!$E$2:$E$501))</f>
        <v/>
      </c>
      <c r="F98" s="82">
        <f>IF(A98="","",SUMIF('22 2026 PAKETLEME'!$B$2:$B$501,A98,'22 2026 PAKETLEME'!$G$2:$G$501))</f>
        <v/>
      </c>
      <c r="G98" s="81">
        <f>IF(A98="","",SUMIF('22 2026 PAKETLEME'!$B$2:$B$501,A98,'22 2026 PAKETLEME'!$H$2:$H$501))</f>
        <v/>
      </c>
      <c r="H98" s="81">
        <f>IF(A98="","",D98-E98-F98-G98)</f>
        <v/>
      </c>
      <c r="I98" s="82">
        <f>IF(A98="","",SUMIF('23 2026 SEVKİYAT'!$E$2:$E$501,A98,'23 2026 SEVKİYAT'!$H$2:$H$501))</f>
        <v/>
      </c>
      <c r="J98" s="81">
        <f>IF(A98="","",E98+F98-I98)</f>
        <v/>
      </c>
      <c r="K98" s="81">
        <f>IF(A98="","",D98-E98-F98-G98-H98)</f>
        <v/>
      </c>
      <c r="L98" s="58">
        <f>IF(A98="","",IF(ABS(K98)&lt;0.001,"KAPALI","KONTROL"))</f>
        <v/>
      </c>
      <c r="M98" s="56">
        <f>IF(A98="","",IF(J98&lt;0,"SEVK PAKETLEMEYİ AŞIYOR",IF(H98&lt;&gt;0,"PAKETLEME BAKİYESİ VAR","DENKLİK KAPALI")))</f>
        <v/>
      </c>
    </row>
    <row r="99" ht="15" customHeight="1">
      <c r="A99" s="60">
        <f>'21 2026 ÜRETİM'!A99</f>
        <v/>
      </c>
      <c r="B99" s="81">
        <f>IF(A99="","",'21 2026 ÜRETİM'!D99)</f>
        <v/>
      </c>
      <c r="C99" s="81">
        <f>IF(A99="","",'21 2026 ÜRETİM'!E99)</f>
        <v/>
      </c>
      <c r="D99" s="82">
        <f>IF(A99="","",'21 2026 ÜRETİM'!F99)</f>
        <v/>
      </c>
      <c r="E99" s="81">
        <f>IF(A99="","",SUMIF('22 2026 PAKETLEME'!$B$2:$B$501,A99,'22 2026 PAKETLEME'!$E$2:$E$501))</f>
        <v/>
      </c>
      <c r="F99" s="82">
        <f>IF(A99="","",SUMIF('22 2026 PAKETLEME'!$B$2:$B$501,A99,'22 2026 PAKETLEME'!$G$2:$G$501))</f>
        <v/>
      </c>
      <c r="G99" s="81">
        <f>IF(A99="","",SUMIF('22 2026 PAKETLEME'!$B$2:$B$501,A99,'22 2026 PAKETLEME'!$H$2:$H$501))</f>
        <v/>
      </c>
      <c r="H99" s="81">
        <f>IF(A99="","",D99-E99-F99-G99)</f>
        <v/>
      </c>
      <c r="I99" s="82">
        <f>IF(A99="","",SUMIF('23 2026 SEVKİYAT'!$E$2:$E$501,A99,'23 2026 SEVKİYAT'!$H$2:$H$501))</f>
        <v/>
      </c>
      <c r="J99" s="81">
        <f>IF(A99="","",E99+F99-I99)</f>
        <v/>
      </c>
      <c r="K99" s="81">
        <f>IF(A99="","",D99-E99-F99-G99-H99)</f>
        <v/>
      </c>
      <c r="L99" s="58">
        <f>IF(A99="","",IF(ABS(K99)&lt;0.001,"KAPALI","KONTROL"))</f>
        <v/>
      </c>
      <c r="M99" s="56">
        <f>IF(A99="","",IF(J99&lt;0,"SEVK PAKETLEMEYİ AŞIYOR",IF(H99&lt;&gt;0,"PAKETLEME BAKİYESİ VAR","DENKLİK KAPALI")))</f>
        <v/>
      </c>
    </row>
    <row r="100" ht="15" customHeight="1">
      <c r="A100" s="60">
        <f>'21 2026 ÜRETİM'!A100</f>
        <v/>
      </c>
      <c r="B100" s="81">
        <f>IF(A100="","",'21 2026 ÜRETİM'!D100)</f>
        <v/>
      </c>
      <c r="C100" s="81">
        <f>IF(A100="","",'21 2026 ÜRETİM'!E100)</f>
        <v/>
      </c>
      <c r="D100" s="82">
        <f>IF(A100="","",'21 2026 ÜRETİM'!F100)</f>
        <v/>
      </c>
      <c r="E100" s="81">
        <f>IF(A100="","",SUMIF('22 2026 PAKETLEME'!$B$2:$B$501,A100,'22 2026 PAKETLEME'!$E$2:$E$501))</f>
        <v/>
      </c>
      <c r="F100" s="82">
        <f>IF(A100="","",SUMIF('22 2026 PAKETLEME'!$B$2:$B$501,A100,'22 2026 PAKETLEME'!$G$2:$G$501))</f>
        <v/>
      </c>
      <c r="G100" s="81">
        <f>IF(A100="","",SUMIF('22 2026 PAKETLEME'!$B$2:$B$501,A100,'22 2026 PAKETLEME'!$H$2:$H$501))</f>
        <v/>
      </c>
      <c r="H100" s="81">
        <f>IF(A100="","",D100-E100-F100-G100)</f>
        <v/>
      </c>
      <c r="I100" s="82">
        <f>IF(A100="","",SUMIF('23 2026 SEVKİYAT'!$E$2:$E$501,A100,'23 2026 SEVKİYAT'!$H$2:$H$501))</f>
        <v/>
      </c>
      <c r="J100" s="81">
        <f>IF(A100="","",E100+F100-I100)</f>
        <v/>
      </c>
      <c r="K100" s="81">
        <f>IF(A100="","",D100-E100-F100-G100-H100)</f>
        <v/>
      </c>
      <c r="L100" s="58">
        <f>IF(A100="","",IF(ABS(K100)&lt;0.001,"KAPALI","KONTROL"))</f>
        <v/>
      </c>
      <c r="M100" s="56">
        <f>IF(A100="","",IF(J100&lt;0,"SEVK PAKETLEMEYİ AŞIYOR",IF(H100&lt;&gt;0,"PAKETLEME BAKİYESİ VAR","DENKLİK KAPALI")))</f>
        <v/>
      </c>
    </row>
    <row r="101" ht="15" customHeight="1">
      <c r="A101" s="60">
        <f>'21 2026 ÜRETİM'!A101</f>
        <v/>
      </c>
      <c r="B101" s="81">
        <f>IF(A101="","",'21 2026 ÜRETİM'!D101)</f>
        <v/>
      </c>
      <c r="C101" s="81">
        <f>IF(A101="","",'21 2026 ÜRETİM'!E101)</f>
        <v/>
      </c>
      <c r="D101" s="82">
        <f>IF(A101="","",'21 2026 ÜRETİM'!F101)</f>
        <v/>
      </c>
      <c r="E101" s="81">
        <f>IF(A101="","",SUMIF('22 2026 PAKETLEME'!$B$2:$B$501,A101,'22 2026 PAKETLEME'!$E$2:$E$501))</f>
        <v/>
      </c>
      <c r="F101" s="82">
        <f>IF(A101="","",SUMIF('22 2026 PAKETLEME'!$B$2:$B$501,A101,'22 2026 PAKETLEME'!$G$2:$G$501))</f>
        <v/>
      </c>
      <c r="G101" s="81">
        <f>IF(A101="","",SUMIF('22 2026 PAKETLEME'!$B$2:$B$501,A101,'22 2026 PAKETLEME'!$H$2:$H$501))</f>
        <v/>
      </c>
      <c r="H101" s="81">
        <f>IF(A101="","",D101-E101-F101-G101)</f>
        <v/>
      </c>
      <c r="I101" s="82">
        <f>IF(A101="","",SUMIF('23 2026 SEVKİYAT'!$E$2:$E$501,A101,'23 2026 SEVKİYAT'!$H$2:$H$501))</f>
        <v/>
      </c>
      <c r="J101" s="81">
        <f>IF(A101="","",E101+F101-I101)</f>
        <v/>
      </c>
      <c r="K101" s="81">
        <f>IF(A101="","",D101-E101-F101-G101-H101)</f>
        <v/>
      </c>
      <c r="L101" s="58">
        <f>IF(A101="","",IF(ABS(K101)&lt;0.001,"KAPALI","KONTROL"))</f>
        <v/>
      </c>
      <c r="M101" s="56">
        <f>IF(A101="","",IF(J101&lt;0,"SEVK PAKETLEMEYİ AŞIYOR",IF(H101&lt;&gt;0,"PAKETLEME BAKİYESİ VAR","DENKLİK KAPALI")))</f>
        <v/>
      </c>
    </row>
    <row r="102" ht="15" customHeight="1">
      <c r="A102" s="60">
        <f>'21 2026 ÜRETİM'!A102</f>
        <v/>
      </c>
      <c r="B102" s="81">
        <f>IF(A102="","",'21 2026 ÜRETİM'!D102)</f>
        <v/>
      </c>
      <c r="C102" s="81">
        <f>IF(A102="","",'21 2026 ÜRETİM'!E102)</f>
        <v/>
      </c>
      <c r="D102" s="82">
        <f>IF(A102="","",'21 2026 ÜRETİM'!F102)</f>
        <v/>
      </c>
      <c r="E102" s="81">
        <f>IF(A102="","",SUMIF('22 2026 PAKETLEME'!$B$2:$B$501,A102,'22 2026 PAKETLEME'!$E$2:$E$501))</f>
        <v/>
      </c>
      <c r="F102" s="82">
        <f>IF(A102="","",SUMIF('22 2026 PAKETLEME'!$B$2:$B$501,A102,'22 2026 PAKETLEME'!$G$2:$G$501))</f>
        <v/>
      </c>
      <c r="G102" s="81">
        <f>IF(A102="","",SUMIF('22 2026 PAKETLEME'!$B$2:$B$501,A102,'22 2026 PAKETLEME'!$H$2:$H$501))</f>
        <v/>
      </c>
      <c r="H102" s="81">
        <f>IF(A102="","",D102-E102-F102-G102)</f>
        <v/>
      </c>
      <c r="I102" s="82">
        <f>IF(A102="","",SUMIF('23 2026 SEVKİYAT'!$E$2:$E$501,A102,'23 2026 SEVKİYAT'!$H$2:$H$501))</f>
        <v/>
      </c>
      <c r="J102" s="81">
        <f>IF(A102="","",E102+F102-I102)</f>
        <v/>
      </c>
      <c r="K102" s="81">
        <f>IF(A102="","",D102-E102-F102-G102-H102)</f>
        <v/>
      </c>
      <c r="L102" s="58">
        <f>IF(A102="","",IF(ABS(K102)&lt;0.001,"KAPALI","KONTROL"))</f>
        <v/>
      </c>
      <c r="M102" s="56">
        <f>IF(A102="","",IF(J102&lt;0,"SEVK PAKETLEMEYİ AŞIYOR",IF(H102&lt;&gt;0,"PAKETLEME BAKİYESİ VAR","DENKLİK KAPALI")))</f>
        <v/>
      </c>
    </row>
    <row r="103" ht="15" customHeight="1">
      <c r="A103" s="60">
        <f>'21 2026 ÜRETİM'!A103</f>
        <v/>
      </c>
      <c r="B103" s="81">
        <f>IF(A103="","",'21 2026 ÜRETİM'!D103)</f>
        <v/>
      </c>
      <c r="C103" s="81">
        <f>IF(A103="","",'21 2026 ÜRETİM'!E103)</f>
        <v/>
      </c>
      <c r="D103" s="82">
        <f>IF(A103="","",'21 2026 ÜRETİM'!F103)</f>
        <v/>
      </c>
      <c r="E103" s="81">
        <f>IF(A103="","",SUMIF('22 2026 PAKETLEME'!$B$2:$B$501,A103,'22 2026 PAKETLEME'!$E$2:$E$501))</f>
        <v/>
      </c>
      <c r="F103" s="82">
        <f>IF(A103="","",SUMIF('22 2026 PAKETLEME'!$B$2:$B$501,A103,'22 2026 PAKETLEME'!$G$2:$G$501))</f>
        <v/>
      </c>
      <c r="G103" s="81">
        <f>IF(A103="","",SUMIF('22 2026 PAKETLEME'!$B$2:$B$501,A103,'22 2026 PAKETLEME'!$H$2:$H$501))</f>
        <v/>
      </c>
      <c r="H103" s="81">
        <f>IF(A103="","",D103-E103-F103-G103)</f>
        <v/>
      </c>
      <c r="I103" s="82">
        <f>IF(A103="","",SUMIF('23 2026 SEVKİYAT'!$E$2:$E$501,A103,'23 2026 SEVKİYAT'!$H$2:$H$501))</f>
        <v/>
      </c>
      <c r="J103" s="81">
        <f>IF(A103="","",E103+F103-I103)</f>
        <v/>
      </c>
      <c r="K103" s="81">
        <f>IF(A103="","",D103-E103-F103-G103-H103)</f>
        <v/>
      </c>
      <c r="L103" s="58">
        <f>IF(A103="","",IF(ABS(K103)&lt;0.001,"KAPALI","KONTROL"))</f>
        <v/>
      </c>
      <c r="M103" s="56">
        <f>IF(A103="","",IF(J103&lt;0,"SEVK PAKETLEMEYİ AŞIYOR",IF(H103&lt;&gt;0,"PAKETLEME BAKİYESİ VAR","DENKLİK KAPALI")))</f>
        <v/>
      </c>
    </row>
    <row r="104" ht="15" customHeight="1">
      <c r="A104" s="60">
        <f>'21 2026 ÜRETİM'!A104</f>
        <v/>
      </c>
      <c r="B104" s="81">
        <f>IF(A104="","",'21 2026 ÜRETİM'!D104)</f>
        <v/>
      </c>
      <c r="C104" s="81">
        <f>IF(A104="","",'21 2026 ÜRETİM'!E104)</f>
        <v/>
      </c>
      <c r="D104" s="82">
        <f>IF(A104="","",'21 2026 ÜRETİM'!F104)</f>
        <v/>
      </c>
      <c r="E104" s="81">
        <f>IF(A104="","",SUMIF('22 2026 PAKETLEME'!$B$2:$B$501,A104,'22 2026 PAKETLEME'!$E$2:$E$501))</f>
        <v/>
      </c>
      <c r="F104" s="82">
        <f>IF(A104="","",SUMIF('22 2026 PAKETLEME'!$B$2:$B$501,A104,'22 2026 PAKETLEME'!$G$2:$G$501))</f>
        <v/>
      </c>
      <c r="G104" s="81">
        <f>IF(A104="","",SUMIF('22 2026 PAKETLEME'!$B$2:$B$501,A104,'22 2026 PAKETLEME'!$H$2:$H$501))</f>
        <v/>
      </c>
      <c r="H104" s="81">
        <f>IF(A104="","",D104-E104-F104-G104)</f>
        <v/>
      </c>
      <c r="I104" s="82">
        <f>IF(A104="","",SUMIF('23 2026 SEVKİYAT'!$E$2:$E$501,A104,'23 2026 SEVKİYAT'!$H$2:$H$501))</f>
        <v/>
      </c>
      <c r="J104" s="81">
        <f>IF(A104="","",E104+F104-I104)</f>
        <v/>
      </c>
      <c r="K104" s="81">
        <f>IF(A104="","",D104-E104-F104-G104-H104)</f>
        <v/>
      </c>
      <c r="L104" s="58">
        <f>IF(A104="","",IF(ABS(K104)&lt;0.001,"KAPALI","KONTROL"))</f>
        <v/>
      </c>
      <c r="M104" s="56">
        <f>IF(A104="","",IF(J104&lt;0,"SEVK PAKETLEMEYİ AŞIYOR",IF(H104&lt;&gt;0,"PAKETLEME BAKİYESİ VAR","DENKLİK KAPALI")))</f>
        <v/>
      </c>
    </row>
    <row r="105" ht="15" customHeight="1">
      <c r="A105" s="60">
        <f>'21 2026 ÜRETİM'!A105</f>
        <v/>
      </c>
      <c r="B105" s="81">
        <f>IF(A105="","",'21 2026 ÜRETİM'!D105)</f>
        <v/>
      </c>
      <c r="C105" s="81">
        <f>IF(A105="","",'21 2026 ÜRETİM'!E105)</f>
        <v/>
      </c>
      <c r="D105" s="82">
        <f>IF(A105="","",'21 2026 ÜRETİM'!F105)</f>
        <v/>
      </c>
      <c r="E105" s="81">
        <f>IF(A105="","",SUMIF('22 2026 PAKETLEME'!$B$2:$B$501,A105,'22 2026 PAKETLEME'!$E$2:$E$501))</f>
        <v/>
      </c>
      <c r="F105" s="82">
        <f>IF(A105="","",SUMIF('22 2026 PAKETLEME'!$B$2:$B$501,A105,'22 2026 PAKETLEME'!$G$2:$G$501))</f>
        <v/>
      </c>
      <c r="G105" s="81">
        <f>IF(A105="","",SUMIF('22 2026 PAKETLEME'!$B$2:$B$501,A105,'22 2026 PAKETLEME'!$H$2:$H$501))</f>
        <v/>
      </c>
      <c r="H105" s="81">
        <f>IF(A105="","",D105-E105-F105-G105)</f>
        <v/>
      </c>
      <c r="I105" s="82">
        <f>IF(A105="","",SUMIF('23 2026 SEVKİYAT'!$E$2:$E$501,A105,'23 2026 SEVKİYAT'!$H$2:$H$501))</f>
        <v/>
      </c>
      <c r="J105" s="81">
        <f>IF(A105="","",E105+F105-I105)</f>
        <v/>
      </c>
      <c r="K105" s="81">
        <f>IF(A105="","",D105-E105-F105-G105-H105)</f>
        <v/>
      </c>
      <c r="L105" s="58">
        <f>IF(A105="","",IF(ABS(K105)&lt;0.001,"KAPALI","KONTROL"))</f>
        <v/>
      </c>
      <c r="M105" s="56">
        <f>IF(A105="","",IF(J105&lt;0,"SEVK PAKETLEMEYİ AŞIYOR",IF(H105&lt;&gt;0,"PAKETLEME BAKİYESİ VAR","DENKLİK KAPALI")))</f>
        <v/>
      </c>
    </row>
    <row r="106" ht="15" customHeight="1">
      <c r="A106" s="60">
        <f>'21 2026 ÜRETİM'!A106</f>
        <v/>
      </c>
      <c r="B106" s="81">
        <f>IF(A106="","",'21 2026 ÜRETİM'!D106)</f>
        <v/>
      </c>
      <c r="C106" s="81">
        <f>IF(A106="","",'21 2026 ÜRETİM'!E106)</f>
        <v/>
      </c>
      <c r="D106" s="82">
        <f>IF(A106="","",'21 2026 ÜRETİM'!F106)</f>
        <v/>
      </c>
      <c r="E106" s="81">
        <f>IF(A106="","",SUMIF('22 2026 PAKETLEME'!$B$2:$B$501,A106,'22 2026 PAKETLEME'!$E$2:$E$501))</f>
        <v/>
      </c>
      <c r="F106" s="82">
        <f>IF(A106="","",SUMIF('22 2026 PAKETLEME'!$B$2:$B$501,A106,'22 2026 PAKETLEME'!$G$2:$G$501))</f>
        <v/>
      </c>
      <c r="G106" s="81">
        <f>IF(A106="","",SUMIF('22 2026 PAKETLEME'!$B$2:$B$501,A106,'22 2026 PAKETLEME'!$H$2:$H$501))</f>
        <v/>
      </c>
      <c r="H106" s="81">
        <f>IF(A106="","",D106-E106-F106-G106)</f>
        <v/>
      </c>
      <c r="I106" s="82">
        <f>IF(A106="","",SUMIF('23 2026 SEVKİYAT'!$E$2:$E$501,A106,'23 2026 SEVKİYAT'!$H$2:$H$501))</f>
        <v/>
      </c>
      <c r="J106" s="81">
        <f>IF(A106="","",E106+F106-I106)</f>
        <v/>
      </c>
      <c r="K106" s="81">
        <f>IF(A106="","",D106-E106-F106-G106-H106)</f>
        <v/>
      </c>
      <c r="L106" s="58">
        <f>IF(A106="","",IF(ABS(K106)&lt;0.001,"KAPALI","KONTROL"))</f>
        <v/>
      </c>
      <c r="M106" s="56">
        <f>IF(A106="","",IF(J106&lt;0,"SEVK PAKETLEMEYİ AŞIYOR",IF(H106&lt;&gt;0,"PAKETLEME BAKİYESİ VAR","DENKLİK KAPALI")))</f>
        <v/>
      </c>
    </row>
    <row r="107" ht="15" customHeight="1">
      <c r="A107" s="60">
        <f>'21 2026 ÜRETİM'!A107</f>
        <v/>
      </c>
      <c r="B107" s="81">
        <f>IF(A107="","",'21 2026 ÜRETİM'!D107)</f>
        <v/>
      </c>
      <c r="C107" s="81">
        <f>IF(A107="","",'21 2026 ÜRETİM'!E107)</f>
        <v/>
      </c>
      <c r="D107" s="82">
        <f>IF(A107="","",'21 2026 ÜRETİM'!F107)</f>
        <v/>
      </c>
      <c r="E107" s="81">
        <f>IF(A107="","",SUMIF('22 2026 PAKETLEME'!$B$2:$B$501,A107,'22 2026 PAKETLEME'!$E$2:$E$501))</f>
        <v/>
      </c>
      <c r="F107" s="82">
        <f>IF(A107="","",SUMIF('22 2026 PAKETLEME'!$B$2:$B$501,A107,'22 2026 PAKETLEME'!$G$2:$G$501))</f>
        <v/>
      </c>
      <c r="G107" s="81">
        <f>IF(A107="","",SUMIF('22 2026 PAKETLEME'!$B$2:$B$501,A107,'22 2026 PAKETLEME'!$H$2:$H$501))</f>
        <v/>
      </c>
      <c r="H107" s="81">
        <f>IF(A107="","",D107-E107-F107-G107)</f>
        <v/>
      </c>
      <c r="I107" s="82">
        <f>IF(A107="","",SUMIF('23 2026 SEVKİYAT'!$E$2:$E$501,A107,'23 2026 SEVKİYAT'!$H$2:$H$501))</f>
        <v/>
      </c>
      <c r="J107" s="81">
        <f>IF(A107="","",E107+F107-I107)</f>
        <v/>
      </c>
      <c r="K107" s="81">
        <f>IF(A107="","",D107-E107-F107-G107-H107)</f>
        <v/>
      </c>
      <c r="L107" s="58">
        <f>IF(A107="","",IF(ABS(K107)&lt;0.001,"KAPALI","KONTROL"))</f>
        <v/>
      </c>
      <c r="M107" s="56">
        <f>IF(A107="","",IF(J107&lt;0,"SEVK PAKETLEMEYİ AŞIYOR",IF(H107&lt;&gt;0,"PAKETLEME BAKİYESİ VAR","DENKLİK KAPALI")))</f>
        <v/>
      </c>
    </row>
    <row r="108" ht="15" customHeight="1">
      <c r="A108" s="60">
        <f>'21 2026 ÜRETİM'!A108</f>
        <v/>
      </c>
      <c r="B108" s="81">
        <f>IF(A108="","",'21 2026 ÜRETİM'!D108)</f>
        <v/>
      </c>
      <c r="C108" s="81">
        <f>IF(A108="","",'21 2026 ÜRETİM'!E108)</f>
        <v/>
      </c>
      <c r="D108" s="82">
        <f>IF(A108="","",'21 2026 ÜRETİM'!F108)</f>
        <v/>
      </c>
      <c r="E108" s="81">
        <f>IF(A108="","",SUMIF('22 2026 PAKETLEME'!$B$2:$B$501,A108,'22 2026 PAKETLEME'!$E$2:$E$501))</f>
        <v/>
      </c>
      <c r="F108" s="82">
        <f>IF(A108="","",SUMIF('22 2026 PAKETLEME'!$B$2:$B$501,A108,'22 2026 PAKETLEME'!$G$2:$G$501))</f>
        <v/>
      </c>
      <c r="G108" s="81">
        <f>IF(A108="","",SUMIF('22 2026 PAKETLEME'!$B$2:$B$501,A108,'22 2026 PAKETLEME'!$H$2:$H$501))</f>
        <v/>
      </c>
      <c r="H108" s="81">
        <f>IF(A108="","",D108-E108-F108-G108)</f>
        <v/>
      </c>
      <c r="I108" s="82">
        <f>IF(A108="","",SUMIF('23 2026 SEVKİYAT'!$E$2:$E$501,A108,'23 2026 SEVKİYAT'!$H$2:$H$501))</f>
        <v/>
      </c>
      <c r="J108" s="81">
        <f>IF(A108="","",E108+F108-I108)</f>
        <v/>
      </c>
      <c r="K108" s="81">
        <f>IF(A108="","",D108-E108-F108-G108-H108)</f>
        <v/>
      </c>
      <c r="L108" s="58">
        <f>IF(A108="","",IF(ABS(K108)&lt;0.001,"KAPALI","KONTROL"))</f>
        <v/>
      </c>
      <c r="M108" s="56">
        <f>IF(A108="","",IF(J108&lt;0,"SEVK PAKETLEMEYİ AŞIYOR",IF(H108&lt;&gt;0,"PAKETLEME BAKİYESİ VAR","DENKLİK KAPALI")))</f>
        <v/>
      </c>
    </row>
    <row r="109" ht="15" customHeight="1">
      <c r="A109" s="60">
        <f>'21 2026 ÜRETİM'!A109</f>
        <v/>
      </c>
      <c r="B109" s="81">
        <f>IF(A109="","",'21 2026 ÜRETİM'!D109)</f>
        <v/>
      </c>
      <c r="C109" s="81">
        <f>IF(A109="","",'21 2026 ÜRETİM'!E109)</f>
        <v/>
      </c>
      <c r="D109" s="82">
        <f>IF(A109="","",'21 2026 ÜRETİM'!F109)</f>
        <v/>
      </c>
      <c r="E109" s="81">
        <f>IF(A109="","",SUMIF('22 2026 PAKETLEME'!$B$2:$B$501,A109,'22 2026 PAKETLEME'!$E$2:$E$501))</f>
        <v/>
      </c>
      <c r="F109" s="82">
        <f>IF(A109="","",SUMIF('22 2026 PAKETLEME'!$B$2:$B$501,A109,'22 2026 PAKETLEME'!$G$2:$G$501))</f>
        <v/>
      </c>
      <c r="G109" s="81">
        <f>IF(A109="","",SUMIF('22 2026 PAKETLEME'!$B$2:$B$501,A109,'22 2026 PAKETLEME'!$H$2:$H$501))</f>
        <v/>
      </c>
      <c r="H109" s="81">
        <f>IF(A109="","",D109-E109-F109-G109)</f>
        <v/>
      </c>
      <c r="I109" s="82">
        <f>IF(A109="","",SUMIF('23 2026 SEVKİYAT'!$E$2:$E$501,A109,'23 2026 SEVKİYAT'!$H$2:$H$501))</f>
        <v/>
      </c>
      <c r="J109" s="81">
        <f>IF(A109="","",E109+F109-I109)</f>
        <v/>
      </c>
      <c r="K109" s="81">
        <f>IF(A109="","",D109-E109-F109-G109-H109)</f>
        <v/>
      </c>
      <c r="L109" s="58">
        <f>IF(A109="","",IF(ABS(K109)&lt;0.001,"KAPALI","KONTROL"))</f>
        <v/>
      </c>
      <c r="M109" s="56">
        <f>IF(A109="","",IF(J109&lt;0,"SEVK PAKETLEMEYİ AŞIYOR",IF(H109&lt;&gt;0,"PAKETLEME BAKİYESİ VAR","DENKLİK KAPALI")))</f>
        <v/>
      </c>
    </row>
    <row r="110" ht="15" customHeight="1">
      <c r="A110" s="60">
        <f>'21 2026 ÜRETİM'!A110</f>
        <v/>
      </c>
      <c r="B110" s="81">
        <f>IF(A110="","",'21 2026 ÜRETİM'!D110)</f>
        <v/>
      </c>
      <c r="C110" s="81">
        <f>IF(A110="","",'21 2026 ÜRETİM'!E110)</f>
        <v/>
      </c>
      <c r="D110" s="82">
        <f>IF(A110="","",'21 2026 ÜRETİM'!F110)</f>
        <v/>
      </c>
      <c r="E110" s="81">
        <f>IF(A110="","",SUMIF('22 2026 PAKETLEME'!$B$2:$B$501,A110,'22 2026 PAKETLEME'!$E$2:$E$501))</f>
        <v/>
      </c>
      <c r="F110" s="82">
        <f>IF(A110="","",SUMIF('22 2026 PAKETLEME'!$B$2:$B$501,A110,'22 2026 PAKETLEME'!$G$2:$G$501))</f>
        <v/>
      </c>
      <c r="G110" s="81">
        <f>IF(A110="","",SUMIF('22 2026 PAKETLEME'!$B$2:$B$501,A110,'22 2026 PAKETLEME'!$H$2:$H$501))</f>
        <v/>
      </c>
      <c r="H110" s="81">
        <f>IF(A110="","",D110-E110-F110-G110)</f>
        <v/>
      </c>
      <c r="I110" s="82">
        <f>IF(A110="","",SUMIF('23 2026 SEVKİYAT'!$E$2:$E$501,A110,'23 2026 SEVKİYAT'!$H$2:$H$501))</f>
        <v/>
      </c>
      <c r="J110" s="81">
        <f>IF(A110="","",E110+F110-I110)</f>
        <v/>
      </c>
      <c r="K110" s="81">
        <f>IF(A110="","",D110-E110-F110-G110-H110)</f>
        <v/>
      </c>
      <c r="L110" s="58">
        <f>IF(A110="","",IF(ABS(K110)&lt;0.001,"KAPALI","KONTROL"))</f>
        <v/>
      </c>
      <c r="M110" s="56">
        <f>IF(A110="","",IF(J110&lt;0,"SEVK PAKETLEMEYİ AŞIYOR",IF(H110&lt;&gt;0,"PAKETLEME BAKİYESİ VAR","DENKLİK KAPALI")))</f>
        <v/>
      </c>
    </row>
    <row r="111" ht="15" customHeight="1">
      <c r="A111" s="60">
        <f>'21 2026 ÜRETİM'!A111</f>
        <v/>
      </c>
      <c r="B111" s="81">
        <f>IF(A111="","",'21 2026 ÜRETİM'!D111)</f>
        <v/>
      </c>
      <c r="C111" s="81">
        <f>IF(A111="","",'21 2026 ÜRETİM'!E111)</f>
        <v/>
      </c>
      <c r="D111" s="82">
        <f>IF(A111="","",'21 2026 ÜRETİM'!F111)</f>
        <v/>
      </c>
      <c r="E111" s="81">
        <f>IF(A111="","",SUMIF('22 2026 PAKETLEME'!$B$2:$B$501,A111,'22 2026 PAKETLEME'!$E$2:$E$501))</f>
        <v/>
      </c>
      <c r="F111" s="82">
        <f>IF(A111="","",SUMIF('22 2026 PAKETLEME'!$B$2:$B$501,A111,'22 2026 PAKETLEME'!$G$2:$G$501))</f>
        <v/>
      </c>
      <c r="G111" s="81">
        <f>IF(A111="","",SUMIF('22 2026 PAKETLEME'!$B$2:$B$501,A111,'22 2026 PAKETLEME'!$H$2:$H$501))</f>
        <v/>
      </c>
      <c r="H111" s="81">
        <f>IF(A111="","",D111-E111-F111-G111)</f>
        <v/>
      </c>
      <c r="I111" s="82">
        <f>IF(A111="","",SUMIF('23 2026 SEVKİYAT'!$E$2:$E$501,A111,'23 2026 SEVKİYAT'!$H$2:$H$501))</f>
        <v/>
      </c>
      <c r="J111" s="81">
        <f>IF(A111="","",E111+F111-I111)</f>
        <v/>
      </c>
      <c r="K111" s="81">
        <f>IF(A111="","",D111-E111-F111-G111-H111)</f>
        <v/>
      </c>
      <c r="L111" s="58">
        <f>IF(A111="","",IF(ABS(K111)&lt;0.001,"KAPALI","KONTROL"))</f>
        <v/>
      </c>
      <c r="M111" s="56">
        <f>IF(A111="","",IF(J111&lt;0,"SEVK PAKETLEMEYİ AŞIYOR",IF(H111&lt;&gt;0,"PAKETLEME BAKİYESİ VAR","DENKLİK KAPALI")))</f>
        <v/>
      </c>
    </row>
    <row r="112" ht="15" customHeight="1">
      <c r="A112" s="60">
        <f>'21 2026 ÜRETİM'!A112</f>
        <v/>
      </c>
      <c r="B112" s="81">
        <f>IF(A112="","",'21 2026 ÜRETİM'!D112)</f>
        <v/>
      </c>
      <c r="C112" s="81">
        <f>IF(A112="","",'21 2026 ÜRETİM'!E112)</f>
        <v/>
      </c>
      <c r="D112" s="82">
        <f>IF(A112="","",'21 2026 ÜRETİM'!F112)</f>
        <v/>
      </c>
      <c r="E112" s="81">
        <f>IF(A112="","",SUMIF('22 2026 PAKETLEME'!$B$2:$B$501,A112,'22 2026 PAKETLEME'!$E$2:$E$501))</f>
        <v/>
      </c>
      <c r="F112" s="82">
        <f>IF(A112="","",SUMIF('22 2026 PAKETLEME'!$B$2:$B$501,A112,'22 2026 PAKETLEME'!$G$2:$G$501))</f>
        <v/>
      </c>
      <c r="G112" s="81">
        <f>IF(A112="","",SUMIF('22 2026 PAKETLEME'!$B$2:$B$501,A112,'22 2026 PAKETLEME'!$H$2:$H$501))</f>
        <v/>
      </c>
      <c r="H112" s="81">
        <f>IF(A112="","",D112-E112-F112-G112)</f>
        <v/>
      </c>
      <c r="I112" s="82">
        <f>IF(A112="","",SUMIF('23 2026 SEVKİYAT'!$E$2:$E$501,A112,'23 2026 SEVKİYAT'!$H$2:$H$501))</f>
        <v/>
      </c>
      <c r="J112" s="81">
        <f>IF(A112="","",E112+F112-I112)</f>
        <v/>
      </c>
      <c r="K112" s="81">
        <f>IF(A112="","",D112-E112-F112-G112-H112)</f>
        <v/>
      </c>
      <c r="L112" s="58">
        <f>IF(A112="","",IF(ABS(K112)&lt;0.001,"KAPALI","KONTROL"))</f>
        <v/>
      </c>
      <c r="M112" s="56">
        <f>IF(A112="","",IF(J112&lt;0,"SEVK PAKETLEMEYİ AŞIYOR",IF(H112&lt;&gt;0,"PAKETLEME BAKİYESİ VAR","DENKLİK KAPALI")))</f>
        <v/>
      </c>
    </row>
    <row r="113" ht="15" customHeight="1">
      <c r="A113" s="60">
        <f>'21 2026 ÜRETİM'!A113</f>
        <v/>
      </c>
      <c r="B113" s="81">
        <f>IF(A113="","",'21 2026 ÜRETİM'!D113)</f>
        <v/>
      </c>
      <c r="C113" s="81">
        <f>IF(A113="","",'21 2026 ÜRETİM'!E113)</f>
        <v/>
      </c>
      <c r="D113" s="82">
        <f>IF(A113="","",'21 2026 ÜRETİM'!F113)</f>
        <v/>
      </c>
      <c r="E113" s="81">
        <f>IF(A113="","",SUMIF('22 2026 PAKETLEME'!$B$2:$B$501,A113,'22 2026 PAKETLEME'!$E$2:$E$501))</f>
        <v/>
      </c>
      <c r="F113" s="82">
        <f>IF(A113="","",SUMIF('22 2026 PAKETLEME'!$B$2:$B$501,A113,'22 2026 PAKETLEME'!$G$2:$G$501))</f>
        <v/>
      </c>
      <c r="G113" s="81">
        <f>IF(A113="","",SUMIF('22 2026 PAKETLEME'!$B$2:$B$501,A113,'22 2026 PAKETLEME'!$H$2:$H$501))</f>
        <v/>
      </c>
      <c r="H113" s="81">
        <f>IF(A113="","",D113-E113-F113-G113)</f>
        <v/>
      </c>
      <c r="I113" s="82">
        <f>IF(A113="","",SUMIF('23 2026 SEVKİYAT'!$E$2:$E$501,A113,'23 2026 SEVKİYAT'!$H$2:$H$501))</f>
        <v/>
      </c>
      <c r="J113" s="81">
        <f>IF(A113="","",E113+F113-I113)</f>
        <v/>
      </c>
      <c r="K113" s="81">
        <f>IF(A113="","",D113-E113-F113-G113-H113)</f>
        <v/>
      </c>
      <c r="L113" s="58">
        <f>IF(A113="","",IF(ABS(K113)&lt;0.001,"KAPALI","KONTROL"))</f>
        <v/>
      </c>
      <c r="M113" s="56">
        <f>IF(A113="","",IF(J113&lt;0,"SEVK PAKETLEMEYİ AŞIYOR",IF(H113&lt;&gt;0,"PAKETLEME BAKİYESİ VAR","DENKLİK KAPALI")))</f>
        <v/>
      </c>
    </row>
    <row r="114" ht="15" customHeight="1">
      <c r="A114" s="60">
        <f>'21 2026 ÜRETİM'!A114</f>
        <v/>
      </c>
      <c r="B114" s="81">
        <f>IF(A114="","",'21 2026 ÜRETİM'!D114)</f>
        <v/>
      </c>
      <c r="C114" s="81">
        <f>IF(A114="","",'21 2026 ÜRETİM'!E114)</f>
        <v/>
      </c>
      <c r="D114" s="82">
        <f>IF(A114="","",'21 2026 ÜRETİM'!F114)</f>
        <v/>
      </c>
      <c r="E114" s="81">
        <f>IF(A114="","",SUMIF('22 2026 PAKETLEME'!$B$2:$B$501,A114,'22 2026 PAKETLEME'!$E$2:$E$501))</f>
        <v/>
      </c>
      <c r="F114" s="82">
        <f>IF(A114="","",SUMIF('22 2026 PAKETLEME'!$B$2:$B$501,A114,'22 2026 PAKETLEME'!$G$2:$G$501))</f>
        <v/>
      </c>
      <c r="G114" s="81">
        <f>IF(A114="","",SUMIF('22 2026 PAKETLEME'!$B$2:$B$501,A114,'22 2026 PAKETLEME'!$H$2:$H$501))</f>
        <v/>
      </c>
      <c r="H114" s="81">
        <f>IF(A114="","",D114-E114-F114-G114)</f>
        <v/>
      </c>
      <c r="I114" s="82">
        <f>IF(A114="","",SUMIF('23 2026 SEVKİYAT'!$E$2:$E$501,A114,'23 2026 SEVKİYAT'!$H$2:$H$501))</f>
        <v/>
      </c>
      <c r="J114" s="81">
        <f>IF(A114="","",E114+F114-I114)</f>
        <v/>
      </c>
      <c r="K114" s="81">
        <f>IF(A114="","",D114-E114-F114-G114-H114)</f>
        <v/>
      </c>
      <c r="L114" s="58">
        <f>IF(A114="","",IF(ABS(K114)&lt;0.001,"KAPALI","KONTROL"))</f>
        <v/>
      </c>
      <c r="M114" s="56">
        <f>IF(A114="","",IF(J114&lt;0,"SEVK PAKETLEMEYİ AŞIYOR",IF(H114&lt;&gt;0,"PAKETLEME BAKİYESİ VAR","DENKLİK KAPALI")))</f>
        <v/>
      </c>
    </row>
    <row r="115" ht="15" customHeight="1">
      <c r="A115" s="60">
        <f>'21 2026 ÜRETİM'!A115</f>
        <v/>
      </c>
      <c r="B115" s="81">
        <f>IF(A115="","",'21 2026 ÜRETİM'!D115)</f>
        <v/>
      </c>
      <c r="C115" s="81">
        <f>IF(A115="","",'21 2026 ÜRETİM'!E115)</f>
        <v/>
      </c>
      <c r="D115" s="82">
        <f>IF(A115="","",'21 2026 ÜRETİM'!F115)</f>
        <v/>
      </c>
      <c r="E115" s="81">
        <f>IF(A115="","",SUMIF('22 2026 PAKETLEME'!$B$2:$B$501,A115,'22 2026 PAKETLEME'!$E$2:$E$501))</f>
        <v/>
      </c>
      <c r="F115" s="82">
        <f>IF(A115="","",SUMIF('22 2026 PAKETLEME'!$B$2:$B$501,A115,'22 2026 PAKETLEME'!$G$2:$G$501))</f>
        <v/>
      </c>
      <c r="G115" s="81">
        <f>IF(A115="","",SUMIF('22 2026 PAKETLEME'!$B$2:$B$501,A115,'22 2026 PAKETLEME'!$H$2:$H$501))</f>
        <v/>
      </c>
      <c r="H115" s="81">
        <f>IF(A115="","",D115-E115-F115-G115)</f>
        <v/>
      </c>
      <c r="I115" s="82">
        <f>IF(A115="","",SUMIF('23 2026 SEVKİYAT'!$E$2:$E$501,A115,'23 2026 SEVKİYAT'!$H$2:$H$501))</f>
        <v/>
      </c>
      <c r="J115" s="81">
        <f>IF(A115="","",E115+F115-I115)</f>
        <v/>
      </c>
      <c r="K115" s="81">
        <f>IF(A115="","",D115-E115-F115-G115-H115)</f>
        <v/>
      </c>
      <c r="L115" s="58">
        <f>IF(A115="","",IF(ABS(K115)&lt;0.001,"KAPALI","KONTROL"))</f>
        <v/>
      </c>
      <c r="M115" s="56">
        <f>IF(A115="","",IF(J115&lt;0,"SEVK PAKETLEMEYİ AŞIYOR",IF(H115&lt;&gt;0,"PAKETLEME BAKİYESİ VAR","DENKLİK KAPALI")))</f>
        <v/>
      </c>
    </row>
    <row r="116" ht="15" customHeight="1">
      <c r="A116" s="60">
        <f>'21 2026 ÜRETİM'!A116</f>
        <v/>
      </c>
      <c r="B116" s="81">
        <f>IF(A116="","",'21 2026 ÜRETİM'!D116)</f>
        <v/>
      </c>
      <c r="C116" s="81">
        <f>IF(A116="","",'21 2026 ÜRETİM'!E116)</f>
        <v/>
      </c>
      <c r="D116" s="82">
        <f>IF(A116="","",'21 2026 ÜRETİM'!F116)</f>
        <v/>
      </c>
      <c r="E116" s="81">
        <f>IF(A116="","",SUMIF('22 2026 PAKETLEME'!$B$2:$B$501,A116,'22 2026 PAKETLEME'!$E$2:$E$501))</f>
        <v/>
      </c>
      <c r="F116" s="82">
        <f>IF(A116="","",SUMIF('22 2026 PAKETLEME'!$B$2:$B$501,A116,'22 2026 PAKETLEME'!$G$2:$G$501))</f>
        <v/>
      </c>
      <c r="G116" s="81">
        <f>IF(A116="","",SUMIF('22 2026 PAKETLEME'!$B$2:$B$501,A116,'22 2026 PAKETLEME'!$H$2:$H$501))</f>
        <v/>
      </c>
      <c r="H116" s="81">
        <f>IF(A116="","",D116-E116-F116-G116)</f>
        <v/>
      </c>
      <c r="I116" s="82">
        <f>IF(A116="","",SUMIF('23 2026 SEVKİYAT'!$E$2:$E$501,A116,'23 2026 SEVKİYAT'!$H$2:$H$501))</f>
        <v/>
      </c>
      <c r="J116" s="81">
        <f>IF(A116="","",E116+F116-I116)</f>
        <v/>
      </c>
      <c r="K116" s="81">
        <f>IF(A116="","",D116-E116-F116-G116-H116)</f>
        <v/>
      </c>
      <c r="L116" s="58">
        <f>IF(A116="","",IF(ABS(K116)&lt;0.001,"KAPALI","KONTROL"))</f>
        <v/>
      </c>
      <c r="M116" s="56">
        <f>IF(A116="","",IF(J116&lt;0,"SEVK PAKETLEMEYİ AŞIYOR",IF(H116&lt;&gt;0,"PAKETLEME BAKİYESİ VAR","DENKLİK KAPALI")))</f>
        <v/>
      </c>
    </row>
    <row r="117" ht="15" customHeight="1">
      <c r="A117" s="60">
        <f>'21 2026 ÜRETİM'!A117</f>
        <v/>
      </c>
      <c r="B117" s="81">
        <f>IF(A117="","",'21 2026 ÜRETİM'!D117)</f>
        <v/>
      </c>
      <c r="C117" s="81">
        <f>IF(A117="","",'21 2026 ÜRETİM'!E117)</f>
        <v/>
      </c>
      <c r="D117" s="82">
        <f>IF(A117="","",'21 2026 ÜRETİM'!F117)</f>
        <v/>
      </c>
      <c r="E117" s="81">
        <f>IF(A117="","",SUMIF('22 2026 PAKETLEME'!$B$2:$B$501,A117,'22 2026 PAKETLEME'!$E$2:$E$501))</f>
        <v/>
      </c>
      <c r="F117" s="82">
        <f>IF(A117="","",SUMIF('22 2026 PAKETLEME'!$B$2:$B$501,A117,'22 2026 PAKETLEME'!$G$2:$G$501))</f>
        <v/>
      </c>
      <c r="G117" s="81">
        <f>IF(A117="","",SUMIF('22 2026 PAKETLEME'!$B$2:$B$501,A117,'22 2026 PAKETLEME'!$H$2:$H$501))</f>
        <v/>
      </c>
      <c r="H117" s="81">
        <f>IF(A117="","",D117-E117-F117-G117)</f>
        <v/>
      </c>
      <c r="I117" s="82">
        <f>IF(A117="","",SUMIF('23 2026 SEVKİYAT'!$E$2:$E$501,A117,'23 2026 SEVKİYAT'!$H$2:$H$501))</f>
        <v/>
      </c>
      <c r="J117" s="81">
        <f>IF(A117="","",E117+F117-I117)</f>
        <v/>
      </c>
      <c r="K117" s="81">
        <f>IF(A117="","",D117-E117-F117-G117-H117)</f>
        <v/>
      </c>
      <c r="L117" s="58">
        <f>IF(A117="","",IF(ABS(K117)&lt;0.001,"KAPALI","KONTROL"))</f>
        <v/>
      </c>
      <c r="M117" s="56">
        <f>IF(A117="","",IF(J117&lt;0,"SEVK PAKETLEMEYİ AŞIYOR",IF(H117&lt;&gt;0,"PAKETLEME BAKİYESİ VAR","DENKLİK KAPALI")))</f>
        <v/>
      </c>
    </row>
    <row r="118" ht="15" customHeight="1">
      <c r="A118" s="60">
        <f>'21 2026 ÜRETİM'!A118</f>
        <v/>
      </c>
      <c r="B118" s="81">
        <f>IF(A118="","",'21 2026 ÜRETİM'!D118)</f>
        <v/>
      </c>
      <c r="C118" s="81">
        <f>IF(A118="","",'21 2026 ÜRETİM'!E118)</f>
        <v/>
      </c>
      <c r="D118" s="82">
        <f>IF(A118="","",'21 2026 ÜRETİM'!F118)</f>
        <v/>
      </c>
      <c r="E118" s="81">
        <f>IF(A118="","",SUMIF('22 2026 PAKETLEME'!$B$2:$B$501,A118,'22 2026 PAKETLEME'!$E$2:$E$501))</f>
        <v/>
      </c>
      <c r="F118" s="82">
        <f>IF(A118="","",SUMIF('22 2026 PAKETLEME'!$B$2:$B$501,A118,'22 2026 PAKETLEME'!$G$2:$G$501))</f>
        <v/>
      </c>
      <c r="G118" s="81">
        <f>IF(A118="","",SUMIF('22 2026 PAKETLEME'!$B$2:$B$501,A118,'22 2026 PAKETLEME'!$H$2:$H$501))</f>
        <v/>
      </c>
      <c r="H118" s="81">
        <f>IF(A118="","",D118-E118-F118-G118)</f>
        <v/>
      </c>
      <c r="I118" s="82">
        <f>IF(A118="","",SUMIF('23 2026 SEVKİYAT'!$E$2:$E$501,A118,'23 2026 SEVKİYAT'!$H$2:$H$501))</f>
        <v/>
      </c>
      <c r="J118" s="81">
        <f>IF(A118="","",E118+F118-I118)</f>
        <v/>
      </c>
      <c r="K118" s="81">
        <f>IF(A118="","",D118-E118-F118-G118-H118)</f>
        <v/>
      </c>
      <c r="L118" s="58">
        <f>IF(A118="","",IF(ABS(K118)&lt;0.001,"KAPALI","KONTROL"))</f>
        <v/>
      </c>
      <c r="M118" s="56">
        <f>IF(A118="","",IF(J118&lt;0,"SEVK PAKETLEMEYİ AŞIYOR",IF(H118&lt;&gt;0,"PAKETLEME BAKİYESİ VAR","DENKLİK KAPALI")))</f>
        <v/>
      </c>
    </row>
    <row r="119" ht="15" customHeight="1">
      <c r="A119" s="60">
        <f>'21 2026 ÜRETİM'!A119</f>
        <v/>
      </c>
      <c r="B119" s="81">
        <f>IF(A119="","",'21 2026 ÜRETİM'!D119)</f>
        <v/>
      </c>
      <c r="C119" s="81">
        <f>IF(A119="","",'21 2026 ÜRETİM'!E119)</f>
        <v/>
      </c>
      <c r="D119" s="82">
        <f>IF(A119="","",'21 2026 ÜRETİM'!F119)</f>
        <v/>
      </c>
      <c r="E119" s="81">
        <f>IF(A119="","",SUMIF('22 2026 PAKETLEME'!$B$2:$B$501,A119,'22 2026 PAKETLEME'!$E$2:$E$501))</f>
        <v/>
      </c>
      <c r="F119" s="82">
        <f>IF(A119="","",SUMIF('22 2026 PAKETLEME'!$B$2:$B$501,A119,'22 2026 PAKETLEME'!$G$2:$G$501))</f>
        <v/>
      </c>
      <c r="G119" s="81">
        <f>IF(A119="","",SUMIF('22 2026 PAKETLEME'!$B$2:$B$501,A119,'22 2026 PAKETLEME'!$H$2:$H$501))</f>
        <v/>
      </c>
      <c r="H119" s="81">
        <f>IF(A119="","",D119-E119-F119-G119)</f>
        <v/>
      </c>
      <c r="I119" s="82">
        <f>IF(A119="","",SUMIF('23 2026 SEVKİYAT'!$E$2:$E$501,A119,'23 2026 SEVKİYAT'!$H$2:$H$501))</f>
        <v/>
      </c>
      <c r="J119" s="81">
        <f>IF(A119="","",E119+F119-I119)</f>
        <v/>
      </c>
      <c r="K119" s="81">
        <f>IF(A119="","",D119-E119-F119-G119-H119)</f>
        <v/>
      </c>
      <c r="L119" s="58">
        <f>IF(A119="","",IF(ABS(K119)&lt;0.001,"KAPALI","KONTROL"))</f>
        <v/>
      </c>
      <c r="M119" s="56">
        <f>IF(A119="","",IF(J119&lt;0,"SEVK PAKETLEMEYİ AŞIYOR",IF(H119&lt;&gt;0,"PAKETLEME BAKİYESİ VAR","DENKLİK KAPALI")))</f>
        <v/>
      </c>
    </row>
    <row r="120" ht="15" customHeight="1">
      <c r="A120" s="60">
        <f>'21 2026 ÜRETİM'!A120</f>
        <v/>
      </c>
      <c r="B120" s="81">
        <f>IF(A120="","",'21 2026 ÜRETİM'!D120)</f>
        <v/>
      </c>
      <c r="C120" s="81">
        <f>IF(A120="","",'21 2026 ÜRETİM'!E120)</f>
        <v/>
      </c>
      <c r="D120" s="82">
        <f>IF(A120="","",'21 2026 ÜRETİM'!F120)</f>
        <v/>
      </c>
      <c r="E120" s="81">
        <f>IF(A120="","",SUMIF('22 2026 PAKETLEME'!$B$2:$B$501,A120,'22 2026 PAKETLEME'!$E$2:$E$501))</f>
        <v/>
      </c>
      <c r="F120" s="82">
        <f>IF(A120="","",SUMIF('22 2026 PAKETLEME'!$B$2:$B$501,A120,'22 2026 PAKETLEME'!$G$2:$G$501))</f>
        <v/>
      </c>
      <c r="G120" s="81">
        <f>IF(A120="","",SUMIF('22 2026 PAKETLEME'!$B$2:$B$501,A120,'22 2026 PAKETLEME'!$H$2:$H$501))</f>
        <v/>
      </c>
      <c r="H120" s="81">
        <f>IF(A120="","",D120-E120-F120-G120)</f>
        <v/>
      </c>
      <c r="I120" s="82">
        <f>IF(A120="","",SUMIF('23 2026 SEVKİYAT'!$E$2:$E$501,A120,'23 2026 SEVKİYAT'!$H$2:$H$501))</f>
        <v/>
      </c>
      <c r="J120" s="81">
        <f>IF(A120="","",E120+F120-I120)</f>
        <v/>
      </c>
      <c r="K120" s="81">
        <f>IF(A120="","",D120-E120-F120-G120-H120)</f>
        <v/>
      </c>
      <c r="L120" s="58">
        <f>IF(A120="","",IF(ABS(K120)&lt;0.001,"KAPALI","KONTROL"))</f>
        <v/>
      </c>
      <c r="M120" s="56">
        <f>IF(A120="","",IF(J120&lt;0,"SEVK PAKETLEMEYİ AŞIYOR",IF(H120&lt;&gt;0,"PAKETLEME BAKİYESİ VAR","DENKLİK KAPALI")))</f>
        <v/>
      </c>
    </row>
    <row r="121" ht="15" customHeight="1">
      <c r="A121" s="60">
        <f>'21 2026 ÜRETİM'!A121</f>
        <v/>
      </c>
      <c r="B121" s="81">
        <f>IF(A121="","",'21 2026 ÜRETİM'!D121)</f>
        <v/>
      </c>
      <c r="C121" s="81">
        <f>IF(A121="","",'21 2026 ÜRETİM'!E121)</f>
        <v/>
      </c>
      <c r="D121" s="82">
        <f>IF(A121="","",'21 2026 ÜRETİM'!F121)</f>
        <v/>
      </c>
      <c r="E121" s="81">
        <f>IF(A121="","",SUMIF('22 2026 PAKETLEME'!$B$2:$B$501,A121,'22 2026 PAKETLEME'!$E$2:$E$501))</f>
        <v/>
      </c>
      <c r="F121" s="82">
        <f>IF(A121="","",SUMIF('22 2026 PAKETLEME'!$B$2:$B$501,A121,'22 2026 PAKETLEME'!$G$2:$G$501))</f>
        <v/>
      </c>
      <c r="G121" s="81">
        <f>IF(A121="","",SUMIF('22 2026 PAKETLEME'!$B$2:$B$501,A121,'22 2026 PAKETLEME'!$H$2:$H$501))</f>
        <v/>
      </c>
      <c r="H121" s="81">
        <f>IF(A121="","",D121-E121-F121-G121)</f>
        <v/>
      </c>
      <c r="I121" s="82">
        <f>IF(A121="","",SUMIF('23 2026 SEVKİYAT'!$E$2:$E$501,A121,'23 2026 SEVKİYAT'!$H$2:$H$501))</f>
        <v/>
      </c>
      <c r="J121" s="81">
        <f>IF(A121="","",E121+F121-I121)</f>
        <v/>
      </c>
      <c r="K121" s="81">
        <f>IF(A121="","",D121-E121-F121-G121-H121)</f>
        <v/>
      </c>
      <c r="L121" s="58">
        <f>IF(A121="","",IF(ABS(K121)&lt;0.001,"KAPALI","KONTROL"))</f>
        <v/>
      </c>
      <c r="M121" s="56">
        <f>IF(A121="","",IF(J121&lt;0,"SEVK PAKETLEMEYİ AŞIYOR",IF(H121&lt;&gt;0,"PAKETLEME BAKİYESİ VAR","DENKLİK KAPALI")))</f>
        <v/>
      </c>
    </row>
    <row r="122" ht="15" customHeight="1">
      <c r="A122" s="60">
        <f>'21 2026 ÜRETİM'!A122</f>
        <v/>
      </c>
      <c r="B122" s="81">
        <f>IF(A122="","",'21 2026 ÜRETİM'!D122)</f>
        <v/>
      </c>
      <c r="C122" s="81">
        <f>IF(A122="","",'21 2026 ÜRETİM'!E122)</f>
        <v/>
      </c>
      <c r="D122" s="82">
        <f>IF(A122="","",'21 2026 ÜRETİM'!F122)</f>
        <v/>
      </c>
      <c r="E122" s="81">
        <f>IF(A122="","",SUMIF('22 2026 PAKETLEME'!$B$2:$B$501,A122,'22 2026 PAKETLEME'!$E$2:$E$501))</f>
        <v/>
      </c>
      <c r="F122" s="82">
        <f>IF(A122="","",SUMIF('22 2026 PAKETLEME'!$B$2:$B$501,A122,'22 2026 PAKETLEME'!$G$2:$G$501))</f>
        <v/>
      </c>
      <c r="G122" s="81">
        <f>IF(A122="","",SUMIF('22 2026 PAKETLEME'!$B$2:$B$501,A122,'22 2026 PAKETLEME'!$H$2:$H$501))</f>
        <v/>
      </c>
      <c r="H122" s="81">
        <f>IF(A122="","",D122-E122-F122-G122)</f>
        <v/>
      </c>
      <c r="I122" s="82">
        <f>IF(A122="","",SUMIF('23 2026 SEVKİYAT'!$E$2:$E$501,A122,'23 2026 SEVKİYAT'!$H$2:$H$501))</f>
        <v/>
      </c>
      <c r="J122" s="81">
        <f>IF(A122="","",E122+F122-I122)</f>
        <v/>
      </c>
      <c r="K122" s="81">
        <f>IF(A122="","",D122-E122-F122-G122-H122)</f>
        <v/>
      </c>
      <c r="L122" s="58">
        <f>IF(A122="","",IF(ABS(K122)&lt;0.001,"KAPALI","KONTROL"))</f>
        <v/>
      </c>
      <c r="M122" s="56">
        <f>IF(A122="","",IF(J122&lt;0,"SEVK PAKETLEMEYİ AŞIYOR",IF(H122&lt;&gt;0,"PAKETLEME BAKİYESİ VAR","DENKLİK KAPALI")))</f>
        <v/>
      </c>
    </row>
    <row r="123" ht="15" customHeight="1">
      <c r="A123" s="60">
        <f>'21 2026 ÜRETİM'!A123</f>
        <v/>
      </c>
      <c r="B123" s="81">
        <f>IF(A123="","",'21 2026 ÜRETİM'!D123)</f>
        <v/>
      </c>
      <c r="C123" s="81">
        <f>IF(A123="","",'21 2026 ÜRETİM'!E123)</f>
        <v/>
      </c>
      <c r="D123" s="82">
        <f>IF(A123="","",'21 2026 ÜRETİM'!F123)</f>
        <v/>
      </c>
      <c r="E123" s="81">
        <f>IF(A123="","",SUMIF('22 2026 PAKETLEME'!$B$2:$B$501,A123,'22 2026 PAKETLEME'!$E$2:$E$501))</f>
        <v/>
      </c>
      <c r="F123" s="82">
        <f>IF(A123="","",SUMIF('22 2026 PAKETLEME'!$B$2:$B$501,A123,'22 2026 PAKETLEME'!$G$2:$G$501))</f>
        <v/>
      </c>
      <c r="G123" s="81">
        <f>IF(A123="","",SUMIF('22 2026 PAKETLEME'!$B$2:$B$501,A123,'22 2026 PAKETLEME'!$H$2:$H$501))</f>
        <v/>
      </c>
      <c r="H123" s="81">
        <f>IF(A123="","",D123-E123-F123-G123)</f>
        <v/>
      </c>
      <c r="I123" s="82">
        <f>IF(A123="","",SUMIF('23 2026 SEVKİYAT'!$E$2:$E$501,A123,'23 2026 SEVKİYAT'!$H$2:$H$501))</f>
        <v/>
      </c>
      <c r="J123" s="81">
        <f>IF(A123="","",E123+F123-I123)</f>
        <v/>
      </c>
      <c r="K123" s="81">
        <f>IF(A123="","",D123-E123-F123-G123-H123)</f>
        <v/>
      </c>
      <c r="L123" s="58">
        <f>IF(A123="","",IF(ABS(K123)&lt;0.001,"KAPALI","KONTROL"))</f>
        <v/>
      </c>
      <c r="M123" s="56">
        <f>IF(A123="","",IF(J123&lt;0,"SEVK PAKETLEMEYİ AŞIYOR",IF(H123&lt;&gt;0,"PAKETLEME BAKİYESİ VAR","DENKLİK KAPALI")))</f>
        <v/>
      </c>
    </row>
    <row r="124" ht="15" customHeight="1">
      <c r="A124" s="60">
        <f>'21 2026 ÜRETİM'!A124</f>
        <v/>
      </c>
      <c r="B124" s="81">
        <f>IF(A124="","",'21 2026 ÜRETİM'!D124)</f>
        <v/>
      </c>
      <c r="C124" s="81">
        <f>IF(A124="","",'21 2026 ÜRETİM'!E124)</f>
        <v/>
      </c>
      <c r="D124" s="82">
        <f>IF(A124="","",'21 2026 ÜRETİM'!F124)</f>
        <v/>
      </c>
      <c r="E124" s="81">
        <f>IF(A124="","",SUMIF('22 2026 PAKETLEME'!$B$2:$B$501,A124,'22 2026 PAKETLEME'!$E$2:$E$501))</f>
        <v/>
      </c>
      <c r="F124" s="82">
        <f>IF(A124="","",SUMIF('22 2026 PAKETLEME'!$B$2:$B$501,A124,'22 2026 PAKETLEME'!$G$2:$G$501))</f>
        <v/>
      </c>
      <c r="G124" s="81">
        <f>IF(A124="","",SUMIF('22 2026 PAKETLEME'!$B$2:$B$501,A124,'22 2026 PAKETLEME'!$H$2:$H$501))</f>
        <v/>
      </c>
      <c r="H124" s="81">
        <f>IF(A124="","",D124-E124-F124-G124)</f>
        <v/>
      </c>
      <c r="I124" s="82">
        <f>IF(A124="","",SUMIF('23 2026 SEVKİYAT'!$E$2:$E$501,A124,'23 2026 SEVKİYAT'!$H$2:$H$501))</f>
        <v/>
      </c>
      <c r="J124" s="81">
        <f>IF(A124="","",E124+F124-I124)</f>
        <v/>
      </c>
      <c r="K124" s="81">
        <f>IF(A124="","",D124-E124-F124-G124-H124)</f>
        <v/>
      </c>
      <c r="L124" s="58">
        <f>IF(A124="","",IF(ABS(K124)&lt;0.001,"KAPALI","KONTROL"))</f>
        <v/>
      </c>
      <c r="M124" s="56">
        <f>IF(A124="","",IF(J124&lt;0,"SEVK PAKETLEMEYİ AŞIYOR",IF(H124&lt;&gt;0,"PAKETLEME BAKİYESİ VAR","DENKLİK KAPALI")))</f>
        <v/>
      </c>
    </row>
    <row r="125" ht="15" customHeight="1">
      <c r="A125" s="60">
        <f>'21 2026 ÜRETİM'!A125</f>
        <v/>
      </c>
      <c r="B125" s="81">
        <f>IF(A125="","",'21 2026 ÜRETİM'!D125)</f>
        <v/>
      </c>
      <c r="C125" s="81">
        <f>IF(A125="","",'21 2026 ÜRETİM'!E125)</f>
        <v/>
      </c>
      <c r="D125" s="82">
        <f>IF(A125="","",'21 2026 ÜRETİM'!F125)</f>
        <v/>
      </c>
      <c r="E125" s="81">
        <f>IF(A125="","",SUMIF('22 2026 PAKETLEME'!$B$2:$B$501,A125,'22 2026 PAKETLEME'!$E$2:$E$501))</f>
        <v/>
      </c>
      <c r="F125" s="82">
        <f>IF(A125="","",SUMIF('22 2026 PAKETLEME'!$B$2:$B$501,A125,'22 2026 PAKETLEME'!$G$2:$G$501))</f>
        <v/>
      </c>
      <c r="G125" s="81">
        <f>IF(A125="","",SUMIF('22 2026 PAKETLEME'!$B$2:$B$501,A125,'22 2026 PAKETLEME'!$H$2:$H$501))</f>
        <v/>
      </c>
      <c r="H125" s="81">
        <f>IF(A125="","",D125-E125-F125-G125)</f>
        <v/>
      </c>
      <c r="I125" s="82">
        <f>IF(A125="","",SUMIF('23 2026 SEVKİYAT'!$E$2:$E$501,A125,'23 2026 SEVKİYAT'!$H$2:$H$501))</f>
        <v/>
      </c>
      <c r="J125" s="81">
        <f>IF(A125="","",E125+F125-I125)</f>
        <v/>
      </c>
      <c r="K125" s="81">
        <f>IF(A125="","",D125-E125-F125-G125-H125)</f>
        <v/>
      </c>
      <c r="L125" s="58">
        <f>IF(A125="","",IF(ABS(K125)&lt;0.001,"KAPALI","KONTROL"))</f>
        <v/>
      </c>
      <c r="M125" s="56">
        <f>IF(A125="","",IF(J125&lt;0,"SEVK PAKETLEMEYİ AŞIYOR",IF(H125&lt;&gt;0,"PAKETLEME BAKİYESİ VAR","DENKLİK KAPALI")))</f>
        <v/>
      </c>
    </row>
    <row r="126" ht="15" customHeight="1">
      <c r="A126" s="60">
        <f>'21 2026 ÜRETİM'!A126</f>
        <v/>
      </c>
      <c r="B126" s="81">
        <f>IF(A126="","",'21 2026 ÜRETİM'!D126)</f>
        <v/>
      </c>
      <c r="C126" s="81">
        <f>IF(A126="","",'21 2026 ÜRETİM'!E126)</f>
        <v/>
      </c>
      <c r="D126" s="82">
        <f>IF(A126="","",'21 2026 ÜRETİM'!F126)</f>
        <v/>
      </c>
      <c r="E126" s="81">
        <f>IF(A126="","",SUMIF('22 2026 PAKETLEME'!$B$2:$B$501,A126,'22 2026 PAKETLEME'!$E$2:$E$501))</f>
        <v/>
      </c>
      <c r="F126" s="82">
        <f>IF(A126="","",SUMIF('22 2026 PAKETLEME'!$B$2:$B$501,A126,'22 2026 PAKETLEME'!$G$2:$G$501))</f>
        <v/>
      </c>
      <c r="G126" s="81">
        <f>IF(A126="","",SUMIF('22 2026 PAKETLEME'!$B$2:$B$501,A126,'22 2026 PAKETLEME'!$H$2:$H$501))</f>
        <v/>
      </c>
      <c r="H126" s="81">
        <f>IF(A126="","",D126-E126-F126-G126)</f>
        <v/>
      </c>
      <c r="I126" s="82">
        <f>IF(A126="","",SUMIF('23 2026 SEVKİYAT'!$E$2:$E$501,A126,'23 2026 SEVKİYAT'!$H$2:$H$501))</f>
        <v/>
      </c>
      <c r="J126" s="81">
        <f>IF(A126="","",E126+F126-I126)</f>
        <v/>
      </c>
      <c r="K126" s="81">
        <f>IF(A126="","",D126-E126-F126-G126-H126)</f>
        <v/>
      </c>
      <c r="L126" s="58">
        <f>IF(A126="","",IF(ABS(K126)&lt;0.001,"KAPALI","KONTROL"))</f>
        <v/>
      </c>
      <c r="M126" s="56">
        <f>IF(A126="","",IF(J126&lt;0,"SEVK PAKETLEMEYİ AŞIYOR",IF(H126&lt;&gt;0,"PAKETLEME BAKİYESİ VAR","DENKLİK KAPALI")))</f>
        <v/>
      </c>
    </row>
    <row r="127" ht="15" customHeight="1">
      <c r="A127" s="60">
        <f>'21 2026 ÜRETİM'!A127</f>
        <v/>
      </c>
      <c r="B127" s="81">
        <f>IF(A127="","",'21 2026 ÜRETİM'!D127)</f>
        <v/>
      </c>
      <c r="C127" s="81">
        <f>IF(A127="","",'21 2026 ÜRETİM'!E127)</f>
        <v/>
      </c>
      <c r="D127" s="82">
        <f>IF(A127="","",'21 2026 ÜRETİM'!F127)</f>
        <v/>
      </c>
      <c r="E127" s="81">
        <f>IF(A127="","",SUMIF('22 2026 PAKETLEME'!$B$2:$B$501,A127,'22 2026 PAKETLEME'!$E$2:$E$501))</f>
        <v/>
      </c>
      <c r="F127" s="82">
        <f>IF(A127="","",SUMIF('22 2026 PAKETLEME'!$B$2:$B$501,A127,'22 2026 PAKETLEME'!$G$2:$G$501))</f>
        <v/>
      </c>
      <c r="G127" s="81">
        <f>IF(A127="","",SUMIF('22 2026 PAKETLEME'!$B$2:$B$501,A127,'22 2026 PAKETLEME'!$H$2:$H$501))</f>
        <v/>
      </c>
      <c r="H127" s="81">
        <f>IF(A127="","",D127-E127-F127-G127)</f>
        <v/>
      </c>
      <c r="I127" s="82">
        <f>IF(A127="","",SUMIF('23 2026 SEVKİYAT'!$E$2:$E$501,A127,'23 2026 SEVKİYAT'!$H$2:$H$501))</f>
        <v/>
      </c>
      <c r="J127" s="81">
        <f>IF(A127="","",E127+F127-I127)</f>
        <v/>
      </c>
      <c r="K127" s="81">
        <f>IF(A127="","",D127-E127-F127-G127-H127)</f>
        <v/>
      </c>
      <c r="L127" s="58">
        <f>IF(A127="","",IF(ABS(K127)&lt;0.001,"KAPALI","KONTROL"))</f>
        <v/>
      </c>
      <c r="M127" s="56">
        <f>IF(A127="","",IF(J127&lt;0,"SEVK PAKETLEMEYİ AŞIYOR",IF(H127&lt;&gt;0,"PAKETLEME BAKİYESİ VAR","DENKLİK KAPALI")))</f>
        <v/>
      </c>
    </row>
    <row r="128" ht="15" customHeight="1">
      <c r="A128" s="60">
        <f>'21 2026 ÜRETİM'!A128</f>
        <v/>
      </c>
      <c r="B128" s="81">
        <f>IF(A128="","",'21 2026 ÜRETİM'!D128)</f>
        <v/>
      </c>
      <c r="C128" s="81">
        <f>IF(A128="","",'21 2026 ÜRETİM'!E128)</f>
        <v/>
      </c>
      <c r="D128" s="82">
        <f>IF(A128="","",'21 2026 ÜRETİM'!F128)</f>
        <v/>
      </c>
      <c r="E128" s="81">
        <f>IF(A128="","",SUMIF('22 2026 PAKETLEME'!$B$2:$B$501,A128,'22 2026 PAKETLEME'!$E$2:$E$501))</f>
        <v/>
      </c>
      <c r="F128" s="82">
        <f>IF(A128="","",SUMIF('22 2026 PAKETLEME'!$B$2:$B$501,A128,'22 2026 PAKETLEME'!$G$2:$G$501))</f>
        <v/>
      </c>
      <c r="G128" s="81">
        <f>IF(A128="","",SUMIF('22 2026 PAKETLEME'!$B$2:$B$501,A128,'22 2026 PAKETLEME'!$H$2:$H$501))</f>
        <v/>
      </c>
      <c r="H128" s="81">
        <f>IF(A128="","",D128-E128-F128-G128)</f>
        <v/>
      </c>
      <c r="I128" s="82">
        <f>IF(A128="","",SUMIF('23 2026 SEVKİYAT'!$E$2:$E$501,A128,'23 2026 SEVKİYAT'!$H$2:$H$501))</f>
        <v/>
      </c>
      <c r="J128" s="81">
        <f>IF(A128="","",E128+F128-I128)</f>
        <v/>
      </c>
      <c r="K128" s="81">
        <f>IF(A128="","",D128-E128-F128-G128-H128)</f>
        <v/>
      </c>
      <c r="L128" s="58">
        <f>IF(A128="","",IF(ABS(K128)&lt;0.001,"KAPALI","KONTROL"))</f>
        <v/>
      </c>
      <c r="M128" s="56">
        <f>IF(A128="","",IF(J128&lt;0,"SEVK PAKETLEMEYİ AŞIYOR",IF(H128&lt;&gt;0,"PAKETLEME BAKİYESİ VAR","DENKLİK KAPALI")))</f>
        <v/>
      </c>
    </row>
    <row r="129" ht="15" customHeight="1">
      <c r="A129" s="60">
        <f>'21 2026 ÜRETİM'!A129</f>
        <v/>
      </c>
      <c r="B129" s="81">
        <f>IF(A129="","",'21 2026 ÜRETİM'!D129)</f>
        <v/>
      </c>
      <c r="C129" s="81">
        <f>IF(A129="","",'21 2026 ÜRETİM'!E129)</f>
        <v/>
      </c>
      <c r="D129" s="82">
        <f>IF(A129="","",'21 2026 ÜRETİM'!F129)</f>
        <v/>
      </c>
      <c r="E129" s="81">
        <f>IF(A129="","",SUMIF('22 2026 PAKETLEME'!$B$2:$B$501,A129,'22 2026 PAKETLEME'!$E$2:$E$501))</f>
        <v/>
      </c>
      <c r="F129" s="82">
        <f>IF(A129="","",SUMIF('22 2026 PAKETLEME'!$B$2:$B$501,A129,'22 2026 PAKETLEME'!$G$2:$G$501))</f>
        <v/>
      </c>
      <c r="G129" s="81">
        <f>IF(A129="","",SUMIF('22 2026 PAKETLEME'!$B$2:$B$501,A129,'22 2026 PAKETLEME'!$H$2:$H$501))</f>
        <v/>
      </c>
      <c r="H129" s="81">
        <f>IF(A129="","",D129-E129-F129-G129)</f>
        <v/>
      </c>
      <c r="I129" s="82">
        <f>IF(A129="","",SUMIF('23 2026 SEVKİYAT'!$E$2:$E$501,A129,'23 2026 SEVKİYAT'!$H$2:$H$501))</f>
        <v/>
      </c>
      <c r="J129" s="81">
        <f>IF(A129="","",E129+F129-I129)</f>
        <v/>
      </c>
      <c r="K129" s="81">
        <f>IF(A129="","",D129-E129-F129-G129-H129)</f>
        <v/>
      </c>
      <c r="L129" s="58">
        <f>IF(A129="","",IF(ABS(K129)&lt;0.001,"KAPALI","KONTROL"))</f>
        <v/>
      </c>
      <c r="M129" s="56">
        <f>IF(A129="","",IF(J129&lt;0,"SEVK PAKETLEMEYİ AŞIYOR",IF(H129&lt;&gt;0,"PAKETLEME BAKİYESİ VAR","DENKLİK KAPALI")))</f>
        <v/>
      </c>
    </row>
    <row r="130" ht="15" customHeight="1">
      <c r="A130" s="60">
        <f>'21 2026 ÜRETİM'!A130</f>
        <v/>
      </c>
      <c r="B130" s="81">
        <f>IF(A130="","",'21 2026 ÜRETİM'!D130)</f>
        <v/>
      </c>
      <c r="C130" s="81">
        <f>IF(A130="","",'21 2026 ÜRETİM'!E130)</f>
        <v/>
      </c>
      <c r="D130" s="82">
        <f>IF(A130="","",'21 2026 ÜRETİM'!F130)</f>
        <v/>
      </c>
      <c r="E130" s="81">
        <f>IF(A130="","",SUMIF('22 2026 PAKETLEME'!$B$2:$B$501,A130,'22 2026 PAKETLEME'!$E$2:$E$501))</f>
        <v/>
      </c>
      <c r="F130" s="82">
        <f>IF(A130="","",SUMIF('22 2026 PAKETLEME'!$B$2:$B$501,A130,'22 2026 PAKETLEME'!$G$2:$G$501))</f>
        <v/>
      </c>
      <c r="G130" s="81">
        <f>IF(A130="","",SUMIF('22 2026 PAKETLEME'!$B$2:$B$501,A130,'22 2026 PAKETLEME'!$H$2:$H$501))</f>
        <v/>
      </c>
      <c r="H130" s="81">
        <f>IF(A130="","",D130-E130-F130-G130)</f>
        <v/>
      </c>
      <c r="I130" s="82">
        <f>IF(A130="","",SUMIF('23 2026 SEVKİYAT'!$E$2:$E$501,A130,'23 2026 SEVKİYAT'!$H$2:$H$501))</f>
        <v/>
      </c>
      <c r="J130" s="81">
        <f>IF(A130="","",E130+F130-I130)</f>
        <v/>
      </c>
      <c r="K130" s="81">
        <f>IF(A130="","",D130-E130-F130-G130-H130)</f>
        <v/>
      </c>
      <c r="L130" s="58">
        <f>IF(A130="","",IF(ABS(K130)&lt;0.001,"KAPALI","KONTROL"))</f>
        <v/>
      </c>
      <c r="M130" s="56">
        <f>IF(A130="","",IF(J130&lt;0,"SEVK PAKETLEMEYİ AŞIYOR",IF(H130&lt;&gt;0,"PAKETLEME BAKİYESİ VAR","DENKLİK KAPALI")))</f>
        <v/>
      </c>
    </row>
    <row r="131" ht="15" customHeight="1">
      <c r="A131" s="60">
        <f>'21 2026 ÜRETİM'!A131</f>
        <v/>
      </c>
      <c r="B131" s="81">
        <f>IF(A131="","",'21 2026 ÜRETİM'!D131)</f>
        <v/>
      </c>
      <c r="C131" s="81">
        <f>IF(A131="","",'21 2026 ÜRETİM'!E131)</f>
        <v/>
      </c>
      <c r="D131" s="82">
        <f>IF(A131="","",'21 2026 ÜRETİM'!F131)</f>
        <v/>
      </c>
      <c r="E131" s="81">
        <f>IF(A131="","",SUMIF('22 2026 PAKETLEME'!$B$2:$B$501,A131,'22 2026 PAKETLEME'!$E$2:$E$501))</f>
        <v/>
      </c>
      <c r="F131" s="82">
        <f>IF(A131="","",SUMIF('22 2026 PAKETLEME'!$B$2:$B$501,A131,'22 2026 PAKETLEME'!$G$2:$G$501))</f>
        <v/>
      </c>
      <c r="G131" s="81">
        <f>IF(A131="","",SUMIF('22 2026 PAKETLEME'!$B$2:$B$501,A131,'22 2026 PAKETLEME'!$H$2:$H$501))</f>
        <v/>
      </c>
      <c r="H131" s="81">
        <f>IF(A131="","",D131-E131-F131-G131)</f>
        <v/>
      </c>
      <c r="I131" s="82">
        <f>IF(A131="","",SUMIF('23 2026 SEVKİYAT'!$E$2:$E$501,A131,'23 2026 SEVKİYAT'!$H$2:$H$501))</f>
        <v/>
      </c>
      <c r="J131" s="81">
        <f>IF(A131="","",E131+F131-I131)</f>
        <v/>
      </c>
      <c r="K131" s="81">
        <f>IF(A131="","",D131-E131-F131-G131-H131)</f>
        <v/>
      </c>
      <c r="L131" s="58">
        <f>IF(A131="","",IF(ABS(K131)&lt;0.001,"KAPALI","KONTROL"))</f>
        <v/>
      </c>
      <c r="M131" s="56">
        <f>IF(A131="","",IF(J131&lt;0,"SEVK PAKETLEMEYİ AŞIYOR",IF(H131&lt;&gt;0,"PAKETLEME BAKİYESİ VAR","DENKLİK KAPALI")))</f>
        <v/>
      </c>
    </row>
    <row r="132" ht="15" customHeight="1">
      <c r="A132" s="60">
        <f>'21 2026 ÜRETİM'!A132</f>
        <v/>
      </c>
      <c r="B132" s="81">
        <f>IF(A132="","",'21 2026 ÜRETİM'!D132)</f>
        <v/>
      </c>
      <c r="C132" s="81">
        <f>IF(A132="","",'21 2026 ÜRETİM'!E132)</f>
        <v/>
      </c>
      <c r="D132" s="82">
        <f>IF(A132="","",'21 2026 ÜRETİM'!F132)</f>
        <v/>
      </c>
      <c r="E132" s="81">
        <f>IF(A132="","",SUMIF('22 2026 PAKETLEME'!$B$2:$B$501,A132,'22 2026 PAKETLEME'!$E$2:$E$501))</f>
        <v/>
      </c>
      <c r="F132" s="82">
        <f>IF(A132="","",SUMIF('22 2026 PAKETLEME'!$B$2:$B$501,A132,'22 2026 PAKETLEME'!$G$2:$G$501))</f>
        <v/>
      </c>
      <c r="G132" s="81">
        <f>IF(A132="","",SUMIF('22 2026 PAKETLEME'!$B$2:$B$501,A132,'22 2026 PAKETLEME'!$H$2:$H$501))</f>
        <v/>
      </c>
      <c r="H132" s="81">
        <f>IF(A132="","",D132-E132-F132-G132)</f>
        <v/>
      </c>
      <c r="I132" s="82">
        <f>IF(A132="","",SUMIF('23 2026 SEVKİYAT'!$E$2:$E$501,A132,'23 2026 SEVKİYAT'!$H$2:$H$501))</f>
        <v/>
      </c>
      <c r="J132" s="81">
        <f>IF(A132="","",E132+F132-I132)</f>
        <v/>
      </c>
      <c r="K132" s="81">
        <f>IF(A132="","",D132-E132-F132-G132-H132)</f>
        <v/>
      </c>
      <c r="L132" s="58">
        <f>IF(A132="","",IF(ABS(K132)&lt;0.001,"KAPALI","KONTROL"))</f>
        <v/>
      </c>
      <c r="M132" s="56">
        <f>IF(A132="","",IF(J132&lt;0,"SEVK PAKETLEMEYİ AŞIYOR",IF(H132&lt;&gt;0,"PAKETLEME BAKİYESİ VAR","DENKLİK KAPALI")))</f>
        <v/>
      </c>
    </row>
    <row r="133" ht="15" customHeight="1">
      <c r="A133" s="60">
        <f>'21 2026 ÜRETİM'!A133</f>
        <v/>
      </c>
      <c r="B133" s="81">
        <f>IF(A133="","",'21 2026 ÜRETİM'!D133)</f>
        <v/>
      </c>
      <c r="C133" s="81">
        <f>IF(A133="","",'21 2026 ÜRETİM'!E133)</f>
        <v/>
      </c>
      <c r="D133" s="82">
        <f>IF(A133="","",'21 2026 ÜRETİM'!F133)</f>
        <v/>
      </c>
      <c r="E133" s="81">
        <f>IF(A133="","",SUMIF('22 2026 PAKETLEME'!$B$2:$B$501,A133,'22 2026 PAKETLEME'!$E$2:$E$501))</f>
        <v/>
      </c>
      <c r="F133" s="82">
        <f>IF(A133="","",SUMIF('22 2026 PAKETLEME'!$B$2:$B$501,A133,'22 2026 PAKETLEME'!$G$2:$G$501))</f>
        <v/>
      </c>
      <c r="G133" s="81">
        <f>IF(A133="","",SUMIF('22 2026 PAKETLEME'!$B$2:$B$501,A133,'22 2026 PAKETLEME'!$H$2:$H$501))</f>
        <v/>
      </c>
      <c r="H133" s="81">
        <f>IF(A133="","",D133-E133-F133-G133)</f>
        <v/>
      </c>
      <c r="I133" s="82">
        <f>IF(A133="","",SUMIF('23 2026 SEVKİYAT'!$E$2:$E$501,A133,'23 2026 SEVKİYAT'!$H$2:$H$501))</f>
        <v/>
      </c>
      <c r="J133" s="81">
        <f>IF(A133="","",E133+F133-I133)</f>
        <v/>
      </c>
      <c r="K133" s="81">
        <f>IF(A133="","",D133-E133-F133-G133-H133)</f>
        <v/>
      </c>
      <c r="L133" s="58">
        <f>IF(A133="","",IF(ABS(K133)&lt;0.001,"KAPALI","KONTROL"))</f>
        <v/>
      </c>
      <c r="M133" s="56">
        <f>IF(A133="","",IF(J133&lt;0,"SEVK PAKETLEMEYİ AŞIYOR",IF(H133&lt;&gt;0,"PAKETLEME BAKİYESİ VAR","DENKLİK KAPALI")))</f>
        <v/>
      </c>
    </row>
    <row r="134" ht="15" customHeight="1">
      <c r="A134" s="60">
        <f>'21 2026 ÜRETİM'!A134</f>
        <v/>
      </c>
      <c r="B134" s="81">
        <f>IF(A134="","",'21 2026 ÜRETİM'!D134)</f>
        <v/>
      </c>
      <c r="C134" s="81">
        <f>IF(A134="","",'21 2026 ÜRETİM'!E134)</f>
        <v/>
      </c>
      <c r="D134" s="82">
        <f>IF(A134="","",'21 2026 ÜRETİM'!F134)</f>
        <v/>
      </c>
      <c r="E134" s="81">
        <f>IF(A134="","",SUMIF('22 2026 PAKETLEME'!$B$2:$B$501,A134,'22 2026 PAKETLEME'!$E$2:$E$501))</f>
        <v/>
      </c>
      <c r="F134" s="82">
        <f>IF(A134="","",SUMIF('22 2026 PAKETLEME'!$B$2:$B$501,A134,'22 2026 PAKETLEME'!$G$2:$G$501))</f>
        <v/>
      </c>
      <c r="G134" s="81">
        <f>IF(A134="","",SUMIF('22 2026 PAKETLEME'!$B$2:$B$501,A134,'22 2026 PAKETLEME'!$H$2:$H$501))</f>
        <v/>
      </c>
      <c r="H134" s="81">
        <f>IF(A134="","",D134-E134-F134-G134)</f>
        <v/>
      </c>
      <c r="I134" s="82">
        <f>IF(A134="","",SUMIF('23 2026 SEVKİYAT'!$E$2:$E$501,A134,'23 2026 SEVKİYAT'!$H$2:$H$501))</f>
        <v/>
      </c>
      <c r="J134" s="81">
        <f>IF(A134="","",E134+F134-I134)</f>
        <v/>
      </c>
      <c r="K134" s="81">
        <f>IF(A134="","",D134-E134-F134-G134-H134)</f>
        <v/>
      </c>
      <c r="L134" s="58">
        <f>IF(A134="","",IF(ABS(K134)&lt;0.001,"KAPALI","KONTROL"))</f>
        <v/>
      </c>
      <c r="M134" s="56">
        <f>IF(A134="","",IF(J134&lt;0,"SEVK PAKETLEMEYİ AŞIYOR",IF(H134&lt;&gt;0,"PAKETLEME BAKİYESİ VAR","DENKLİK KAPALI")))</f>
        <v/>
      </c>
    </row>
    <row r="135" ht="15" customHeight="1">
      <c r="A135" s="60">
        <f>'21 2026 ÜRETİM'!A135</f>
        <v/>
      </c>
      <c r="B135" s="81">
        <f>IF(A135="","",'21 2026 ÜRETİM'!D135)</f>
        <v/>
      </c>
      <c r="C135" s="81">
        <f>IF(A135="","",'21 2026 ÜRETİM'!E135)</f>
        <v/>
      </c>
      <c r="D135" s="82">
        <f>IF(A135="","",'21 2026 ÜRETİM'!F135)</f>
        <v/>
      </c>
      <c r="E135" s="81">
        <f>IF(A135="","",SUMIF('22 2026 PAKETLEME'!$B$2:$B$501,A135,'22 2026 PAKETLEME'!$E$2:$E$501))</f>
        <v/>
      </c>
      <c r="F135" s="82">
        <f>IF(A135="","",SUMIF('22 2026 PAKETLEME'!$B$2:$B$501,A135,'22 2026 PAKETLEME'!$G$2:$G$501))</f>
        <v/>
      </c>
      <c r="G135" s="81">
        <f>IF(A135="","",SUMIF('22 2026 PAKETLEME'!$B$2:$B$501,A135,'22 2026 PAKETLEME'!$H$2:$H$501))</f>
        <v/>
      </c>
      <c r="H135" s="81">
        <f>IF(A135="","",D135-E135-F135-G135)</f>
        <v/>
      </c>
      <c r="I135" s="82">
        <f>IF(A135="","",SUMIF('23 2026 SEVKİYAT'!$E$2:$E$501,A135,'23 2026 SEVKİYAT'!$H$2:$H$501))</f>
        <v/>
      </c>
      <c r="J135" s="81">
        <f>IF(A135="","",E135+F135-I135)</f>
        <v/>
      </c>
      <c r="K135" s="81">
        <f>IF(A135="","",D135-E135-F135-G135-H135)</f>
        <v/>
      </c>
      <c r="L135" s="58">
        <f>IF(A135="","",IF(ABS(K135)&lt;0.001,"KAPALI","KONTROL"))</f>
        <v/>
      </c>
      <c r="M135" s="56">
        <f>IF(A135="","",IF(J135&lt;0,"SEVK PAKETLEMEYİ AŞIYOR",IF(H135&lt;&gt;0,"PAKETLEME BAKİYESİ VAR","DENKLİK KAPALI")))</f>
        <v/>
      </c>
    </row>
    <row r="136" ht="15" customHeight="1">
      <c r="A136" s="60">
        <f>'21 2026 ÜRETİM'!A136</f>
        <v/>
      </c>
      <c r="B136" s="81">
        <f>IF(A136="","",'21 2026 ÜRETİM'!D136)</f>
        <v/>
      </c>
      <c r="C136" s="81">
        <f>IF(A136="","",'21 2026 ÜRETİM'!E136)</f>
        <v/>
      </c>
      <c r="D136" s="82">
        <f>IF(A136="","",'21 2026 ÜRETİM'!F136)</f>
        <v/>
      </c>
      <c r="E136" s="81">
        <f>IF(A136="","",SUMIF('22 2026 PAKETLEME'!$B$2:$B$501,A136,'22 2026 PAKETLEME'!$E$2:$E$501))</f>
        <v/>
      </c>
      <c r="F136" s="82">
        <f>IF(A136="","",SUMIF('22 2026 PAKETLEME'!$B$2:$B$501,A136,'22 2026 PAKETLEME'!$G$2:$G$501))</f>
        <v/>
      </c>
      <c r="G136" s="81">
        <f>IF(A136="","",SUMIF('22 2026 PAKETLEME'!$B$2:$B$501,A136,'22 2026 PAKETLEME'!$H$2:$H$501))</f>
        <v/>
      </c>
      <c r="H136" s="81">
        <f>IF(A136="","",D136-E136-F136-G136)</f>
        <v/>
      </c>
      <c r="I136" s="82">
        <f>IF(A136="","",SUMIF('23 2026 SEVKİYAT'!$E$2:$E$501,A136,'23 2026 SEVKİYAT'!$H$2:$H$501))</f>
        <v/>
      </c>
      <c r="J136" s="81">
        <f>IF(A136="","",E136+F136-I136)</f>
        <v/>
      </c>
      <c r="K136" s="81">
        <f>IF(A136="","",D136-E136-F136-G136-H136)</f>
        <v/>
      </c>
      <c r="L136" s="58">
        <f>IF(A136="","",IF(ABS(K136)&lt;0.001,"KAPALI","KONTROL"))</f>
        <v/>
      </c>
      <c r="M136" s="56">
        <f>IF(A136="","",IF(J136&lt;0,"SEVK PAKETLEMEYİ AŞIYOR",IF(H136&lt;&gt;0,"PAKETLEME BAKİYESİ VAR","DENKLİK KAPALI")))</f>
        <v/>
      </c>
    </row>
    <row r="137" ht="15" customHeight="1">
      <c r="A137" s="60">
        <f>'21 2026 ÜRETİM'!A137</f>
        <v/>
      </c>
      <c r="B137" s="81">
        <f>IF(A137="","",'21 2026 ÜRETİM'!D137)</f>
        <v/>
      </c>
      <c r="C137" s="81">
        <f>IF(A137="","",'21 2026 ÜRETİM'!E137)</f>
        <v/>
      </c>
      <c r="D137" s="82">
        <f>IF(A137="","",'21 2026 ÜRETİM'!F137)</f>
        <v/>
      </c>
      <c r="E137" s="81">
        <f>IF(A137="","",SUMIF('22 2026 PAKETLEME'!$B$2:$B$501,A137,'22 2026 PAKETLEME'!$E$2:$E$501))</f>
        <v/>
      </c>
      <c r="F137" s="82">
        <f>IF(A137="","",SUMIF('22 2026 PAKETLEME'!$B$2:$B$501,A137,'22 2026 PAKETLEME'!$G$2:$G$501))</f>
        <v/>
      </c>
      <c r="G137" s="81">
        <f>IF(A137="","",SUMIF('22 2026 PAKETLEME'!$B$2:$B$501,A137,'22 2026 PAKETLEME'!$H$2:$H$501))</f>
        <v/>
      </c>
      <c r="H137" s="81">
        <f>IF(A137="","",D137-E137-F137-G137)</f>
        <v/>
      </c>
      <c r="I137" s="82">
        <f>IF(A137="","",SUMIF('23 2026 SEVKİYAT'!$E$2:$E$501,A137,'23 2026 SEVKİYAT'!$H$2:$H$501))</f>
        <v/>
      </c>
      <c r="J137" s="81">
        <f>IF(A137="","",E137+F137-I137)</f>
        <v/>
      </c>
      <c r="K137" s="81">
        <f>IF(A137="","",D137-E137-F137-G137-H137)</f>
        <v/>
      </c>
      <c r="L137" s="58">
        <f>IF(A137="","",IF(ABS(K137)&lt;0.001,"KAPALI","KONTROL"))</f>
        <v/>
      </c>
      <c r="M137" s="56">
        <f>IF(A137="","",IF(J137&lt;0,"SEVK PAKETLEMEYİ AŞIYOR",IF(H137&lt;&gt;0,"PAKETLEME BAKİYESİ VAR","DENKLİK KAPALI")))</f>
        <v/>
      </c>
    </row>
    <row r="138" ht="15" customHeight="1">
      <c r="A138" s="60">
        <f>'21 2026 ÜRETİM'!A138</f>
        <v/>
      </c>
      <c r="B138" s="81">
        <f>IF(A138="","",'21 2026 ÜRETİM'!D138)</f>
        <v/>
      </c>
      <c r="C138" s="81">
        <f>IF(A138="","",'21 2026 ÜRETİM'!E138)</f>
        <v/>
      </c>
      <c r="D138" s="82">
        <f>IF(A138="","",'21 2026 ÜRETİM'!F138)</f>
        <v/>
      </c>
      <c r="E138" s="81">
        <f>IF(A138="","",SUMIF('22 2026 PAKETLEME'!$B$2:$B$501,A138,'22 2026 PAKETLEME'!$E$2:$E$501))</f>
        <v/>
      </c>
      <c r="F138" s="82">
        <f>IF(A138="","",SUMIF('22 2026 PAKETLEME'!$B$2:$B$501,A138,'22 2026 PAKETLEME'!$G$2:$G$501))</f>
        <v/>
      </c>
      <c r="G138" s="81">
        <f>IF(A138="","",SUMIF('22 2026 PAKETLEME'!$B$2:$B$501,A138,'22 2026 PAKETLEME'!$H$2:$H$501))</f>
        <v/>
      </c>
      <c r="H138" s="81">
        <f>IF(A138="","",D138-E138-F138-G138)</f>
        <v/>
      </c>
      <c r="I138" s="82">
        <f>IF(A138="","",SUMIF('23 2026 SEVKİYAT'!$E$2:$E$501,A138,'23 2026 SEVKİYAT'!$H$2:$H$501))</f>
        <v/>
      </c>
      <c r="J138" s="81">
        <f>IF(A138="","",E138+F138-I138)</f>
        <v/>
      </c>
      <c r="K138" s="81">
        <f>IF(A138="","",D138-E138-F138-G138-H138)</f>
        <v/>
      </c>
      <c r="L138" s="58">
        <f>IF(A138="","",IF(ABS(K138)&lt;0.001,"KAPALI","KONTROL"))</f>
        <v/>
      </c>
      <c r="M138" s="56">
        <f>IF(A138="","",IF(J138&lt;0,"SEVK PAKETLEMEYİ AŞIYOR",IF(H138&lt;&gt;0,"PAKETLEME BAKİYESİ VAR","DENKLİK KAPALI")))</f>
        <v/>
      </c>
    </row>
    <row r="139" ht="15" customHeight="1">
      <c r="A139" s="60">
        <f>'21 2026 ÜRETİM'!A139</f>
        <v/>
      </c>
      <c r="B139" s="81">
        <f>IF(A139="","",'21 2026 ÜRETİM'!D139)</f>
        <v/>
      </c>
      <c r="C139" s="81">
        <f>IF(A139="","",'21 2026 ÜRETİM'!E139)</f>
        <v/>
      </c>
      <c r="D139" s="82">
        <f>IF(A139="","",'21 2026 ÜRETİM'!F139)</f>
        <v/>
      </c>
      <c r="E139" s="81">
        <f>IF(A139="","",SUMIF('22 2026 PAKETLEME'!$B$2:$B$501,A139,'22 2026 PAKETLEME'!$E$2:$E$501))</f>
        <v/>
      </c>
      <c r="F139" s="82">
        <f>IF(A139="","",SUMIF('22 2026 PAKETLEME'!$B$2:$B$501,A139,'22 2026 PAKETLEME'!$G$2:$G$501))</f>
        <v/>
      </c>
      <c r="G139" s="81">
        <f>IF(A139="","",SUMIF('22 2026 PAKETLEME'!$B$2:$B$501,A139,'22 2026 PAKETLEME'!$H$2:$H$501))</f>
        <v/>
      </c>
      <c r="H139" s="81">
        <f>IF(A139="","",D139-E139-F139-G139)</f>
        <v/>
      </c>
      <c r="I139" s="82">
        <f>IF(A139="","",SUMIF('23 2026 SEVKİYAT'!$E$2:$E$501,A139,'23 2026 SEVKİYAT'!$H$2:$H$501))</f>
        <v/>
      </c>
      <c r="J139" s="81">
        <f>IF(A139="","",E139+F139-I139)</f>
        <v/>
      </c>
      <c r="K139" s="81">
        <f>IF(A139="","",D139-E139-F139-G139-H139)</f>
        <v/>
      </c>
      <c r="L139" s="58">
        <f>IF(A139="","",IF(ABS(K139)&lt;0.001,"KAPALI","KONTROL"))</f>
        <v/>
      </c>
      <c r="M139" s="56">
        <f>IF(A139="","",IF(J139&lt;0,"SEVK PAKETLEMEYİ AŞIYOR",IF(H139&lt;&gt;0,"PAKETLEME BAKİYESİ VAR","DENKLİK KAPALI")))</f>
        <v/>
      </c>
    </row>
    <row r="140" ht="15" customHeight="1">
      <c r="A140" s="60">
        <f>'21 2026 ÜRETİM'!A140</f>
        <v/>
      </c>
      <c r="B140" s="81">
        <f>IF(A140="","",'21 2026 ÜRETİM'!D140)</f>
        <v/>
      </c>
      <c r="C140" s="81">
        <f>IF(A140="","",'21 2026 ÜRETİM'!E140)</f>
        <v/>
      </c>
      <c r="D140" s="82">
        <f>IF(A140="","",'21 2026 ÜRETİM'!F140)</f>
        <v/>
      </c>
      <c r="E140" s="81">
        <f>IF(A140="","",SUMIF('22 2026 PAKETLEME'!$B$2:$B$501,A140,'22 2026 PAKETLEME'!$E$2:$E$501))</f>
        <v/>
      </c>
      <c r="F140" s="82">
        <f>IF(A140="","",SUMIF('22 2026 PAKETLEME'!$B$2:$B$501,A140,'22 2026 PAKETLEME'!$G$2:$G$501))</f>
        <v/>
      </c>
      <c r="G140" s="81">
        <f>IF(A140="","",SUMIF('22 2026 PAKETLEME'!$B$2:$B$501,A140,'22 2026 PAKETLEME'!$H$2:$H$501))</f>
        <v/>
      </c>
      <c r="H140" s="81">
        <f>IF(A140="","",D140-E140-F140-G140)</f>
        <v/>
      </c>
      <c r="I140" s="82">
        <f>IF(A140="","",SUMIF('23 2026 SEVKİYAT'!$E$2:$E$501,A140,'23 2026 SEVKİYAT'!$H$2:$H$501))</f>
        <v/>
      </c>
      <c r="J140" s="81">
        <f>IF(A140="","",E140+F140-I140)</f>
        <v/>
      </c>
      <c r="K140" s="81">
        <f>IF(A140="","",D140-E140-F140-G140-H140)</f>
        <v/>
      </c>
      <c r="L140" s="58">
        <f>IF(A140="","",IF(ABS(K140)&lt;0.001,"KAPALI","KONTROL"))</f>
        <v/>
      </c>
      <c r="M140" s="56">
        <f>IF(A140="","",IF(J140&lt;0,"SEVK PAKETLEMEYİ AŞIYOR",IF(H140&lt;&gt;0,"PAKETLEME BAKİYESİ VAR","DENKLİK KAPALI")))</f>
        <v/>
      </c>
    </row>
    <row r="141" ht="15" customHeight="1">
      <c r="A141" s="60">
        <f>'21 2026 ÜRETİM'!A141</f>
        <v/>
      </c>
      <c r="B141" s="81">
        <f>IF(A141="","",'21 2026 ÜRETİM'!D141)</f>
        <v/>
      </c>
      <c r="C141" s="81">
        <f>IF(A141="","",'21 2026 ÜRETİM'!E141)</f>
        <v/>
      </c>
      <c r="D141" s="82">
        <f>IF(A141="","",'21 2026 ÜRETİM'!F141)</f>
        <v/>
      </c>
      <c r="E141" s="81">
        <f>IF(A141="","",SUMIF('22 2026 PAKETLEME'!$B$2:$B$501,A141,'22 2026 PAKETLEME'!$E$2:$E$501))</f>
        <v/>
      </c>
      <c r="F141" s="82">
        <f>IF(A141="","",SUMIF('22 2026 PAKETLEME'!$B$2:$B$501,A141,'22 2026 PAKETLEME'!$G$2:$G$501))</f>
        <v/>
      </c>
      <c r="G141" s="81">
        <f>IF(A141="","",SUMIF('22 2026 PAKETLEME'!$B$2:$B$501,A141,'22 2026 PAKETLEME'!$H$2:$H$501))</f>
        <v/>
      </c>
      <c r="H141" s="81">
        <f>IF(A141="","",D141-E141-F141-G141)</f>
        <v/>
      </c>
      <c r="I141" s="82">
        <f>IF(A141="","",SUMIF('23 2026 SEVKİYAT'!$E$2:$E$501,A141,'23 2026 SEVKİYAT'!$H$2:$H$501))</f>
        <v/>
      </c>
      <c r="J141" s="81">
        <f>IF(A141="","",E141+F141-I141)</f>
        <v/>
      </c>
      <c r="K141" s="81">
        <f>IF(A141="","",D141-E141-F141-G141-H141)</f>
        <v/>
      </c>
      <c r="L141" s="58">
        <f>IF(A141="","",IF(ABS(K141)&lt;0.001,"KAPALI","KONTROL"))</f>
        <v/>
      </c>
      <c r="M141" s="56">
        <f>IF(A141="","",IF(J141&lt;0,"SEVK PAKETLEMEYİ AŞIYOR",IF(H141&lt;&gt;0,"PAKETLEME BAKİYESİ VAR","DENKLİK KAPALI")))</f>
        <v/>
      </c>
    </row>
    <row r="142" ht="15" customHeight="1">
      <c r="A142" s="60">
        <f>'21 2026 ÜRETİM'!A142</f>
        <v/>
      </c>
      <c r="B142" s="81">
        <f>IF(A142="","",'21 2026 ÜRETİM'!D142)</f>
        <v/>
      </c>
      <c r="C142" s="81">
        <f>IF(A142="","",'21 2026 ÜRETİM'!E142)</f>
        <v/>
      </c>
      <c r="D142" s="82">
        <f>IF(A142="","",'21 2026 ÜRETİM'!F142)</f>
        <v/>
      </c>
      <c r="E142" s="81">
        <f>IF(A142="","",SUMIF('22 2026 PAKETLEME'!$B$2:$B$501,A142,'22 2026 PAKETLEME'!$E$2:$E$501))</f>
        <v/>
      </c>
      <c r="F142" s="82">
        <f>IF(A142="","",SUMIF('22 2026 PAKETLEME'!$B$2:$B$501,A142,'22 2026 PAKETLEME'!$G$2:$G$501))</f>
        <v/>
      </c>
      <c r="G142" s="81">
        <f>IF(A142="","",SUMIF('22 2026 PAKETLEME'!$B$2:$B$501,A142,'22 2026 PAKETLEME'!$H$2:$H$501))</f>
        <v/>
      </c>
      <c r="H142" s="81">
        <f>IF(A142="","",D142-E142-F142-G142)</f>
        <v/>
      </c>
      <c r="I142" s="82">
        <f>IF(A142="","",SUMIF('23 2026 SEVKİYAT'!$E$2:$E$501,A142,'23 2026 SEVKİYAT'!$H$2:$H$501))</f>
        <v/>
      </c>
      <c r="J142" s="81">
        <f>IF(A142="","",E142+F142-I142)</f>
        <v/>
      </c>
      <c r="K142" s="81">
        <f>IF(A142="","",D142-E142-F142-G142-H142)</f>
        <v/>
      </c>
      <c r="L142" s="58">
        <f>IF(A142="","",IF(ABS(K142)&lt;0.001,"KAPALI","KONTROL"))</f>
        <v/>
      </c>
      <c r="M142" s="56">
        <f>IF(A142="","",IF(J142&lt;0,"SEVK PAKETLEMEYİ AŞIYOR",IF(H142&lt;&gt;0,"PAKETLEME BAKİYESİ VAR","DENKLİK KAPALI")))</f>
        <v/>
      </c>
    </row>
    <row r="143" ht="15" customHeight="1">
      <c r="A143" s="60">
        <f>'21 2026 ÜRETİM'!A143</f>
        <v/>
      </c>
      <c r="B143" s="81">
        <f>IF(A143="","",'21 2026 ÜRETİM'!D143)</f>
        <v/>
      </c>
      <c r="C143" s="81">
        <f>IF(A143="","",'21 2026 ÜRETİM'!E143)</f>
        <v/>
      </c>
      <c r="D143" s="82">
        <f>IF(A143="","",'21 2026 ÜRETİM'!F143)</f>
        <v/>
      </c>
      <c r="E143" s="81">
        <f>IF(A143="","",SUMIF('22 2026 PAKETLEME'!$B$2:$B$501,A143,'22 2026 PAKETLEME'!$E$2:$E$501))</f>
        <v/>
      </c>
      <c r="F143" s="82">
        <f>IF(A143="","",SUMIF('22 2026 PAKETLEME'!$B$2:$B$501,A143,'22 2026 PAKETLEME'!$G$2:$G$501))</f>
        <v/>
      </c>
      <c r="G143" s="81">
        <f>IF(A143="","",SUMIF('22 2026 PAKETLEME'!$B$2:$B$501,A143,'22 2026 PAKETLEME'!$H$2:$H$501))</f>
        <v/>
      </c>
      <c r="H143" s="81">
        <f>IF(A143="","",D143-E143-F143-G143)</f>
        <v/>
      </c>
      <c r="I143" s="82">
        <f>IF(A143="","",SUMIF('23 2026 SEVKİYAT'!$E$2:$E$501,A143,'23 2026 SEVKİYAT'!$H$2:$H$501))</f>
        <v/>
      </c>
      <c r="J143" s="81">
        <f>IF(A143="","",E143+F143-I143)</f>
        <v/>
      </c>
      <c r="K143" s="81">
        <f>IF(A143="","",D143-E143-F143-G143-H143)</f>
        <v/>
      </c>
      <c r="L143" s="58">
        <f>IF(A143="","",IF(ABS(K143)&lt;0.001,"KAPALI","KONTROL"))</f>
        <v/>
      </c>
      <c r="M143" s="56">
        <f>IF(A143="","",IF(J143&lt;0,"SEVK PAKETLEMEYİ AŞIYOR",IF(H143&lt;&gt;0,"PAKETLEME BAKİYESİ VAR","DENKLİK KAPALI")))</f>
        <v/>
      </c>
    </row>
    <row r="144" ht="15" customHeight="1">
      <c r="A144" s="60">
        <f>'21 2026 ÜRETİM'!A144</f>
        <v/>
      </c>
      <c r="B144" s="81">
        <f>IF(A144="","",'21 2026 ÜRETİM'!D144)</f>
        <v/>
      </c>
      <c r="C144" s="81">
        <f>IF(A144="","",'21 2026 ÜRETİM'!E144)</f>
        <v/>
      </c>
      <c r="D144" s="82">
        <f>IF(A144="","",'21 2026 ÜRETİM'!F144)</f>
        <v/>
      </c>
      <c r="E144" s="81">
        <f>IF(A144="","",SUMIF('22 2026 PAKETLEME'!$B$2:$B$501,A144,'22 2026 PAKETLEME'!$E$2:$E$501))</f>
        <v/>
      </c>
      <c r="F144" s="82">
        <f>IF(A144="","",SUMIF('22 2026 PAKETLEME'!$B$2:$B$501,A144,'22 2026 PAKETLEME'!$G$2:$G$501))</f>
        <v/>
      </c>
      <c r="G144" s="81">
        <f>IF(A144="","",SUMIF('22 2026 PAKETLEME'!$B$2:$B$501,A144,'22 2026 PAKETLEME'!$H$2:$H$501))</f>
        <v/>
      </c>
      <c r="H144" s="81">
        <f>IF(A144="","",D144-E144-F144-G144)</f>
        <v/>
      </c>
      <c r="I144" s="82">
        <f>IF(A144="","",SUMIF('23 2026 SEVKİYAT'!$E$2:$E$501,A144,'23 2026 SEVKİYAT'!$H$2:$H$501))</f>
        <v/>
      </c>
      <c r="J144" s="81">
        <f>IF(A144="","",E144+F144-I144)</f>
        <v/>
      </c>
      <c r="K144" s="81">
        <f>IF(A144="","",D144-E144-F144-G144-H144)</f>
        <v/>
      </c>
      <c r="L144" s="58">
        <f>IF(A144="","",IF(ABS(K144)&lt;0.001,"KAPALI","KONTROL"))</f>
        <v/>
      </c>
      <c r="M144" s="56">
        <f>IF(A144="","",IF(J144&lt;0,"SEVK PAKETLEMEYİ AŞIYOR",IF(H144&lt;&gt;0,"PAKETLEME BAKİYESİ VAR","DENKLİK KAPALI")))</f>
        <v/>
      </c>
    </row>
    <row r="145" ht="15" customHeight="1">
      <c r="A145" s="60">
        <f>'21 2026 ÜRETİM'!A145</f>
        <v/>
      </c>
      <c r="B145" s="81">
        <f>IF(A145="","",'21 2026 ÜRETİM'!D145)</f>
        <v/>
      </c>
      <c r="C145" s="81">
        <f>IF(A145="","",'21 2026 ÜRETİM'!E145)</f>
        <v/>
      </c>
      <c r="D145" s="82">
        <f>IF(A145="","",'21 2026 ÜRETİM'!F145)</f>
        <v/>
      </c>
      <c r="E145" s="81">
        <f>IF(A145="","",SUMIF('22 2026 PAKETLEME'!$B$2:$B$501,A145,'22 2026 PAKETLEME'!$E$2:$E$501))</f>
        <v/>
      </c>
      <c r="F145" s="82">
        <f>IF(A145="","",SUMIF('22 2026 PAKETLEME'!$B$2:$B$501,A145,'22 2026 PAKETLEME'!$G$2:$G$501))</f>
        <v/>
      </c>
      <c r="G145" s="81">
        <f>IF(A145="","",SUMIF('22 2026 PAKETLEME'!$B$2:$B$501,A145,'22 2026 PAKETLEME'!$H$2:$H$501))</f>
        <v/>
      </c>
      <c r="H145" s="81">
        <f>IF(A145="","",D145-E145-F145-G145)</f>
        <v/>
      </c>
      <c r="I145" s="82">
        <f>IF(A145="","",SUMIF('23 2026 SEVKİYAT'!$E$2:$E$501,A145,'23 2026 SEVKİYAT'!$H$2:$H$501))</f>
        <v/>
      </c>
      <c r="J145" s="81">
        <f>IF(A145="","",E145+F145-I145)</f>
        <v/>
      </c>
      <c r="K145" s="81">
        <f>IF(A145="","",D145-E145-F145-G145-H145)</f>
        <v/>
      </c>
      <c r="L145" s="58">
        <f>IF(A145="","",IF(ABS(K145)&lt;0.001,"KAPALI","KONTROL"))</f>
        <v/>
      </c>
      <c r="M145" s="56">
        <f>IF(A145="","",IF(J145&lt;0,"SEVK PAKETLEMEYİ AŞIYOR",IF(H145&lt;&gt;0,"PAKETLEME BAKİYESİ VAR","DENKLİK KAPALI")))</f>
        <v/>
      </c>
    </row>
    <row r="146" ht="15" customHeight="1">
      <c r="A146" s="60">
        <f>'21 2026 ÜRETİM'!A146</f>
        <v/>
      </c>
      <c r="B146" s="81">
        <f>IF(A146="","",'21 2026 ÜRETİM'!D146)</f>
        <v/>
      </c>
      <c r="C146" s="81">
        <f>IF(A146="","",'21 2026 ÜRETİM'!E146)</f>
        <v/>
      </c>
      <c r="D146" s="82">
        <f>IF(A146="","",'21 2026 ÜRETİM'!F146)</f>
        <v/>
      </c>
      <c r="E146" s="81">
        <f>IF(A146="","",SUMIF('22 2026 PAKETLEME'!$B$2:$B$501,A146,'22 2026 PAKETLEME'!$E$2:$E$501))</f>
        <v/>
      </c>
      <c r="F146" s="82">
        <f>IF(A146="","",SUMIF('22 2026 PAKETLEME'!$B$2:$B$501,A146,'22 2026 PAKETLEME'!$G$2:$G$501))</f>
        <v/>
      </c>
      <c r="G146" s="81">
        <f>IF(A146="","",SUMIF('22 2026 PAKETLEME'!$B$2:$B$501,A146,'22 2026 PAKETLEME'!$H$2:$H$501))</f>
        <v/>
      </c>
      <c r="H146" s="81">
        <f>IF(A146="","",D146-E146-F146-G146)</f>
        <v/>
      </c>
      <c r="I146" s="82">
        <f>IF(A146="","",SUMIF('23 2026 SEVKİYAT'!$E$2:$E$501,A146,'23 2026 SEVKİYAT'!$H$2:$H$501))</f>
        <v/>
      </c>
      <c r="J146" s="81">
        <f>IF(A146="","",E146+F146-I146)</f>
        <v/>
      </c>
      <c r="K146" s="81">
        <f>IF(A146="","",D146-E146-F146-G146-H146)</f>
        <v/>
      </c>
      <c r="L146" s="58">
        <f>IF(A146="","",IF(ABS(K146)&lt;0.001,"KAPALI","KONTROL"))</f>
        <v/>
      </c>
      <c r="M146" s="56">
        <f>IF(A146="","",IF(J146&lt;0,"SEVK PAKETLEMEYİ AŞIYOR",IF(H146&lt;&gt;0,"PAKETLEME BAKİYESİ VAR","DENKLİK KAPALI")))</f>
        <v/>
      </c>
    </row>
    <row r="147" ht="15" customHeight="1">
      <c r="A147" s="60">
        <f>'21 2026 ÜRETİM'!A147</f>
        <v/>
      </c>
      <c r="B147" s="81">
        <f>IF(A147="","",'21 2026 ÜRETİM'!D147)</f>
        <v/>
      </c>
      <c r="C147" s="81">
        <f>IF(A147="","",'21 2026 ÜRETİM'!E147)</f>
        <v/>
      </c>
      <c r="D147" s="82">
        <f>IF(A147="","",'21 2026 ÜRETİM'!F147)</f>
        <v/>
      </c>
      <c r="E147" s="81">
        <f>IF(A147="","",SUMIF('22 2026 PAKETLEME'!$B$2:$B$501,A147,'22 2026 PAKETLEME'!$E$2:$E$501))</f>
        <v/>
      </c>
      <c r="F147" s="82">
        <f>IF(A147="","",SUMIF('22 2026 PAKETLEME'!$B$2:$B$501,A147,'22 2026 PAKETLEME'!$G$2:$G$501))</f>
        <v/>
      </c>
      <c r="G147" s="81">
        <f>IF(A147="","",SUMIF('22 2026 PAKETLEME'!$B$2:$B$501,A147,'22 2026 PAKETLEME'!$H$2:$H$501))</f>
        <v/>
      </c>
      <c r="H147" s="81">
        <f>IF(A147="","",D147-E147-F147-G147)</f>
        <v/>
      </c>
      <c r="I147" s="82">
        <f>IF(A147="","",SUMIF('23 2026 SEVKİYAT'!$E$2:$E$501,A147,'23 2026 SEVKİYAT'!$H$2:$H$501))</f>
        <v/>
      </c>
      <c r="J147" s="81">
        <f>IF(A147="","",E147+F147-I147)</f>
        <v/>
      </c>
      <c r="K147" s="81">
        <f>IF(A147="","",D147-E147-F147-G147-H147)</f>
        <v/>
      </c>
      <c r="L147" s="58">
        <f>IF(A147="","",IF(ABS(K147)&lt;0.001,"KAPALI","KONTROL"))</f>
        <v/>
      </c>
      <c r="M147" s="56">
        <f>IF(A147="","",IF(J147&lt;0,"SEVK PAKETLEMEYİ AŞIYOR",IF(H147&lt;&gt;0,"PAKETLEME BAKİYESİ VAR","DENKLİK KAPALI")))</f>
        <v/>
      </c>
    </row>
    <row r="148" ht="15" customHeight="1">
      <c r="A148" s="60">
        <f>'21 2026 ÜRETİM'!A148</f>
        <v/>
      </c>
      <c r="B148" s="81">
        <f>IF(A148="","",'21 2026 ÜRETİM'!D148)</f>
        <v/>
      </c>
      <c r="C148" s="81">
        <f>IF(A148="","",'21 2026 ÜRETİM'!E148)</f>
        <v/>
      </c>
      <c r="D148" s="82">
        <f>IF(A148="","",'21 2026 ÜRETİM'!F148)</f>
        <v/>
      </c>
      <c r="E148" s="81">
        <f>IF(A148="","",SUMIF('22 2026 PAKETLEME'!$B$2:$B$501,A148,'22 2026 PAKETLEME'!$E$2:$E$501))</f>
        <v/>
      </c>
      <c r="F148" s="82">
        <f>IF(A148="","",SUMIF('22 2026 PAKETLEME'!$B$2:$B$501,A148,'22 2026 PAKETLEME'!$G$2:$G$501))</f>
        <v/>
      </c>
      <c r="G148" s="81">
        <f>IF(A148="","",SUMIF('22 2026 PAKETLEME'!$B$2:$B$501,A148,'22 2026 PAKETLEME'!$H$2:$H$501))</f>
        <v/>
      </c>
      <c r="H148" s="81">
        <f>IF(A148="","",D148-E148-F148-G148)</f>
        <v/>
      </c>
      <c r="I148" s="82">
        <f>IF(A148="","",SUMIF('23 2026 SEVKİYAT'!$E$2:$E$501,A148,'23 2026 SEVKİYAT'!$H$2:$H$501))</f>
        <v/>
      </c>
      <c r="J148" s="81">
        <f>IF(A148="","",E148+F148-I148)</f>
        <v/>
      </c>
      <c r="K148" s="81">
        <f>IF(A148="","",D148-E148-F148-G148-H148)</f>
        <v/>
      </c>
      <c r="L148" s="58">
        <f>IF(A148="","",IF(ABS(K148)&lt;0.001,"KAPALI","KONTROL"))</f>
        <v/>
      </c>
      <c r="M148" s="56">
        <f>IF(A148="","",IF(J148&lt;0,"SEVK PAKETLEMEYİ AŞIYOR",IF(H148&lt;&gt;0,"PAKETLEME BAKİYESİ VAR","DENKLİK KAPALI")))</f>
        <v/>
      </c>
    </row>
    <row r="149" ht="15" customHeight="1">
      <c r="A149" s="60">
        <f>'21 2026 ÜRETİM'!A149</f>
        <v/>
      </c>
      <c r="B149" s="81">
        <f>IF(A149="","",'21 2026 ÜRETİM'!D149)</f>
        <v/>
      </c>
      <c r="C149" s="81">
        <f>IF(A149="","",'21 2026 ÜRETİM'!E149)</f>
        <v/>
      </c>
      <c r="D149" s="82">
        <f>IF(A149="","",'21 2026 ÜRETİM'!F149)</f>
        <v/>
      </c>
      <c r="E149" s="81">
        <f>IF(A149="","",SUMIF('22 2026 PAKETLEME'!$B$2:$B$501,A149,'22 2026 PAKETLEME'!$E$2:$E$501))</f>
        <v/>
      </c>
      <c r="F149" s="82">
        <f>IF(A149="","",SUMIF('22 2026 PAKETLEME'!$B$2:$B$501,A149,'22 2026 PAKETLEME'!$G$2:$G$501))</f>
        <v/>
      </c>
      <c r="G149" s="81">
        <f>IF(A149="","",SUMIF('22 2026 PAKETLEME'!$B$2:$B$501,A149,'22 2026 PAKETLEME'!$H$2:$H$501))</f>
        <v/>
      </c>
      <c r="H149" s="81">
        <f>IF(A149="","",D149-E149-F149-G149)</f>
        <v/>
      </c>
      <c r="I149" s="82">
        <f>IF(A149="","",SUMIF('23 2026 SEVKİYAT'!$E$2:$E$501,A149,'23 2026 SEVKİYAT'!$H$2:$H$501))</f>
        <v/>
      </c>
      <c r="J149" s="81">
        <f>IF(A149="","",E149+F149-I149)</f>
        <v/>
      </c>
      <c r="K149" s="81">
        <f>IF(A149="","",D149-E149-F149-G149-H149)</f>
        <v/>
      </c>
      <c r="L149" s="58">
        <f>IF(A149="","",IF(ABS(K149)&lt;0.001,"KAPALI","KONTROL"))</f>
        <v/>
      </c>
      <c r="M149" s="56">
        <f>IF(A149="","",IF(J149&lt;0,"SEVK PAKETLEMEYİ AŞIYOR",IF(H149&lt;&gt;0,"PAKETLEME BAKİYESİ VAR","DENKLİK KAPALI")))</f>
        <v/>
      </c>
    </row>
    <row r="150" ht="15" customHeight="1">
      <c r="A150" s="60">
        <f>'21 2026 ÜRETİM'!A150</f>
        <v/>
      </c>
      <c r="B150" s="81">
        <f>IF(A150="","",'21 2026 ÜRETİM'!D150)</f>
        <v/>
      </c>
      <c r="C150" s="81">
        <f>IF(A150="","",'21 2026 ÜRETİM'!E150)</f>
        <v/>
      </c>
      <c r="D150" s="82">
        <f>IF(A150="","",'21 2026 ÜRETİM'!F150)</f>
        <v/>
      </c>
      <c r="E150" s="81">
        <f>IF(A150="","",SUMIF('22 2026 PAKETLEME'!$B$2:$B$501,A150,'22 2026 PAKETLEME'!$E$2:$E$501))</f>
        <v/>
      </c>
      <c r="F150" s="82">
        <f>IF(A150="","",SUMIF('22 2026 PAKETLEME'!$B$2:$B$501,A150,'22 2026 PAKETLEME'!$G$2:$G$501))</f>
        <v/>
      </c>
      <c r="G150" s="81">
        <f>IF(A150="","",SUMIF('22 2026 PAKETLEME'!$B$2:$B$501,A150,'22 2026 PAKETLEME'!$H$2:$H$501))</f>
        <v/>
      </c>
      <c r="H150" s="81">
        <f>IF(A150="","",D150-E150-F150-G150)</f>
        <v/>
      </c>
      <c r="I150" s="82">
        <f>IF(A150="","",SUMIF('23 2026 SEVKİYAT'!$E$2:$E$501,A150,'23 2026 SEVKİYAT'!$H$2:$H$501))</f>
        <v/>
      </c>
      <c r="J150" s="81">
        <f>IF(A150="","",E150+F150-I150)</f>
        <v/>
      </c>
      <c r="K150" s="81">
        <f>IF(A150="","",D150-E150-F150-G150-H150)</f>
        <v/>
      </c>
      <c r="L150" s="58">
        <f>IF(A150="","",IF(ABS(K150)&lt;0.001,"KAPALI","KONTROL"))</f>
        <v/>
      </c>
      <c r="M150" s="56">
        <f>IF(A150="","",IF(J150&lt;0,"SEVK PAKETLEMEYİ AŞIYOR",IF(H150&lt;&gt;0,"PAKETLEME BAKİYESİ VAR","DENKLİK KAPALI")))</f>
        <v/>
      </c>
    </row>
    <row r="151" ht="15" customHeight="1">
      <c r="A151" s="60">
        <f>'21 2026 ÜRETİM'!A151</f>
        <v/>
      </c>
      <c r="B151" s="81">
        <f>IF(A151="","",'21 2026 ÜRETİM'!D151)</f>
        <v/>
      </c>
      <c r="C151" s="81">
        <f>IF(A151="","",'21 2026 ÜRETİM'!E151)</f>
        <v/>
      </c>
      <c r="D151" s="82">
        <f>IF(A151="","",'21 2026 ÜRETİM'!F151)</f>
        <v/>
      </c>
      <c r="E151" s="81">
        <f>IF(A151="","",SUMIF('22 2026 PAKETLEME'!$B$2:$B$501,A151,'22 2026 PAKETLEME'!$E$2:$E$501))</f>
        <v/>
      </c>
      <c r="F151" s="82">
        <f>IF(A151="","",SUMIF('22 2026 PAKETLEME'!$B$2:$B$501,A151,'22 2026 PAKETLEME'!$G$2:$G$501))</f>
        <v/>
      </c>
      <c r="G151" s="81">
        <f>IF(A151="","",SUMIF('22 2026 PAKETLEME'!$B$2:$B$501,A151,'22 2026 PAKETLEME'!$H$2:$H$501))</f>
        <v/>
      </c>
      <c r="H151" s="81">
        <f>IF(A151="","",D151-E151-F151-G151)</f>
        <v/>
      </c>
      <c r="I151" s="82">
        <f>IF(A151="","",SUMIF('23 2026 SEVKİYAT'!$E$2:$E$501,A151,'23 2026 SEVKİYAT'!$H$2:$H$501))</f>
        <v/>
      </c>
      <c r="J151" s="81">
        <f>IF(A151="","",E151+F151-I151)</f>
        <v/>
      </c>
      <c r="K151" s="81">
        <f>IF(A151="","",D151-E151-F151-G151-H151)</f>
        <v/>
      </c>
      <c r="L151" s="58">
        <f>IF(A151="","",IF(ABS(K151)&lt;0.001,"KAPALI","KONTROL"))</f>
        <v/>
      </c>
      <c r="M151" s="56">
        <f>IF(A151="","",IF(J151&lt;0,"SEVK PAKETLEMEYİ AŞIYOR",IF(H151&lt;&gt;0,"PAKETLEME BAKİYESİ VAR","DENKLİK KAPALI")))</f>
        <v/>
      </c>
    </row>
    <row r="152" ht="15" customHeight="1">
      <c r="A152" s="60">
        <f>'21 2026 ÜRETİM'!A152</f>
        <v/>
      </c>
      <c r="B152" s="81">
        <f>IF(A152="","",'21 2026 ÜRETİM'!D152)</f>
        <v/>
      </c>
      <c r="C152" s="81">
        <f>IF(A152="","",'21 2026 ÜRETİM'!E152)</f>
        <v/>
      </c>
      <c r="D152" s="82">
        <f>IF(A152="","",'21 2026 ÜRETİM'!F152)</f>
        <v/>
      </c>
      <c r="E152" s="81">
        <f>IF(A152="","",SUMIF('22 2026 PAKETLEME'!$B$2:$B$501,A152,'22 2026 PAKETLEME'!$E$2:$E$501))</f>
        <v/>
      </c>
      <c r="F152" s="82">
        <f>IF(A152="","",SUMIF('22 2026 PAKETLEME'!$B$2:$B$501,A152,'22 2026 PAKETLEME'!$G$2:$G$501))</f>
        <v/>
      </c>
      <c r="G152" s="81">
        <f>IF(A152="","",SUMIF('22 2026 PAKETLEME'!$B$2:$B$501,A152,'22 2026 PAKETLEME'!$H$2:$H$501))</f>
        <v/>
      </c>
      <c r="H152" s="81">
        <f>IF(A152="","",D152-E152-F152-G152)</f>
        <v/>
      </c>
      <c r="I152" s="82">
        <f>IF(A152="","",SUMIF('23 2026 SEVKİYAT'!$E$2:$E$501,A152,'23 2026 SEVKİYAT'!$H$2:$H$501))</f>
        <v/>
      </c>
      <c r="J152" s="81">
        <f>IF(A152="","",E152+F152-I152)</f>
        <v/>
      </c>
      <c r="K152" s="81">
        <f>IF(A152="","",D152-E152-F152-G152-H152)</f>
        <v/>
      </c>
      <c r="L152" s="58">
        <f>IF(A152="","",IF(ABS(K152)&lt;0.001,"KAPALI","KONTROL"))</f>
        <v/>
      </c>
      <c r="M152" s="56">
        <f>IF(A152="","",IF(J152&lt;0,"SEVK PAKETLEMEYİ AŞIYOR",IF(H152&lt;&gt;0,"PAKETLEME BAKİYESİ VAR","DENKLİK KAPALI")))</f>
        <v/>
      </c>
    </row>
    <row r="153" ht="15" customHeight="1">
      <c r="A153" s="60">
        <f>'21 2026 ÜRETİM'!A153</f>
        <v/>
      </c>
      <c r="B153" s="81">
        <f>IF(A153="","",'21 2026 ÜRETİM'!D153)</f>
        <v/>
      </c>
      <c r="C153" s="81">
        <f>IF(A153="","",'21 2026 ÜRETİM'!E153)</f>
        <v/>
      </c>
      <c r="D153" s="82">
        <f>IF(A153="","",'21 2026 ÜRETİM'!F153)</f>
        <v/>
      </c>
      <c r="E153" s="81">
        <f>IF(A153="","",SUMIF('22 2026 PAKETLEME'!$B$2:$B$501,A153,'22 2026 PAKETLEME'!$E$2:$E$501))</f>
        <v/>
      </c>
      <c r="F153" s="82">
        <f>IF(A153="","",SUMIF('22 2026 PAKETLEME'!$B$2:$B$501,A153,'22 2026 PAKETLEME'!$G$2:$G$501))</f>
        <v/>
      </c>
      <c r="G153" s="81">
        <f>IF(A153="","",SUMIF('22 2026 PAKETLEME'!$B$2:$B$501,A153,'22 2026 PAKETLEME'!$H$2:$H$501))</f>
        <v/>
      </c>
      <c r="H153" s="81">
        <f>IF(A153="","",D153-E153-F153-G153)</f>
        <v/>
      </c>
      <c r="I153" s="82">
        <f>IF(A153="","",SUMIF('23 2026 SEVKİYAT'!$E$2:$E$501,A153,'23 2026 SEVKİYAT'!$H$2:$H$501))</f>
        <v/>
      </c>
      <c r="J153" s="81">
        <f>IF(A153="","",E153+F153-I153)</f>
        <v/>
      </c>
      <c r="K153" s="81">
        <f>IF(A153="","",D153-E153-F153-G153-H153)</f>
        <v/>
      </c>
      <c r="L153" s="58">
        <f>IF(A153="","",IF(ABS(K153)&lt;0.001,"KAPALI","KONTROL"))</f>
        <v/>
      </c>
      <c r="M153" s="56">
        <f>IF(A153="","",IF(J153&lt;0,"SEVK PAKETLEMEYİ AŞIYOR",IF(H153&lt;&gt;0,"PAKETLEME BAKİYESİ VAR","DENKLİK KAPALI")))</f>
        <v/>
      </c>
    </row>
    <row r="154" ht="15" customHeight="1">
      <c r="A154" s="60">
        <f>'21 2026 ÜRETİM'!A154</f>
        <v/>
      </c>
      <c r="B154" s="81">
        <f>IF(A154="","",'21 2026 ÜRETİM'!D154)</f>
        <v/>
      </c>
      <c r="C154" s="81">
        <f>IF(A154="","",'21 2026 ÜRETİM'!E154)</f>
        <v/>
      </c>
      <c r="D154" s="82">
        <f>IF(A154="","",'21 2026 ÜRETİM'!F154)</f>
        <v/>
      </c>
      <c r="E154" s="81">
        <f>IF(A154="","",SUMIF('22 2026 PAKETLEME'!$B$2:$B$501,A154,'22 2026 PAKETLEME'!$E$2:$E$501))</f>
        <v/>
      </c>
      <c r="F154" s="82">
        <f>IF(A154="","",SUMIF('22 2026 PAKETLEME'!$B$2:$B$501,A154,'22 2026 PAKETLEME'!$G$2:$G$501))</f>
        <v/>
      </c>
      <c r="G154" s="81">
        <f>IF(A154="","",SUMIF('22 2026 PAKETLEME'!$B$2:$B$501,A154,'22 2026 PAKETLEME'!$H$2:$H$501))</f>
        <v/>
      </c>
      <c r="H154" s="81">
        <f>IF(A154="","",D154-E154-F154-G154)</f>
        <v/>
      </c>
      <c r="I154" s="82">
        <f>IF(A154="","",SUMIF('23 2026 SEVKİYAT'!$E$2:$E$501,A154,'23 2026 SEVKİYAT'!$H$2:$H$501))</f>
        <v/>
      </c>
      <c r="J154" s="81">
        <f>IF(A154="","",E154+F154-I154)</f>
        <v/>
      </c>
      <c r="K154" s="81">
        <f>IF(A154="","",D154-E154-F154-G154-H154)</f>
        <v/>
      </c>
      <c r="L154" s="58">
        <f>IF(A154="","",IF(ABS(K154)&lt;0.001,"KAPALI","KONTROL"))</f>
        <v/>
      </c>
      <c r="M154" s="56">
        <f>IF(A154="","",IF(J154&lt;0,"SEVK PAKETLEMEYİ AŞIYOR",IF(H154&lt;&gt;0,"PAKETLEME BAKİYESİ VAR","DENKLİK KAPALI")))</f>
        <v/>
      </c>
    </row>
    <row r="155" ht="15" customHeight="1">
      <c r="A155" s="60">
        <f>'21 2026 ÜRETİM'!A155</f>
        <v/>
      </c>
      <c r="B155" s="81">
        <f>IF(A155="","",'21 2026 ÜRETİM'!D155)</f>
        <v/>
      </c>
      <c r="C155" s="81">
        <f>IF(A155="","",'21 2026 ÜRETİM'!E155)</f>
        <v/>
      </c>
      <c r="D155" s="82">
        <f>IF(A155="","",'21 2026 ÜRETİM'!F155)</f>
        <v/>
      </c>
      <c r="E155" s="81">
        <f>IF(A155="","",SUMIF('22 2026 PAKETLEME'!$B$2:$B$501,A155,'22 2026 PAKETLEME'!$E$2:$E$501))</f>
        <v/>
      </c>
      <c r="F155" s="82">
        <f>IF(A155="","",SUMIF('22 2026 PAKETLEME'!$B$2:$B$501,A155,'22 2026 PAKETLEME'!$G$2:$G$501))</f>
        <v/>
      </c>
      <c r="G155" s="81">
        <f>IF(A155="","",SUMIF('22 2026 PAKETLEME'!$B$2:$B$501,A155,'22 2026 PAKETLEME'!$H$2:$H$501))</f>
        <v/>
      </c>
      <c r="H155" s="81">
        <f>IF(A155="","",D155-E155-F155-G155)</f>
        <v/>
      </c>
      <c r="I155" s="82">
        <f>IF(A155="","",SUMIF('23 2026 SEVKİYAT'!$E$2:$E$501,A155,'23 2026 SEVKİYAT'!$H$2:$H$501))</f>
        <v/>
      </c>
      <c r="J155" s="81">
        <f>IF(A155="","",E155+F155-I155)</f>
        <v/>
      </c>
      <c r="K155" s="81">
        <f>IF(A155="","",D155-E155-F155-G155-H155)</f>
        <v/>
      </c>
      <c r="L155" s="58">
        <f>IF(A155="","",IF(ABS(K155)&lt;0.001,"KAPALI","KONTROL"))</f>
        <v/>
      </c>
      <c r="M155" s="56">
        <f>IF(A155="","",IF(J155&lt;0,"SEVK PAKETLEMEYİ AŞIYOR",IF(H155&lt;&gt;0,"PAKETLEME BAKİYESİ VAR","DENKLİK KAPALI")))</f>
        <v/>
      </c>
    </row>
    <row r="156" ht="15" customHeight="1">
      <c r="A156" s="60">
        <f>'21 2026 ÜRETİM'!A156</f>
        <v/>
      </c>
      <c r="B156" s="81">
        <f>IF(A156="","",'21 2026 ÜRETİM'!D156)</f>
        <v/>
      </c>
      <c r="C156" s="81">
        <f>IF(A156="","",'21 2026 ÜRETİM'!E156)</f>
        <v/>
      </c>
      <c r="D156" s="82">
        <f>IF(A156="","",'21 2026 ÜRETİM'!F156)</f>
        <v/>
      </c>
      <c r="E156" s="81">
        <f>IF(A156="","",SUMIF('22 2026 PAKETLEME'!$B$2:$B$501,A156,'22 2026 PAKETLEME'!$E$2:$E$501))</f>
        <v/>
      </c>
      <c r="F156" s="82">
        <f>IF(A156="","",SUMIF('22 2026 PAKETLEME'!$B$2:$B$501,A156,'22 2026 PAKETLEME'!$G$2:$G$501))</f>
        <v/>
      </c>
      <c r="G156" s="81">
        <f>IF(A156="","",SUMIF('22 2026 PAKETLEME'!$B$2:$B$501,A156,'22 2026 PAKETLEME'!$H$2:$H$501))</f>
        <v/>
      </c>
      <c r="H156" s="81">
        <f>IF(A156="","",D156-E156-F156-G156)</f>
        <v/>
      </c>
      <c r="I156" s="82">
        <f>IF(A156="","",SUMIF('23 2026 SEVKİYAT'!$E$2:$E$501,A156,'23 2026 SEVKİYAT'!$H$2:$H$501))</f>
        <v/>
      </c>
      <c r="J156" s="81">
        <f>IF(A156="","",E156+F156-I156)</f>
        <v/>
      </c>
      <c r="K156" s="81">
        <f>IF(A156="","",D156-E156-F156-G156-H156)</f>
        <v/>
      </c>
      <c r="L156" s="58">
        <f>IF(A156="","",IF(ABS(K156)&lt;0.001,"KAPALI","KONTROL"))</f>
        <v/>
      </c>
      <c r="M156" s="56">
        <f>IF(A156="","",IF(J156&lt;0,"SEVK PAKETLEMEYİ AŞIYOR",IF(H156&lt;&gt;0,"PAKETLEME BAKİYESİ VAR","DENKLİK KAPALI")))</f>
        <v/>
      </c>
    </row>
    <row r="157" ht="15" customHeight="1">
      <c r="A157" s="60">
        <f>'21 2026 ÜRETİM'!A157</f>
        <v/>
      </c>
      <c r="B157" s="81">
        <f>IF(A157="","",'21 2026 ÜRETİM'!D157)</f>
        <v/>
      </c>
      <c r="C157" s="81">
        <f>IF(A157="","",'21 2026 ÜRETİM'!E157)</f>
        <v/>
      </c>
      <c r="D157" s="82">
        <f>IF(A157="","",'21 2026 ÜRETİM'!F157)</f>
        <v/>
      </c>
      <c r="E157" s="81">
        <f>IF(A157="","",SUMIF('22 2026 PAKETLEME'!$B$2:$B$501,A157,'22 2026 PAKETLEME'!$E$2:$E$501))</f>
        <v/>
      </c>
      <c r="F157" s="82">
        <f>IF(A157="","",SUMIF('22 2026 PAKETLEME'!$B$2:$B$501,A157,'22 2026 PAKETLEME'!$G$2:$G$501))</f>
        <v/>
      </c>
      <c r="G157" s="81">
        <f>IF(A157="","",SUMIF('22 2026 PAKETLEME'!$B$2:$B$501,A157,'22 2026 PAKETLEME'!$H$2:$H$501))</f>
        <v/>
      </c>
      <c r="H157" s="81">
        <f>IF(A157="","",D157-E157-F157-G157)</f>
        <v/>
      </c>
      <c r="I157" s="82">
        <f>IF(A157="","",SUMIF('23 2026 SEVKİYAT'!$E$2:$E$501,A157,'23 2026 SEVKİYAT'!$H$2:$H$501))</f>
        <v/>
      </c>
      <c r="J157" s="81">
        <f>IF(A157="","",E157+F157-I157)</f>
        <v/>
      </c>
      <c r="K157" s="81">
        <f>IF(A157="","",D157-E157-F157-G157-H157)</f>
        <v/>
      </c>
      <c r="L157" s="58">
        <f>IF(A157="","",IF(ABS(K157)&lt;0.001,"KAPALI","KONTROL"))</f>
        <v/>
      </c>
      <c r="M157" s="56">
        <f>IF(A157="","",IF(J157&lt;0,"SEVK PAKETLEMEYİ AŞIYOR",IF(H157&lt;&gt;0,"PAKETLEME BAKİYESİ VAR","DENKLİK KAPALI")))</f>
        <v/>
      </c>
    </row>
    <row r="158" ht="15" customHeight="1">
      <c r="A158" s="60">
        <f>'21 2026 ÜRETİM'!A158</f>
        <v/>
      </c>
      <c r="B158" s="81">
        <f>IF(A158="","",'21 2026 ÜRETİM'!D158)</f>
        <v/>
      </c>
      <c r="C158" s="81">
        <f>IF(A158="","",'21 2026 ÜRETİM'!E158)</f>
        <v/>
      </c>
      <c r="D158" s="82">
        <f>IF(A158="","",'21 2026 ÜRETİM'!F158)</f>
        <v/>
      </c>
      <c r="E158" s="81">
        <f>IF(A158="","",SUMIF('22 2026 PAKETLEME'!$B$2:$B$501,A158,'22 2026 PAKETLEME'!$E$2:$E$501))</f>
        <v/>
      </c>
      <c r="F158" s="82">
        <f>IF(A158="","",SUMIF('22 2026 PAKETLEME'!$B$2:$B$501,A158,'22 2026 PAKETLEME'!$G$2:$G$501))</f>
        <v/>
      </c>
      <c r="G158" s="81">
        <f>IF(A158="","",SUMIF('22 2026 PAKETLEME'!$B$2:$B$501,A158,'22 2026 PAKETLEME'!$H$2:$H$501))</f>
        <v/>
      </c>
      <c r="H158" s="81">
        <f>IF(A158="","",D158-E158-F158-G158)</f>
        <v/>
      </c>
      <c r="I158" s="82">
        <f>IF(A158="","",SUMIF('23 2026 SEVKİYAT'!$E$2:$E$501,A158,'23 2026 SEVKİYAT'!$H$2:$H$501))</f>
        <v/>
      </c>
      <c r="J158" s="81">
        <f>IF(A158="","",E158+F158-I158)</f>
        <v/>
      </c>
      <c r="K158" s="81">
        <f>IF(A158="","",D158-E158-F158-G158-H158)</f>
        <v/>
      </c>
      <c r="L158" s="58">
        <f>IF(A158="","",IF(ABS(K158)&lt;0.001,"KAPALI","KONTROL"))</f>
        <v/>
      </c>
      <c r="M158" s="56">
        <f>IF(A158="","",IF(J158&lt;0,"SEVK PAKETLEMEYİ AŞIYOR",IF(H158&lt;&gt;0,"PAKETLEME BAKİYESİ VAR","DENKLİK KAPALI")))</f>
        <v/>
      </c>
    </row>
    <row r="159" ht="15" customHeight="1">
      <c r="A159" s="60">
        <f>'21 2026 ÜRETİM'!A159</f>
        <v/>
      </c>
      <c r="B159" s="81">
        <f>IF(A159="","",'21 2026 ÜRETİM'!D159)</f>
        <v/>
      </c>
      <c r="C159" s="81">
        <f>IF(A159="","",'21 2026 ÜRETİM'!E159)</f>
        <v/>
      </c>
      <c r="D159" s="82">
        <f>IF(A159="","",'21 2026 ÜRETİM'!F159)</f>
        <v/>
      </c>
      <c r="E159" s="81">
        <f>IF(A159="","",SUMIF('22 2026 PAKETLEME'!$B$2:$B$501,A159,'22 2026 PAKETLEME'!$E$2:$E$501))</f>
        <v/>
      </c>
      <c r="F159" s="82">
        <f>IF(A159="","",SUMIF('22 2026 PAKETLEME'!$B$2:$B$501,A159,'22 2026 PAKETLEME'!$G$2:$G$501))</f>
        <v/>
      </c>
      <c r="G159" s="81">
        <f>IF(A159="","",SUMIF('22 2026 PAKETLEME'!$B$2:$B$501,A159,'22 2026 PAKETLEME'!$H$2:$H$501))</f>
        <v/>
      </c>
      <c r="H159" s="81">
        <f>IF(A159="","",D159-E159-F159-G159)</f>
        <v/>
      </c>
      <c r="I159" s="82">
        <f>IF(A159="","",SUMIF('23 2026 SEVKİYAT'!$E$2:$E$501,A159,'23 2026 SEVKİYAT'!$H$2:$H$501))</f>
        <v/>
      </c>
      <c r="J159" s="81">
        <f>IF(A159="","",E159+F159-I159)</f>
        <v/>
      </c>
      <c r="K159" s="81">
        <f>IF(A159="","",D159-E159-F159-G159-H159)</f>
        <v/>
      </c>
      <c r="L159" s="58">
        <f>IF(A159="","",IF(ABS(K159)&lt;0.001,"KAPALI","KONTROL"))</f>
        <v/>
      </c>
      <c r="M159" s="56">
        <f>IF(A159="","",IF(J159&lt;0,"SEVK PAKETLEMEYİ AŞIYOR",IF(H159&lt;&gt;0,"PAKETLEME BAKİYESİ VAR","DENKLİK KAPALI")))</f>
        <v/>
      </c>
    </row>
    <row r="160" ht="15" customHeight="1">
      <c r="A160" s="60">
        <f>'21 2026 ÜRETİM'!A160</f>
        <v/>
      </c>
      <c r="B160" s="81">
        <f>IF(A160="","",'21 2026 ÜRETİM'!D160)</f>
        <v/>
      </c>
      <c r="C160" s="81">
        <f>IF(A160="","",'21 2026 ÜRETİM'!E160)</f>
        <v/>
      </c>
      <c r="D160" s="82">
        <f>IF(A160="","",'21 2026 ÜRETİM'!F160)</f>
        <v/>
      </c>
      <c r="E160" s="81">
        <f>IF(A160="","",SUMIF('22 2026 PAKETLEME'!$B$2:$B$501,A160,'22 2026 PAKETLEME'!$E$2:$E$501))</f>
        <v/>
      </c>
      <c r="F160" s="82">
        <f>IF(A160="","",SUMIF('22 2026 PAKETLEME'!$B$2:$B$501,A160,'22 2026 PAKETLEME'!$G$2:$G$501))</f>
        <v/>
      </c>
      <c r="G160" s="81">
        <f>IF(A160="","",SUMIF('22 2026 PAKETLEME'!$B$2:$B$501,A160,'22 2026 PAKETLEME'!$H$2:$H$501))</f>
        <v/>
      </c>
      <c r="H160" s="81">
        <f>IF(A160="","",D160-E160-F160-G160)</f>
        <v/>
      </c>
      <c r="I160" s="82">
        <f>IF(A160="","",SUMIF('23 2026 SEVKİYAT'!$E$2:$E$501,A160,'23 2026 SEVKİYAT'!$H$2:$H$501))</f>
        <v/>
      </c>
      <c r="J160" s="81">
        <f>IF(A160="","",E160+F160-I160)</f>
        <v/>
      </c>
      <c r="K160" s="81">
        <f>IF(A160="","",D160-E160-F160-G160-H160)</f>
        <v/>
      </c>
      <c r="L160" s="58">
        <f>IF(A160="","",IF(ABS(K160)&lt;0.001,"KAPALI","KONTROL"))</f>
        <v/>
      </c>
      <c r="M160" s="56">
        <f>IF(A160="","",IF(J160&lt;0,"SEVK PAKETLEMEYİ AŞIYOR",IF(H160&lt;&gt;0,"PAKETLEME BAKİYESİ VAR","DENKLİK KAPALI")))</f>
        <v/>
      </c>
    </row>
    <row r="161" ht="15" customHeight="1">
      <c r="A161" s="60">
        <f>'21 2026 ÜRETİM'!A161</f>
        <v/>
      </c>
      <c r="B161" s="81">
        <f>IF(A161="","",'21 2026 ÜRETİM'!D161)</f>
        <v/>
      </c>
      <c r="C161" s="81">
        <f>IF(A161="","",'21 2026 ÜRETİM'!E161)</f>
        <v/>
      </c>
      <c r="D161" s="82">
        <f>IF(A161="","",'21 2026 ÜRETİM'!F161)</f>
        <v/>
      </c>
      <c r="E161" s="81">
        <f>IF(A161="","",SUMIF('22 2026 PAKETLEME'!$B$2:$B$501,A161,'22 2026 PAKETLEME'!$E$2:$E$501))</f>
        <v/>
      </c>
      <c r="F161" s="82">
        <f>IF(A161="","",SUMIF('22 2026 PAKETLEME'!$B$2:$B$501,A161,'22 2026 PAKETLEME'!$G$2:$G$501))</f>
        <v/>
      </c>
      <c r="G161" s="81">
        <f>IF(A161="","",SUMIF('22 2026 PAKETLEME'!$B$2:$B$501,A161,'22 2026 PAKETLEME'!$H$2:$H$501))</f>
        <v/>
      </c>
      <c r="H161" s="81">
        <f>IF(A161="","",D161-E161-F161-G161)</f>
        <v/>
      </c>
      <c r="I161" s="82">
        <f>IF(A161="","",SUMIF('23 2026 SEVKİYAT'!$E$2:$E$501,A161,'23 2026 SEVKİYAT'!$H$2:$H$501))</f>
        <v/>
      </c>
      <c r="J161" s="81">
        <f>IF(A161="","",E161+F161-I161)</f>
        <v/>
      </c>
      <c r="K161" s="81">
        <f>IF(A161="","",D161-E161-F161-G161-H161)</f>
        <v/>
      </c>
      <c r="L161" s="58">
        <f>IF(A161="","",IF(ABS(K161)&lt;0.001,"KAPALI","KONTROL"))</f>
        <v/>
      </c>
      <c r="M161" s="56">
        <f>IF(A161="","",IF(J161&lt;0,"SEVK PAKETLEMEYİ AŞIYOR",IF(H161&lt;&gt;0,"PAKETLEME BAKİYESİ VAR","DENKLİK KAPALI")))</f>
        <v/>
      </c>
    </row>
    <row r="162" ht="15" customHeight="1">
      <c r="A162" s="60">
        <f>'21 2026 ÜRETİM'!A162</f>
        <v/>
      </c>
      <c r="B162" s="81">
        <f>IF(A162="","",'21 2026 ÜRETİM'!D162)</f>
        <v/>
      </c>
      <c r="C162" s="81">
        <f>IF(A162="","",'21 2026 ÜRETİM'!E162)</f>
        <v/>
      </c>
      <c r="D162" s="82">
        <f>IF(A162="","",'21 2026 ÜRETİM'!F162)</f>
        <v/>
      </c>
      <c r="E162" s="81">
        <f>IF(A162="","",SUMIF('22 2026 PAKETLEME'!$B$2:$B$501,A162,'22 2026 PAKETLEME'!$E$2:$E$501))</f>
        <v/>
      </c>
      <c r="F162" s="82">
        <f>IF(A162="","",SUMIF('22 2026 PAKETLEME'!$B$2:$B$501,A162,'22 2026 PAKETLEME'!$G$2:$G$501))</f>
        <v/>
      </c>
      <c r="G162" s="81">
        <f>IF(A162="","",SUMIF('22 2026 PAKETLEME'!$B$2:$B$501,A162,'22 2026 PAKETLEME'!$H$2:$H$501))</f>
        <v/>
      </c>
      <c r="H162" s="81">
        <f>IF(A162="","",D162-E162-F162-G162)</f>
        <v/>
      </c>
      <c r="I162" s="82">
        <f>IF(A162="","",SUMIF('23 2026 SEVKİYAT'!$E$2:$E$501,A162,'23 2026 SEVKİYAT'!$H$2:$H$501))</f>
        <v/>
      </c>
      <c r="J162" s="81">
        <f>IF(A162="","",E162+F162-I162)</f>
        <v/>
      </c>
      <c r="K162" s="81">
        <f>IF(A162="","",D162-E162-F162-G162-H162)</f>
        <v/>
      </c>
      <c r="L162" s="58">
        <f>IF(A162="","",IF(ABS(K162)&lt;0.001,"KAPALI","KONTROL"))</f>
        <v/>
      </c>
      <c r="M162" s="56">
        <f>IF(A162="","",IF(J162&lt;0,"SEVK PAKETLEMEYİ AŞIYOR",IF(H162&lt;&gt;0,"PAKETLEME BAKİYESİ VAR","DENKLİK KAPALI")))</f>
        <v/>
      </c>
    </row>
    <row r="163" ht="15" customHeight="1">
      <c r="A163" s="60">
        <f>'21 2026 ÜRETİM'!A163</f>
        <v/>
      </c>
      <c r="B163" s="81">
        <f>IF(A163="","",'21 2026 ÜRETİM'!D163)</f>
        <v/>
      </c>
      <c r="C163" s="81">
        <f>IF(A163="","",'21 2026 ÜRETİM'!E163)</f>
        <v/>
      </c>
      <c r="D163" s="82">
        <f>IF(A163="","",'21 2026 ÜRETİM'!F163)</f>
        <v/>
      </c>
      <c r="E163" s="81">
        <f>IF(A163="","",SUMIF('22 2026 PAKETLEME'!$B$2:$B$501,A163,'22 2026 PAKETLEME'!$E$2:$E$501))</f>
        <v/>
      </c>
      <c r="F163" s="82">
        <f>IF(A163="","",SUMIF('22 2026 PAKETLEME'!$B$2:$B$501,A163,'22 2026 PAKETLEME'!$G$2:$G$501))</f>
        <v/>
      </c>
      <c r="G163" s="81">
        <f>IF(A163="","",SUMIF('22 2026 PAKETLEME'!$B$2:$B$501,A163,'22 2026 PAKETLEME'!$H$2:$H$501))</f>
        <v/>
      </c>
      <c r="H163" s="81">
        <f>IF(A163="","",D163-E163-F163-G163)</f>
        <v/>
      </c>
      <c r="I163" s="82">
        <f>IF(A163="","",SUMIF('23 2026 SEVKİYAT'!$E$2:$E$501,A163,'23 2026 SEVKİYAT'!$H$2:$H$501))</f>
        <v/>
      </c>
      <c r="J163" s="81">
        <f>IF(A163="","",E163+F163-I163)</f>
        <v/>
      </c>
      <c r="K163" s="81">
        <f>IF(A163="","",D163-E163-F163-G163-H163)</f>
        <v/>
      </c>
      <c r="L163" s="58">
        <f>IF(A163="","",IF(ABS(K163)&lt;0.001,"KAPALI","KONTROL"))</f>
        <v/>
      </c>
      <c r="M163" s="56">
        <f>IF(A163="","",IF(J163&lt;0,"SEVK PAKETLEMEYİ AŞIYOR",IF(H163&lt;&gt;0,"PAKETLEME BAKİYESİ VAR","DENKLİK KAPALI")))</f>
        <v/>
      </c>
    </row>
    <row r="164" ht="15" customHeight="1">
      <c r="A164" s="60">
        <f>'21 2026 ÜRETİM'!A164</f>
        <v/>
      </c>
      <c r="B164" s="81">
        <f>IF(A164="","",'21 2026 ÜRETİM'!D164)</f>
        <v/>
      </c>
      <c r="C164" s="81">
        <f>IF(A164="","",'21 2026 ÜRETİM'!E164)</f>
        <v/>
      </c>
      <c r="D164" s="82">
        <f>IF(A164="","",'21 2026 ÜRETİM'!F164)</f>
        <v/>
      </c>
      <c r="E164" s="81">
        <f>IF(A164="","",SUMIF('22 2026 PAKETLEME'!$B$2:$B$501,A164,'22 2026 PAKETLEME'!$E$2:$E$501))</f>
        <v/>
      </c>
      <c r="F164" s="82">
        <f>IF(A164="","",SUMIF('22 2026 PAKETLEME'!$B$2:$B$501,A164,'22 2026 PAKETLEME'!$G$2:$G$501))</f>
        <v/>
      </c>
      <c r="G164" s="81">
        <f>IF(A164="","",SUMIF('22 2026 PAKETLEME'!$B$2:$B$501,A164,'22 2026 PAKETLEME'!$H$2:$H$501))</f>
        <v/>
      </c>
      <c r="H164" s="81">
        <f>IF(A164="","",D164-E164-F164-G164)</f>
        <v/>
      </c>
      <c r="I164" s="82">
        <f>IF(A164="","",SUMIF('23 2026 SEVKİYAT'!$E$2:$E$501,A164,'23 2026 SEVKİYAT'!$H$2:$H$501))</f>
        <v/>
      </c>
      <c r="J164" s="81">
        <f>IF(A164="","",E164+F164-I164)</f>
        <v/>
      </c>
      <c r="K164" s="81">
        <f>IF(A164="","",D164-E164-F164-G164-H164)</f>
        <v/>
      </c>
      <c r="L164" s="58">
        <f>IF(A164="","",IF(ABS(K164)&lt;0.001,"KAPALI","KONTROL"))</f>
        <v/>
      </c>
      <c r="M164" s="56">
        <f>IF(A164="","",IF(J164&lt;0,"SEVK PAKETLEMEYİ AŞIYOR",IF(H164&lt;&gt;0,"PAKETLEME BAKİYESİ VAR","DENKLİK KAPALI")))</f>
        <v/>
      </c>
    </row>
    <row r="165" ht="15" customHeight="1">
      <c r="A165" s="60">
        <f>'21 2026 ÜRETİM'!A165</f>
        <v/>
      </c>
      <c r="B165" s="81">
        <f>IF(A165="","",'21 2026 ÜRETİM'!D165)</f>
        <v/>
      </c>
      <c r="C165" s="81">
        <f>IF(A165="","",'21 2026 ÜRETİM'!E165)</f>
        <v/>
      </c>
      <c r="D165" s="82">
        <f>IF(A165="","",'21 2026 ÜRETİM'!F165)</f>
        <v/>
      </c>
      <c r="E165" s="81">
        <f>IF(A165="","",SUMIF('22 2026 PAKETLEME'!$B$2:$B$501,A165,'22 2026 PAKETLEME'!$E$2:$E$501))</f>
        <v/>
      </c>
      <c r="F165" s="82">
        <f>IF(A165="","",SUMIF('22 2026 PAKETLEME'!$B$2:$B$501,A165,'22 2026 PAKETLEME'!$G$2:$G$501))</f>
        <v/>
      </c>
      <c r="G165" s="81">
        <f>IF(A165="","",SUMIF('22 2026 PAKETLEME'!$B$2:$B$501,A165,'22 2026 PAKETLEME'!$H$2:$H$501))</f>
        <v/>
      </c>
      <c r="H165" s="81">
        <f>IF(A165="","",D165-E165-F165-G165)</f>
        <v/>
      </c>
      <c r="I165" s="82">
        <f>IF(A165="","",SUMIF('23 2026 SEVKİYAT'!$E$2:$E$501,A165,'23 2026 SEVKİYAT'!$H$2:$H$501))</f>
        <v/>
      </c>
      <c r="J165" s="81">
        <f>IF(A165="","",E165+F165-I165)</f>
        <v/>
      </c>
      <c r="K165" s="81">
        <f>IF(A165="","",D165-E165-F165-G165-H165)</f>
        <v/>
      </c>
      <c r="L165" s="58">
        <f>IF(A165="","",IF(ABS(K165)&lt;0.001,"KAPALI","KONTROL"))</f>
        <v/>
      </c>
      <c r="M165" s="56">
        <f>IF(A165="","",IF(J165&lt;0,"SEVK PAKETLEMEYİ AŞIYOR",IF(H165&lt;&gt;0,"PAKETLEME BAKİYESİ VAR","DENKLİK KAPALI")))</f>
        <v/>
      </c>
    </row>
    <row r="166" ht="15" customHeight="1">
      <c r="A166" s="60">
        <f>'21 2026 ÜRETİM'!A166</f>
        <v/>
      </c>
      <c r="B166" s="81">
        <f>IF(A166="","",'21 2026 ÜRETİM'!D166)</f>
        <v/>
      </c>
      <c r="C166" s="81">
        <f>IF(A166="","",'21 2026 ÜRETİM'!E166)</f>
        <v/>
      </c>
      <c r="D166" s="82">
        <f>IF(A166="","",'21 2026 ÜRETİM'!F166)</f>
        <v/>
      </c>
      <c r="E166" s="81">
        <f>IF(A166="","",SUMIF('22 2026 PAKETLEME'!$B$2:$B$501,A166,'22 2026 PAKETLEME'!$E$2:$E$501))</f>
        <v/>
      </c>
      <c r="F166" s="82">
        <f>IF(A166="","",SUMIF('22 2026 PAKETLEME'!$B$2:$B$501,A166,'22 2026 PAKETLEME'!$G$2:$G$501))</f>
        <v/>
      </c>
      <c r="G166" s="81">
        <f>IF(A166="","",SUMIF('22 2026 PAKETLEME'!$B$2:$B$501,A166,'22 2026 PAKETLEME'!$H$2:$H$501))</f>
        <v/>
      </c>
      <c r="H166" s="81">
        <f>IF(A166="","",D166-E166-F166-G166)</f>
        <v/>
      </c>
      <c r="I166" s="82">
        <f>IF(A166="","",SUMIF('23 2026 SEVKİYAT'!$E$2:$E$501,A166,'23 2026 SEVKİYAT'!$H$2:$H$501))</f>
        <v/>
      </c>
      <c r="J166" s="81">
        <f>IF(A166="","",E166+F166-I166)</f>
        <v/>
      </c>
      <c r="K166" s="81">
        <f>IF(A166="","",D166-E166-F166-G166-H166)</f>
        <v/>
      </c>
      <c r="L166" s="58">
        <f>IF(A166="","",IF(ABS(K166)&lt;0.001,"KAPALI","KONTROL"))</f>
        <v/>
      </c>
      <c r="M166" s="56">
        <f>IF(A166="","",IF(J166&lt;0,"SEVK PAKETLEMEYİ AŞIYOR",IF(H166&lt;&gt;0,"PAKETLEME BAKİYESİ VAR","DENKLİK KAPALI")))</f>
        <v/>
      </c>
    </row>
    <row r="167" ht="15" customHeight="1">
      <c r="A167" s="60">
        <f>'21 2026 ÜRETİM'!A167</f>
        <v/>
      </c>
      <c r="B167" s="81">
        <f>IF(A167="","",'21 2026 ÜRETİM'!D167)</f>
        <v/>
      </c>
      <c r="C167" s="81">
        <f>IF(A167="","",'21 2026 ÜRETİM'!E167)</f>
        <v/>
      </c>
      <c r="D167" s="82">
        <f>IF(A167="","",'21 2026 ÜRETİM'!F167)</f>
        <v/>
      </c>
      <c r="E167" s="81">
        <f>IF(A167="","",SUMIF('22 2026 PAKETLEME'!$B$2:$B$501,A167,'22 2026 PAKETLEME'!$E$2:$E$501))</f>
        <v/>
      </c>
      <c r="F167" s="82">
        <f>IF(A167="","",SUMIF('22 2026 PAKETLEME'!$B$2:$B$501,A167,'22 2026 PAKETLEME'!$G$2:$G$501))</f>
        <v/>
      </c>
      <c r="G167" s="81">
        <f>IF(A167="","",SUMIF('22 2026 PAKETLEME'!$B$2:$B$501,A167,'22 2026 PAKETLEME'!$H$2:$H$501))</f>
        <v/>
      </c>
      <c r="H167" s="81">
        <f>IF(A167="","",D167-E167-F167-G167)</f>
        <v/>
      </c>
      <c r="I167" s="82">
        <f>IF(A167="","",SUMIF('23 2026 SEVKİYAT'!$E$2:$E$501,A167,'23 2026 SEVKİYAT'!$H$2:$H$501))</f>
        <v/>
      </c>
      <c r="J167" s="81">
        <f>IF(A167="","",E167+F167-I167)</f>
        <v/>
      </c>
      <c r="K167" s="81">
        <f>IF(A167="","",D167-E167-F167-G167-H167)</f>
        <v/>
      </c>
      <c r="L167" s="58">
        <f>IF(A167="","",IF(ABS(K167)&lt;0.001,"KAPALI","KONTROL"))</f>
        <v/>
      </c>
      <c r="M167" s="56">
        <f>IF(A167="","",IF(J167&lt;0,"SEVK PAKETLEMEYİ AŞIYOR",IF(H167&lt;&gt;0,"PAKETLEME BAKİYESİ VAR","DENKLİK KAPALI")))</f>
        <v/>
      </c>
    </row>
    <row r="168" ht="15" customHeight="1">
      <c r="A168" s="60">
        <f>'21 2026 ÜRETİM'!A168</f>
        <v/>
      </c>
      <c r="B168" s="81">
        <f>IF(A168="","",'21 2026 ÜRETİM'!D168)</f>
        <v/>
      </c>
      <c r="C168" s="81">
        <f>IF(A168="","",'21 2026 ÜRETİM'!E168)</f>
        <v/>
      </c>
      <c r="D168" s="82">
        <f>IF(A168="","",'21 2026 ÜRETİM'!F168)</f>
        <v/>
      </c>
      <c r="E168" s="81">
        <f>IF(A168="","",SUMIF('22 2026 PAKETLEME'!$B$2:$B$501,A168,'22 2026 PAKETLEME'!$E$2:$E$501))</f>
        <v/>
      </c>
      <c r="F168" s="82">
        <f>IF(A168="","",SUMIF('22 2026 PAKETLEME'!$B$2:$B$501,A168,'22 2026 PAKETLEME'!$G$2:$G$501))</f>
        <v/>
      </c>
      <c r="G168" s="81">
        <f>IF(A168="","",SUMIF('22 2026 PAKETLEME'!$B$2:$B$501,A168,'22 2026 PAKETLEME'!$H$2:$H$501))</f>
        <v/>
      </c>
      <c r="H168" s="81">
        <f>IF(A168="","",D168-E168-F168-G168)</f>
        <v/>
      </c>
      <c r="I168" s="82">
        <f>IF(A168="","",SUMIF('23 2026 SEVKİYAT'!$E$2:$E$501,A168,'23 2026 SEVKİYAT'!$H$2:$H$501))</f>
        <v/>
      </c>
      <c r="J168" s="81">
        <f>IF(A168="","",E168+F168-I168)</f>
        <v/>
      </c>
      <c r="K168" s="81">
        <f>IF(A168="","",D168-E168-F168-G168-H168)</f>
        <v/>
      </c>
      <c r="L168" s="58">
        <f>IF(A168="","",IF(ABS(K168)&lt;0.001,"KAPALI","KONTROL"))</f>
        <v/>
      </c>
      <c r="M168" s="56">
        <f>IF(A168="","",IF(J168&lt;0,"SEVK PAKETLEMEYİ AŞIYOR",IF(H168&lt;&gt;0,"PAKETLEME BAKİYESİ VAR","DENKLİK KAPALI")))</f>
        <v/>
      </c>
    </row>
    <row r="169" ht="15" customHeight="1">
      <c r="A169" s="60">
        <f>'21 2026 ÜRETİM'!A169</f>
        <v/>
      </c>
      <c r="B169" s="81">
        <f>IF(A169="","",'21 2026 ÜRETİM'!D169)</f>
        <v/>
      </c>
      <c r="C169" s="81">
        <f>IF(A169="","",'21 2026 ÜRETİM'!E169)</f>
        <v/>
      </c>
      <c r="D169" s="82">
        <f>IF(A169="","",'21 2026 ÜRETİM'!F169)</f>
        <v/>
      </c>
      <c r="E169" s="81">
        <f>IF(A169="","",SUMIF('22 2026 PAKETLEME'!$B$2:$B$501,A169,'22 2026 PAKETLEME'!$E$2:$E$501))</f>
        <v/>
      </c>
      <c r="F169" s="82">
        <f>IF(A169="","",SUMIF('22 2026 PAKETLEME'!$B$2:$B$501,A169,'22 2026 PAKETLEME'!$G$2:$G$501))</f>
        <v/>
      </c>
      <c r="G169" s="81">
        <f>IF(A169="","",SUMIF('22 2026 PAKETLEME'!$B$2:$B$501,A169,'22 2026 PAKETLEME'!$H$2:$H$501))</f>
        <v/>
      </c>
      <c r="H169" s="81">
        <f>IF(A169="","",D169-E169-F169-G169)</f>
        <v/>
      </c>
      <c r="I169" s="82">
        <f>IF(A169="","",SUMIF('23 2026 SEVKİYAT'!$E$2:$E$501,A169,'23 2026 SEVKİYAT'!$H$2:$H$501))</f>
        <v/>
      </c>
      <c r="J169" s="81">
        <f>IF(A169="","",E169+F169-I169)</f>
        <v/>
      </c>
      <c r="K169" s="81">
        <f>IF(A169="","",D169-E169-F169-G169-H169)</f>
        <v/>
      </c>
      <c r="L169" s="58">
        <f>IF(A169="","",IF(ABS(K169)&lt;0.001,"KAPALI","KONTROL"))</f>
        <v/>
      </c>
      <c r="M169" s="56">
        <f>IF(A169="","",IF(J169&lt;0,"SEVK PAKETLEMEYİ AŞIYOR",IF(H169&lt;&gt;0,"PAKETLEME BAKİYESİ VAR","DENKLİK KAPALI")))</f>
        <v/>
      </c>
    </row>
    <row r="170" ht="15" customHeight="1">
      <c r="A170" s="60">
        <f>'21 2026 ÜRETİM'!A170</f>
        <v/>
      </c>
      <c r="B170" s="81">
        <f>IF(A170="","",'21 2026 ÜRETİM'!D170)</f>
        <v/>
      </c>
      <c r="C170" s="81">
        <f>IF(A170="","",'21 2026 ÜRETİM'!E170)</f>
        <v/>
      </c>
      <c r="D170" s="82">
        <f>IF(A170="","",'21 2026 ÜRETİM'!F170)</f>
        <v/>
      </c>
      <c r="E170" s="81">
        <f>IF(A170="","",SUMIF('22 2026 PAKETLEME'!$B$2:$B$501,A170,'22 2026 PAKETLEME'!$E$2:$E$501))</f>
        <v/>
      </c>
      <c r="F170" s="82">
        <f>IF(A170="","",SUMIF('22 2026 PAKETLEME'!$B$2:$B$501,A170,'22 2026 PAKETLEME'!$G$2:$G$501))</f>
        <v/>
      </c>
      <c r="G170" s="81">
        <f>IF(A170="","",SUMIF('22 2026 PAKETLEME'!$B$2:$B$501,A170,'22 2026 PAKETLEME'!$H$2:$H$501))</f>
        <v/>
      </c>
      <c r="H170" s="81">
        <f>IF(A170="","",D170-E170-F170-G170)</f>
        <v/>
      </c>
      <c r="I170" s="82">
        <f>IF(A170="","",SUMIF('23 2026 SEVKİYAT'!$E$2:$E$501,A170,'23 2026 SEVKİYAT'!$H$2:$H$501))</f>
        <v/>
      </c>
      <c r="J170" s="81">
        <f>IF(A170="","",E170+F170-I170)</f>
        <v/>
      </c>
      <c r="K170" s="81">
        <f>IF(A170="","",D170-E170-F170-G170-H170)</f>
        <v/>
      </c>
      <c r="L170" s="58">
        <f>IF(A170="","",IF(ABS(K170)&lt;0.001,"KAPALI","KONTROL"))</f>
        <v/>
      </c>
      <c r="M170" s="56">
        <f>IF(A170="","",IF(J170&lt;0,"SEVK PAKETLEMEYİ AŞIYOR",IF(H170&lt;&gt;0,"PAKETLEME BAKİYESİ VAR","DENKLİK KAPALI")))</f>
        <v/>
      </c>
    </row>
    <row r="171" ht="15" customHeight="1">
      <c r="A171" s="60">
        <f>'21 2026 ÜRETİM'!A171</f>
        <v/>
      </c>
      <c r="B171" s="81">
        <f>IF(A171="","",'21 2026 ÜRETİM'!D171)</f>
        <v/>
      </c>
      <c r="C171" s="81">
        <f>IF(A171="","",'21 2026 ÜRETİM'!E171)</f>
        <v/>
      </c>
      <c r="D171" s="82">
        <f>IF(A171="","",'21 2026 ÜRETİM'!F171)</f>
        <v/>
      </c>
      <c r="E171" s="81">
        <f>IF(A171="","",SUMIF('22 2026 PAKETLEME'!$B$2:$B$501,A171,'22 2026 PAKETLEME'!$E$2:$E$501))</f>
        <v/>
      </c>
      <c r="F171" s="82">
        <f>IF(A171="","",SUMIF('22 2026 PAKETLEME'!$B$2:$B$501,A171,'22 2026 PAKETLEME'!$G$2:$G$501))</f>
        <v/>
      </c>
      <c r="G171" s="81">
        <f>IF(A171="","",SUMIF('22 2026 PAKETLEME'!$B$2:$B$501,A171,'22 2026 PAKETLEME'!$H$2:$H$501))</f>
        <v/>
      </c>
      <c r="H171" s="81">
        <f>IF(A171="","",D171-E171-F171-G171)</f>
        <v/>
      </c>
      <c r="I171" s="82">
        <f>IF(A171="","",SUMIF('23 2026 SEVKİYAT'!$E$2:$E$501,A171,'23 2026 SEVKİYAT'!$H$2:$H$501))</f>
        <v/>
      </c>
      <c r="J171" s="81">
        <f>IF(A171="","",E171+F171-I171)</f>
        <v/>
      </c>
      <c r="K171" s="81">
        <f>IF(A171="","",D171-E171-F171-G171-H171)</f>
        <v/>
      </c>
      <c r="L171" s="58">
        <f>IF(A171="","",IF(ABS(K171)&lt;0.001,"KAPALI","KONTROL"))</f>
        <v/>
      </c>
      <c r="M171" s="56">
        <f>IF(A171="","",IF(J171&lt;0,"SEVK PAKETLEMEYİ AŞIYOR",IF(H171&lt;&gt;0,"PAKETLEME BAKİYESİ VAR","DENKLİK KAPALI")))</f>
        <v/>
      </c>
    </row>
    <row r="172" ht="15" customHeight="1">
      <c r="A172" s="60">
        <f>'21 2026 ÜRETİM'!A172</f>
        <v/>
      </c>
      <c r="B172" s="81">
        <f>IF(A172="","",'21 2026 ÜRETİM'!D172)</f>
        <v/>
      </c>
      <c r="C172" s="81">
        <f>IF(A172="","",'21 2026 ÜRETİM'!E172)</f>
        <v/>
      </c>
      <c r="D172" s="82">
        <f>IF(A172="","",'21 2026 ÜRETİM'!F172)</f>
        <v/>
      </c>
      <c r="E172" s="81">
        <f>IF(A172="","",SUMIF('22 2026 PAKETLEME'!$B$2:$B$501,A172,'22 2026 PAKETLEME'!$E$2:$E$501))</f>
        <v/>
      </c>
      <c r="F172" s="82">
        <f>IF(A172="","",SUMIF('22 2026 PAKETLEME'!$B$2:$B$501,A172,'22 2026 PAKETLEME'!$G$2:$G$501))</f>
        <v/>
      </c>
      <c r="G172" s="81">
        <f>IF(A172="","",SUMIF('22 2026 PAKETLEME'!$B$2:$B$501,A172,'22 2026 PAKETLEME'!$H$2:$H$501))</f>
        <v/>
      </c>
      <c r="H172" s="81">
        <f>IF(A172="","",D172-E172-F172-G172)</f>
        <v/>
      </c>
      <c r="I172" s="82">
        <f>IF(A172="","",SUMIF('23 2026 SEVKİYAT'!$E$2:$E$501,A172,'23 2026 SEVKİYAT'!$H$2:$H$501))</f>
        <v/>
      </c>
      <c r="J172" s="81">
        <f>IF(A172="","",E172+F172-I172)</f>
        <v/>
      </c>
      <c r="K172" s="81">
        <f>IF(A172="","",D172-E172-F172-G172-H172)</f>
        <v/>
      </c>
      <c r="L172" s="58">
        <f>IF(A172="","",IF(ABS(K172)&lt;0.001,"KAPALI","KONTROL"))</f>
        <v/>
      </c>
      <c r="M172" s="56">
        <f>IF(A172="","",IF(J172&lt;0,"SEVK PAKETLEMEYİ AŞIYOR",IF(H172&lt;&gt;0,"PAKETLEME BAKİYESİ VAR","DENKLİK KAPALI")))</f>
        <v/>
      </c>
    </row>
    <row r="173" ht="15" customHeight="1">
      <c r="A173" s="60">
        <f>'21 2026 ÜRETİM'!A173</f>
        <v/>
      </c>
      <c r="B173" s="81">
        <f>IF(A173="","",'21 2026 ÜRETİM'!D173)</f>
        <v/>
      </c>
      <c r="C173" s="81">
        <f>IF(A173="","",'21 2026 ÜRETİM'!E173)</f>
        <v/>
      </c>
      <c r="D173" s="82">
        <f>IF(A173="","",'21 2026 ÜRETİM'!F173)</f>
        <v/>
      </c>
      <c r="E173" s="81">
        <f>IF(A173="","",SUMIF('22 2026 PAKETLEME'!$B$2:$B$501,A173,'22 2026 PAKETLEME'!$E$2:$E$501))</f>
        <v/>
      </c>
      <c r="F173" s="82">
        <f>IF(A173="","",SUMIF('22 2026 PAKETLEME'!$B$2:$B$501,A173,'22 2026 PAKETLEME'!$G$2:$G$501))</f>
        <v/>
      </c>
      <c r="G173" s="81">
        <f>IF(A173="","",SUMIF('22 2026 PAKETLEME'!$B$2:$B$501,A173,'22 2026 PAKETLEME'!$H$2:$H$501))</f>
        <v/>
      </c>
      <c r="H173" s="81">
        <f>IF(A173="","",D173-E173-F173-G173)</f>
        <v/>
      </c>
      <c r="I173" s="82">
        <f>IF(A173="","",SUMIF('23 2026 SEVKİYAT'!$E$2:$E$501,A173,'23 2026 SEVKİYAT'!$H$2:$H$501))</f>
        <v/>
      </c>
      <c r="J173" s="81">
        <f>IF(A173="","",E173+F173-I173)</f>
        <v/>
      </c>
      <c r="K173" s="81">
        <f>IF(A173="","",D173-E173-F173-G173-H173)</f>
        <v/>
      </c>
      <c r="L173" s="58">
        <f>IF(A173="","",IF(ABS(K173)&lt;0.001,"KAPALI","KONTROL"))</f>
        <v/>
      </c>
      <c r="M173" s="56">
        <f>IF(A173="","",IF(J173&lt;0,"SEVK PAKETLEMEYİ AŞIYOR",IF(H173&lt;&gt;0,"PAKETLEME BAKİYESİ VAR","DENKLİK KAPALI")))</f>
        <v/>
      </c>
    </row>
    <row r="174" ht="15" customHeight="1">
      <c r="A174" s="60">
        <f>'21 2026 ÜRETİM'!A174</f>
        <v/>
      </c>
      <c r="B174" s="81">
        <f>IF(A174="","",'21 2026 ÜRETİM'!D174)</f>
        <v/>
      </c>
      <c r="C174" s="81">
        <f>IF(A174="","",'21 2026 ÜRETİM'!E174)</f>
        <v/>
      </c>
      <c r="D174" s="82">
        <f>IF(A174="","",'21 2026 ÜRETİM'!F174)</f>
        <v/>
      </c>
      <c r="E174" s="81">
        <f>IF(A174="","",SUMIF('22 2026 PAKETLEME'!$B$2:$B$501,A174,'22 2026 PAKETLEME'!$E$2:$E$501))</f>
        <v/>
      </c>
      <c r="F174" s="82">
        <f>IF(A174="","",SUMIF('22 2026 PAKETLEME'!$B$2:$B$501,A174,'22 2026 PAKETLEME'!$G$2:$G$501))</f>
        <v/>
      </c>
      <c r="G174" s="81">
        <f>IF(A174="","",SUMIF('22 2026 PAKETLEME'!$B$2:$B$501,A174,'22 2026 PAKETLEME'!$H$2:$H$501))</f>
        <v/>
      </c>
      <c r="H174" s="81">
        <f>IF(A174="","",D174-E174-F174-G174)</f>
        <v/>
      </c>
      <c r="I174" s="82">
        <f>IF(A174="","",SUMIF('23 2026 SEVKİYAT'!$E$2:$E$501,A174,'23 2026 SEVKİYAT'!$H$2:$H$501))</f>
        <v/>
      </c>
      <c r="J174" s="81">
        <f>IF(A174="","",E174+F174-I174)</f>
        <v/>
      </c>
      <c r="K174" s="81">
        <f>IF(A174="","",D174-E174-F174-G174-H174)</f>
        <v/>
      </c>
      <c r="L174" s="58">
        <f>IF(A174="","",IF(ABS(K174)&lt;0.001,"KAPALI","KONTROL"))</f>
        <v/>
      </c>
      <c r="M174" s="56">
        <f>IF(A174="","",IF(J174&lt;0,"SEVK PAKETLEMEYİ AŞIYOR",IF(H174&lt;&gt;0,"PAKETLEME BAKİYESİ VAR","DENKLİK KAPALI")))</f>
        <v/>
      </c>
    </row>
    <row r="175" ht="15" customHeight="1">
      <c r="A175" s="60">
        <f>'21 2026 ÜRETİM'!A175</f>
        <v/>
      </c>
      <c r="B175" s="81">
        <f>IF(A175="","",'21 2026 ÜRETİM'!D175)</f>
        <v/>
      </c>
      <c r="C175" s="81">
        <f>IF(A175="","",'21 2026 ÜRETİM'!E175)</f>
        <v/>
      </c>
      <c r="D175" s="82">
        <f>IF(A175="","",'21 2026 ÜRETİM'!F175)</f>
        <v/>
      </c>
      <c r="E175" s="81">
        <f>IF(A175="","",SUMIF('22 2026 PAKETLEME'!$B$2:$B$501,A175,'22 2026 PAKETLEME'!$E$2:$E$501))</f>
        <v/>
      </c>
      <c r="F175" s="82">
        <f>IF(A175="","",SUMIF('22 2026 PAKETLEME'!$B$2:$B$501,A175,'22 2026 PAKETLEME'!$G$2:$G$501))</f>
        <v/>
      </c>
      <c r="G175" s="81">
        <f>IF(A175="","",SUMIF('22 2026 PAKETLEME'!$B$2:$B$501,A175,'22 2026 PAKETLEME'!$H$2:$H$501))</f>
        <v/>
      </c>
      <c r="H175" s="81">
        <f>IF(A175="","",D175-E175-F175-G175)</f>
        <v/>
      </c>
      <c r="I175" s="82">
        <f>IF(A175="","",SUMIF('23 2026 SEVKİYAT'!$E$2:$E$501,A175,'23 2026 SEVKİYAT'!$H$2:$H$501))</f>
        <v/>
      </c>
      <c r="J175" s="81">
        <f>IF(A175="","",E175+F175-I175)</f>
        <v/>
      </c>
      <c r="K175" s="81">
        <f>IF(A175="","",D175-E175-F175-G175-H175)</f>
        <v/>
      </c>
      <c r="L175" s="58">
        <f>IF(A175="","",IF(ABS(K175)&lt;0.001,"KAPALI","KONTROL"))</f>
        <v/>
      </c>
      <c r="M175" s="56">
        <f>IF(A175="","",IF(J175&lt;0,"SEVK PAKETLEMEYİ AŞIYOR",IF(H175&lt;&gt;0,"PAKETLEME BAKİYESİ VAR","DENKLİK KAPALI")))</f>
        <v/>
      </c>
    </row>
    <row r="176" ht="15" customHeight="1">
      <c r="A176" s="60">
        <f>'21 2026 ÜRETİM'!A176</f>
        <v/>
      </c>
      <c r="B176" s="81">
        <f>IF(A176="","",'21 2026 ÜRETİM'!D176)</f>
        <v/>
      </c>
      <c r="C176" s="81">
        <f>IF(A176="","",'21 2026 ÜRETİM'!E176)</f>
        <v/>
      </c>
      <c r="D176" s="82">
        <f>IF(A176="","",'21 2026 ÜRETİM'!F176)</f>
        <v/>
      </c>
      <c r="E176" s="81">
        <f>IF(A176="","",SUMIF('22 2026 PAKETLEME'!$B$2:$B$501,A176,'22 2026 PAKETLEME'!$E$2:$E$501))</f>
        <v/>
      </c>
      <c r="F176" s="82">
        <f>IF(A176="","",SUMIF('22 2026 PAKETLEME'!$B$2:$B$501,A176,'22 2026 PAKETLEME'!$G$2:$G$501))</f>
        <v/>
      </c>
      <c r="G176" s="81">
        <f>IF(A176="","",SUMIF('22 2026 PAKETLEME'!$B$2:$B$501,A176,'22 2026 PAKETLEME'!$H$2:$H$501))</f>
        <v/>
      </c>
      <c r="H176" s="81">
        <f>IF(A176="","",D176-E176-F176-G176)</f>
        <v/>
      </c>
      <c r="I176" s="82">
        <f>IF(A176="","",SUMIF('23 2026 SEVKİYAT'!$E$2:$E$501,A176,'23 2026 SEVKİYAT'!$H$2:$H$501))</f>
        <v/>
      </c>
      <c r="J176" s="81">
        <f>IF(A176="","",E176+F176-I176)</f>
        <v/>
      </c>
      <c r="K176" s="81">
        <f>IF(A176="","",D176-E176-F176-G176-H176)</f>
        <v/>
      </c>
      <c r="L176" s="58">
        <f>IF(A176="","",IF(ABS(K176)&lt;0.001,"KAPALI","KONTROL"))</f>
        <v/>
      </c>
      <c r="M176" s="56">
        <f>IF(A176="","",IF(J176&lt;0,"SEVK PAKETLEMEYİ AŞIYOR",IF(H176&lt;&gt;0,"PAKETLEME BAKİYESİ VAR","DENKLİK KAPALI")))</f>
        <v/>
      </c>
    </row>
    <row r="177" ht="15" customHeight="1">
      <c r="A177" s="60">
        <f>'21 2026 ÜRETİM'!A177</f>
        <v/>
      </c>
      <c r="B177" s="81">
        <f>IF(A177="","",'21 2026 ÜRETİM'!D177)</f>
        <v/>
      </c>
      <c r="C177" s="81">
        <f>IF(A177="","",'21 2026 ÜRETİM'!E177)</f>
        <v/>
      </c>
      <c r="D177" s="82">
        <f>IF(A177="","",'21 2026 ÜRETİM'!F177)</f>
        <v/>
      </c>
      <c r="E177" s="81">
        <f>IF(A177="","",SUMIF('22 2026 PAKETLEME'!$B$2:$B$501,A177,'22 2026 PAKETLEME'!$E$2:$E$501))</f>
        <v/>
      </c>
      <c r="F177" s="82">
        <f>IF(A177="","",SUMIF('22 2026 PAKETLEME'!$B$2:$B$501,A177,'22 2026 PAKETLEME'!$G$2:$G$501))</f>
        <v/>
      </c>
      <c r="G177" s="81">
        <f>IF(A177="","",SUMIF('22 2026 PAKETLEME'!$B$2:$B$501,A177,'22 2026 PAKETLEME'!$H$2:$H$501))</f>
        <v/>
      </c>
      <c r="H177" s="81">
        <f>IF(A177="","",D177-E177-F177-G177)</f>
        <v/>
      </c>
      <c r="I177" s="82">
        <f>IF(A177="","",SUMIF('23 2026 SEVKİYAT'!$E$2:$E$501,A177,'23 2026 SEVKİYAT'!$H$2:$H$501))</f>
        <v/>
      </c>
      <c r="J177" s="81">
        <f>IF(A177="","",E177+F177-I177)</f>
        <v/>
      </c>
      <c r="K177" s="81">
        <f>IF(A177="","",D177-E177-F177-G177-H177)</f>
        <v/>
      </c>
      <c r="L177" s="58">
        <f>IF(A177="","",IF(ABS(K177)&lt;0.001,"KAPALI","KONTROL"))</f>
        <v/>
      </c>
      <c r="M177" s="56">
        <f>IF(A177="","",IF(J177&lt;0,"SEVK PAKETLEMEYİ AŞIYOR",IF(H177&lt;&gt;0,"PAKETLEME BAKİYESİ VAR","DENKLİK KAPALI")))</f>
        <v/>
      </c>
    </row>
    <row r="178" ht="15" customHeight="1">
      <c r="A178" s="60">
        <f>'21 2026 ÜRETİM'!A178</f>
        <v/>
      </c>
      <c r="B178" s="81">
        <f>IF(A178="","",'21 2026 ÜRETİM'!D178)</f>
        <v/>
      </c>
      <c r="C178" s="81">
        <f>IF(A178="","",'21 2026 ÜRETİM'!E178)</f>
        <v/>
      </c>
      <c r="D178" s="82">
        <f>IF(A178="","",'21 2026 ÜRETİM'!F178)</f>
        <v/>
      </c>
      <c r="E178" s="81">
        <f>IF(A178="","",SUMIF('22 2026 PAKETLEME'!$B$2:$B$501,A178,'22 2026 PAKETLEME'!$E$2:$E$501))</f>
        <v/>
      </c>
      <c r="F178" s="82">
        <f>IF(A178="","",SUMIF('22 2026 PAKETLEME'!$B$2:$B$501,A178,'22 2026 PAKETLEME'!$G$2:$G$501))</f>
        <v/>
      </c>
      <c r="G178" s="81">
        <f>IF(A178="","",SUMIF('22 2026 PAKETLEME'!$B$2:$B$501,A178,'22 2026 PAKETLEME'!$H$2:$H$501))</f>
        <v/>
      </c>
      <c r="H178" s="81">
        <f>IF(A178="","",D178-E178-F178-G178)</f>
        <v/>
      </c>
      <c r="I178" s="82">
        <f>IF(A178="","",SUMIF('23 2026 SEVKİYAT'!$E$2:$E$501,A178,'23 2026 SEVKİYAT'!$H$2:$H$501))</f>
        <v/>
      </c>
      <c r="J178" s="81">
        <f>IF(A178="","",E178+F178-I178)</f>
        <v/>
      </c>
      <c r="K178" s="81">
        <f>IF(A178="","",D178-E178-F178-G178-H178)</f>
        <v/>
      </c>
      <c r="L178" s="58">
        <f>IF(A178="","",IF(ABS(K178)&lt;0.001,"KAPALI","KONTROL"))</f>
        <v/>
      </c>
      <c r="M178" s="56">
        <f>IF(A178="","",IF(J178&lt;0,"SEVK PAKETLEMEYİ AŞIYOR",IF(H178&lt;&gt;0,"PAKETLEME BAKİYESİ VAR","DENKLİK KAPALI")))</f>
        <v/>
      </c>
    </row>
    <row r="179" ht="15" customHeight="1">
      <c r="A179" s="60">
        <f>'21 2026 ÜRETİM'!A179</f>
        <v/>
      </c>
      <c r="B179" s="81">
        <f>IF(A179="","",'21 2026 ÜRETİM'!D179)</f>
        <v/>
      </c>
      <c r="C179" s="81">
        <f>IF(A179="","",'21 2026 ÜRETİM'!E179)</f>
        <v/>
      </c>
      <c r="D179" s="82">
        <f>IF(A179="","",'21 2026 ÜRETİM'!F179)</f>
        <v/>
      </c>
      <c r="E179" s="81">
        <f>IF(A179="","",SUMIF('22 2026 PAKETLEME'!$B$2:$B$501,A179,'22 2026 PAKETLEME'!$E$2:$E$501))</f>
        <v/>
      </c>
      <c r="F179" s="82">
        <f>IF(A179="","",SUMIF('22 2026 PAKETLEME'!$B$2:$B$501,A179,'22 2026 PAKETLEME'!$G$2:$G$501))</f>
        <v/>
      </c>
      <c r="G179" s="81">
        <f>IF(A179="","",SUMIF('22 2026 PAKETLEME'!$B$2:$B$501,A179,'22 2026 PAKETLEME'!$H$2:$H$501))</f>
        <v/>
      </c>
      <c r="H179" s="81">
        <f>IF(A179="","",D179-E179-F179-G179)</f>
        <v/>
      </c>
      <c r="I179" s="82">
        <f>IF(A179="","",SUMIF('23 2026 SEVKİYAT'!$E$2:$E$501,A179,'23 2026 SEVKİYAT'!$H$2:$H$501))</f>
        <v/>
      </c>
      <c r="J179" s="81">
        <f>IF(A179="","",E179+F179-I179)</f>
        <v/>
      </c>
      <c r="K179" s="81">
        <f>IF(A179="","",D179-E179-F179-G179-H179)</f>
        <v/>
      </c>
      <c r="L179" s="58">
        <f>IF(A179="","",IF(ABS(K179)&lt;0.001,"KAPALI","KONTROL"))</f>
        <v/>
      </c>
      <c r="M179" s="56">
        <f>IF(A179="","",IF(J179&lt;0,"SEVK PAKETLEMEYİ AŞIYOR",IF(H179&lt;&gt;0,"PAKETLEME BAKİYESİ VAR","DENKLİK KAPALI")))</f>
        <v/>
      </c>
    </row>
    <row r="180" ht="15" customHeight="1">
      <c r="A180" s="60">
        <f>'21 2026 ÜRETİM'!A180</f>
        <v/>
      </c>
      <c r="B180" s="81">
        <f>IF(A180="","",'21 2026 ÜRETİM'!D180)</f>
        <v/>
      </c>
      <c r="C180" s="81">
        <f>IF(A180="","",'21 2026 ÜRETİM'!E180)</f>
        <v/>
      </c>
      <c r="D180" s="82">
        <f>IF(A180="","",'21 2026 ÜRETİM'!F180)</f>
        <v/>
      </c>
      <c r="E180" s="81">
        <f>IF(A180="","",SUMIF('22 2026 PAKETLEME'!$B$2:$B$501,A180,'22 2026 PAKETLEME'!$E$2:$E$501))</f>
        <v/>
      </c>
      <c r="F180" s="82">
        <f>IF(A180="","",SUMIF('22 2026 PAKETLEME'!$B$2:$B$501,A180,'22 2026 PAKETLEME'!$G$2:$G$501))</f>
        <v/>
      </c>
      <c r="G180" s="81">
        <f>IF(A180="","",SUMIF('22 2026 PAKETLEME'!$B$2:$B$501,A180,'22 2026 PAKETLEME'!$H$2:$H$501))</f>
        <v/>
      </c>
      <c r="H180" s="81">
        <f>IF(A180="","",D180-E180-F180-G180)</f>
        <v/>
      </c>
      <c r="I180" s="82">
        <f>IF(A180="","",SUMIF('23 2026 SEVKİYAT'!$E$2:$E$501,A180,'23 2026 SEVKİYAT'!$H$2:$H$501))</f>
        <v/>
      </c>
      <c r="J180" s="81">
        <f>IF(A180="","",E180+F180-I180)</f>
        <v/>
      </c>
      <c r="K180" s="81">
        <f>IF(A180="","",D180-E180-F180-G180-H180)</f>
        <v/>
      </c>
      <c r="L180" s="58">
        <f>IF(A180="","",IF(ABS(K180)&lt;0.001,"KAPALI","KONTROL"))</f>
        <v/>
      </c>
      <c r="M180" s="56">
        <f>IF(A180="","",IF(J180&lt;0,"SEVK PAKETLEMEYİ AŞIYOR",IF(H180&lt;&gt;0,"PAKETLEME BAKİYESİ VAR","DENKLİK KAPALI")))</f>
        <v/>
      </c>
    </row>
    <row r="181" ht="15" customHeight="1">
      <c r="A181" s="60">
        <f>'21 2026 ÜRETİM'!A181</f>
        <v/>
      </c>
      <c r="B181" s="81">
        <f>IF(A181="","",'21 2026 ÜRETİM'!D181)</f>
        <v/>
      </c>
      <c r="C181" s="81">
        <f>IF(A181="","",'21 2026 ÜRETİM'!E181)</f>
        <v/>
      </c>
      <c r="D181" s="82">
        <f>IF(A181="","",'21 2026 ÜRETİM'!F181)</f>
        <v/>
      </c>
      <c r="E181" s="81">
        <f>IF(A181="","",SUMIF('22 2026 PAKETLEME'!$B$2:$B$501,A181,'22 2026 PAKETLEME'!$E$2:$E$501))</f>
        <v/>
      </c>
      <c r="F181" s="82">
        <f>IF(A181="","",SUMIF('22 2026 PAKETLEME'!$B$2:$B$501,A181,'22 2026 PAKETLEME'!$G$2:$G$501))</f>
        <v/>
      </c>
      <c r="G181" s="81">
        <f>IF(A181="","",SUMIF('22 2026 PAKETLEME'!$B$2:$B$501,A181,'22 2026 PAKETLEME'!$H$2:$H$501))</f>
        <v/>
      </c>
      <c r="H181" s="81">
        <f>IF(A181="","",D181-E181-F181-G181)</f>
        <v/>
      </c>
      <c r="I181" s="82">
        <f>IF(A181="","",SUMIF('23 2026 SEVKİYAT'!$E$2:$E$501,A181,'23 2026 SEVKİYAT'!$H$2:$H$501))</f>
        <v/>
      </c>
      <c r="J181" s="81">
        <f>IF(A181="","",E181+F181-I181)</f>
        <v/>
      </c>
      <c r="K181" s="81">
        <f>IF(A181="","",D181-E181-F181-G181-H181)</f>
        <v/>
      </c>
      <c r="L181" s="58">
        <f>IF(A181="","",IF(ABS(K181)&lt;0.001,"KAPALI","KONTROL"))</f>
        <v/>
      </c>
      <c r="M181" s="56">
        <f>IF(A181="","",IF(J181&lt;0,"SEVK PAKETLEMEYİ AŞIYOR",IF(H181&lt;&gt;0,"PAKETLEME BAKİYESİ VAR","DENKLİK KAPALI")))</f>
        <v/>
      </c>
    </row>
    <row r="182" ht="15" customHeight="1">
      <c r="A182" s="60">
        <f>'21 2026 ÜRETİM'!A182</f>
        <v/>
      </c>
      <c r="B182" s="81">
        <f>IF(A182="","",'21 2026 ÜRETİM'!D182)</f>
        <v/>
      </c>
      <c r="C182" s="81">
        <f>IF(A182="","",'21 2026 ÜRETİM'!E182)</f>
        <v/>
      </c>
      <c r="D182" s="82">
        <f>IF(A182="","",'21 2026 ÜRETİM'!F182)</f>
        <v/>
      </c>
      <c r="E182" s="81">
        <f>IF(A182="","",SUMIF('22 2026 PAKETLEME'!$B$2:$B$501,A182,'22 2026 PAKETLEME'!$E$2:$E$501))</f>
        <v/>
      </c>
      <c r="F182" s="82">
        <f>IF(A182="","",SUMIF('22 2026 PAKETLEME'!$B$2:$B$501,A182,'22 2026 PAKETLEME'!$G$2:$G$501))</f>
        <v/>
      </c>
      <c r="G182" s="81">
        <f>IF(A182="","",SUMIF('22 2026 PAKETLEME'!$B$2:$B$501,A182,'22 2026 PAKETLEME'!$H$2:$H$501))</f>
        <v/>
      </c>
      <c r="H182" s="81">
        <f>IF(A182="","",D182-E182-F182-G182)</f>
        <v/>
      </c>
      <c r="I182" s="82">
        <f>IF(A182="","",SUMIF('23 2026 SEVKİYAT'!$E$2:$E$501,A182,'23 2026 SEVKİYAT'!$H$2:$H$501))</f>
        <v/>
      </c>
      <c r="J182" s="81">
        <f>IF(A182="","",E182+F182-I182)</f>
        <v/>
      </c>
      <c r="K182" s="81">
        <f>IF(A182="","",D182-E182-F182-G182-H182)</f>
        <v/>
      </c>
      <c r="L182" s="58">
        <f>IF(A182="","",IF(ABS(K182)&lt;0.001,"KAPALI","KONTROL"))</f>
        <v/>
      </c>
      <c r="M182" s="56">
        <f>IF(A182="","",IF(J182&lt;0,"SEVK PAKETLEMEYİ AŞIYOR",IF(H182&lt;&gt;0,"PAKETLEME BAKİYESİ VAR","DENKLİK KAPALI")))</f>
        <v/>
      </c>
    </row>
    <row r="183" ht="15" customHeight="1">
      <c r="A183" s="60">
        <f>'21 2026 ÜRETİM'!A183</f>
        <v/>
      </c>
      <c r="B183" s="81">
        <f>IF(A183="","",'21 2026 ÜRETİM'!D183)</f>
        <v/>
      </c>
      <c r="C183" s="81">
        <f>IF(A183="","",'21 2026 ÜRETİM'!E183)</f>
        <v/>
      </c>
      <c r="D183" s="82">
        <f>IF(A183="","",'21 2026 ÜRETİM'!F183)</f>
        <v/>
      </c>
      <c r="E183" s="81">
        <f>IF(A183="","",SUMIF('22 2026 PAKETLEME'!$B$2:$B$501,A183,'22 2026 PAKETLEME'!$E$2:$E$501))</f>
        <v/>
      </c>
      <c r="F183" s="82">
        <f>IF(A183="","",SUMIF('22 2026 PAKETLEME'!$B$2:$B$501,A183,'22 2026 PAKETLEME'!$G$2:$G$501))</f>
        <v/>
      </c>
      <c r="G183" s="81">
        <f>IF(A183="","",SUMIF('22 2026 PAKETLEME'!$B$2:$B$501,A183,'22 2026 PAKETLEME'!$H$2:$H$501))</f>
        <v/>
      </c>
      <c r="H183" s="81">
        <f>IF(A183="","",D183-E183-F183-G183)</f>
        <v/>
      </c>
      <c r="I183" s="82">
        <f>IF(A183="","",SUMIF('23 2026 SEVKİYAT'!$E$2:$E$501,A183,'23 2026 SEVKİYAT'!$H$2:$H$501))</f>
        <v/>
      </c>
      <c r="J183" s="81">
        <f>IF(A183="","",E183+F183-I183)</f>
        <v/>
      </c>
      <c r="K183" s="81">
        <f>IF(A183="","",D183-E183-F183-G183-H183)</f>
        <v/>
      </c>
      <c r="L183" s="58">
        <f>IF(A183="","",IF(ABS(K183)&lt;0.001,"KAPALI","KONTROL"))</f>
        <v/>
      </c>
      <c r="M183" s="56">
        <f>IF(A183="","",IF(J183&lt;0,"SEVK PAKETLEMEYİ AŞIYOR",IF(H183&lt;&gt;0,"PAKETLEME BAKİYESİ VAR","DENKLİK KAPALI")))</f>
        <v/>
      </c>
    </row>
    <row r="184" ht="15" customHeight="1">
      <c r="A184" s="60">
        <f>'21 2026 ÜRETİM'!A184</f>
        <v/>
      </c>
      <c r="B184" s="81">
        <f>IF(A184="","",'21 2026 ÜRETİM'!D184)</f>
        <v/>
      </c>
      <c r="C184" s="81">
        <f>IF(A184="","",'21 2026 ÜRETİM'!E184)</f>
        <v/>
      </c>
      <c r="D184" s="82">
        <f>IF(A184="","",'21 2026 ÜRETİM'!F184)</f>
        <v/>
      </c>
      <c r="E184" s="81">
        <f>IF(A184="","",SUMIF('22 2026 PAKETLEME'!$B$2:$B$501,A184,'22 2026 PAKETLEME'!$E$2:$E$501))</f>
        <v/>
      </c>
      <c r="F184" s="82">
        <f>IF(A184="","",SUMIF('22 2026 PAKETLEME'!$B$2:$B$501,A184,'22 2026 PAKETLEME'!$G$2:$G$501))</f>
        <v/>
      </c>
      <c r="G184" s="81">
        <f>IF(A184="","",SUMIF('22 2026 PAKETLEME'!$B$2:$B$501,A184,'22 2026 PAKETLEME'!$H$2:$H$501))</f>
        <v/>
      </c>
      <c r="H184" s="81">
        <f>IF(A184="","",D184-E184-F184-G184)</f>
        <v/>
      </c>
      <c r="I184" s="82">
        <f>IF(A184="","",SUMIF('23 2026 SEVKİYAT'!$E$2:$E$501,A184,'23 2026 SEVKİYAT'!$H$2:$H$501))</f>
        <v/>
      </c>
      <c r="J184" s="81">
        <f>IF(A184="","",E184+F184-I184)</f>
        <v/>
      </c>
      <c r="K184" s="81">
        <f>IF(A184="","",D184-E184-F184-G184-H184)</f>
        <v/>
      </c>
      <c r="L184" s="58">
        <f>IF(A184="","",IF(ABS(K184)&lt;0.001,"KAPALI","KONTROL"))</f>
        <v/>
      </c>
      <c r="M184" s="56">
        <f>IF(A184="","",IF(J184&lt;0,"SEVK PAKETLEMEYİ AŞIYOR",IF(H184&lt;&gt;0,"PAKETLEME BAKİYESİ VAR","DENKLİK KAPALI")))</f>
        <v/>
      </c>
    </row>
    <row r="185" ht="15" customHeight="1">
      <c r="A185" s="60">
        <f>'21 2026 ÜRETİM'!A185</f>
        <v/>
      </c>
      <c r="B185" s="81">
        <f>IF(A185="","",'21 2026 ÜRETİM'!D185)</f>
        <v/>
      </c>
      <c r="C185" s="81">
        <f>IF(A185="","",'21 2026 ÜRETİM'!E185)</f>
        <v/>
      </c>
      <c r="D185" s="82">
        <f>IF(A185="","",'21 2026 ÜRETİM'!F185)</f>
        <v/>
      </c>
      <c r="E185" s="81">
        <f>IF(A185="","",SUMIF('22 2026 PAKETLEME'!$B$2:$B$501,A185,'22 2026 PAKETLEME'!$E$2:$E$501))</f>
        <v/>
      </c>
      <c r="F185" s="82">
        <f>IF(A185="","",SUMIF('22 2026 PAKETLEME'!$B$2:$B$501,A185,'22 2026 PAKETLEME'!$G$2:$G$501))</f>
        <v/>
      </c>
      <c r="G185" s="81">
        <f>IF(A185="","",SUMIF('22 2026 PAKETLEME'!$B$2:$B$501,A185,'22 2026 PAKETLEME'!$H$2:$H$501))</f>
        <v/>
      </c>
      <c r="H185" s="81">
        <f>IF(A185="","",D185-E185-F185-G185)</f>
        <v/>
      </c>
      <c r="I185" s="82">
        <f>IF(A185="","",SUMIF('23 2026 SEVKİYAT'!$E$2:$E$501,A185,'23 2026 SEVKİYAT'!$H$2:$H$501))</f>
        <v/>
      </c>
      <c r="J185" s="81">
        <f>IF(A185="","",E185+F185-I185)</f>
        <v/>
      </c>
      <c r="K185" s="81">
        <f>IF(A185="","",D185-E185-F185-G185-H185)</f>
        <v/>
      </c>
      <c r="L185" s="58">
        <f>IF(A185="","",IF(ABS(K185)&lt;0.001,"KAPALI","KONTROL"))</f>
        <v/>
      </c>
      <c r="M185" s="56">
        <f>IF(A185="","",IF(J185&lt;0,"SEVK PAKETLEMEYİ AŞIYOR",IF(H185&lt;&gt;0,"PAKETLEME BAKİYESİ VAR","DENKLİK KAPALI")))</f>
        <v/>
      </c>
    </row>
    <row r="186" ht="15" customHeight="1">
      <c r="A186" s="60">
        <f>'21 2026 ÜRETİM'!A186</f>
        <v/>
      </c>
      <c r="B186" s="81">
        <f>IF(A186="","",'21 2026 ÜRETİM'!D186)</f>
        <v/>
      </c>
      <c r="C186" s="81">
        <f>IF(A186="","",'21 2026 ÜRETİM'!E186)</f>
        <v/>
      </c>
      <c r="D186" s="82">
        <f>IF(A186="","",'21 2026 ÜRETİM'!F186)</f>
        <v/>
      </c>
      <c r="E186" s="81">
        <f>IF(A186="","",SUMIF('22 2026 PAKETLEME'!$B$2:$B$501,A186,'22 2026 PAKETLEME'!$E$2:$E$501))</f>
        <v/>
      </c>
      <c r="F186" s="82">
        <f>IF(A186="","",SUMIF('22 2026 PAKETLEME'!$B$2:$B$501,A186,'22 2026 PAKETLEME'!$G$2:$G$501))</f>
        <v/>
      </c>
      <c r="G186" s="81">
        <f>IF(A186="","",SUMIF('22 2026 PAKETLEME'!$B$2:$B$501,A186,'22 2026 PAKETLEME'!$H$2:$H$501))</f>
        <v/>
      </c>
      <c r="H186" s="81">
        <f>IF(A186="","",D186-E186-F186-G186)</f>
        <v/>
      </c>
      <c r="I186" s="82">
        <f>IF(A186="","",SUMIF('23 2026 SEVKİYAT'!$E$2:$E$501,A186,'23 2026 SEVKİYAT'!$H$2:$H$501))</f>
        <v/>
      </c>
      <c r="J186" s="81">
        <f>IF(A186="","",E186+F186-I186)</f>
        <v/>
      </c>
      <c r="K186" s="81">
        <f>IF(A186="","",D186-E186-F186-G186-H186)</f>
        <v/>
      </c>
      <c r="L186" s="58">
        <f>IF(A186="","",IF(ABS(K186)&lt;0.001,"KAPALI","KONTROL"))</f>
        <v/>
      </c>
      <c r="M186" s="56">
        <f>IF(A186="","",IF(J186&lt;0,"SEVK PAKETLEMEYİ AŞIYOR",IF(H186&lt;&gt;0,"PAKETLEME BAKİYESİ VAR","DENKLİK KAPALI")))</f>
        <v/>
      </c>
    </row>
    <row r="187" ht="15" customHeight="1">
      <c r="A187" s="60">
        <f>'21 2026 ÜRETİM'!A187</f>
        <v/>
      </c>
      <c r="B187" s="81">
        <f>IF(A187="","",'21 2026 ÜRETİM'!D187)</f>
        <v/>
      </c>
      <c r="C187" s="81">
        <f>IF(A187="","",'21 2026 ÜRETİM'!E187)</f>
        <v/>
      </c>
      <c r="D187" s="82">
        <f>IF(A187="","",'21 2026 ÜRETİM'!F187)</f>
        <v/>
      </c>
      <c r="E187" s="81">
        <f>IF(A187="","",SUMIF('22 2026 PAKETLEME'!$B$2:$B$501,A187,'22 2026 PAKETLEME'!$E$2:$E$501))</f>
        <v/>
      </c>
      <c r="F187" s="82">
        <f>IF(A187="","",SUMIF('22 2026 PAKETLEME'!$B$2:$B$501,A187,'22 2026 PAKETLEME'!$G$2:$G$501))</f>
        <v/>
      </c>
      <c r="G187" s="81">
        <f>IF(A187="","",SUMIF('22 2026 PAKETLEME'!$B$2:$B$501,A187,'22 2026 PAKETLEME'!$H$2:$H$501))</f>
        <v/>
      </c>
      <c r="H187" s="81">
        <f>IF(A187="","",D187-E187-F187-G187)</f>
        <v/>
      </c>
      <c r="I187" s="82">
        <f>IF(A187="","",SUMIF('23 2026 SEVKİYAT'!$E$2:$E$501,A187,'23 2026 SEVKİYAT'!$H$2:$H$501))</f>
        <v/>
      </c>
      <c r="J187" s="81">
        <f>IF(A187="","",E187+F187-I187)</f>
        <v/>
      </c>
      <c r="K187" s="81">
        <f>IF(A187="","",D187-E187-F187-G187-H187)</f>
        <v/>
      </c>
      <c r="L187" s="58">
        <f>IF(A187="","",IF(ABS(K187)&lt;0.001,"KAPALI","KONTROL"))</f>
        <v/>
      </c>
      <c r="M187" s="56">
        <f>IF(A187="","",IF(J187&lt;0,"SEVK PAKETLEMEYİ AŞIYOR",IF(H187&lt;&gt;0,"PAKETLEME BAKİYESİ VAR","DENKLİK KAPALI")))</f>
        <v/>
      </c>
    </row>
    <row r="188" ht="15" customHeight="1">
      <c r="A188" s="60">
        <f>'21 2026 ÜRETİM'!A188</f>
        <v/>
      </c>
      <c r="B188" s="81">
        <f>IF(A188="","",'21 2026 ÜRETİM'!D188)</f>
        <v/>
      </c>
      <c r="C188" s="81">
        <f>IF(A188="","",'21 2026 ÜRETİM'!E188)</f>
        <v/>
      </c>
      <c r="D188" s="82">
        <f>IF(A188="","",'21 2026 ÜRETİM'!F188)</f>
        <v/>
      </c>
      <c r="E188" s="81">
        <f>IF(A188="","",SUMIF('22 2026 PAKETLEME'!$B$2:$B$501,A188,'22 2026 PAKETLEME'!$E$2:$E$501))</f>
        <v/>
      </c>
      <c r="F188" s="82">
        <f>IF(A188="","",SUMIF('22 2026 PAKETLEME'!$B$2:$B$501,A188,'22 2026 PAKETLEME'!$G$2:$G$501))</f>
        <v/>
      </c>
      <c r="G188" s="81">
        <f>IF(A188="","",SUMIF('22 2026 PAKETLEME'!$B$2:$B$501,A188,'22 2026 PAKETLEME'!$H$2:$H$501))</f>
        <v/>
      </c>
      <c r="H188" s="81">
        <f>IF(A188="","",D188-E188-F188-G188)</f>
        <v/>
      </c>
      <c r="I188" s="82">
        <f>IF(A188="","",SUMIF('23 2026 SEVKİYAT'!$E$2:$E$501,A188,'23 2026 SEVKİYAT'!$H$2:$H$501))</f>
        <v/>
      </c>
      <c r="J188" s="81">
        <f>IF(A188="","",E188+F188-I188)</f>
        <v/>
      </c>
      <c r="K188" s="81">
        <f>IF(A188="","",D188-E188-F188-G188-H188)</f>
        <v/>
      </c>
      <c r="L188" s="58">
        <f>IF(A188="","",IF(ABS(K188)&lt;0.001,"KAPALI","KONTROL"))</f>
        <v/>
      </c>
      <c r="M188" s="56">
        <f>IF(A188="","",IF(J188&lt;0,"SEVK PAKETLEMEYİ AŞIYOR",IF(H188&lt;&gt;0,"PAKETLEME BAKİYESİ VAR","DENKLİK KAPALI")))</f>
        <v/>
      </c>
    </row>
    <row r="189" ht="15" customHeight="1">
      <c r="A189" s="60">
        <f>'21 2026 ÜRETİM'!A189</f>
        <v/>
      </c>
      <c r="B189" s="81">
        <f>IF(A189="","",'21 2026 ÜRETİM'!D189)</f>
        <v/>
      </c>
      <c r="C189" s="81">
        <f>IF(A189="","",'21 2026 ÜRETİM'!E189)</f>
        <v/>
      </c>
      <c r="D189" s="82">
        <f>IF(A189="","",'21 2026 ÜRETİM'!F189)</f>
        <v/>
      </c>
      <c r="E189" s="81">
        <f>IF(A189="","",SUMIF('22 2026 PAKETLEME'!$B$2:$B$501,A189,'22 2026 PAKETLEME'!$E$2:$E$501))</f>
        <v/>
      </c>
      <c r="F189" s="82">
        <f>IF(A189="","",SUMIF('22 2026 PAKETLEME'!$B$2:$B$501,A189,'22 2026 PAKETLEME'!$G$2:$G$501))</f>
        <v/>
      </c>
      <c r="G189" s="81">
        <f>IF(A189="","",SUMIF('22 2026 PAKETLEME'!$B$2:$B$501,A189,'22 2026 PAKETLEME'!$H$2:$H$501))</f>
        <v/>
      </c>
      <c r="H189" s="81">
        <f>IF(A189="","",D189-E189-F189-G189)</f>
        <v/>
      </c>
      <c r="I189" s="82">
        <f>IF(A189="","",SUMIF('23 2026 SEVKİYAT'!$E$2:$E$501,A189,'23 2026 SEVKİYAT'!$H$2:$H$501))</f>
        <v/>
      </c>
      <c r="J189" s="81">
        <f>IF(A189="","",E189+F189-I189)</f>
        <v/>
      </c>
      <c r="K189" s="81">
        <f>IF(A189="","",D189-E189-F189-G189-H189)</f>
        <v/>
      </c>
      <c r="L189" s="58">
        <f>IF(A189="","",IF(ABS(K189)&lt;0.001,"KAPALI","KONTROL"))</f>
        <v/>
      </c>
      <c r="M189" s="56">
        <f>IF(A189="","",IF(J189&lt;0,"SEVK PAKETLEMEYİ AŞIYOR",IF(H189&lt;&gt;0,"PAKETLEME BAKİYESİ VAR","DENKLİK KAPALI")))</f>
        <v/>
      </c>
    </row>
    <row r="190" ht="15" customHeight="1">
      <c r="A190" s="60">
        <f>'21 2026 ÜRETİM'!A190</f>
        <v/>
      </c>
      <c r="B190" s="81">
        <f>IF(A190="","",'21 2026 ÜRETİM'!D190)</f>
        <v/>
      </c>
      <c r="C190" s="81">
        <f>IF(A190="","",'21 2026 ÜRETİM'!E190)</f>
        <v/>
      </c>
      <c r="D190" s="82">
        <f>IF(A190="","",'21 2026 ÜRETİM'!F190)</f>
        <v/>
      </c>
      <c r="E190" s="81">
        <f>IF(A190="","",SUMIF('22 2026 PAKETLEME'!$B$2:$B$501,A190,'22 2026 PAKETLEME'!$E$2:$E$501))</f>
        <v/>
      </c>
      <c r="F190" s="82">
        <f>IF(A190="","",SUMIF('22 2026 PAKETLEME'!$B$2:$B$501,A190,'22 2026 PAKETLEME'!$G$2:$G$501))</f>
        <v/>
      </c>
      <c r="G190" s="81">
        <f>IF(A190="","",SUMIF('22 2026 PAKETLEME'!$B$2:$B$501,A190,'22 2026 PAKETLEME'!$H$2:$H$501))</f>
        <v/>
      </c>
      <c r="H190" s="81">
        <f>IF(A190="","",D190-E190-F190-G190)</f>
        <v/>
      </c>
      <c r="I190" s="82">
        <f>IF(A190="","",SUMIF('23 2026 SEVKİYAT'!$E$2:$E$501,A190,'23 2026 SEVKİYAT'!$H$2:$H$501))</f>
        <v/>
      </c>
      <c r="J190" s="81">
        <f>IF(A190="","",E190+F190-I190)</f>
        <v/>
      </c>
      <c r="K190" s="81">
        <f>IF(A190="","",D190-E190-F190-G190-H190)</f>
        <v/>
      </c>
      <c r="L190" s="58">
        <f>IF(A190="","",IF(ABS(K190)&lt;0.001,"KAPALI","KONTROL"))</f>
        <v/>
      </c>
      <c r="M190" s="56">
        <f>IF(A190="","",IF(J190&lt;0,"SEVK PAKETLEMEYİ AŞIYOR",IF(H190&lt;&gt;0,"PAKETLEME BAKİYESİ VAR","DENKLİK KAPALI")))</f>
        <v/>
      </c>
    </row>
    <row r="191" ht="15" customHeight="1">
      <c r="A191" s="60">
        <f>'21 2026 ÜRETİM'!A191</f>
        <v/>
      </c>
      <c r="B191" s="81">
        <f>IF(A191="","",'21 2026 ÜRETİM'!D191)</f>
        <v/>
      </c>
      <c r="C191" s="81">
        <f>IF(A191="","",'21 2026 ÜRETİM'!E191)</f>
        <v/>
      </c>
      <c r="D191" s="82">
        <f>IF(A191="","",'21 2026 ÜRETİM'!F191)</f>
        <v/>
      </c>
      <c r="E191" s="81">
        <f>IF(A191="","",SUMIF('22 2026 PAKETLEME'!$B$2:$B$501,A191,'22 2026 PAKETLEME'!$E$2:$E$501))</f>
        <v/>
      </c>
      <c r="F191" s="82">
        <f>IF(A191="","",SUMIF('22 2026 PAKETLEME'!$B$2:$B$501,A191,'22 2026 PAKETLEME'!$G$2:$G$501))</f>
        <v/>
      </c>
      <c r="G191" s="81">
        <f>IF(A191="","",SUMIF('22 2026 PAKETLEME'!$B$2:$B$501,A191,'22 2026 PAKETLEME'!$H$2:$H$501))</f>
        <v/>
      </c>
      <c r="H191" s="81">
        <f>IF(A191="","",D191-E191-F191-G191)</f>
        <v/>
      </c>
      <c r="I191" s="82">
        <f>IF(A191="","",SUMIF('23 2026 SEVKİYAT'!$E$2:$E$501,A191,'23 2026 SEVKİYAT'!$H$2:$H$501))</f>
        <v/>
      </c>
      <c r="J191" s="81">
        <f>IF(A191="","",E191+F191-I191)</f>
        <v/>
      </c>
      <c r="K191" s="81">
        <f>IF(A191="","",D191-E191-F191-G191-H191)</f>
        <v/>
      </c>
      <c r="L191" s="58">
        <f>IF(A191="","",IF(ABS(K191)&lt;0.001,"KAPALI","KONTROL"))</f>
        <v/>
      </c>
      <c r="M191" s="56">
        <f>IF(A191="","",IF(J191&lt;0,"SEVK PAKETLEMEYİ AŞIYOR",IF(H191&lt;&gt;0,"PAKETLEME BAKİYESİ VAR","DENKLİK KAPALI")))</f>
        <v/>
      </c>
    </row>
    <row r="192" ht="15" customHeight="1">
      <c r="A192" s="60">
        <f>'21 2026 ÜRETİM'!A192</f>
        <v/>
      </c>
      <c r="B192" s="81">
        <f>IF(A192="","",'21 2026 ÜRETİM'!D192)</f>
        <v/>
      </c>
      <c r="C192" s="81">
        <f>IF(A192="","",'21 2026 ÜRETİM'!E192)</f>
        <v/>
      </c>
      <c r="D192" s="82">
        <f>IF(A192="","",'21 2026 ÜRETİM'!F192)</f>
        <v/>
      </c>
      <c r="E192" s="81">
        <f>IF(A192="","",SUMIF('22 2026 PAKETLEME'!$B$2:$B$501,A192,'22 2026 PAKETLEME'!$E$2:$E$501))</f>
        <v/>
      </c>
      <c r="F192" s="82">
        <f>IF(A192="","",SUMIF('22 2026 PAKETLEME'!$B$2:$B$501,A192,'22 2026 PAKETLEME'!$G$2:$G$501))</f>
        <v/>
      </c>
      <c r="G192" s="81">
        <f>IF(A192="","",SUMIF('22 2026 PAKETLEME'!$B$2:$B$501,A192,'22 2026 PAKETLEME'!$H$2:$H$501))</f>
        <v/>
      </c>
      <c r="H192" s="81">
        <f>IF(A192="","",D192-E192-F192-G192)</f>
        <v/>
      </c>
      <c r="I192" s="82">
        <f>IF(A192="","",SUMIF('23 2026 SEVKİYAT'!$E$2:$E$501,A192,'23 2026 SEVKİYAT'!$H$2:$H$501))</f>
        <v/>
      </c>
      <c r="J192" s="81">
        <f>IF(A192="","",E192+F192-I192)</f>
        <v/>
      </c>
      <c r="K192" s="81">
        <f>IF(A192="","",D192-E192-F192-G192-H192)</f>
        <v/>
      </c>
      <c r="L192" s="58">
        <f>IF(A192="","",IF(ABS(K192)&lt;0.001,"KAPALI","KONTROL"))</f>
        <v/>
      </c>
      <c r="M192" s="56">
        <f>IF(A192="","",IF(J192&lt;0,"SEVK PAKETLEMEYİ AŞIYOR",IF(H192&lt;&gt;0,"PAKETLEME BAKİYESİ VAR","DENKLİK KAPALI")))</f>
        <v/>
      </c>
    </row>
    <row r="193" ht="15" customHeight="1">
      <c r="A193" s="60">
        <f>'21 2026 ÜRETİM'!A193</f>
        <v/>
      </c>
      <c r="B193" s="81">
        <f>IF(A193="","",'21 2026 ÜRETİM'!D193)</f>
        <v/>
      </c>
      <c r="C193" s="81">
        <f>IF(A193="","",'21 2026 ÜRETİM'!E193)</f>
        <v/>
      </c>
      <c r="D193" s="82">
        <f>IF(A193="","",'21 2026 ÜRETİM'!F193)</f>
        <v/>
      </c>
      <c r="E193" s="81">
        <f>IF(A193="","",SUMIF('22 2026 PAKETLEME'!$B$2:$B$501,A193,'22 2026 PAKETLEME'!$E$2:$E$501))</f>
        <v/>
      </c>
      <c r="F193" s="82">
        <f>IF(A193="","",SUMIF('22 2026 PAKETLEME'!$B$2:$B$501,A193,'22 2026 PAKETLEME'!$G$2:$G$501))</f>
        <v/>
      </c>
      <c r="G193" s="81">
        <f>IF(A193="","",SUMIF('22 2026 PAKETLEME'!$B$2:$B$501,A193,'22 2026 PAKETLEME'!$H$2:$H$501))</f>
        <v/>
      </c>
      <c r="H193" s="81">
        <f>IF(A193="","",D193-E193-F193-G193)</f>
        <v/>
      </c>
      <c r="I193" s="82">
        <f>IF(A193="","",SUMIF('23 2026 SEVKİYAT'!$E$2:$E$501,A193,'23 2026 SEVKİYAT'!$H$2:$H$501))</f>
        <v/>
      </c>
      <c r="J193" s="81">
        <f>IF(A193="","",E193+F193-I193)</f>
        <v/>
      </c>
      <c r="K193" s="81">
        <f>IF(A193="","",D193-E193-F193-G193-H193)</f>
        <v/>
      </c>
      <c r="L193" s="58">
        <f>IF(A193="","",IF(ABS(K193)&lt;0.001,"KAPALI","KONTROL"))</f>
        <v/>
      </c>
      <c r="M193" s="56">
        <f>IF(A193="","",IF(J193&lt;0,"SEVK PAKETLEMEYİ AŞIYOR",IF(H193&lt;&gt;0,"PAKETLEME BAKİYESİ VAR","DENKLİK KAPALI")))</f>
        <v/>
      </c>
    </row>
    <row r="194" ht="15" customHeight="1">
      <c r="A194" s="60">
        <f>'21 2026 ÜRETİM'!A194</f>
        <v/>
      </c>
      <c r="B194" s="81">
        <f>IF(A194="","",'21 2026 ÜRETİM'!D194)</f>
        <v/>
      </c>
      <c r="C194" s="81">
        <f>IF(A194="","",'21 2026 ÜRETİM'!E194)</f>
        <v/>
      </c>
      <c r="D194" s="82">
        <f>IF(A194="","",'21 2026 ÜRETİM'!F194)</f>
        <v/>
      </c>
      <c r="E194" s="81">
        <f>IF(A194="","",SUMIF('22 2026 PAKETLEME'!$B$2:$B$501,A194,'22 2026 PAKETLEME'!$E$2:$E$501))</f>
        <v/>
      </c>
      <c r="F194" s="82">
        <f>IF(A194="","",SUMIF('22 2026 PAKETLEME'!$B$2:$B$501,A194,'22 2026 PAKETLEME'!$G$2:$G$501))</f>
        <v/>
      </c>
      <c r="G194" s="81">
        <f>IF(A194="","",SUMIF('22 2026 PAKETLEME'!$B$2:$B$501,A194,'22 2026 PAKETLEME'!$H$2:$H$501))</f>
        <v/>
      </c>
      <c r="H194" s="81">
        <f>IF(A194="","",D194-E194-F194-G194)</f>
        <v/>
      </c>
      <c r="I194" s="82">
        <f>IF(A194="","",SUMIF('23 2026 SEVKİYAT'!$E$2:$E$501,A194,'23 2026 SEVKİYAT'!$H$2:$H$501))</f>
        <v/>
      </c>
      <c r="J194" s="81">
        <f>IF(A194="","",E194+F194-I194)</f>
        <v/>
      </c>
      <c r="K194" s="81">
        <f>IF(A194="","",D194-E194-F194-G194-H194)</f>
        <v/>
      </c>
      <c r="L194" s="58">
        <f>IF(A194="","",IF(ABS(K194)&lt;0.001,"KAPALI","KONTROL"))</f>
        <v/>
      </c>
      <c r="M194" s="56">
        <f>IF(A194="","",IF(J194&lt;0,"SEVK PAKETLEMEYİ AŞIYOR",IF(H194&lt;&gt;0,"PAKETLEME BAKİYESİ VAR","DENKLİK KAPALI")))</f>
        <v/>
      </c>
    </row>
    <row r="195" ht="15" customHeight="1">
      <c r="A195" s="60">
        <f>'21 2026 ÜRETİM'!A195</f>
        <v/>
      </c>
      <c r="B195" s="81">
        <f>IF(A195="","",'21 2026 ÜRETİM'!D195)</f>
        <v/>
      </c>
      <c r="C195" s="81">
        <f>IF(A195="","",'21 2026 ÜRETİM'!E195)</f>
        <v/>
      </c>
      <c r="D195" s="82">
        <f>IF(A195="","",'21 2026 ÜRETİM'!F195)</f>
        <v/>
      </c>
      <c r="E195" s="81">
        <f>IF(A195="","",SUMIF('22 2026 PAKETLEME'!$B$2:$B$501,A195,'22 2026 PAKETLEME'!$E$2:$E$501))</f>
        <v/>
      </c>
      <c r="F195" s="82">
        <f>IF(A195="","",SUMIF('22 2026 PAKETLEME'!$B$2:$B$501,A195,'22 2026 PAKETLEME'!$G$2:$G$501))</f>
        <v/>
      </c>
      <c r="G195" s="81">
        <f>IF(A195="","",SUMIF('22 2026 PAKETLEME'!$B$2:$B$501,A195,'22 2026 PAKETLEME'!$H$2:$H$501))</f>
        <v/>
      </c>
      <c r="H195" s="81">
        <f>IF(A195="","",D195-E195-F195-G195)</f>
        <v/>
      </c>
      <c r="I195" s="82">
        <f>IF(A195="","",SUMIF('23 2026 SEVKİYAT'!$E$2:$E$501,A195,'23 2026 SEVKİYAT'!$H$2:$H$501))</f>
        <v/>
      </c>
      <c r="J195" s="81">
        <f>IF(A195="","",E195+F195-I195)</f>
        <v/>
      </c>
      <c r="K195" s="81">
        <f>IF(A195="","",D195-E195-F195-G195-H195)</f>
        <v/>
      </c>
      <c r="L195" s="58">
        <f>IF(A195="","",IF(ABS(K195)&lt;0.001,"KAPALI","KONTROL"))</f>
        <v/>
      </c>
      <c r="M195" s="56">
        <f>IF(A195="","",IF(J195&lt;0,"SEVK PAKETLEMEYİ AŞIYOR",IF(H195&lt;&gt;0,"PAKETLEME BAKİYESİ VAR","DENKLİK KAPALI")))</f>
        <v/>
      </c>
    </row>
    <row r="196" ht="15" customHeight="1">
      <c r="A196" s="60">
        <f>'21 2026 ÜRETİM'!A196</f>
        <v/>
      </c>
      <c r="B196" s="81">
        <f>IF(A196="","",'21 2026 ÜRETİM'!D196)</f>
        <v/>
      </c>
      <c r="C196" s="81">
        <f>IF(A196="","",'21 2026 ÜRETİM'!E196)</f>
        <v/>
      </c>
      <c r="D196" s="82">
        <f>IF(A196="","",'21 2026 ÜRETİM'!F196)</f>
        <v/>
      </c>
      <c r="E196" s="81">
        <f>IF(A196="","",SUMIF('22 2026 PAKETLEME'!$B$2:$B$501,A196,'22 2026 PAKETLEME'!$E$2:$E$501))</f>
        <v/>
      </c>
      <c r="F196" s="82">
        <f>IF(A196="","",SUMIF('22 2026 PAKETLEME'!$B$2:$B$501,A196,'22 2026 PAKETLEME'!$G$2:$G$501))</f>
        <v/>
      </c>
      <c r="G196" s="81">
        <f>IF(A196="","",SUMIF('22 2026 PAKETLEME'!$B$2:$B$501,A196,'22 2026 PAKETLEME'!$H$2:$H$501))</f>
        <v/>
      </c>
      <c r="H196" s="81">
        <f>IF(A196="","",D196-E196-F196-G196)</f>
        <v/>
      </c>
      <c r="I196" s="82">
        <f>IF(A196="","",SUMIF('23 2026 SEVKİYAT'!$E$2:$E$501,A196,'23 2026 SEVKİYAT'!$H$2:$H$501))</f>
        <v/>
      </c>
      <c r="J196" s="81">
        <f>IF(A196="","",E196+F196-I196)</f>
        <v/>
      </c>
      <c r="K196" s="81">
        <f>IF(A196="","",D196-E196-F196-G196-H196)</f>
        <v/>
      </c>
      <c r="L196" s="58">
        <f>IF(A196="","",IF(ABS(K196)&lt;0.001,"KAPALI","KONTROL"))</f>
        <v/>
      </c>
      <c r="M196" s="56">
        <f>IF(A196="","",IF(J196&lt;0,"SEVK PAKETLEMEYİ AŞIYOR",IF(H196&lt;&gt;0,"PAKETLEME BAKİYESİ VAR","DENKLİK KAPALI")))</f>
        <v/>
      </c>
    </row>
    <row r="197" ht="15" customHeight="1">
      <c r="A197" s="60">
        <f>'21 2026 ÜRETİM'!A197</f>
        <v/>
      </c>
      <c r="B197" s="81">
        <f>IF(A197="","",'21 2026 ÜRETİM'!D197)</f>
        <v/>
      </c>
      <c r="C197" s="81">
        <f>IF(A197="","",'21 2026 ÜRETİM'!E197)</f>
        <v/>
      </c>
      <c r="D197" s="82">
        <f>IF(A197="","",'21 2026 ÜRETİM'!F197)</f>
        <v/>
      </c>
      <c r="E197" s="81">
        <f>IF(A197="","",SUMIF('22 2026 PAKETLEME'!$B$2:$B$501,A197,'22 2026 PAKETLEME'!$E$2:$E$501))</f>
        <v/>
      </c>
      <c r="F197" s="82">
        <f>IF(A197="","",SUMIF('22 2026 PAKETLEME'!$B$2:$B$501,A197,'22 2026 PAKETLEME'!$G$2:$G$501))</f>
        <v/>
      </c>
      <c r="G197" s="81">
        <f>IF(A197="","",SUMIF('22 2026 PAKETLEME'!$B$2:$B$501,A197,'22 2026 PAKETLEME'!$H$2:$H$501))</f>
        <v/>
      </c>
      <c r="H197" s="81">
        <f>IF(A197="","",D197-E197-F197-G197)</f>
        <v/>
      </c>
      <c r="I197" s="82">
        <f>IF(A197="","",SUMIF('23 2026 SEVKİYAT'!$E$2:$E$501,A197,'23 2026 SEVKİYAT'!$H$2:$H$501))</f>
        <v/>
      </c>
      <c r="J197" s="81">
        <f>IF(A197="","",E197+F197-I197)</f>
        <v/>
      </c>
      <c r="K197" s="81">
        <f>IF(A197="","",D197-E197-F197-G197-H197)</f>
        <v/>
      </c>
      <c r="L197" s="58">
        <f>IF(A197="","",IF(ABS(K197)&lt;0.001,"KAPALI","KONTROL"))</f>
        <v/>
      </c>
      <c r="M197" s="56">
        <f>IF(A197="","",IF(J197&lt;0,"SEVK PAKETLEMEYİ AŞIYOR",IF(H197&lt;&gt;0,"PAKETLEME BAKİYESİ VAR","DENKLİK KAPALI")))</f>
        <v/>
      </c>
    </row>
    <row r="198" ht="15" customHeight="1">
      <c r="A198" s="60">
        <f>'21 2026 ÜRETİM'!A198</f>
        <v/>
      </c>
      <c r="B198" s="81">
        <f>IF(A198="","",'21 2026 ÜRETİM'!D198)</f>
        <v/>
      </c>
      <c r="C198" s="81">
        <f>IF(A198="","",'21 2026 ÜRETİM'!E198)</f>
        <v/>
      </c>
      <c r="D198" s="82">
        <f>IF(A198="","",'21 2026 ÜRETİM'!F198)</f>
        <v/>
      </c>
      <c r="E198" s="81">
        <f>IF(A198="","",SUMIF('22 2026 PAKETLEME'!$B$2:$B$501,A198,'22 2026 PAKETLEME'!$E$2:$E$501))</f>
        <v/>
      </c>
      <c r="F198" s="82">
        <f>IF(A198="","",SUMIF('22 2026 PAKETLEME'!$B$2:$B$501,A198,'22 2026 PAKETLEME'!$G$2:$G$501))</f>
        <v/>
      </c>
      <c r="G198" s="81">
        <f>IF(A198="","",SUMIF('22 2026 PAKETLEME'!$B$2:$B$501,A198,'22 2026 PAKETLEME'!$H$2:$H$501))</f>
        <v/>
      </c>
      <c r="H198" s="81">
        <f>IF(A198="","",D198-E198-F198-G198)</f>
        <v/>
      </c>
      <c r="I198" s="82">
        <f>IF(A198="","",SUMIF('23 2026 SEVKİYAT'!$E$2:$E$501,A198,'23 2026 SEVKİYAT'!$H$2:$H$501))</f>
        <v/>
      </c>
      <c r="J198" s="81">
        <f>IF(A198="","",E198+F198-I198)</f>
        <v/>
      </c>
      <c r="K198" s="81">
        <f>IF(A198="","",D198-E198-F198-G198-H198)</f>
        <v/>
      </c>
      <c r="L198" s="58">
        <f>IF(A198="","",IF(ABS(K198)&lt;0.001,"KAPALI","KONTROL"))</f>
        <v/>
      </c>
      <c r="M198" s="56">
        <f>IF(A198="","",IF(J198&lt;0,"SEVK PAKETLEMEYİ AŞIYOR",IF(H198&lt;&gt;0,"PAKETLEME BAKİYESİ VAR","DENKLİK KAPALI")))</f>
        <v/>
      </c>
    </row>
    <row r="199" ht="15" customHeight="1">
      <c r="A199" s="60">
        <f>'21 2026 ÜRETİM'!A199</f>
        <v/>
      </c>
      <c r="B199" s="81">
        <f>IF(A199="","",'21 2026 ÜRETİM'!D199)</f>
        <v/>
      </c>
      <c r="C199" s="81">
        <f>IF(A199="","",'21 2026 ÜRETİM'!E199)</f>
        <v/>
      </c>
      <c r="D199" s="82">
        <f>IF(A199="","",'21 2026 ÜRETİM'!F199)</f>
        <v/>
      </c>
      <c r="E199" s="81">
        <f>IF(A199="","",SUMIF('22 2026 PAKETLEME'!$B$2:$B$501,A199,'22 2026 PAKETLEME'!$E$2:$E$501))</f>
        <v/>
      </c>
      <c r="F199" s="82">
        <f>IF(A199="","",SUMIF('22 2026 PAKETLEME'!$B$2:$B$501,A199,'22 2026 PAKETLEME'!$G$2:$G$501))</f>
        <v/>
      </c>
      <c r="G199" s="81">
        <f>IF(A199="","",SUMIF('22 2026 PAKETLEME'!$B$2:$B$501,A199,'22 2026 PAKETLEME'!$H$2:$H$501))</f>
        <v/>
      </c>
      <c r="H199" s="81">
        <f>IF(A199="","",D199-E199-F199-G199)</f>
        <v/>
      </c>
      <c r="I199" s="82">
        <f>IF(A199="","",SUMIF('23 2026 SEVKİYAT'!$E$2:$E$501,A199,'23 2026 SEVKİYAT'!$H$2:$H$501))</f>
        <v/>
      </c>
      <c r="J199" s="81">
        <f>IF(A199="","",E199+F199-I199)</f>
        <v/>
      </c>
      <c r="K199" s="81">
        <f>IF(A199="","",D199-E199-F199-G199-H199)</f>
        <v/>
      </c>
      <c r="L199" s="58">
        <f>IF(A199="","",IF(ABS(K199)&lt;0.001,"KAPALI","KONTROL"))</f>
        <v/>
      </c>
      <c r="M199" s="56">
        <f>IF(A199="","",IF(J199&lt;0,"SEVK PAKETLEMEYİ AŞIYOR",IF(H199&lt;&gt;0,"PAKETLEME BAKİYESİ VAR","DENKLİK KAPALI")))</f>
        <v/>
      </c>
    </row>
    <row r="200" ht="15" customHeight="1">
      <c r="A200" s="60">
        <f>'21 2026 ÜRETİM'!A200</f>
        <v/>
      </c>
      <c r="B200" s="81">
        <f>IF(A200="","",'21 2026 ÜRETİM'!D200)</f>
        <v/>
      </c>
      <c r="C200" s="81">
        <f>IF(A200="","",'21 2026 ÜRETİM'!E200)</f>
        <v/>
      </c>
      <c r="D200" s="82">
        <f>IF(A200="","",'21 2026 ÜRETİM'!F200)</f>
        <v/>
      </c>
      <c r="E200" s="81">
        <f>IF(A200="","",SUMIF('22 2026 PAKETLEME'!$B$2:$B$501,A200,'22 2026 PAKETLEME'!$E$2:$E$501))</f>
        <v/>
      </c>
      <c r="F200" s="82">
        <f>IF(A200="","",SUMIF('22 2026 PAKETLEME'!$B$2:$B$501,A200,'22 2026 PAKETLEME'!$G$2:$G$501))</f>
        <v/>
      </c>
      <c r="G200" s="81">
        <f>IF(A200="","",SUMIF('22 2026 PAKETLEME'!$B$2:$B$501,A200,'22 2026 PAKETLEME'!$H$2:$H$501))</f>
        <v/>
      </c>
      <c r="H200" s="81">
        <f>IF(A200="","",D200-E200-F200-G200)</f>
        <v/>
      </c>
      <c r="I200" s="82">
        <f>IF(A200="","",SUMIF('23 2026 SEVKİYAT'!$E$2:$E$501,A200,'23 2026 SEVKİYAT'!$H$2:$H$501))</f>
        <v/>
      </c>
      <c r="J200" s="81">
        <f>IF(A200="","",E200+F200-I200)</f>
        <v/>
      </c>
      <c r="K200" s="81">
        <f>IF(A200="","",D200-E200-F200-G200-H200)</f>
        <v/>
      </c>
      <c r="L200" s="58">
        <f>IF(A200="","",IF(ABS(K200)&lt;0.001,"KAPALI","KONTROL"))</f>
        <v/>
      </c>
      <c r="M200" s="56">
        <f>IF(A200="","",IF(J200&lt;0,"SEVK PAKETLEMEYİ AŞIYOR",IF(H200&lt;&gt;0,"PAKETLEME BAKİYESİ VAR","DENKLİK KAPALI")))</f>
        <v/>
      </c>
    </row>
    <row r="201" ht="15" customHeight="1">
      <c r="A201" s="60">
        <f>'21 2026 ÜRETİM'!A201</f>
        <v/>
      </c>
      <c r="B201" s="81">
        <f>IF(A201="","",'21 2026 ÜRETİM'!D201)</f>
        <v/>
      </c>
      <c r="C201" s="81">
        <f>IF(A201="","",'21 2026 ÜRETİM'!E201)</f>
        <v/>
      </c>
      <c r="D201" s="82">
        <f>IF(A201="","",'21 2026 ÜRETİM'!F201)</f>
        <v/>
      </c>
      <c r="E201" s="81">
        <f>IF(A201="","",SUMIF('22 2026 PAKETLEME'!$B$2:$B$501,A201,'22 2026 PAKETLEME'!$E$2:$E$501))</f>
        <v/>
      </c>
      <c r="F201" s="82">
        <f>IF(A201="","",SUMIF('22 2026 PAKETLEME'!$B$2:$B$501,A201,'22 2026 PAKETLEME'!$G$2:$G$501))</f>
        <v/>
      </c>
      <c r="G201" s="81">
        <f>IF(A201="","",SUMIF('22 2026 PAKETLEME'!$B$2:$B$501,A201,'22 2026 PAKETLEME'!$H$2:$H$501))</f>
        <v/>
      </c>
      <c r="H201" s="81">
        <f>IF(A201="","",D201-E201-F201-G201)</f>
        <v/>
      </c>
      <c r="I201" s="82">
        <f>IF(A201="","",SUMIF('23 2026 SEVKİYAT'!$E$2:$E$501,A201,'23 2026 SEVKİYAT'!$H$2:$H$501))</f>
        <v/>
      </c>
      <c r="J201" s="81">
        <f>IF(A201="","",E201+F201-I201)</f>
        <v/>
      </c>
      <c r="K201" s="81">
        <f>IF(A201="","",D201-E201-F201-G201-H201)</f>
        <v/>
      </c>
      <c r="L201" s="58">
        <f>IF(A201="","",IF(ABS(K201)&lt;0.001,"KAPALI","KONTROL"))</f>
        <v/>
      </c>
      <c r="M201" s="56">
        <f>IF(A201="","",IF(J201&lt;0,"SEVK PAKETLEMEYİ AŞIYOR",IF(H201&lt;&gt;0,"PAKETLEME BAKİYESİ VAR","DENKLİK KAPALI")))</f>
        <v/>
      </c>
    </row>
    <row r="202" ht="15" customHeight="1">
      <c r="A202" s="60">
        <f>'21 2026 ÜRETİM'!A202</f>
        <v/>
      </c>
      <c r="B202" s="81">
        <f>IF(A202="","",'21 2026 ÜRETİM'!D202)</f>
        <v/>
      </c>
      <c r="C202" s="81">
        <f>IF(A202="","",'21 2026 ÜRETİM'!E202)</f>
        <v/>
      </c>
      <c r="D202" s="82">
        <f>IF(A202="","",'21 2026 ÜRETİM'!F202)</f>
        <v/>
      </c>
      <c r="E202" s="81">
        <f>IF(A202="","",SUMIF('22 2026 PAKETLEME'!$B$2:$B$501,A202,'22 2026 PAKETLEME'!$E$2:$E$501))</f>
        <v/>
      </c>
      <c r="F202" s="82">
        <f>IF(A202="","",SUMIF('22 2026 PAKETLEME'!$B$2:$B$501,A202,'22 2026 PAKETLEME'!$G$2:$G$501))</f>
        <v/>
      </c>
      <c r="G202" s="81">
        <f>IF(A202="","",SUMIF('22 2026 PAKETLEME'!$B$2:$B$501,A202,'22 2026 PAKETLEME'!$H$2:$H$501))</f>
        <v/>
      </c>
      <c r="H202" s="81">
        <f>IF(A202="","",D202-E202-F202-G202)</f>
        <v/>
      </c>
      <c r="I202" s="82">
        <f>IF(A202="","",SUMIF('23 2026 SEVKİYAT'!$E$2:$E$501,A202,'23 2026 SEVKİYAT'!$H$2:$H$501))</f>
        <v/>
      </c>
      <c r="J202" s="81">
        <f>IF(A202="","",E202+F202-I202)</f>
        <v/>
      </c>
      <c r="K202" s="81">
        <f>IF(A202="","",D202-E202-F202-G202-H202)</f>
        <v/>
      </c>
      <c r="L202" s="58">
        <f>IF(A202="","",IF(ABS(K202)&lt;0.001,"KAPALI","KONTROL"))</f>
        <v/>
      </c>
      <c r="M202" s="56">
        <f>IF(A202="","",IF(J202&lt;0,"SEVK PAKETLEMEYİ AŞIYOR",IF(H202&lt;&gt;0,"PAKETLEME BAKİYESİ VAR","DENKLİK KAPALI")))</f>
        <v/>
      </c>
    </row>
    <row r="203" ht="15" customHeight="1">
      <c r="A203" s="60">
        <f>'21 2026 ÜRETİM'!A203</f>
        <v/>
      </c>
      <c r="B203" s="81">
        <f>IF(A203="","",'21 2026 ÜRETİM'!D203)</f>
        <v/>
      </c>
      <c r="C203" s="81">
        <f>IF(A203="","",'21 2026 ÜRETİM'!E203)</f>
        <v/>
      </c>
      <c r="D203" s="82">
        <f>IF(A203="","",'21 2026 ÜRETİM'!F203)</f>
        <v/>
      </c>
      <c r="E203" s="81">
        <f>IF(A203="","",SUMIF('22 2026 PAKETLEME'!$B$2:$B$501,A203,'22 2026 PAKETLEME'!$E$2:$E$501))</f>
        <v/>
      </c>
      <c r="F203" s="82">
        <f>IF(A203="","",SUMIF('22 2026 PAKETLEME'!$B$2:$B$501,A203,'22 2026 PAKETLEME'!$G$2:$G$501))</f>
        <v/>
      </c>
      <c r="G203" s="81">
        <f>IF(A203="","",SUMIF('22 2026 PAKETLEME'!$B$2:$B$501,A203,'22 2026 PAKETLEME'!$H$2:$H$501))</f>
        <v/>
      </c>
      <c r="H203" s="81">
        <f>IF(A203="","",D203-E203-F203-G203)</f>
        <v/>
      </c>
      <c r="I203" s="82">
        <f>IF(A203="","",SUMIF('23 2026 SEVKİYAT'!$E$2:$E$501,A203,'23 2026 SEVKİYAT'!$H$2:$H$501))</f>
        <v/>
      </c>
      <c r="J203" s="81">
        <f>IF(A203="","",E203+F203-I203)</f>
        <v/>
      </c>
      <c r="K203" s="81">
        <f>IF(A203="","",D203-E203-F203-G203-H203)</f>
        <v/>
      </c>
      <c r="L203" s="58">
        <f>IF(A203="","",IF(ABS(K203)&lt;0.001,"KAPALI","KONTROL"))</f>
        <v/>
      </c>
      <c r="M203" s="56">
        <f>IF(A203="","",IF(J203&lt;0,"SEVK PAKETLEMEYİ AŞIYOR",IF(H203&lt;&gt;0,"PAKETLEME BAKİYESİ VAR","DENKLİK KAPALI")))</f>
        <v/>
      </c>
    </row>
    <row r="204" ht="15" customHeight="1">
      <c r="A204" s="60">
        <f>'21 2026 ÜRETİM'!A204</f>
        <v/>
      </c>
      <c r="B204" s="81">
        <f>IF(A204="","",'21 2026 ÜRETİM'!D204)</f>
        <v/>
      </c>
      <c r="C204" s="81">
        <f>IF(A204="","",'21 2026 ÜRETİM'!E204)</f>
        <v/>
      </c>
      <c r="D204" s="82">
        <f>IF(A204="","",'21 2026 ÜRETİM'!F204)</f>
        <v/>
      </c>
      <c r="E204" s="81">
        <f>IF(A204="","",SUMIF('22 2026 PAKETLEME'!$B$2:$B$501,A204,'22 2026 PAKETLEME'!$E$2:$E$501))</f>
        <v/>
      </c>
      <c r="F204" s="82">
        <f>IF(A204="","",SUMIF('22 2026 PAKETLEME'!$B$2:$B$501,A204,'22 2026 PAKETLEME'!$G$2:$G$501))</f>
        <v/>
      </c>
      <c r="G204" s="81">
        <f>IF(A204="","",SUMIF('22 2026 PAKETLEME'!$B$2:$B$501,A204,'22 2026 PAKETLEME'!$H$2:$H$501))</f>
        <v/>
      </c>
      <c r="H204" s="81">
        <f>IF(A204="","",D204-E204-F204-G204)</f>
        <v/>
      </c>
      <c r="I204" s="82">
        <f>IF(A204="","",SUMIF('23 2026 SEVKİYAT'!$E$2:$E$501,A204,'23 2026 SEVKİYAT'!$H$2:$H$501))</f>
        <v/>
      </c>
      <c r="J204" s="81">
        <f>IF(A204="","",E204+F204-I204)</f>
        <v/>
      </c>
      <c r="K204" s="81">
        <f>IF(A204="","",D204-E204-F204-G204-H204)</f>
        <v/>
      </c>
      <c r="L204" s="58">
        <f>IF(A204="","",IF(ABS(K204)&lt;0.001,"KAPALI","KONTROL"))</f>
        <v/>
      </c>
      <c r="M204" s="56">
        <f>IF(A204="","",IF(J204&lt;0,"SEVK PAKETLEMEYİ AŞIYOR",IF(H204&lt;&gt;0,"PAKETLEME BAKİYESİ VAR","DENKLİK KAPALI")))</f>
        <v/>
      </c>
    </row>
    <row r="205" ht="15" customHeight="1">
      <c r="A205" s="60">
        <f>'21 2026 ÜRETİM'!A205</f>
        <v/>
      </c>
      <c r="B205" s="81">
        <f>IF(A205="","",'21 2026 ÜRETİM'!D205)</f>
        <v/>
      </c>
      <c r="C205" s="81">
        <f>IF(A205="","",'21 2026 ÜRETİM'!E205)</f>
        <v/>
      </c>
      <c r="D205" s="82">
        <f>IF(A205="","",'21 2026 ÜRETİM'!F205)</f>
        <v/>
      </c>
      <c r="E205" s="81">
        <f>IF(A205="","",SUMIF('22 2026 PAKETLEME'!$B$2:$B$501,A205,'22 2026 PAKETLEME'!$E$2:$E$501))</f>
        <v/>
      </c>
      <c r="F205" s="82">
        <f>IF(A205="","",SUMIF('22 2026 PAKETLEME'!$B$2:$B$501,A205,'22 2026 PAKETLEME'!$G$2:$G$501))</f>
        <v/>
      </c>
      <c r="G205" s="81">
        <f>IF(A205="","",SUMIF('22 2026 PAKETLEME'!$B$2:$B$501,A205,'22 2026 PAKETLEME'!$H$2:$H$501))</f>
        <v/>
      </c>
      <c r="H205" s="81">
        <f>IF(A205="","",D205-E205-F205-G205)</f>
        <v/>
      </c>
      <c r="I205" s="82">
        <f>IF(A205="","",SUMIF('23 2026 SEVKİYAT'!$E$2:$E$501,A205,'23 2026 SEVKİYAT'!$H$2:$H$501))</f>
        <v/>
      </c>
      <c r="J205" s="81">
        <f>IF(A205="","",E205+F205-I205)</f>
        <v/>
      </c>
      <c r="K205" s="81">
        <f>IF(A205="","",D205-E205-F205-G205-H205)</f>
        <v/>
      </c>
      <c r="L205" s="58">
        <f>IF(A205="","",IF(ABS(K205)&lt;0.001,"KAPALI","KONTROL"))</f>
        <v/>
      </c>
      <c r="M205" s="56">
        <f>IF(A205="","",IF(J205&lt;0,"SEVK PAKETLEMEYİ AŞIYOR",IF(H205&lt;&gt;0,"PAKETLEME BAKİYESİ VAR","DENKLİK KAPALI")))</f>
        <v/>
      </c>
    </row>
    <row r="206" ht="15" customHeight="1">
      <c r="A206" s="60">
        <f>'21 2026 ÜRETİM'!A206</f>
        <v/>
      </c>
      <c r="B206" s="81">
        <f>IF(A206="","",'21 2026 ÜRETİM'!D206)</f>
        <v/>
      </c>
      <c r="C206" s="81">
        <f>IF(A206="","",'21 2026 ÜRETİM'!E206)</f>
        <v/>
      </c>
      <c r="D206" s="82">
        <f>IF(A206="","",'21 2026 ÜRETİM'!F206)</f>
        <v/>
      </c>
      <c r="E206" s="81">
        <f>IF(A206="","",SUMIF('22 2026 PAKETLEME'!$B$2:$B$501,A206,'22 2026 PAKETLEME'!$E$2:$E$501))</f>
        <v/>
      </c>
      <c r="F206" s="82">
        <f>IF(A206="","",SUMIF('22 2026 PAKETLEME'!$B$2:$B$501,A206,'22 2026 PAKETLEME'!$G$2:$G$501))</f>
        <v/>
      </c>
      <c r="G206" s="81">
        <f>IF(A206="","",SUMIF('22 2026 PAKETLEME'!$B$2:$B$501,A206,'22 2026 PAKETLEME'!$H$2:$H$501))</f>
        <v/>
      </c>
      <c r="H206" s="81">
        <f>IF(A206="","",D206-E206-F206-G206)</f>
        <v/>
      </c>
      <c r="I206" s="82">
        <f>IF(A206="","",SUMIF('23 2026 SEVKİYAT'!$E$2:$E$501,A206,'23 2026 SEVKİYAT'!$H$2:$H$501))</f>
        <v/>
      </c>
      <c r="J206" s="81">
        <f>IF(A206="","",E206+F206-I206)</f>
        <v/>
      </c>
      <c r="K206" s="81">
        <f>IF(A206="","",D206-E206-F206-G206-H206)</f>
        <v/>
      </c>
      <c r="L206" s="58">
        <f>IF(A206="","",IF(ABS(K206)&lt;0.001,"KAPALI","KONTROL"))</f>
        <v/>
      </c>
      <c r="M206" s="56">
        <f>IF(A206="","",IF(J206&lt;0,"SEVK PAKETLEMEYİ AŞIYOR",IF(H206&lt;&gt;0,"PAKETLEME BAKİYESİ VAR","DENKLİK KAPALI")))</f>
        <v/>
      </c>
    </row>
    <row r="207" ht="15" customHeight="1">
      <c r="A207" s="60">
        <f>'21 2026 ÜRETİM'!A207</f>
        <v/>
      </c>
      <c r="B207" s="81">
        <f>IF(A207="","",'21 2026 ÜRETİM'!D207)</f>
        <v/>
      </c>
      <c r="C207" s="81">
        <f>IF(A207="","",'21 2026 ÜRETİM'!E207)</f>
        <v/>
      </c>
      <c r="D207" s="82">
        <f>IF(A207="","",'21 2026 ÜRETİM'!F207)</f>
        <v/>
      </c>
      <c r="E207" s="81">
        <f>IF(A207="","",SUMIF('22 2026 PAKETLEME'!$B$2:$B$501,A207,'22 2026 PAKETLEME'!$E$2:$E$501))</f>
        <v/>
      </c>
      <c r="F207" s="82">
        <f>IF(A207="","",SUMIF('22 2026 PAKETLEME'!$B$2:$B$501,A207,'22 2026 PAKETLEME'!$G$2:$G$501))</f>
        <v/>
      </c>
      <c r="G207" s="81">
        <f>IF(A207="","",SUMIF('22 2026 PAKETLEME'!$B$2:$B$501,A207,'22 2026 PAKETLEME'!$H$2:$H$501))</f>
        <v/>
      </c>
      <c r="H207" s="81">
        <f>IF(A207="","",D207-E207-F207-G207)</f>
        <v/>
      </c>
      <c r="I207" s="82">
        <f>IF(A207="","",SUMIF('23 2026 SEVKİYAT'!$E$2:$E$501,A207,'23 2026 SEVKİYAT'!$H$2:$H$501))</f>
        <v/>
      </c>
      <c r="J207" s="81">
        <f>IF(A207="","",E207+F207-I207)</f>
        <v/>
      </c>
      <c r="K207" s="81">
        <f>IF(A207="","",D207-E207-F207-G207-H207)</f>
        <v/>
      </c>
      <c r="L207" s="58">
        <f>IF(A207="","",IF(ABS(K207)&lt;0.001,"KAPALI","KONTROL"))</f>
        <v/>
      </c>
      <c r="M207" s="56">
        <f>IF(A207="","",IF(J207&lt;0,"SEVK PAKETLEMEYİ AŞIYOR",IF(H207&lt;&gt;0,"PAKETLEME BAKİYESİ VAR","DENKLİK KAPALI")))</f>
        <v/>
      </c>
    </row>
    <row r="208" ht="15" customHeight="1">
      <c r="A208" s="60">
        <f>'21 2026 ÜRETİM'!A208</f>
        <v/>
      </c>
      <c r="B208" s="81">
        <f>IF(A208="","",'21 2026 ÜRETİM'!D208)</f>
        <v/>
      </c>
      <c r="C208" s="81">
        <f>IF(A208="","",'21 2026 ÜRETİM'!E208)</f>
        <v/>
      </c>
      <c r="D208" s="82">
        <f>IF(A208="","",'21 2026 ÜRETİM'!F208)</f>
        <v/>
      </c>
      <c r="E208" s="81">
        <f>IF(A208="","",SUMIF('22 2026 PAKETLEME'!$B$2:$B$501,A208,'22 2026 PAKETLEME'!$E$2:$E$501))</f>
        <v/>
      </c>
      <c r="F208" s="82">
        <f>IF(A208="","",SUMIF('22 2026 PAKETLEME'!$B$2:$B$501,A208,'22 2026 PAKETLEME'!$G$2:$G$501))</f>
        <v/>
      </c>
      <c r="G208" s="81">
        <f>IF(A208="","",SUMIF('22 2026 PAKETLEME'!$B$2:$B$501,A208,'22 2026 PAKETLEME'!$H$2:$H$501))</f>
        <v/>
      </c>
      <c r="H208" s="81">
        <f>IF(A208="","",D208-E208-F208-G208)</f>
        <v/>
      </c>
      <c r="I208" s="82">
        <f>IF(A208="","",SUMIF('23 2026 SEVKİYAT'!$E$2:$E$501,A208,'23 2026 SEVKİYAT'!$H$2:$H$501))</f>
        <v/>
      </c>
      <c r="J208" s="81">
        <f>IF(A208="","",E208+F208-I208)</f>
        <v/>
      </c>
      <c r="K208" s="81">
        <f>IF(A208="","",D208-E208-F208-G208-H208)</f>
        <v/>
      </c>
      <c r="L208" s="58">
        <f>IF(A208="","",IF(ABS(K208)&lt;0.001,"KAPALI","KONTROL"))</f>
        <v/>
      </c>
      <c r="M208" s="56">
        <f>IF(A208="","",IF(J208&lt;0,"SEVK PAKETLEMEYİ AŞIYOR",IF(H208&lt;&gt;0,"PAKETLEME BAKİYESİ VAR","DENKLİK KAPALI")))</f>
        <v/>
      </c>
    </row>
    <row r="209" ht="15" customHeight="1">
      <c r="A209" s="60">
        <f>'21 2026 ÜRETİM'!A209</f>
        <v/>
      </c>
      <c r="B209" s="81">
        <f>IF(A209="","",'21 2026 ÜRETİM'!D209)</f>
        <v/>
      </c>
      <c r="C209" s="81">
        <f>IF(A209="","",'21 2026 ÜRETİM'!E209)</f>
        <v/>
      </c>
      <c r="D209" s="82">
        <f>IF(A209="","",'21 2026 ÜRETİM'!F209)</f>
        <v/>
      </c>
      <c r="E209" s="81">
        <f>IF(A209="","",SUMIF('22 2026 PAKETLEME'!$B$2:$B$501,A209,'22 2026 PAKETLEME'!$E$2:$E$501))</f>
        <v/>
      </c>
      <c r="F209" s="82">
        <f>IF(A209="","",SUMIF('22 2026 PAKETLEME'!$B$2:$B$501,A209,'22 2026 PAKETLEME'!$G$2:$G$501))</f>
        <v/>
      </c>
      <c r="G209" s="81">
        <f>IF(A209="","",SUMIF('22 2026 PAKETLEME'!$B$2:$B$501,A209,'22 2026 PAKETLEME'!$H$2:$H$501))</f>
        <v/>
      </c>
      <c r="H209" s="81">
        <f>IF(A209="","",D209-E209-F209-G209)</f>
        <v/>
      </c>
      <c r="I209" s="82">
        <f>IF(A209="","",SUMIF('23 2026 SEVKİYAT'!$E$2:$E$501,A209,'23 2026 SEVKİYAT'!$H$2:$H$501))</f>
        <v/>
      </c>
      <c r="J209" s="81">
        <f>IF(A209="","",E209+F209-I209)</f>
        <v/>
      </c>
      <c r="K209" s="81">
        <f>IF(A209="","",D209-E209-F209-G209-H209)</f>
        <v/>
      </c>
      <c r="L209" s="58">
        <f>IF(A209="","",IF(ABS(K209)&lt;0.001,"KAPALI","KONTROL"))</f>
        <v/>
      </c>
      <c r="M209" s="56">
        <f>IF(A209="","",IF(J209&lt;0,"SEVK PAKETLEMEYİ AŞIYOR",IF(H209&lt;&gt;0,"PAKETLEME BAKİYESİ VAR","DENKLİK KAPALI")))</f>
        <v/>
      </c>
    </row>
    <row r="210" ht="15" customHeight="1">
      <c r="A210" s="60">
        <f>'21 2026 ÜRETİM'!A210</f>
        <v/>
      </c>
      <c r="B210" s="81">
        <f>IF(A210="","",'21 2026 ÜRETİM'!D210)</f>
        <v/>
      </c>
      <c r="C210" s="81">
        <f>IF(A210="","",'21 2026 ÜRETİM'!E210)</f>
        <v/>
      </c>
      <c r="D210" s="82">
        <f>IF(A210="","",'21 2026 ÜRETİM'!F210)</f>
        <v/>
      </c>
      <c r="E210" s="81">
        <f>IF(A210="","",SUMIF('22 2026 PAKETLEME'!$B$2:$B$501,A210,'22 2026 PAKETLEME'!$E$2:$E$501))</f>
        <v/>
      </c>
      <c r="F210" s="82">
        <f>IF(A210="","",SUMIF('22 2026 PAKETLEME'!$B$2:$B$501,A210,'22 2026 PAKETLEME'!$G$2:$G$501))</f>
        <v/>
      </c>
      <c r="G210" s="81">
        <f>IF(A210="","",SUMIF('22 2026 PAKETLEME'!$B$2:$B$501,A210,'22 2026 PAKETLEME'!$H$2:$H$501))</f>
        <v/>
      </c>
      <c r="H210" s="81">
        <f>IF(A210="","",D210-E210-F210-G210)</f>
        <v/>
      </c>
      <c r="I210" s="82">
        <f>IF(A210="","",SUMIF('23 2026 SEVKİYAT'!$E$2:$E$501,A210,'23 2026 SEVKİYAT'!$H$2:$H$501))</f>
        <v/>
      </c>
      <c r="J210" s="81">
        <f>IF(A210="","",E210+F210-I210)</f>
        <v/>
      </c>
      <c r="K210" s="81">
        <f>IF(A210="","",D210-E210-F210-G210-H210)</f>
        <v/>
      </c>
      <c r="L210" s="58">
        <f>IF(A210="","",IF(ABS(K210)&lt;0.001,"KAPALI","KONTROL"))</f>
        <v/>
      </c>
      <c r="M210" s="56">
        <f>IF(A210="","",IF(J210&lt;0,"SEVK PAKETLEMEYİ AŞIYOR",IF(H210&lt;&gt;0,"PAKETLEME BAKİYESİ VAR","DENKLİK KAPALI")))</f>
        <v/>
      </c>
    </row>
    <row r="211" ht="15" customHeight="1">
      <c r="A211" s="60">
        <f>'21 2026 ÜRETİM'!A211</f>
        <v/>
      </c>
      <c r="B211" s="81">
        <f>IF(A211="","",'21 2026 ÜRETİM'!D211)</f>
        <v/>
      </c>
      <c r="C211" s="81">
        <f>IF(A211="","",'21 2026 ÜRETİM'!E211)</f>
        <v/>
      </c>
      <c r="D211" s="82">
        <f>IF(A211="","",'21 2026 ÜRETİM'!F211)</f>
        <v/>
      </c>
      <c r="E211" s="81">
        <f>IF(A211="","",SUMIF('22 2026 PAKETLEME'!$B$2:$B$501,A211,'22 2026 PAKETLEME'!$E$2:$E$501))</f>
        <v/>
      </c>
      <c r="F211" s="82">
        <f>IF(A211="","",SUMIF('22 2026 PAKETLEME'!$B$2:$B$501,A211,'22 2026 PAKETLEME'!$G$2:$G$501))</f>
        <v/>
      </c>
      <c r="G211" s="81">
        <f>IF(A211="","",SUMIF('22 2026 PAKETLEME'!$B$2:$B$501,A211,'22 2026 PAKETLEME'!$H$2:$H$501))</f>
        <v/>
      </c>
      <c r="H211" s="81">
        <f>IF(A211="","",D211-E211-F211-G211)</f>
        <v/>
      </c>
      <c r="I211" s="82">
        <f>IF(A211="","",SUMIF('23 2026 SEVKİYAT'!$E$2:$E$501,A211,'23 2026 SEVKİYAT'!$H$2:$H$501))</f>
        <v/>
      </c>
      <c r="J211" s="81">
        <f>IF(A211="","",E211+F211-I211)</f>
        <v/>
      </c>
      <c r="K211" s="81">
        <f>IF(A211="","",D211-E211-F211-G211-H211)</f>
        <v/>
      </c>
      <c r="L211" s="58">
        <f>IF(A211="","",IF(ABS(K211)&lt;0.001,"KAPALI","KONTROL"))</f>
        <v/>
      </c>
      <c r="M211" s="56">
        <f>IF(A211="","",IF(J211&lt;0,"SEVK PAKETLEMEYİ AŞIYOR",IF(H211&lt;&gt;0,"PAKETLEME BAKİYESİ VAR","DENKLİK KAPALI")))</f>
        <v/>
      </c>
    </row>
    <row r="212" ht="15" customHeight="1">
      <c r="A212" s="60">
        <f>'21 2026 ÜRETİM'!A212</f>
        <v/>
      </c>
      <c r="B212" s="81">
        <f>IF(A212="","",'21 2026 ÜRETİM'!D212)</f>
        <v/>
      </c>
      <c r="C212" s="81">
        <f>IF(A212="","",'21 2026 ÜRETİM'!E212)</f>
        <v/>
      </c>
      <c r="D212" s="82">
        <f>IF(A212="","",'21 2026 ÜRETİM'!F212)</f>
        <v/>
      </c>
      <c r="E212" s="81">
        <f>IF(A212="","",SUMIF('22 2026 PAKETLEME'!$B$2:$B$501,A212,'22 2026 PAKETLEME'!$E$2:$E$501))</f>
        <v/>
      </c>
      <c r="F212" s="82">
        <f>IF(A212="","",SUMIF('22 2026 PAKETLEME'!$B$2:$B$501,A212,'22 2026 PAKETLEME'!$G$2:$G$501))</f>
        <v/>
      </c>
      <c r="G212" s="81">
        <f>IF(A212="","",SUMIF('22 2026 PAKETLEME'!$B$2:$B$501,A212,'22 2026 PAKETLEME'!$H$2:$H$501))</f>
        <v/>
      </c>
      <c r="H212" s="81">
        <f>IF(A212="","",D212-E212-F212-G212)</f>
        <v/>
      </c>
      <c r="I212" s="82">
        <f>IF(A212="","",SUMIF('23 2026 SEVKİYAT'!$E$2:$E$501,A212,'23 2026 SEVKİYAT'!$H$2:$H$501))</f>
        <v/>
      </c>
      <c r="J212" s="81">
        <f>IF(A212="","",E212+F212-I212)</f>
        <v/>
      </c>
      <c r="K212" s="81">
        <f>IF(A212="","",D212-E212-F212-G212-H212)</f>
        <v/>
      </c>
      <c r="L212" s="58">
        <f>IF(A212="","",IF(ABS(K212)&lt;0.001,"KAPALI","KONTROL"))</f>
        <v/>
      </c>
      <c r="M212" s="56">
        <f>IF(A212="","",IF(J212&lt;0,"SEVK PAKETLEMEYİ AŞIYOR",IF(H212&lt;&gt;0,"PAKETLEME BAKİYESİ VAR","DENKLİK KAPALI")))</f>
        <v/>
      </c>
    </row>
    <row r="213" ht="15" customHeight="1">
      <c r="A213" s="60">
        <f>'21 2026 ÜRETİM'!A213</f>
        <v/>
      </c>
      <c r="B213" s="81">
        <f>IF(A213="","",'21 2026 ÜRETİM'!D213)</f>
        <v/>
      </c>
      <c r="C213" s="81">
        <f>IF(A213="","",'21 2026 ÜRETİM'!E213)</f>
        <v/>
      </c>
      <c r="D213" s="82">
        <f>IF(A213="","",'21 2026 ÜRETİM'!F213)</f>
        <v/>
      </c>
      <c r="E213" s="81">
        <f>IF(A213="","",SUMIF('22 2026 PAKETLEME'!$B$2:$B$501,A213,'22 2026 PAKETLEME'!$E$2:$E$501))</f>
        <v/>
      </c>
      <c r="F213" s="82">
        <f>IF(A213="","",SUMIF('22 2026 PAKETLEME'!$B$2:$B$501,A213,'22 2026 PAKETLEME'!$G$2:$G$501))</f>
        <v/>
      </c>
      <c r="G213" s="81">
        <f>IF(A213="","",SUMIF('22 2026 PAKETLEME'!$B$2:$B$501,A213,'22 2026 PAKETLEME'!$H$2:$H$501))</f>
        <v/>
      </c>
      <c r="H213" s="81">
        <f>IF(A213="","",D213-E213-F213-G213)</f>
        <v/>
      </c>
      <c r="I213" s="82">
        <f>IF(A213="","",SUMIF('23 2026 SEVKİYAT'!$E$2:$E$501,A213,'23 2026 SEVKİYAT'!$H$2:$H$501))</f>
        <v/>
      </c>
      <c r="J213" s="81">
        <f>IF(A213="","",E213+F213-I213)</f>
        <v/>
      </c>
      <c r="K213" s="81">
        <f>IF(A213="","",D213-E213-F213-G213-H213)</f>
        <v/>
      </c>
      <c r="L213" s="58">
        <f>IF(A213="","",IF(ABS(K213)&lt;0.001,"KAPALI","KONTROL"))</f>
        <v/>
      </c>
      <c r="M213" s="56">
        <f>IF(A213="","",IF(J213&lt;0,"SEVK PAKETLEMEYİ AŞIYOR",IF(H213&lt;&gt;0,"PAKETLEME BAKİYESİ VAR","DENKLİK KAPALI")))</f>
        <v/>
      </c>
    </row>
    <row r="214" ht="15" customHeight="1">
      <c r="A214" s="60">
        <f>'21 2026 ÜRETİM'!A214</f>
        <v/>
      </c>
      <c r="B214" s="81">
        <f>IF(A214="","",'21 2026 ÜRETİM'!D214)</f>
        <v/>
      </c>
      <c r="C214" s="81">
        <f>IF(A214="","",'21 2026 ÜRETİM'!E214)</f>
        <v/>
      </c>
      <c r="D214" s="82">
        <f>IF(A214="","",'21 2026 ÜRETİM'!F214)</f>
        <v/>
      </c>
      <c r="E214" s="81">
        <f>IF(A214="","",SUMIF('22 2026 PAKETLEME'!$B$2:$B$501,A214,'22 2026 PAKETLEME'!$E$2:$E$501))</f>
        <v/>
      </c>
      <c r="F214" s="82">
        <f>IF(A214="","",SUMIF('22 2026 PAKETLEME'!$B$2:$B$501,A214,'22 2026 PAKETLEME'!$G$2:$G$501))</f>
        <v/>
      </c>
      <c r="G214" s="81">
        <f>IF(A214="","",SUMIF('22 2026 PAKETLEME'!$B$2:$B$501,A214,'22 2026 PAKETLEME'!$H$2:$H$501))</f>
        <v/>
      </c>
      <c r="H214" s="81">
        <f>IF(A214="","",D214-E214-F214-G214)</f>
        <v/>
      </c>
      <c r="I214" s="82">
        <f>IF(A214="","",SUMIF('23 2026 SEVKİYAT'!$E$2:$E$501,A214,'23 2026 SEVKİYAT'!$H$2:$H$501))</f>
        <v/>
      </c>
      <c r="J214" s="81">
        <f>IF(A214="","",E214+F214-I214)</f>
        <v/>
      </c>
      <c r="K214" s="81">
        <f>IF(A214="","",D214-E214-F214-G214-H214)</f>
        <v/>
      </c>
      <c r="L214" s="58">
        <f>IF(A214="","",IF(ABS(K214)&lt;0.001,"KAPALI","KONTROL"))</f>
        <v/>
      </c>
      <c r="M214" s="56">
        <f>IF(A214="","",IF(J214&lt;0,"SEVK PAKETLEMEYİ AŞIYOR",IF(H214&lt;&gt;0,"PAKETLEME BAKİYESİ VAR","DENKLİK KAPALI")))</f>
        <v/>
      </c>
    </row>
    <row r="215" ht="15" customHeight="1">
      <c r="A215" s="60">
        <f>'21 2026 ÜRETİM'!A215</f>
        <v/>
      </c>
      <c r="B215" s="81">
        <f>IF(A215="","",'21 2026 ÜRETİM'!D215)</f>
        <v/>
      </c>
      <c r="C215" s="81">
        <f>IF(A215="","",'21 2026 ÜRETİM'!E215)</f>
        <v/>
      </c>
      <c r="D215" s="82">
        <f>IF(A215="","",'21 2026 ÜRETİM'!F215)</f>
        <v/>
      </c>
      <c r="E215" s="81">
        <f>IF(A215="","",SUMIF('22 2026 PAKETLEME'!$B$2:$B$501,A215,'22 2026 PAKETLEME'!$E$2:$E$501))</f>
        <v/>
      </c>
      <c r="F215" s="82">
        <f>IF(A215="","",SUMIF('22 2026 PAKETLEME'!$B$2:$B$501,A215,'22 2026 PAKETLEME'!$G$2:$G$501))</f>
        <v/>
      </c>
      <c r="G215" s="81">
        <f>IF(A215="","",SUMIF('22 2026 PAKETLEME'!$B$2:$B$501,A215,'22 2026 PAKETLEME'!$H$2:$H$501))</f>
        <v/>
      </c>
      <c r="H215" s="81">
        <f>IF(A215="","",D215-E215-F215-G215)</f>
        <v/>
      </c>
      <c r="I215" s="82">
        <f>IF(A215="","",SUMIF('23 2026 SEVKİYAT'!$E$2:$E$501,A215,'23 2026 SEVKİYAT'!$H$2:$H$501))</f>
        <v/>
      </c>
      <c r="J215" s="81">
        <f>IF(A215="","",E215+F215-I215)</f>
        <v/>
      </c>
      <c r="K215" s="81">
        <f>IF(A215="","",D215-E215-F215-G215-H215)</f>
        <v/>
      </c>
      <c r="L215" s="58">
        <f>IF(A215="","",IF(ABS(K215)&lt;0.001,"KAPALI","KONTROL"))</f>
        <v/>
      </c>
      <c r="M215" s="56">
        <f>IF(A215="","",IF(J215&lt;0,"SEVK PAKETLEMEYİ AŞIYOR",IF(H215&lt;&gt;0,"PAKETLEME BAKİYESİ VAR","DENKLİK KAPALI")))</f>
        <v/>
      </c>
    </row>
    <row r="216" ht="15" customHeight="1">
      <c r="A216" s="60">
        <f>'21 2026 ÜRETİM'!A216</f>
        <v/>
      </c>
      <c r="B216" s="81">
        <f>IF(A216="","",'21 2026 ÜRETİM'!D216)</f>
        <v/>
      </c>
      <c r="C216" s="81">
        <f>IF(A216="","",'21 2026 ÜRETİM'!E216)</f>
        <v/>
      </c>
      <c r="D216" s="82">
        <f>IF(A216="","",'21 2026 ÜRETİM'!F216)</f>
        <v/>
      </c>
      <c r="E216" s="81">
        <f>IF(A216="","",SUMIF('22 2026 PAKETLEME'!$B$2:$B$501,A216,'22 2026 PAKETLEME'!$E$2:$E$501))</f>
        <v/>
      </c>
      <c r="F216" s="82">
        <f>IF(A216="","",SUMIF('22 2026 PAKETLEME'!$B$2:$B$501,A216,'22 2026 PAKETLEME'!$G$2:$G$501))</f>
        <v/>
      </c>
      <c r="G216" s="81">
        <f>IF(A216="","",SUMIF('22 2026 PAKETLEME'!$B$2:$B$501,A216,'22 2026 PAKETLEME'!$H$2:$H$501))</f>
        <v/>
      </c>
      <c r="H216" s="81">
        <f>IF(A216="","",D216-E216-F216-G216)</f>
        <v/>
      </c>
      <c r="I216" s="82">
        <f>IF(A216="","",SUMIF('23 2026 SEVKİYAT'!$E$2:$E$501,A216,'23 2026 SEVKİYAT'!$H$2:$H$501))</f>
        <v/>
      </c>
      <c r="J216" s="81">
        <f>IF(A216="","",E216+F216-I216)</f>
        <v/>
      </c>
      <c r="K216" s="81">
        <f>IF(A216="","",D216-E216-F216-G216-H216)</f>
        <v/>
      </c>
      <c r="L216" s="58">
        <f>IF(A216="","",IF(ABS(K216)&lt;0.001,"KAPALI","KONTROL"))</f>
        <v/>
      </c>
      <c r="M216" s="56">
        <f>IF(A216="","",IF(J216&lt;0,"SEVK PAKETLEMEYİ AŞIYOR",IF(H216&lt;&gt;0,"PAKETLEME BAKİYESİ VAR","DENKLİK KAPALI")))</f>
        <v/>
      </c>
    </row>
    <row r="217" ht="15" customHeight="1">
      <c r="A217" s="60">
        <f>'21 2026 ÜRETİM'!A217</f>
        <v/>
      </c>
      <c r="B217" s="81">
        <f>IF(A217="","",'21 2026 ÜRETİM'!D217)</f>
        <v/>
      </c>
      <c r="C217" s="81">
        <f>IF(A217="","",'21 2026 ÜRETİM'!E217)</f>
        <v/>
      </c>
      <c r="D217" s="82">
        <f>IF(A217="","",'21 2026 ÜRETİM'!F217)</f>
        <v/>
      </c>
      <c r="E217" s="81">
        <f>IF(A217="","",SUMIF('22 2026 PAKETLEME'!$B$2:$B$501,A217,'22 2026 PAKETLEME'!$E$2:$E$501))</f>
        <v/>
      </c>
      <c r="F217" s="82">
        <f>IF(A217="","",SUMIF('22 2026 PAKETLEME'!$B$2:$B$501,A217,'22 2026 PAKETLEME'!$G$2:$G$501))</f>
        <v/>
      </c>
      <c r="G217" s="81">
        <f>IF(A217="","",SUMIF('22 2026 PAKETLEME'!$B$2:$B$501,A217,'22 2026 PAKETLEME'!$H$2:$H$501))</f>
        <v/>
      </c>
      <c r="H217" s="81">
        <f>IF(A217="","",D217-E217-F217-G217)</f>
        <v/>
      </c>
      <c r="I217" s="82">
        <f>IF(A217="","",SUMIF('23 2026 SEVKİYAT'!$E$2:$E$501,A217,'23 2026 SEVKİYAT'!$H$2:$H$501))</f>
        <v/>
      </c>
      <c r="J217" s="81">
        <f>IF(A217="","",E217+F217-I217)</f>
        <v/>
      </c>
      <c r="K217" s="81">
        <f>IF(A217="","",D217-E217-F217-G217-H217)</f>
        <v/>
      </c>
      <c r="L217" s="58">
        <f>IF(A217="","",IF(ABS(K217)&lt;0.001,"KAPALI","KONTROL"))</f>
        <v/>
      </c>
      <c r="M217" s="56">
        <f>IF(A217="","",IF(J217&lt;0,"SEVK PAKETLEMEYİ AŞIYOR",IF(H217&lt;&gt;0,"PAKETLEME BAKİYESİ VAR","DENKLİK KAPALI")))</f>
        <v/>
      </c>
    </row>
    <row r="218" ht="15" customHeight="1">
      <c r="A218" s="60">
        <f>'21 2026 ÜRETİM'!A218</f>
        <v/>
      </c>
      <c r="B218" s="81">
        <f>IF(A218="","",'21 2026 ÜRETİM'!D218)</f>
        <v/>
      </c>
      <c r="C218" s="81">
        <f>IF(A218="","",'21 2026 ÜRETİM'!E218)</f>
        <v/>
      </c>
      <c r="D218" s="82">
        <f>IF(A218="","",'21 2026 ÜRETİM'!F218)</f>
        <v/>
      </c>
      <c r="E218" s="81">
        <f>IF(A218="","",SUMIF('22 2026 PAKETLEME'!$B$2:$B$501,A218,'22 2026 PAKETLEME'!$E$2:$E$501))</f>
        <v/>
      </c>
      <c r="F218" s="82">
        <f>IF(A218="","",SUMIF('22 2026 PAKETLEME'!$B$2:$B$501,A218,'22 2026 PAKETLEME'!$G$2:$G$501))</f>
        <v/>
      </c>
      <c r="G218" s="81">
        <f>IF(A218="","",SUMIF('22 2026 PAKETLEME'!$B$2:$B$501,A218,'22 2026 PAKETLEME'!$H$2:$H$501))</f>
        <v/>
      </c>
      <c r="H218" s="81">
        <f>IF(A218="","",D218-E218-F218-G218)</f>
        <v/>
      </c>
      <c r="I218" s="82">
        <f>IF(A218="","",SUMIF('23 2026 SEVKİYAT'!$E$2:$E$501,A218,'23 2026 SEVKİYAT'!$H$2:$H$501))</f>
        <v/>
      </c>
      <c r="J218" s="81">
        <f>IF(A218="","",E218+F218-I218)</f>
        <v/>
      </c>
      <c r="K218" s="81">
        <f>IF(A218="","",D218-E218-F218-G218-H218)</f>
        <v/>
      </c>
      <c r="L218" s="58">
        <f>IF(A218="","",IF(ABS(K218)&lt;0.001,"KAPALI","KONTROL"))</f>
        <v/>
      </c>
      <c r="M218" s="56">
        <f>IF(A218="","",IF(J218&lt;0,"SEVK PAKETLEMEYİ AŞIYOR",IF(H218&lt;&gt;0,"PAKETLEME BAKİYESİ VAR","DENKLİK KAPALI")))</f>
        <v/>
      </c>
    </row>
    <row r="219" ht="15" customHeight="1">
      <c r="A219" s="60">
        <f>'21 2026 ÜRETİM'!A219</f>
        <v/>
      </c>
      <c r="B219" s="81">
        <f>IF(A219="","",'21 2026 ÜRETİM'!D219)</f>
        <v/>
      </c>
      <c r="C219" s="81">
        <f>IF(A219="","",'21 2026 ÜRETİM'!E219)</f>
        <v/>
      </c>
      <c r="D219" s="82">
        <f>IF(A219="","",'21 2026 ÜRETİM'!F219)</f>
        <v/>
      </c>
      <c r="E219" s="81">
        <f>IF(A219="","",SUMIF('22 2026 PAKETLEME'!$B$2:$B$501,A219,'22 2026 PAKETLEME'!$E$2:$E$501))</f>
        <v/>
      </c>
      <c r="F219" s="82">
        <f>IF(A219="","",SUMIF('22 2026 PAKETLEME'!$B$2:$B$501,A219,'22 2026 PAKETLEME'!$G$2:$G$501))</f>
        <v/>
      </c>
      <c r="G219" s="81">
        <f>IF(A219="","",SUMIF('22 2026 PAKETLEME'!$B$2:$B$501,A219,'22 2026 PAKETLEME'!$H$2:$H$501))</f>
        <v/>
      </c>
      <c r="H219" s="81">
        <f>IF(A219="","",D219-E219-F219-G219)</f>
        <v/>
      </c>
      <c r="I219" s="82">
        <f>IF(A219="","",SUMIF('23 2026 SEVKİYAT'!$E$2:$E$501,A219,'23 2026 SEVKİYAT'!$H$2:$H$501))</f>
        <v/>
      </c>
      <c r="J219" s="81">
        <f>IF(A219="","",E219+F219-I219)</f>
        <v/>
      </c>
      <c r="K219" s="81">
        <f>IF(A219="","",D219-E219-F219-G219-H219)</f>
        <v/>
      </c>
      <c r="L219" s="58">
        <f>IF(A219="","",IF(ABS(K219)&lt;0.001,"KAPALI","KONTROL"))</f>
        <v/>
      </c>
      <c r="M219" s="56">
        <f>IF(A219="","",IF(J219&lt;0,"SEVK PAKETLEMEYİ AŞIYOR",IF(H219&lt;&gt;0,"PAKETLEME BAKİYESİ VAR","DENKLİK KAPALI")))</f>
        <v/>
      </c>
    </row>
    <row r="220" ht="15" customHeight="1">
      <c r="A220" s="60">
        <f>'21 2026 ÜRETİM'!A220</f>
        <v/>
      </c>
      <c r="B220" s="81">
        <f>IF(A220="","",'21 2026 ÜRETİM'!D220)</f>
        <v/>
      </c>
      <c r="C220" s="81">
        <f>IF(A220="","",'21 2026 ÜRETİM'!E220)</f>
        <v/>
      </c>
      <c r="D220" s="82">
        <f>IF(A220="","",'21 2026 ÜRETİM'!F220)</f>
        <v/>
      </c>
      <c r="E220" s="81">
        <f>IF(A220="","",SUMIF('22 2026 PAKETLEME'!$B$2:$B$501,A220,'22 2026 PAKETLEME'!$E$2:$E$501))</f>
        <v/>
      </c>
      <c r="F220" s="82">
        <f>IF(A220="","",SUMIF('22 2026 PAKETLEME'!$B$2:$B$501,A220,'22 2026 PAKETLEME'!$G$2:$G$501))</f>
        <v/>
      </c>
      <c r="G220" s="81">
        <f>IF(A220="","",SUMIF('22 2026 PAKETLEME'!$B$2:$B$501,A220,'22 2026 PAKETLEME'!$H$2:$H$501))</f>
        <v/>
      </c>
      <c r="H220" s="81">
        <f>IF(A220="","",D220-E220-F220-G220)</f>
        <v/>
      </c>
      <c r="I220" s="82">
        <f>IF(A220="","",SUMIF('23 2026 SEVKİYAT'!$E$2:$E$501,A220,'23 2026 SEVKİYAT'!$H$2:$H$501))</f>
        <v/>
      </c>
      <c r="J220" s="81">
        <f>IF(A220="","",E220+F220-I220)</f>
        <v/>
      </c>
      <c r="K220" s="81">
        <f>IF(A220="","",D220-E220-F220-G220-H220)</f>
        <v/>
      </c>
      <c r="L220" s="58">
        <f>IF(A220="","",IF(ABS(K220)&lt;0.001,"KAPALI","KONTROL"))</f>
        <v/>
      </c>
      <c r="M220" s="56">
        <f>IF(A220="","",IF(J220&lt;0,"SEVK PAKETLEMEYİ AŞIYOR",IF(H220&lt;&gt;0,"PAKETLEME BAKİYESİ VAR","DENKLİK KAPALI")))</f>
        <v/>
      </c>
    </row>
    <row r="221" ht="15" customHeight="1">
      <c r="A221" s="60">
        <f>'21 2026 ÜRETİM'!A221</f>
        <v/>
      </c>
      <c r="B221" s="81">
        <f>IF(A221="","",'21 2026 ÜRETİM'!D221)</f>
        <v/>
      </c>
      <c r="C221" s="81">
        <f>IF(A221="","",'21 2026 ÜRETİM'!E221)</f>
        <v/>
      </c>
      <c r="D221" s="82">
        <f>IF(A221="","",'21 2026 ÜRETİM'!F221)</f>
        <v/>
      </c>
      <c r="E221" s="81">
        <f>IF(A221="","",SUMIF('22 2026 PAKETLEME'!$B$2:$B$501,A221,'22 2026 PAKETLEME'!$E$2:$E$501))</f>
        <v/>
      </c>
      <c r="F221" s="82">
        <f>IF(A221="","",SUMIF('22 2026 PAKETLEME'!$B$2:$B$501,A221,'22 2026 PAKETLEME'!$G$2:$G$501))</f>
        <v/>
      </c>
      <c r="G221" s="81">
        <f>IF(A221="","",SUMIF('22 2026 PAKETLEME'!$B$2:$B$501,A221,'22 2026 PAKETLEME'!$H$2:$H$501))</f>
        <v/>
      </c>
      <c r="H221" s="81">
        <f>IF(A221="","",D221-E221-F221-G221)</f>
        <v/>
      </c>
      <c r="I221" s="82">
        <f>IF(A221="","",SUMIF('23 2026 SEVKİYAT'!$E$2:$E$501,A221,'23 2026 SEVKİYAT'!$H$2:$H$501))</f>
        <v/>
      </c>
      <c r="J221" s="81">
        <f>IF(A221="","",E221+F221-I221)</f>
        <v/>
      </c>
      <c r="K221" s="81">
        <f>IF(A221="","",D221-E221-F221-G221-H221)</f>
        <v/>
      </c>
      <c r="L221" s="58">
        <f>IF(A221="","",IF(ABS(K221)&lt;0.001,"KAPALI","KONTROL"))</f>
        <v/>
      </c>
      <c r="M221" s="56">
        <f>IF(A221="","",IF(J221&lt;0,"SEVK PAKETLEMEYİ AŞIYOR",IF(H221&lt;&gt;0,"PAKETLEME BAKİYESİ VAR","DENKLİK KAPALI")))</f>
        <v/>
      </c>
    </row>
    <row r="222" ht="15" customHeight="1">
      <c r="A222" s="60">
        <f>'21 2026 ÜRETİM'!A222</f>
        <v/>
      </c>
      <c r="B222" s="81">
        <f>IF(A222="","",'21 2026 ÜRETİM'!D222)</f>
        <v/>
      </c>
      <c r="C222" s="81">
        <f>IF(A222="","",'21 2026 ÜRETİM'!E222)</f>
        <v/>
      </c>
      <c r="D222" s="82">
        <f>IF(A222="","",'21 2026 ÜRETİM'!F222)</f>
        <v/>
      </c>
      <c r="E222" s="81">
        <f>IF(A222="","",SUMIF('22 2026 PAKETLEME'!$B$2:$B$501,A222,'22 2026 PAKETLEME'!$E$2:$E$501))</f>
        <v/>
      </c>
      <c r="F222" s="82">
        <f>IF(A222="","",SUMIF('22 2026 PAKETLEME'!$B$2:$B$501,A222,'22 2026 PAKETLEME'!$G$2:$G$501))</f>
        <v/>
      </c>
      <c r="G222" s="81">
        <f>IF(A222="","",SUMIF('22 2026 PAKETLEME'!$B$2:$B$501,A222,'22 2026 PAKETLEME'!$H$2:$H$501))</f>
        <v/>
      </c>
      <c r="H222" s="81">
        <f>IF(A222="","",D222-E222-F222-G222)</f>
        <v/>
      </c>
      <c r="I222" s="82">
        <f>IF(A222="","",SUMIF('23 2026 SEVKİYAT'!$E$2:$E$501,A222,'23 2026 SEVKİYAT'!$H$2:$H$501))</f>
        <v/>
      </c>
      <c r="J222" s="81">
        <f>IF(A222="","",E222+F222-I222)</f>
        <v/>
      </c>
      <c r="K222" s="81">
        <f>IF(A222="","",D222-E222-F222-G222-H222)</f>
        <v/>
      </c>
      <c r="L222" s="58">
        <f>IF(A222="","",IF(ABS(K222)&lt;0.001,"KAPALI","KONTROL"))</f>
        <v/>
      </c>
      <c r="M222" s="56">
        <f>IF(A222="","",IF(J222&lt;0,"SEVK PAKETLEMEYİ AŞIYOR",IF(H222&lt;&gt;0,"PAKETLEME BAKİYESİ VAR","DENKLİK KAPALI")))</f>
        <v/>
      </c>
    </row>
    <row r="223" ht="15" customHeight="1">
      <c r="A223" s="60">
        <f>'21 2026 ÜRETİM'!A223</f>
        <v/>
      </c>
      <c r="B223" s="81">
        <f>IF(A223="","",'21 2026 ÜRETİM'!D223)</f>
        <v/>
      </c>
      <c r="C223" s="81">
        <f>IF(A223="","",'21 2026 ÜRETİM'!E223)</f>
        <v/>
      </c>
      <c r="D223" s="82">
        <f>IF(A223="","",'21 2026 ÜRETİM'!F223)</f>
        <v/>
      </c>
      <c r="E223" s="81">
        <f>IF(A223="","",SUMIF('22 2026 PAKETLEME'!$B$2:$B$501,A223,'22 2026 PAKETLEME'!$E$2:$E$501))</f>
        <v/>
      </c>
      <c r="F223" s="82">
        <f>IF(A223="","",SUMIF('22 2026 PAKETLEME'!$B$2:$B$501,A223,'22 2026 PAKETLEME'!$G$2:$G$501))</f>
        <v/>
      </c>
      <c r="G223" s="81">
        <f>IF(A223="","",SUMIF('22 2026 PAKETLEME'!$B$2:$B$501,A223,'22 2026 PAKETLEME'!$H$2:$H$501))</f>
        <v/>
      </c>
      <c r="H223" s="81">
        <f>IF(A223="","",D223-E223-F223-G223)</f>
        <v/>
      </c>
      <c r="I223" s="82">
        <f>IF(A223="","",SUMIF('23 2026 SEVKİYAT'!$E$2:$E$501,A223,'23 2026 SEVKİYAT'!$H$2:$H$501))</f>
        <v/>
      </c>
      <c r="J223" s="81">
        <f>IF(A223="","",E223+F223-I223)</f>
        <v/>
      </c>
      <c r="K223" s="81">
        <f>IF(A223="","",D223-E223-F223-G223-H223)</f>
        <v/>
      </c>
      <c r="L223" s="58">
        <f>IF(A223="","",IF(ABS(K223)&lt;0.001,"KAPALI","KONTROL"))</f>
        <v/>
      </c>
      <c r="M223" s="56">
        <f>IF(A223="","",IF(J223&lt;0,"SEVK PAKETLEMEYİ AŞIYOR",IF(H223&lt;&gt;0,"PAKETLEME BAKİYESİ VAR","DENKLİK KAPALI")))</f>
        <v/>
      </c>
    </row>
    <row r="224" ht="15" customHeight="1">
      <c r="A224" s="60">
        <f>'21 2026 ÜRETİM'!A224</f>
        <v/>
      </c>
      <c r="B224" s="81">
        <f>IF(A224="","",'21 2026 ÜRETİM'!D224)</f>
        <v/>
      </c>
      <c r="C224" s="81">
        <f>IF(A224="","",'21 2026 ÜRETİM'!E224)</f>
        <v/>
      </c>
      <c r="D224" s="82">
        <f>IF(A224="","",'21 2026 ÜRETİM'!F224)</f>
        <v/>
      </c>
      <c r="E224" s="81">
        <f>IF(A224="","",SUMIF('22 2026 PAKETLEME'!$B$2:$B$501,A224,'22 2026 PAKETLEME'!$E$2:$E$501))</f>
        <v/>
      </c>
      <c r="F224" s="82">
        <f>IF(A224="","",SUMIF('22 2026 PAKETLEME'!$B$2:$B$501,A224,'22 2026 PAKETLEME'!$G$2:$G$501))</f>
        <v/>
      </c>
      <c r="G224" s="81">
        <f>IF(A224="","",SUMIF('22 2026 PAKETLEME'!$B$2:$B$501,A224,'22 2026 PAKETLEME'!$H$2:$H$501))</f>
        <v/>
      </c>
      <c r="H224" s="81">
        <f>IF(A224="","",D224-E224-F224-G224)</f>
        <v/>
      </c>
      <c r="I224" s="82">
        <f>IF(A224="","",SUMIF('23 2026 SEVKİYAT'!$E$2:$E$501,A224,'23 2026 SEVKİYAT'!$H$2:$H$501))</f>
        <v/>
      </c>
      <c r="J224" s="81">
        <f>IF(A224="","",E224+F224-I224)</f>
        <v/>
      </c>
      <c r="K224" s="81">
        <f>IF(A224="","",D224-E224-F224-G224-H224)</f>
        <v/>
      </c>
      <c r="L224" s="58">
        <f>IF(A224="","",IF(ABS(K224)&lt;0.001,"KAPALI","KONTROL"))</f>
        <v/>
      </c>
      <c r="M224" s="56">
        <f>IF(A224="","",IF(J224&lt;0,"SEVK PAKETLEMEYİ AŞIYOR",IF(H224&lt;&gt;0,"PAKETLEME BAKİYESİ VAR","DENKLİK KAPALI")))</f>
        <v/>
      </c>
    </row>
    <row r="225" ht="15" customHeight="1">
      <c r="A225" s="60">
        <f>'21 2026 ÜRETİM'!A225</f>
        <v/>
      </c>
      <c r="B225" s="81">
        <f>IF(A225="","",'21 2026 ÜRETİM'!D225)</f>
        <v/>
      </c>
      <c r="C225" s="81">
        <f>IF(A225="","",'21 2026 ÜRETİM'!E225)</f>
        <v/>
      </c>
      <c r="D225" s="82">
        <f>IF(A225="","",'21 2026 ÜRETİM'!F225)</f>
        <v/>
      </c>
      <c r="E225" s="81">
        <f>IF(A225="","",SUMIF('22 2026 PAKETLEME'!$B$2:$B$501,A225,'22 2026 PAKETLEME'!$E$2:$E$501))</f>
        <v/>
      </c>
      <c r="F225" s="82">
        <f>IF(A225="","",SUMIF('22 2026 PAKETLEME'!$B$2:$B$501,A225,'22 2026 PAKETLEME'!$G$2:$G$501))</f>
        <v/>
      </c>
      <c r="G225" s="81">
        <f>IF(A225="","",SUMIF('22 2026 PAKETLEME'!$B$2:$B$501,A225,'22 2026 PAKETLEME'!$H$2:$H$501))</f>
        <v/>
      </c>
      <c r="H225" s="81">
        <f>IF(A225="","",D225-E225-F225-G225)</f>
        <v/>
      </c>
      <c r="I225" s="82">
        <f>IF(A225="","",SUMIF('23 2026 SEVKİYAT'!$E$2:$E$501,A225,'23 2026 SEVKİYAT'!$H$2:$H$501))</f>
        <v/>
      </c>
      <c r="J225" s="81">
        <f>IF(A225="","",E225+F225-I225)</f>
        <v/>
      </c>
      <c r="K225" s="81">
        <f>IF(A225="","",D225-E225-F225-G225-H225)</f>
        <v/>
      </c>
      <c r="L225" s="58">
        <f>IF(A225="","",IF(ABS(K225)&lt;0.001,"KAPALI","KONTROL"))</f>
        <v/>
      </c>
      <c r="M225" s="56">
        <f>IF(A225="","",IF(J225&lt;0,"SEVK PAKETLEMEYİ AŞIYOR",IF(H225&lt;&gt;0,"PAKETLEME BAKİYESİ VAR","DENKLİK KAPALI")))</f>
        <v/>
      </c>
    </row>
    <row r="226" ht="15" customHeight="1">
      <c r="A226" s="60">
        <f>'21 2026 ÜRETİM'!A226</f>
        <v/>
      </c>
      <c r="B226" s="81">
        <f>IF(A226="","",'21 2026 ÜRETİM'!D226)</f>
        <v/>
      </c>
      <c r="C226" s="81">
        <f>IF(A226="","",'21 2026 ÜRETİM'!E226)</f>
        <v/>
      </c>
      <c r="D226" s="82">
        <f>IF(A226="","",'21 2026 ÜRETİM'!F226)</f>
        <v/>
      </c>
      <c r="E226" s="81">
        <f>IF(A226="","",SUMIF('22 2026 PAKETLEME'!$B$2:$B$501,A226,'22 2026 PAKETLEME'!$E$2:$E$501))</f>
        <v/>
      </c>
      <c r="F226" s="82">
        <f>IF(A226="","",SUMIF('22 2026 PAKETLEME'!$B$2:$B$501,A226,'22 2026 PAKETLEME'!$G$2:$G$501))</f>
        <v/>
      </c>
      <c r="G226" s="81">
        <f>IF(A226="","",SUMIF('22 2026 PAKETLEME'!$B$2:$B$501,A226,'22 2026 PAKETLEME'!$H$2:$H$501))</f>
        <v/>
      </c>
      <c r="H226" s="81">
        <f>IF(A226="","",D226-E226-F226-G226)</f>
        <v/>
      </c>
      <c r="I226" s="82">
        <f>IF(A226="","",SUMIF('23 2026 SEVKİYAT'!$E$2:$E$501,A226,'23 2026 SEVKİYAT'!$H$2:$H$501))</f>
        <v/>
      </c>
      <c r="J226" s="81">
        <f>IF(A226="","",E226+F226-I226)</f>
        <v/>
      </c>
      <c r="K226" s="81">
        <f>IF(A226="","",D226-E226-F226-G226-H226)</f>
        <v/>
      </c>
      <c r="L226" s="58">
        <f>IF(A226="","",IF(ABS(K226)&lt;0.001,"KAPALI","KONTROL"))</f>
        <v/>
      </c>
      <c r="M226" s="56">
        <f>IF(A226="","",IF(J226&lt;0,"SEVK PAKETLEMEYİ AŞIYOR",IF(H226&lt;&gt;0,"PAKETLEME BAKİYESİ VAR","DENKLİK KAPALI")))</f>
        <v/>
      </c>
    </row>
    <row r="227" ht="15" customHeight="1">
      <c r="A227" s="60">
        <f>'21 2026 ÜRETİM'!A227</f>
        <v/>
      </c>
      <c r="B227" s="81">
        <f>IF(A227="","",'21 2026 ÜRETİM'!D227)</f>
        <v/>
      </c>
      <c r="C227" s="81">
        <f>IF(A227="","",'21 2026 ÜRETİM'!E227)</f>
        <v/>
      </c>
      <c r="D227" s="82">
        <f>IF(A227="","",'21 2026 ÜRETİM'!F227)</f>
        <v/>
      </c>
      <c r="E227" s="81">
        <f>IF(A227="","",SUMIF('22 2026 PAKETLEME'!$B$2:$B$501,A227,'22 2026 PAKETLEME'!$E$2:$E$501))</f>
        <v/>
      </c>
      <c r="F227" s="82">
        <f>IF(A227="","",SUMIF('22 2026 PAKETLEME'!$B$2:$B$501,A227,'22 2026 PAKETLEME'!$G$2:$G$501))</f>
        <v/>
      </c>
      <c r="G227" s="81">
        <f>IF(A227="","",SUMIF('22 2026 PAKETLEME'!$B$2:$B$501,A227,'22 2026 PAKETLEME'!$H$2:$H$501))</f>
        <v/>
      </c>
      <c r="H227" s="81">
        <f>IF(A227="","",D227-E227-F227-G227)</f>
        <v/>
      </c>
      <c r="I227" s="82">
        <f>IF(A227="","",SUMIF('23 2026 SEVKİYAT'!$E$2:$E$501,A227,'23 2026 SEVKİYAT'!$H$2:$H$501))</f>
        <v/>
      </c>
      <c r="J227" s="81">
        <f>IF(A227="","",E227+F227-I227)</f>
        <v/>
      </c>
      <c r="K227" s="81">
        <f>IF(A227="","",D227-E227-F227-G227-H227)</f>
        <v/>
      </c>
      <c r="L227" s="58">
        <f>IF(A227="","",IF(ABS(K227)&lt;0.001,"KAPALI","KONTROL"))</f>
        <v/>
      </c>
      <c r="M227" s="56">
        <f>IF(A227="","",IF(J227&lt;0,"SEVK PAKETLEMEYİ AŞIYOR",IF(H227&lt;&gt;0,"PAKETLEME BAKİYESİ VAR","DENKLİK KAPALI")))</f>
        <v/>
      </c>
    </row>
    <row r="228" ht="15" customHeight="1">
      <c r="A228" s="60">
        <f>'21 2026 ÜRETİM'!A228</f>
        <v/>
      </c>
      <c r="B228" s="81">
        <f>IF(A228="","",'21 2026 ÜRETİM'!D228)</f>
        <v/>
      </c>
      <c r="C228" s="81">
        <f>IF(A228="","",'21 2026 ÜRETİM'!E228)</f>
        <v/>
      </c>
      <c r="D228" s="82">
        <f>IF(A228="","",'21 2026 ÜRETİM'!F228)</f>
        <v/>
      </c>
      <c r="E228" s="81">
        <f>IF(A228="","",SUMIF('22 2026 PAKETLEME'!$B$2:$B$501,A228,'22 2026 PAKETLEME'!$E$2:$E$501))</f>
        <v/>
      </c>
      <c r="F228" s="82">
        <f>IF(A228="","",SUMIF('22 2026 PAKETLEME'!$B$2:$B$501,A228,'22 2026 PAKETLEME'!$G$2:$G$501))</f>
        <v/>
      </c>
      <c r="G228" s="81">
        <f>IF(A228="","",SUMIF('22 2026 PAKETLEME'!$B$2:$B$501,A228,'22 2026 PAKETLEME'!$H$2:$H$501))</f>
        <v/>
      </c>
      <c r="H228" s="81">
        <f>IF(A228="","",D228-E228-F228-G228)</f>
        <v/>
      </c>
      <c r="I228" s="82">
        <f>IF(A228="","",SUMIF('23 2026 SEVKİYAT'!$E$2:$E$501,A228,'23 2026 SEVKİYAT'!$H$2:$H$501))</f>
        <v/>
      </c>
      <c r="J228" s="81">
        <f>IF(A228="","",E228+F228-I228)</f>
        <v/>
      </c>
      <c r="K228" s="81">
        <f>IF(A228="","",D228-E228-F228-G228-H228)</f>
        <v/>
      </c>
      <c r="L228" s="58">
        <f>IF(A228="","",IF(ABS(K228)&lt;0.001,"KAPALI","KONTROL"))</f>
        <v/>
      </c>
      <c r="M228" s="56">
        <f>IF(A228="","",IF(J228&lt;0,"SEVK PAKETLEMEYİ AŞIYOR",IF(H228&lt;&gt;0,"PAKETLEME BAKİYESİ VAR","DENKLİK KAPALI")))</f>
        <v/>
      </c>
    </row>
    <row r="229" ht="15" customHeight="1">
      <c r="A229" s="60">
        <f>'21 2026 ÜRETİM'!A229</f>
        <v/>
      </c>
      <c r="B229" s="81">
        <f>IF(A229="","",'21 2026 ÜRETİM'!D229)</f>
        <v/>
      </c>
      <c r="C229" s="81">
        <f>IF(A229="","",'21 2026 ÜRETİM'!E229)</f>
        <v/>
      </c>
      <c r="D229" s="82">
        <f>IF(A229="","",'21 2026 ÜRETİM'!F229)</f>
        <v/>
      </c>
      <c r="E229" s="81">
        <f>IF(A229="","",SUMIF('22 2026 PAKETLEME'!$B$2:$B$501,A229,'22 2026 PAKETLEME'!$E$2:$E$501))</f>
        <v/>
      </c>
      <c r="F229" s="82">
        <f>IF(A229="","",SUMIF('22 2026 PAKETLEME'!$B$2:$B$501,A229,'22 2026 PAKETLEME'!$G$2:$G$501))</f>
        <v/>
      </c>
      <c r="G229" s="81">
        <f>IF(A229="","",SUMIF('22 2026 PAKETLEME'!$B$2:$B$501,A229,'22 2026 PAKETLEME'!$H$2:$H$501))</f>
        <v/>
      </c>
      <c r="H229" s="81">
        <f>IF(A229="","",D229-E229-F229-G229)</f>
        <v/>
      </c>
      <c r="I229" s="82">
        <f>IF(A229="","",SUMIF('23 2026 SEVKİYAT'!$E$2:$E$501,A229,'23 2026 SEVKİYAT'!$H$2:$H$501))</f>
        <v/>
      </c>
      <c r="J229" s="81">
        <f>IF(A229="","",E229+F229-I229)</f>
        <v/>
      </c>
      <c r="K229" s="81">
        <f>IF(A229="","",D229-E229-F229-G229-H229)</f>
        <v/>
      </c>
      <c r="L229" s="58">
        <f>IF(A229="","",IF(ABS(K229)&lt;0.001,"KAPALI","KONTROL"))</f>
        <v/>
      </c>
      <c r="M229" s="56">
        <f>IF(A229="","",IF(J229&lt;0,"SEVK PAKETLEMEYİ AŞIYOR",IF(H229&lt;&gt;0,"PAKETLEME BAKİYESİ VAR","DENKLİK KAPALI")))</f>
        <v/>
      </c>
    </row>
    <row r="230" ht="15" customHeight="1">
      <c r="A230" s="60">
        <f>'21 2026 ÜRETİM'!A230</f>
        <v/>
      </c>
      <c r="B230" s="81">
        <f>IF(A230="","",'21 2026 ÜRETİM'!D230)</f>
        <v/>
      </c>
      <c r="C230" s="81">
        <f>IF(A230="","",'21 2026 ÜRETİM'!E230)</f>
        <v/>
      </c>
      <c r="D230" s="82">
        <f>IF(A230="","",'21 2026 ÜRETİM'!F230)</f>
        <v/>
      </c>
      <c r="E230" s="81">
        <f>IF(A230="","",SUMIF('22 2026 PAKETLEME'!$B$2:$B$501,A230,'22 2026 PAKETLEME'!$E$2:$E$501))</f>
        <v/>
      </c>
      <c r="F230" s="82">
        <f>IF(A230="","",SUMIF('22 2026 PAKETLEME'!$B$2:$B$501,A230,'22 2026 PAKETLEME'!$G$2:$G$501))</f>
        <v/>
      </c>
      <c r="G230" s="81">
        <f>IF(A230="","",SUMIF('22 2026 PAKETLEME'!$B$2:$B$501,A230,'22 2026 PAKETLEME'!$H$2:$H$501))</f>
        <v/>
      </c>
      <c r="H230" s="81">
        <f>IF(A230="","",D230-E230-F230-G230)</f>
        <v/>
      </c>
      <c r="I230" s="82">
        <f>IF(A230="","",SUMIF('23 2026 SEVKİYAT'!$E$2:$E$501,A230,'23 2026 SEVKİYAT'!$H$2:$H$501))</f>
        <v/>
      </c>
      <c r="J230" s="81">
        <f>IF(A230="","",E230+F230-I230)</f>
        <v/>
      </c>
      <c r="K230" s="81">
        <f>IF(A230="","",D230-E230-F230-G230-H230)</f>
        <v/>
      </c>
      <c r="L230" s="58">
        <f>IF(A230="","",IF(ABS(K230)&lt;0.001,"KAPALI","KONTROL"))</f>
        <v/>
      </c>
      <c r="M230" s="56">
        <f>IF(A230="","",IF(J230&lt;0,"SEVK PAKETLEMEYİ AŞIYOR",IF(H230&lt;&gt;0,"PAKETLEME BAKİYESİ VAR","DENKLİK KAPALI")))</f>
        <v/>
      </c>
    </row>
    <row r="231" ht="15" customHeight="1">
      <c r="A231" s="60">
        <f>'21 2026 ÜRETİM'!A231</f>
        <v/>
      </c>
      <c r="B231" s="81">
        <f>IF(A231="","",'21 2026 ÜRETİM'!D231)</f>
        <v/>
      </c>
      <c r="C231" s="81">
        <f>IF(A231="","",'21 2026 ÜRETİM'!E231)</f>
        <v/>
      </c>
      <c r="D231" s="82">
        <f>IF(A231="","",'21 2026 ÜRETİM'!F231)</f>
        <v/>
      </c>
      <c r="E231" s="81">
        <f>IF(A231="","",SUMIF('22 2026 PAKETLEME'!$B$2:$B$501,A231,'22 2026 PAKETLEME'!$E$2:$E$501))</f>
        <v/>
      </c>
      <c r="F231" s="82">
        <f>IF(A231="","",SUMIF('22 2026 PAKETLEME'!$B$2:$B$501,A231,'22 2026 PAKETLEME'!$G$2:$G$501))</f>
        <v/>
      </c>
      <c r="G231" s="81">
        <f>IF(A231="","",SUMIF('22 2026 PAKETLEME'!$B$2:$B$501,A231,'22 2026 PAKETLEME'!$H$2:$H$501))</f>
        <v/>
      </c>
      <c r="H231" s="81">
        <f>IF(A231="","",D231-E231-F231-G231)</f>
        <v/>
      </c>
      <c r="I231" s="82">
        <f>IF(A231="","",SUMIF('23 2026 SEVKİYAT'!$E$2:$E$501,A231,'23 2026 SEVKİYAT'!$H$2:$H$501))</f>
        <v/>
      </c>
      <c r="J231" s="81">
        <f>IF(A231="","",E231+F231-I231)</f>
        <v/>
      </c>
      <c r="K231" s="81">
        <f>IF(A231="","",D231-E231-F231-G231-H231)</f>
        <v/>
      </c>
      <c r="L231" s="58">
        <f>IF(A231="","",IF(ABS(K231)&lt;0.001,"KAPALI","KONTROL"))</f>
        <v/>
      </c>
      <c r="M231" s="56">
        <f>IF(A231="","",IF(J231&lt;0,"SEVK PAKETLEMEYİ AŞIYOR",IF(H231&lt;&gt;0,"PAKETLEME BAKİYESİ VAR","DENKLİK KAPALI")))</f>
        <v/>
      </c>
    </row>
    <row r="232" ht="15" customHeight="1">
      <c r="A232" s="60">
        <f>'21 2026 ÜRETİM'!A232</f>
        <v/>
      </c>
      <c r="B232" s="81">
        <f>IF(A232="","",'21 2026 ÜRETİM'!D232)</f>
        <v/>
      </c>
      <c r="C232" s="81">
        <f>IF(A232="","",'21 2026 ÜRETİM'!E232)</f>
        <v/>
      </c>
      <c r="D232" s="82">
        <f>IF(A232="","",'21 2026 ÜRETİM'!F232)</f>
        <v/>
      </c>
      <c r="E232" s="81">
        <f>IF(A232="","",SUMIF('22 2026 PAKETLEME'!$B$2:$B$501,A232,'22 2026 PAKETLEME'!$E$2:$E$501))</f>
        <v/>
      </c>
      <c r="F232" s="82">
        <f>IF(A232="","",SUMIF('22 2026 PAKETLEME'!$B$2:$B$501,A232,'22 2026 PAKETLEME'!$G$2:$G$501))</f>
        <v/>
      </c>
      <c r="G232" s="81">
        <f>IF(A232="","",SUMIF('22 2026 PAKETLEME'!$B$2:$B$501,A232,'22 2026 PAKETLEME'!$H$2:$H$501))</f>
        <v/>
      </c>
      <c r="H232" s="81">
        <f>IF(A232="","",D232-E232-F232-G232)</f>
        <v/>
      </c>
      <c r="I232" s="82">
        <f>IF(A232="","",SUMIF('23 2026 SEVKİYAT'!$E$2:$E$501,A232,'23 2026 SEVKİYAT'!$H$2:$H$501))</f>
        <v/>
      </c>
      <c r="J232" s="81">
        <f>IF(A232="","",E232+F232-I232)</f>
        <v/>
      </c>
      <c r="K232" s="81">
        <f>IF(A232="","",D232-E232-F232-G232-H232)</f>
        <v/>
      </c>
      <c r="L232" s="58">
        <f>IF(A232="","",IF(ABS(K232)&lt;0.001,"KAPALI","KONTROL"))</f>
        <v/>
      </c>
      <c r="M232" s="56">
        <f>IF(A232="","",IF(J232&lt;0,"SEVK PAKETLEMEYİ AŞIYOR",IF(H232&lt;&gt;0,"PAKETLEME BAKİYESİ VAR","DENKLİK KAPALI")))</f>
        <v/>
      </c>
    </row>
    <row r="233" ht="15" customHeight="1">
      <c r="A233" s="60">
        <f>'21 2026 ÜRETİM'!A233</f>
        <v/>
      </c>
      <c r="B233" s="81">
        <f>IF(A233="","",'21 2026 ÜRETİM'!D233)</f>
        <v/>
      </c>
      <c r="C233" s="81">
        <f>IF(A233="","",'21 2026 ÜRETİM'!E233)</f>
        <v/>
      </c>
      <c r="D233" s="82">
        <f>IF(A233="","",'21 2026 ÜRETİM'!F233)</f>
        <v/>
      </c>
      <c r="E233" s="81">
        <f>IF(A233="","",SUMIF('22 2026 PAKETLEME'!$B$2:$B$501,A233,'22 2026 PAKETLEME'!$E$2:$E$501))</f>
        <v/>
      </c>
      <c r="F233" s="82">
        <f>IF(A233="","",SUMIF('22 2026 PAKETLEME'!$B$2:$B$501,A233,'22 2026 PAKETLEME'!$G$2:$G$501))</f>
        <v/>
      </c>
      <c r="G233" s="81">
        <f>IF(A233="","",SUMIF('22 2026 PAKETLEME'!$B$2:$B$501,A233,'22 2026 PAKETLEME'!$H$2:$H$501))</f>
        <v/>
      </c>
      <c r="H233" s="81">
        <f>IF(A233="","",D233-E233-F233-G233)</f>
        <v/>
      </c>
      <c r="I233" s="82">
        <f>IF(A233="","",SUMIF('23 2026 SEVKİYAT'!$E$2:$E$501,A233,'23 2026 SEVKİYAT'!$H$2:$H$501))</f>
        <v/>
      </c>
      <c r="J233" s="81">
        <f>IF(A233="","",E233+F233-I233)</f>
        <v/>
      </c>
      <c r="K233" s="81">
        <f>IF(A233="","",D233-E233-F233-G233-H233)</f>
        <v/>
      </c>
      <c r="L233" s="58">
        <f>IF(A233="","",IF(ABS(K233)&lt;0.001,"KAPALI","KONTROL"))</f>
        <v/>
      </c>
      <c r="M233" s="56">
        <f>IF(A233="","",IF(J233&lt;0,"SEVK PAKETLEMEYİ AŞIYOR",IF(H233&lt;&gt;0,"PAKETLEME BAKİYESİ VAR","DENKLİK KAPALI")))</f>
        <v/>
      </c>
    </row>
    <row r="234" ht="15" customHeight="1">
      <c r="A234" s="60">
        <f>'21 2026 ÜRETİM'!A234</f>
        <v/>
      </c>
      <c r="B234" s="81">
        <f>IF(A234="","",'21 2026 ÜRETİM'!D234)</f>
        <v/>
      </c>
      <c r="C234" s="81">
        <f>IF(A234="","",'21 2026 ÜRETİM'!E234)</f>
        <v/>
      </c>
      <c r="D234" s="82">
        <f>IF(A234="","",'21 2026 ÜRETİM'!F234)</f>
        <v/>
      </c>
      <c r="E234" s="81">
        <f>IF(A234="","",SUMIF('22 2026 PAKETLEME'!$B$2:$B$501,A234,'22 2026 PAKETLEME'!$E$2:$E$501))</f>
        <v/>
      </c>
      <c r="F234" s="82">
        <f>IF(A234="","",SUMIF('22 2026 PAKETLEME'!$B$2:$B$501,A234,'22 2026 PAKETLEME'!$G$2:$G$501))</f>
        <v/>
      </c>
      <c r="G234" s="81">
        <f>IF(A234="","",SUMIF('22 2026 PAKETLEME'!$B$2:$B$501,A234,'22 2026 PAKETLEME'!$H$2:$H$501))</f>
        <v/>
      </c>
      <c r="H234" s="81">
        <f>IF(A234="","",D234-E234-F234-G234)</f>
        <v/>
      </c>
      <c r="I234" s="82">
        <f>IF(A234="","",SUMIF('23 2026 SEVKİYAT'!$E$2:$E$501,A234,'23 2026 SEVKİYAT'!$H$2:$H$501))</f>
        <v/>
      </c>
      <c r="J234" s="81">
        <f>IF(A234="","",E234+F234-I234)</f>
        <v/>
      </c>
      <c r="K234" s="81">
        <f>IF(A234="","",D234-E234-F234-G234-H234)</f>
        <v/>
      </c>
      <c r="L234" s="58">
        <f>IF(A234="","",IF(ABS(K234)&lt;0.001,"KAPALI","KONTROL"))</f>
        <v/>
      </c>
      <c r="M234" s="56">
        <f>IF(A234="","",IF(J234&lt;0,"SEVK PAKETLEMEYİ AŞIYOR",IF(H234&lt;&gt;0,"PAKETLEME BAKİYESİ VAR","DENKLİK KAPALI")))</f>
        <v/>
      </c>
    </row>
    <row r="235" ht="15" customHeight="1">
      <c r="A235" s="60">
        <f>'21 2026 ÜRETİM'!A235</f>
        <v/>
      </c>
      <c r="B235" s="81">
        <f>IF(A235="","",'21 2026 ÜRETİM'!D235)</f>
        <v/>
      </c>
      <c r="C235" s="81">
        <f>IF(A235="","",'21 2026 ÜRETİM'!E235)</f>
        <v/>
      </c>
      <c r="D235" s="82">
        <f>IF(A235="","",'21 2026 ÜRETİM'!F235)</f>
        <v/>
      </c>
      <c r="E235" s="81">
        <f>IF(A235="","",SUMIF('22 2026 PAKETLEME'!$B$2:$B$501,A235,'22 2026 PAKETLEME'!$E$2:$E$501))</f>
        <v/>
      </c>
      <c r="F235" s="82">
        <f>IF(A235="","",SUMIF('22 2026 PAKETLEME'!$B$2:$B$501,A235,'22 2026 PAKETLEME'!$G$2:$G$501))</f>
        <v/>
      </c>
      <c r="G235" s="81">
        <f>IF(A235="","",SUMIF('22 2026 PAKETLEME'!$B$2:$B$501,A235,'22 2026 PAKETLEME'!$H$2:$H$501))</f>
        <v/>
      </c>
      <c r="H235" s="81">
        <f>IF(A235="","",D235-E235-F235-G235)</f>
        <v/>
      </c>
      <c r="I235" s="82">
        <f>IF(A235="","",SUMIF('23 2026 SEVKİYAT'!$E$2:$E$501,A235,'23 2026 SEVKİYAT'!$H$2:$H$501))</f>
        <v/>
      </c>
      <c r="J235" s="81">
        <f>IF(A235="","",E235+F235-I235)</f>
        <v/>
      </c>
      <c r="K235" s="81">
        <f>IF(A235="","",D235-E235-F235-G235-H235)</f>
        <v/>
      </c>
      <c r="L235" s="58">
        <f>IF(A235="","",IF(ABS(K235)&lt;0.001,"KAPALI","KONTROL"))</f>
        <v/>
      </c>
      <c r="M235" s="56">
        <f>IF(A235="","",IF(J235&lt;0,"SEVK PAKETLEMEYİ AŞIYOR",IF(H235&lt;&gt;0,"PAKETLEME BAKİYESİ VAR","DENKLİK KAPALI")))</f>
        <v/>
      </c>
    </row>
    <row r="236" ht="15" customHeight="1">
      <c r="A236" s="60">
        <f>'21 2026 ÜRETİM'!A236</f>
        <v/>
      </c>
      <c r="B236" s="81">
        <f>IF(A236="","",'21 2026 ÜRETİM'!D236)</f>
        <v/>
      </c>
      <c r="C236" s="81">
        <f>IF(A236="","",'21 2026 ÜRETİM'!E236)</f>
        <v/>
      </c>
      <c r="D236" s="82">
        <f>IF(A236="","",'21 2026 ÜRETİM'!F236)</f>
        <v/>
      </c>
      <c r="E236" s="81">
        <f>IF(A236="","",SUMIF('22 2026 PAKETLEME'!$B$2:$B$501,A236,'22 2026 PAKETLEME'!$E$2:$E$501))</f>
        <v/>
      </c>
      <c r="F236" s="82">
        <f>IF(A236="","",SUMIF('22 2026 PAKETLEME'!$B$2:$B$501,A236,'22 2026 PAKETLEME'!$G$2:$G$501))</f>
        <v/>
      </c>
      <c r="G236" s="81">
        <f>IF(A236="","",SUMIF('22 2026 PAKETLEME'!$B$2:$B$501,A236,'22 2026 PAKETLEME'!$H$2:$H$501))</f>
        <v/>
      </c>
      <c r="H236" s="81">
        <f>IF(A236="","",D236-E236-F236-G236)</f>
        <v/>
      </c>
      <c r="I236" s="82">
        <f>IF(A236="","",SUMIF('23 2026 SEVKİYAT'!$E$2:$E$501,A236,'23 2026 SEVKİYAT'!$H$2:$H$501))</f>
        <v/>
      </c>
      <c r="J236" s="81">
        <f>IF(A236="","",E236+F236-I236)</f>
        <v/>
      </c>
      <c r="K236" s="81">
        <f>IF(A236="","",D236-E236-F236-G236-H236)</f>
        <v/>
      </c>
      <c r="L236" s="58">
        <f>IF(A236="","",IF(ABS(K236)&lt;0.001,"KAPALI","KONTROL"))</f>
        <v/>
      </c>
      <c r="M236" s="56">
        <f>IF(A236="","",IF(J236&lt;0,"SEVK PAKETLEMEYİ AŞIYOR",IF(H236&lt;&gt;0,"PAKETLEME BAKİYESİ VAR","DENKLİK KAPALI")))</f>
        <v/>
      </c>
    </row>
    <row r="237" ht="15" customHeight="1">
      <c r="A237" s="60">
        <f>'21 2026 ÜRETİM'!A237</f>
        <v/>
      </c>
      <c r="B237" s="81">
        <f>IF(A237="","",'21 2026 ÜRETİM'!D237)</f>
        <v/>
      </c>
      <c r="C237" s="81">
        <f>IF(A237="","",'21 2026 ÜRETİM'!E237)</f>
        <v/>
      </c>
      <c r="D237" s="82">
        <f>IF(A237="","",'21 2026 ÜRETİM'!F237)</f>
        <v/>
      </c>
      <c r="E237" s="81">
        <f>IF(A237="","",SUMIF('22 2026 PAKETLEME'!$B$2:$B$501,A237,'22 2026 PAKETLEME'!$E$2:$E$501))</f>
        <v/>
      </c>
      <c r="F237" s="82">
        <f>IF(A237="","",SUMIF('22 2026 PAKETLEME'!$B$2:$B$501,A237,'22 2026 PAKETLEME'!$G$2:$G$501))</f>
        <v/>
      </c>
      <c r="G237" s="81">
        <f>IF(A237="","",SUMIF('22 2026 PAKETLEME'!$B$2:$B$501,A237,'22 2026 PAKETLEME'!$H$2:$H$501))</f>
        <v/>
      </c>
      <c r="H237" s="81">
        <f>IF(A237="","",D237-E237-F237-G237)</f>
        <v/>
      </c>
      <c r="I237" s="82">
        <f>IF(A237="","",SUMIF('23 2026 SEVKİYAT'!$E$2:$E$501,A237,'23 2026 SEVKİYAT'!$H$2:$H$501))</f>
        <v/>
      </c>
      <c r="J237" s="81">
        <f>IF(A237="","",E237+F237-I237)</f>
        <v/>
      </c>
      <c r="K237" s="81">
        <f>IF(A237="","",D237-E237-F237-G237-H237)</f>
        <v/>
      </c>
      <c r="L237" s="58">
        <f>IF(A237="","",IF(ABS(K237)&lt;0.001,"KAPALI","KONTROL"))</f>
        <v/>
      </c>
      <c r="M237" s="56">
        <f>IF(A237="","",IF(J237&lt;0,"SEVK PAKETLEMEYİ AŞIYOR",IF(H237&lt;&gt;0,"PAKETLEME BAKİYESİ VAR","DENKLİK KAPALI")))</f>
        <v/>
      </c>
    </row>
    <row r="238" ht="15" customHeight="1">
      <c r="A238" s="60">
        <f>'21 2026 ÜRETİM'!A238</f>
        <v/>
      </c>
      <c r="B238" s="81">
        <f>IF(A238="","",'21 2026 ÜRETİM'!D238)</f>
        <v/>
      </c>
      <c r="C238" s="81">
        <f>IF(A238="","",'21 2026 ÜRETİM'!E238)</f>
        <v/>
      </c>
      <c r="D238" s="82">
        <f>IF(A238="","",'21 2026 ÜRETİM'!F238)</f>
        <v/>
      </c>
      <c r="E238" s="81">
        <f>IF(A238="","",SUMIF('22 2026 PAKETLEME'!$B$2:$B$501,A238,'22 2026 PAKETLEME'!$E$2:$E$501))</f>
        <v/>
      </c>
      <c r="F238" s="82">
        <f>IF(A238="","",SUMIF('22 2026 PAKETLEME'!$B$2:$B$501,A238,'22 2026 PAKETLEME'!$G$2:$G$501))</f>
        <v/>
      </c>
      <c r="G238" s="81">
        <f>IF(A238="","",SUMIF('22 2026 PAKETLEME'!$B$2:$B$501,A238,'22 2026 PAKETLEME'!$H$2:$H$501))</f>
        <v/>
      </c>
      <c r="H238" s="81">
        <f>IF(A238="","",D238-E238-F238-G238)</f>
        <v/>
      </c>
      <c r="I238" s="82">
        <f>IF(A238="","",SUMIF('23 2026 SEVKİYAT'!$E$2:$E$501,A238,'23 2026 SEVKİYAT'!$H$2:$H$501))</f>
        <v/>
      </c>
      <c r="J238" s="81">
        <f>IF(A238="","",E238+F238-I238)</f>
        <v/>
      </c>
      <c r="K238" s="81">
        <f>IF(A238="","",D238-E238-F238-G238-H238)</f>
        <v/>
      </c>
      <c r="L238" s="58">
        <f>IF(A238="","",IF(ABS(K238)&lt;0.001,"KAPALI","KONTROL"))</f>
        <v/>
      </c>
      <c r="M238" s="56">
        <f>IF(A238="","",IF(J238&lt;0,"SEVK PAKETLEMEYİ AŞIYOR",IF(H238&lt;&gt;0,"PAKETLEME BAKİYESİ VAR","DENKLİK KAPALI")))</f>
        <v/>
      </c>
    </row>
    <row r="239" ht="15" customHeight="1">
      <c r="A239" s="60">
        <f>'21 2026 ÜRETİM'!A239</f>
        <v/>
      </c>
      <c r="B239" s="81">
        <f>IF(A239="","",'21 2026 ÜRETİM'!D239)</f>
        <v/>
      </c>
      <c r="C239" s="81">
        <f>IF(A239="","",'21 2026 ÜRETİM'!E239)</f>
        <v/>
      </c>
      <c r="D239" s="82">
        <f>IF(A239="","",'21 2026 ÜRETİM'!F239)</f>
        <v/>
      </c>
      <c r="E239" s="81">
        <f>IF(A239="","",SUMIF('22 2026 PAKETLEME'!$B$2:$B$501,A239,'22 2026 PAKETLEME'!$E$2:$E$501))</f>
        <v/>
      </c>
      <c r="F239" s="82">
        <f>IF(A239="","",SUMIF('22 2026 PAKETLEME'!$B$2:$B$501,A239,'22 2026 PAKETLEME'!$G$2:$G$501))</f>
        <v/>
      </c>
      <c r="G239" s="81">
        <f>IF(A239="","",SUMIF('22 2026 PAKETLEME'!$B$2:$B$501,A239,'22 2026 PAKETLEME'!$H$2:$H$501))</f>
        <v/>
      </c>
      <c r="H239" s="81">
        <f>IF(A239="","",D239-E239-F239-G239)</f>
        <v/>
      </c>
      <c r="I239" s="82">
        <f>IF(A239="","",SUMIF('23 2026 SEVKİYAT'!$E$2:$E$501,A239,'23 2026 SEVKİYAT'!$H$2:$H$501))</f>
        <v/>
      </c>
      <c r="J239" s="81">
        <f>IF(A239="","",E239+F239-I239)</f>
        <v/>
      </c>
      <c r="K239" s="81">
        <f>IF(A239="","",D239-E239-F239-G239-H239)</f>
        <v/>
      </c>
      <c r="L239" s="58">
        <f>IF(A239="","",IF(ABS(K239)&lt;0.001,"KAPALI","KONTROL"))</f>
        <v/>
      </c>
      <c r="M239" s="56">
        <f>IF(A239="","",IF(J239&lt;0,"SEVK PAKETLEMEYİ AŞIYOR",IF(H239&lt;&gt;0,"PAKETLEME BAKİYESİ VAR","DENKLİK KAPALI")))</f>
        <v/>
      </c>
    </row>
    <row r="240" ht="15" customHeight="1">
      <c r="A240" s="60">
        <f>'21 2026 ÜRETİM'!A240</f>
        <v/>
      </c>
      <c r="B240" s="81">
        <f>IF(A240="","",'21 2026 ÜRETİM'!D240)</f>
        <v/>
      </c>
      <c r="C240" s="81">
        <f>IF(A240="","",'21 2026 ÜRETİM'!E240)</f>
        <v/>
      </c>
      <c r="D240" s="82">
        <f>IF(A240="","",'21 2026 ÜRETİM'!F240)</f>
        <v/>
      </c>
      <c r="E240" s="81">
        <f>IF(A240="","",SUMIF('22 2026 PAKETLEME'!$B$2:$B$501,A240,'22 2026 PAKETLEME'!$E$2:$E$501))</f>
        <v/>
      </c>
      <c r="F240" s="82">
        <f>IF(A240="","",SUMIF('22 2026 PAKETLEME'!$B$2:$B$501,A240,'22 2026 PAKETLEME'!$G$2:$G$501))</f>
        <v/>
      </c>
      <c r="G240" s="81">
        <f>IF(A240="","",SUMIF('22 2026 PAKETLEME'!$B$2:$B$501,A240,'22 2026 PAKETLEME'!$H$2:$H$501))</f>
        <v/>
      </c>
      <c r="H240" s="81">
        <f>IF(A240="","",D240-E240-F240-G240)</f>
        <v/>
      </c>
      <c r="I240" s="82">
        <f>IF(A240="","",SUMIF('23 2026 SEVKİYAT'!$E$2:$E$501,A240,'23 2026 SEVKİYAT'!$H$2:$H$501))</f>
        <v/>
      </c>
      <c r="J240" s="81">
        <f>IF(A240="","",E240+F240-I240)</f>
        <v/>
      </c>
      <c r="K240" s="81">
        <f>IF(A240="","",D240-E240-F240-G240-H240)</f>
        <v/>
      </c>
      <c r="L240" s="58">
        <f>IF(A240="","",IF(ABS(K240)&lt;0.001,"KAPALI","KONTROL"))</f>
        <v/>
      </c>
      <c r="M240" s="56">
        <f>IF(A240="","",IF(J240&lt;0,"SEVK PAKETLEMEYİ AŞIYOR",IF(H240&lt;&gt;0,"PAKETLEME BAKİYESİ VAR","DENKLİK KAPALI")))</f>
        <v/>
      </c>
    </row>
    <row r="241" ht="15" customHeight="1">
      <c r="A241" s="60">
        <f>'21 2026 ÜRETİM'!A241</f>
        <v/>
      </c>
      <c r="B241" s="81">
        <f>IF(A241="","",'21 2026 ÜRETİM'!D241)</f>
        <v/>
      </c>
      <c r="C241" s="81">
        <f>IF(A241="","",'21 2026 ÜRETİM'!E241)</f>
        <v/>
      </c>
      <c r="D241" s="82">
        <f>IF(A241="","",'21 2026 ÜRETİM'!F241)</f>
        <v/>
      </c>
      <c r="E241" s="81">
        <f>IF(A241="","",SUMIF('22 2026 PAKETLEME'!$B$2:$B$501,A241,'22 2026 PAKETLEME'!$E$2:$E$501))</f>
        <v/>
      </c>
      <c r="F241" s="82">
        <f>IF(A241="","",SUMIF('22 2026 PAKETLEME'!$B$2:$B$501,A241,'22 2026 PAKETLEME'!$G$2:$G$501))</f>
        <v/>
      </c>
      <c r="G241" s="81">
        <f>IF(A241="","",SUMIF('22 2026 PAKETLEME'!$B$2:$B$501,A241,'22 2026 PAKETLEME'!$H$2:$H$501))</f>
        <v/>
      </c>
      <c r="H241" s="81">
        <f>IF(A241="","",D241-E241-F241-G241)</f>
        <v/>
      </c>
      <c r="I241" s="82">
        <f>IF(A241="","",SUMIF('23 2026 SEVKİYAT'!$E$2:$E$501,A241,'23 2026 SEVKİYAT'!$H$2:$H$501))</f>
        <v/>
      </c>
      <c r="J241" s="81">
        <f>IF(A241="","",E241+F241-I241)</f>
        <v/>
      </c>
      <c r="K241" s="81">
        <f>IF(A241="","",D241-E241-F241-G241-H241)</f>
        <v/>
      </c>
      <c r="L241" s="58">
        <f>IF(A241="","",IF(ABS(K241)&lt;0.001,"KAPALI","KONTROL"))</f>
        <v/>
      </c>
      <c r="M241" s="56">
        <f>IF(A241="","",IF(J241&lt;0,"SEVK PAKETLEMEYİ AŞIYOR",IF(H241&lt;&gt;0,"PAKETLEME BAKİYESİ VAR","DENKLİK KAPALI")))</f>
        <v/>
      </c>
    </row>
    <row r="242" ht="15" customHeight="1">
      <c r="A242" s="60">
        <f>'21 2026 ÜRETİM'!A242</f>
        <v/>
      </c>
      <c r="B242" s="81">
        <f>IF(A242="","",'21 2026 ÜRETİM'!D242)</f>
        <v/>
      </c>
      <c r="C242" s="81">
        <f>IF(A242="","",'21 2026 ÜRETİM'!E242)</f>
        <v/>
      </c>
      <c r="D242" s="82">
        <f>IF(A242="","",'21 2026 ÜRETİM'!F242)</f>
        <v/>
      </c>
      <c r="E242" s="81">
        <f>IF(A242="","",SUMIF('22 2026 PAKETLEME'!$B$2:$B$501,A242,'22 2026 PAKETLEME'!$E$2:$E$501))</f>
        <v/>
      </c>
      <c r="F242" s="82">
        <f>IF(A242="","",SUMIF('22 2026 PAKETLEME'!$B$2:$B$501,A242,'22 2026 PAKETLEME'!$G$2:$G$501))</f>
        <v/>
      </c>
      <c r="G242" s="81">
        <f>IF(A242="","",SUMIF('22 2026 PAKETLEME'!$B$2:$B$501,A242,'22 2026 PAKETLEME'!$H$2:$H$501))</f>
        <v/>
      </c>
      <c r="H242" s="81">
        <f>IF(A242="","",D242-E242-F242-G242)</f>
        <v/>
      </c>
      <c r="I242" s="82">
        <f>IF(A242="","",SUMIF('23 2026 SEVKİYAT'!$E$2:$E$501,A242,'23 2026 SEVKİYAT'!$H$2:$H$501))</f>
        <v/>
      </c>
      <c r="J242" s="81">
        <f>IF(A242="","",E242+F242-I242)</f>
        <v/>
      </c>
      <c r="K242" s="81">
        <f>IF(A242="","",D242-E242-F242-G242-H242)</f>
        <v/>
      </c>
      <c r="L242" s="58">
        <f>IF(A242="","",IF(ABS(K242)&lt;0.001,"KAPALI","KONTROL"))</f>
        <v/>
      </c>
      <c r="M242" s="56">
        <f>IF(A242="","",IF(J242&lt;0,"SEVK PAKETLEMEYİ AŞIYOR",IF(H242&lt;&gt;0,"PAKETLEME BAKİYESİ VAR","DENKLİK KAPALI")))</f>
        <v/>
      </c>
    </row>
    <row r="243" ht="15" customHeight="1">
      <c r="A243" s="60">
        <f>'21 2026 ÜRETİM'!A243</f>
        <v/>
      </c>
      <c r="B243" s="81">
        <f>IF(A243="","",'21 2026 ÜRETİM'!D243)</f>
        <v/>
      </c>
      <c r="C243" s="81">
        <f>IF(A243="","",'21 2026 ÜRETİM'!E243)</f>
        <v/>
      </c>
      <c r="D243" s="82">
        <f>IF(A243="","",'21 2026 ÜRETİM'!F243)</f>
        <v/>
      </c>
      <c r="E243" s="81">
        <f>IF(A243="","",SUMIF('22 2026 PAKETLEME'!$B$2:$B$501,A243,'22 2026 PAKETLEME'!$E$2:$E$501))</f>
        <v/>
      </c>
      <c r="F243" s="82">
        <f>IF(A243="","",SUMIF('22 2026 PAKETLEME'!$B$2:$B$501,A243,'22 2026 PAKETLEME'!$G$2:$G$501))</f>
        <v/>
      </c>
      <c r="G243" s="81">
        <f>IF(A243="","",SUMIF('22 2026 PAKETLEME'!$B$2:$B$501,A243,'22 2026 PAKETLEME'!$H$2:$H$501))</f>
        <v/>
      </c>
      <c r="H243" s="81">
        <f>IF(A243="","",D243-E243-F243-G243)</f>
        <v/>
      </c>
      <c r="I243" s="82">
        <f>IF(A243="","",SUMIF('23 2026 SEVKİYAT'!$E$2:$E$501,A243,'23 2026 SEVKİYAT'!$H$2:$H$501))</f>
        <v/>
      </c>
      <c r="J243" s="81">
        <f>IF(A243="","",E243+F243-I243)</f>
        <v/>
      </c>
      <c r="K243" s="81">
        <f>IF(A243="","",D243-E243-F243-G243-H243)</f>
        <v/>
      </c>
      <c r="L243" s="58">
        <f>IF(A243="","",IF(ABS(K243)&lt;0.001,"KAPALI","KONTROL"))</f>
        <v/>
      </c>
      <c r="M243" s="56">
        <f>IF(A243="","",IF(J243&lt;0,"SEVK PAKETLEMEYİ AŞIYOR",IF(H243&lt;&gt;0,"PAKETLEME BAKİYESİ VAR","DENKLİK KAPALI")))</f>
        <v/>
      </c>
    </row>
    <row r="244" ht="15" customHeight="1">
      <c r="A244" s="60">
        <f>'21 2026 ÜRETİM'!A244</f>
        <v/>
      </c>
      <c r="B244" s="81">
        <f>IF(A244="","",'21 2026 ÜRETİM'!D244)</f>
        <v/>
      </c>
      <c r="C244" s="81">
        <f>IF(A244="","",'21 2026 ÜRETİM'!E244)</f>
        <v/>
      </c>
      <c r="D244" s="82">
        <f>IF(A244="","",'21 2026 ÜRETİM'!F244)</f>
        <v/>
      </c>
      <c r="E244" s="81">
        <f>IF(A244="","",SUMIF('22 2026 PAKETLEME'!$B$2:$B$501,A244,'22 2026 PAKETLEME'!$E$2:$E$501))</f>
        <v/>
      </c>
      <c r="F244" s="82">
        <f>IF(A244="","",SUMIF('22 2026 PAKETLEME'!$B$2:$B$501,A244,'22 2026 PAKETLEME'!$G$2:$G$501))</f>
        <v/>
      </c>
      <c r="G244" s="81">
        <f>IF(A244="","",SUMIF('22 2026 PAKETLEME'!$B$2:$B$501,A244,'22 2026 PAKETLEME'!$H$2:$H$501))</f>
        <v/>
      </c>
      <c r="H244" s="81">
        <f>IF(A244="","",D244-E244-F244-G244)</f>
        <v/>
      </c>
      <c r="I244" s="82">
        <f>IF(A244="","",SUMIF('23 2026 SEVKİYAT'!$E$2:$E$501,A244,'23 2026 SEVKİYAT'!$H$2:$H$501))</f>
        <v/>
      </c>
      <c r="J244" s="81">
        <f>IF(A244="","",E244+F244-I244)</f>
        <v/>
      </c>
      <c r="K244" s="81">
        <f>IF(A244="","",D244-E244-F244-G244-H244)</f>
        <v/>
      </c>
      <c r="L244" s="58">
        <f>IF(A244="","",IF(ABS(K244)&lt;0.001,"KAPALI","KONTROL"))</f>
        <v/>
      </c>
      <c r="M244" s="56">
        <f>IF(A244="","",IF(J244&lt;0,"SEVK PAKETLEMEYİ AŞIYOR",IF(H244&lt;&gt;0,"PAKETLEME BAKİYESİ VAR","DENKLİK KAPALI")))</f>
        <v/>
      </c>
    </row>
    <row r="245" ht="15" customHeight="1">
      <c r="A245" s="60">
        <f>'21 2026 ÜRETİM'!A245</f>
        <v/>
      </c>
      <c r="B245" s="81">
        <f>IF(A245="","",'21 2026 ÜRETİM'!D245)</f>
        <v/>
      </c>
      <c r="C245" s="81">
        <f>IF(A245="","",'21 2026 ÜRETİM'!E245)</f>
        <v/>
      </c>
      <c r="D245" s="82">
        <f>IF(A245="","",'21 2026 ÜRETİM'!F245)</f>
        <v/>
      </c>
      <c r="E245" s="81">
        <f>IF(A245="","",SUMIF('22 2026 PAKETLEME'!$B$2:$B$501,A245,'22 2026 PAKETLEME'!$E$2:$E$501))</f>
        <v/>
      </c>
      <c r="F245" s="82">
        <f>IF(A245="","",SUMIF('22 2026 PAKETLEME'!$B$2:$B$501,A245,'22 2026 PAKETLEME'!$G$2:$G$501))</f>
        <v/>
      </c>
      <c r="G245" s="81">
        <f>IF(A245="","",SUMIF('22 2026 PAKETLEME'!$B$2:$B$501,A245,'22 2026 PAKETLEME'!$H$2:$H$501))</f>
        <v/>
      </c>
      <c r="H245" s="81">
        <f>IF(A245="","",D245-E245-F245-G245)</f>
        <v/>
      </c>
      <c r="I245" s="82">
        <f>IF(A245="","",SUMIF('23 2026 SEVKİYAT'!$E$2:$E$501,A245,'23 2026 SEVKİYAT'!$H$2:$H$501))</f>
        <v/>
      </c>
      <c r="J245" s="81">
        <f>IF(A245="","",E245+F245-I245)</f>
        <v/>
      </c>
      <c r="K245" s="81">
        <f>IF(A245="","",D245-E245-F245-G245-H245)</f>
        <v/>
      </c>
      <c r="L245" s="58">
        <f>IF(A245="","",IF(ABS(K245)&lt;0.001,"KAPALI","KONTROL"))</f>
        <v/>
      </c>
      <c r="M245" s="56">
        <f>IF(A245="","",IF(J245&lt;0,"SEVK PAKETLEMEYİ AŞIYOR",IF(H245&lt;&gt;0,"PAKETLEME BAKİYESİ VAR","DENKLİK KAPALI")))</f>
        <v/>
      </c>
    </row>
    <row r="246" ht="15" customHeight="1">
      <c r="A246" s="60">
        <f>'21 2026 ÜRETİM'!A246</f>
        <v/>
      </c>
      <c r="B246" s="81">
        <f>IF(A246="","",'21 2026 ÜRETİM'!D246)</f>
        <v/>
      </c>
      <c r="C246" s="81">
        <f>IF(A246="","",'21 2026 ÜRETİM'!E246)</f>
        <v/>
      </c>
      <c r="D246" s="82">
        <f>IF(A246="","",'21 2026 ÜRETİM'!F246)</f>
        <v/>
      </c>
      <c r="E246" s="81">
        <f>IF(A246="","",SUMIF('22 2026 PAKETLEME'!$B$2:$B$501,A246,'22 2026 PAKETLEME'!$E$2:$E$501))</f>
        <v/>
      </c>
      <c r="F246" s="82">
        <f>IF(A246="","",SUMIF('22 2026 PAKETLEME'!$B$2:$B$501,A246,'22 2026 PAKETLEME'!$G$2:$G$501))</f>
        <v/>
      </c>
      <c r="G246" s="81">
        <f>IF(A246="","",SUMIF('22 2026 PAKETLEME'!$B$2:$B$501,A246,'22 2026 PAKETLEME'!$H$2:$H$501))</f>
        <v/>
      </c>
      <c r="H246" s="81">
        <f>IF(A246="","",D246-E246-F246-G246)</f>
        <v/>
      </c>
      <c r="I246" s="82">
        <f>IF(A246="","",SUMIF('23 2026 SEVKİYAT'!$E$2:$E$501,A246,'23 2026 SEVKİYAT'!$H$2:$H$501))</f>
        <v/>
      </c>
      <c r="J246" s="81">
        <f>IF(A246="","",E246+F246-I246)</f>
        <v/>
      </c>
      <c r="K246" s="81">
        <f>IF(A246="","",D246-E246-F246-G246-H246)</f>
        <v/>
      </c>
      <c r="L246" s="58">
        <f>IF(A246="","",IF(ABS(K246)&lt;0.001,"KAPALI","KONTROL"))</f>
        <v/>
      </c>
      <c r="M246" s="56">
        <f>IF(A246="","",IF(J246&lt;0,"SEVK PAKETLEMEYİ AŞIYOR",IF(H246&lt;&gt;0,"PAKETLEME BAKİYESİ VAR","DENKLİK KAPALI")))</f>
        <v/>
      </c>
    </row>
    <row r="247" ht="15" customHeight="1">
      <c r="A247" s="60">
        <f>'21 2026 ÜRETİM'!A247</f>
        <v/>
      </c>
      <c r="B247" s="81">
        <f>IF(A247="","",'21 2026 ÜRETİM'!D247)</f>
        <v/>
      </c>
      <c r="C247" s="81">
        <f>IF(A247="","",'21 2026 ÜRETİM'!E247)</f>
        <v/>
      </c>
      <c r="D247" s="82">
        <f>IF(A247="","",'21 2026 ÜRETİM'!F247)</f>
        <v/>
      </c>
      <c r="E247" s="81">
        <f>IF(A247="","",SUMIF('22 2026 PAKETLEME'!$B$2:$B$501,A247,'22 2026 PAKETLEME'!$E$2:$E$501))</f>
        <v/>
      </c>
      <c r="F247" s="82">
        <f>IF(A247="","",SUMIF('22 2026 PAKETLEME'!$B$2:$B$501,A247,'22 2026 PAKETLEME'!$G$2:$G$501))</f>
        <v/>
      </c>
      <c r="G247" s="81">
        <f>IF(A247="","",SUMIF('22 2026 PAKETLEME'!$B$2:$B$501,A247,'22 2026 PAKETLEME'!$H$2:$H$501))</f>
        <v/>
      </c>
      <c r="H247" s="81">
        <f>IF(A247="","",D247-E247-F247-G247)</f>
        <v/>
      </c>
      <c r="I247" s="82">
        <f>IF(A247="","",SUMIF('23 2026 SEVKİYAT'!$E$2:$E$501,A247,'23 2026 SEVKİYAT'!$H$2:$H$501))</f>
        <v/>
      </c>
      <c r="J247" s="81">
        <f>IF(A247="","",E247+F247-I247)</f>
        <v/>
      </c>
      <c r="K247" s="81">
        <f>IF(A247="","",D247-E247-F247-G247-H247)</f>
        <v/>
      </c>
      <c r="L247" s="58">
        <f>IF(A247="","",IF(ABS(K247)&lt;0.001,"KAPALI","KONTROL"))</f>
        <v/>
      </c>
      <c r="M247" s="56">
        <f>IF(A247="","",IF(J247&lt;0,"SEVK PAKETLEMEYİ AŞIYOR",IF(H247&lt;&gt;0,"PAKETLEME BAKİYESİ VAR","DENKLİK KAPALI")))</f>
        <v/>
      </c>
    </row>
    <row r="248" ht="15" customHeight="1">
      <c r="A248" s="60">
        <f>'21 2026 ÜRETİM'!A248</f>
        <v/>
      </c>
      <c r="B248" s="81">
        <f>IF(A248="","",'21 2026 ÜRETİM'!D248)</f>
        <v/>
      </c>
      <c r="C248" s="81">
        <f>IF(A248="","",'21 2026 ÜRETİM'!E248)</f>
        <v/>
      </c>
      <c r="D248" s="82">
        <f>IF(A248="","",'21 2026 ÜRETİM'!F248)</f>
        <v/>
      </c>
      <c r="E248" s="81">
        <f>IF(A248="","",SUMIF('22 2026 PAKETLEME'!$B$2:$B$501,A248,'22 2026 PAKETLEME'!$E$2:$E$501))</f>
        <v/>
      </c>
      <c r="F248" s="82">
        <f>IF(A248="","",SUMIF('22 2026 PAKETLEME'!$B$2:$B$501,A248,'22 2026 PAKETLEME'!$G$2:$G$501))</f>
        <v/>
      </c>
      <c r="G248" s="81">
        <f>IF(A248="","",SUMIF('22 2026 PAKETLEME'!$B$2:$B$501,A248,'22 2026 PAKETLEME'!$H$2:$H$501))</f>
        <v/>
      </c>
      <c r="H248" s="81">
        <f>IF(A248="","",D248-E248-F248-G248)</f>
        <v/>
      </c>
      <c r="I248" s="82">
        <f>IF(A248="","",SUMIF('23 2026 SEVKİYAT'!$E$2:$E$501,A248,'23 2026 SEVKİYAT'!$H$2:$H$501))</f>
        <v/>
      </c>
      <c r="J248" s="81">
        <f>IF(A248="","",E248+F248-I248)</f>
        <v/>
      </c>
      <c r="K248" s="81">
        <f>IF(A248="","",D248-E248-F248-G248-H248)</f>
        <v/>
      </c>
      <c r="L248" s="58">
        <f>IF(A248="","",IF(ABS(K248)&lt;0.001,"KAPALI","KONTROL"))</f>
        <v/>
      </c>
      <c r="M248" s="56">
        <f>IF(A248="","",IF(J248&lt;0,"SEVK PAKETLEMEYİ AŞIYOR",IF(H248&lt;&gt;0,"PAKETLEME BAKİYESİ VAR","DENKLİK KAPALI")))</f>
        <v/>
      </c>
    </row>
    <row r="249" ht="15" customHeight="1">
      <c r="A249" s="60">
        <f>'21 2026 ÜRETİM'!A249</f>
        <v/>
      </c>
      <c r="B249" s="81">
        <f>IF(A249="","",'21 2026 ÜRETİM'!D249)</f>
        <v/>
      </c>
      <c r="C249" s="81">
        <f>IF(A249="","",'21 2026 ÜRETİM'!E249)</f>
        <v/>
      </c>
      <c r="D249" s="82">
        <f>IF(A249="","",'21 2026 ÜRETİM'!F249)</f>
        <v/>
      </c>
      <c r="E249" s="81">
        <f>IF(A249="","",SUMIF('22 2026 PAKETLEME'!$B$2:$B$501,A249,'22 2026 PAKETLEME'!$E$2:$E$501))</f>
        <v/>
      </c>
      <c r="F249" s="82">
        <f>IF(A249="","",SUMIF('22 2026 PAKETLEME'!$B$2:$B$501,A249,'22 2026 PAKETLEME'!$G$2:$G$501))</f>
        <v/>
      </c>
      <c r="G249" s="81">
        <f>IF(A249="","",SUMIF('22 2026 PAKETLEME'!$B$2:$B$501,A249,'22 2026 PAKETLEME'!$H$2:$H$501))</f>
        <v/>
      </c>
      <c r="H249" s="81">
        <f>IF(A249="","",D249-E249-F249-G249)</f>
        <v/>
      </c>
      <c r="I249" s="82">
        <f>IF(A249="","",SUMIF('23 2026 SEVKİYAT'!$E$2:$E$501,A249,'23 2026 SEVKİYAT'!$H$2:$H$501))</f>
        <v/>
      </c>
      <c r="J249" s="81">
        <f>IF(A249="","",E249+F249-I249)</f>
        <v/>
      </c>
      <c r="K249" s="81">
        <f>IF(A249="","",D249-E249-F249-G249-H249)</f>
        <v/>
      </c>
      <c r="L249" s="58">
        <f>IF(A249="","",IF(ABS(K249)&lt;0.001,"KAPALI","KONTROL"))</f>
        <v/>
      </c>
      <c r="M249" s="56">
        <f>IF(A249="","",IF(J249&lt;0,"SEVK PAKETLEMEYİ AŞIYOR",IF(H249&lt;&gt;0,"PAKETLEME BAKİYESİ VAR","DENKLİK KAPALI")))</f>
        <v/>
      </c>
    </row>
    <row r="250" ht="15" customHeight="1">
      <c r="A250" s="60">
        <f>'21 2026 ÜRETİM'!A250</f>
        <v/>
      </c>
      <c r="B250" s="81">
        <f>IF(A250="","",'21 2026 ÜRETİM'!D250)</f>
        <v/>
      </c>
      <c r="C250" s="81">
        <f>IF(A250="","",'21 2026 ÜRETİM'!E250)</f>
        <v/>
      </c>
      <c r="D250" s="82">
        <f>IF(A250="","",'21 2026 ÜRETİM'!F250)</f>
        <v/>
      </c>
      <c r="E250" s="81">
        <f>IF(A250="","",SUMIF('22 2026 PAKETLEME'!$B$2:$B$501,A250,'22 2026 PAKETLEME'!$E$2:$E$501))</f>
        <v/>
      </c>
      <c r="F250" s="82">
        <f>IF(A250="","",SUMIF('22 2026 PAKETLEME'!$B$2:$B$501,A250,'22 2026 PAKETLEME'!$G$2:$G$501))</f>
        <v/>
      </c>
      <c r="G250" s="81">
        <f>IF(A250="","",SUMIF('22 2026 PAKETLEME'!$B$2:$B$501,A250,'22 2026 PAKETLEME'!$H$2:$H$501))</f>
        <v/>
      </c>
      <c r="H250" s="81">
        <f>IF(A250="","",D250-E250-F250-G250)</f>
        <v/>
      </c>
      <c r="I250" s="82">
        <f>IF(A250="","",SUMIF('23 2026 SEVKİYAT'!$E$2:$E$501,A250,'23 2026 SEVKİYAT'!$H$2:$H$501))</f>
        <v/>
      </c>
      <c r="J250" s="81">
        <f>IF(A250="","",E250+F250-I250)</f>
        <v/>
      </c>
      <c r="K250" s="81">
        <f>IF(A250="","",D250-E250-F250-G250-H250)</f>
        <v/>
      </c>
      <c r="L250" s="58">
        <f>IF(A250="","",IF(ABS(K250)&lt;0.001,"KAPALI","KONTROL"))</f>
        <v/>
      </c>
      <c r="M250" s="56">
        <f>IF(A250="","",IF(J250&lt;0,"SEVK PAKETLEMEYİ AŞIYOR",IF(H250&lt;&gt;0,"PAKETLEME BAKİYESİ VAR","DENKLİK KAPALI")))</f>
        <v/>
      </c>
    </row>
    <row r="251" ht="15" customHeight="1">
      <c r="A251" s="60">
        <f>'21 2026 ÜRETİM'!A251</f>
        <v/>
      </c>
      <c r="B251" s="81">
        <f>IF(A251="","",'21 2026 ÜRETİM'!D251)</f>
        <v/>
      </c>
      <c r="C251" s="81">
        <f>IF(A251="","",'21 2026 ÜRETİM'!E251)</f>
        <v/>
      </c>
      <c r="D251" s="82">
        <f>IF(A251="","",'21 2026 ÜRETİM'!F251)</f>
        <v/>
      </c>
      <c r="E251" s="81">
        <f>IF(A251="","",SUMIF('22 2026 PAKETLEME'!$B$2:$B$501,A251,'22 2026 PAKETLEME'!$E$2:$E$501))</f>
        <v/>
      </c>
      <c r="F251" s="82">
        <f>IF(A251="","",SUMIF('22 2026 PAKETLEME'!$B$2:$B$501,A251,'22 2026 PAKETLEME'!$G$2:$G$501))</f>
        <v/>
      </c>
      <c r="G251" s="81">
        <f>IF(A251="","",SUMIF('22 2026 PAKETLEME'!$B$2:$B$501,A251,'22 2026 PAKETLEME'!$H$2:$H$501))</f>
        <v/>
      </c>
      <c r="H251" s="81">
        <f>IF(A251="","",D251-E251-F251-G251)</f>
        <v/>
      </c>
      <c r="I251" s="82">
        <f>IF(A251="","",SUMIF('23 2026 SEVKİYAT'!$E$2:$E$501,A251,'23 2026 SEVKİYAT'!$H$2:$H$501))</f>
        <v/>
      </c>
      <c r="J251" s="81">
        <f>IF(A251="","",E251+F251-I251)</f>
        <v/>
      </c>
      <c r="K251" s="81">
        <f>IF(A251="","",D251-E251-F251-G251-H251)</f>
        <v/>
      </c>
      <c r="L251" s="58">
        <f>IF(A251="","",IF(ABS(K251)&lt;0.001,"KAPALI","KONTROL"))</f>
        <v/>
      </c>
      <c r="M251" s="56">
        <f>IF(A251="","",IF(J251&lt;0,"SEVK PAKETLEMEYİ AŞIYOR",IF(H251&lt;&gt;0,"PAKETLEME BAKİYESİ VAR","DENKLİK KAPALI")))</f>
        <v/>
      </c>
    </row>
    <row r="252" ht="15" customHeight="1">
      <c r="A252" s="60">
        <f>'21 2026 ÜRETİM'!A252</f>
        <v/>
      </c>
      <c r="B252" s="81">
        <f>IF(A252="","",'21 2026 ÜRETİM'!D252)</f>
        <v/>
      </c>
      <c r="C252" s="81">
        <f>IF(A252="","",'21 2026 ÜRETİM'!E252)</f>
        <v/>
      </c>
      <c r="D252" s="82">
        <f>IF(A252="","",'21 2026 ÜRETİM'!F252)</f>
        <v/>
      </c>
      <c r="E252" s="81">
        <f>IF(A252="","",SUMIF('22 2026 PAKETLEME'!$B$2:$B$501,A252,'22 2026 PAKETLEME'!$E$2:$E$501))</f>
        <v/>
      </c>
      <c r="F252" s="82">
        <f>IF(A252="","",SUMIF('22 2026 PAKETLEME'!$B$2:$B$501,A252,'22 2026 PAKETLEME'!$G$2:$G$501))</f>
        <v/>
      </c>
      <c r="G252" s="81">
        <f>IF(A252="","",SUMIF('22 2026 PAKETLEME'!$B$2:$B$501,A252,'22 2026 PAKETLEME'!$H$2:$H$501))</f>
        <v/>
      </c>
      <c r="H252" s="81">
        <f>IF(A252="","",D252-E252-F252-G252)</f>
        <v/>
      </c>
      <c r="I252" s="82">
        <f>IF(A252="","",SUMIF('23 2026 SEVKİYAT'!$E$2:$E$501,A252,'23 2026 SEVKİYAT'!$H$2:$H$501))</f>
        <v/>
      </c>
      <c r="J252" s="81">
        <f>IF(A252="","",E252+F252-I252)</f>
        <v/>
      </c>
      <c r="K252" s="81">
        <f>IF(A252="","",D252-E252-F252-G252-H252)</f>
        <v/>
      </c>
      <c r="L252" s="58">
        <f>IF(A252="","",IF(ABS(K252)&lt;0.001,"KAPALI","KONTROL"))</f>
        <v/>
      </c>
      <c r="M252" s="56">
        <f>IF(A252="","",IF(J252&lt;0,"SEVK PAKETLEMEYİ AŞIYOR",IF(H252&lt;&gt;0,"PAKETLEME BAKİYESİ VAR","DENKLİK KAPALI")))</f>
        <v/>
      </c>
    </row>
    <row r="253" ht="15" customHeight="1">
      <c r="A253" s="60">
        <f>'21 2026 ÜRETİM'!A253</f>
        <v/>
      </c>
      <c r="B253" s="81">
        <f>IF(A253="","",'21 2026 ÜRETİM'!D253)</f>
        <v/>
      </c>
      <c r="C253" s="81">
        <f>IF(A253="","",'21 2026 ÜRETİM'!E253)</f>
        <v/>
      </c>
      <c r="D253" s="82">
        <f>IF(A253="","",'21 2026 ÜRETİM'!F253)</f>
        <v/>
      </c>
      <c r="E253" s="81">
        <f>IF(A253="","",SUMIF('22 2026 PAKETLEME'!$B$2:$B$501,A253,'22 2026 PAKETLEME'!$E$2:$E$501))</f>
        <v/>
      </c>
      <c r="F253" s="82">
        <f>IF(A253="","",SUMIF('22 2026 PAKETLEME'!$B$2:$B$501,A253,'22 2026 PAKETLEME'!$G$2:$G$501))</f>
        <v/>
      </c>
      <c r="G253" s="81">
        <f>IF(A253="","",SUMIF('22 2026 PAKETLEME'!$B$2:$B$501,A253,'22 2026 PAKETLEME'!$H$2:$H$501))</f>
        <v/>
      </c>
      <c r="H253" s="81">
        <f>IF(A253="","",D253-E253-F253-G253)</f>
        <v/>
      </c>
      <c r="I253" s="82">
        <f>IF(A253="","",SUMIF('23 2026 SEVKİYAT'!$E$2:$E$501,A253,'23 2026 SEVKİYAT'!$H$2:$H$501))</f>
        <v/>
      </c>
      <c r="J253" s="81">
        <f>IF(A253="","",E253+F253-I253)</f>
        <v/>
      </c>
      <c r="K253" s="81">
        <f>IF(A253="","",D253-E253-F253-G253-H253)</f>
        <v/>
      </c>
      <c r="L253" s="58">
        <f>IF(A253="","",IF(ABS(K253)&lt;0.001,"KAPALI","KONTROL"))</f>
        <v/>
      </c>
      <c r="M253" s="56">
        <f>IF(A253="","",IF(J253&lt;0,"SEVK PAKETLEMEYİ AŞIYOR",IF(H253&lt;&gt;0,"PAKETLEME BAKİYESİ VAR","DENKLİK KAPALI")))</f>
        <v/>
      </c>
    </row>
    <row r="254" ht="15" customHeight="1">
      <c r="A254" s="60">
        <f>'21 2026 ÜRETİM'!A254</f>
        <v/>
      </c>
      <c r="B254" s="81">
        <f>IF(A254="","",'21 2026 ÜRETİM'!D254)</f>
        <v/>
      </c>
      <c r="C254" s="81">
        <f>IF(A254="","",'21 2026 ÜRETİM'!E254)</f>
        <v/>
      </c>
      <c r="D254" s="82">
        <f>IF(A254="","",'21 2026 ÜRETİM'!F254)</f>
        <v/>
      </c>
      <c r="E254" s="81">
        <f>IF(A254="","",SUMIF('22 2026 PAKETLEME'!$B$2:$B$501,A254,'22 2026 PAKETLEME'!$E$2:$E$501))</f>
        <v/>
      </c>
      <c r="F254" s="82">
        <f>IF(A254="","",SUMIF('22 2026 PAKETLEME'!$B$2:$B$501,A254,'22 2026 PAKETLEME'!$G$2:$G$501))</f>
        <v/>
      </c>
      <c r="G254" s="81">
        <f>IF(A254="","",SUMIF('22 2026 PAKETLEME'!$B$2:$B$501,A254,'22 2026 PAKETLEME'!$H$2:$H$501))</f>
        <v/>
      </c>
      <c r="H254" s="81">
        <f>IF(A254="","",D254-E254-F254-G254)</f>
        <v/>
      </c>
      <c r="I254" s="82">
        <f>IF(A254="","",SUMIF('23 2026 SEVKİYAT'!$E$2:$E$501,A254,'23 2026 SEVKİYAT'!$H$2:$H$501))</f>
        <v/>
      </c>
      <c r="J254" s="81">
        <f>IF(A254="","",E254+F254-I254)</f>
        <v/>
      </c>
      <c r="K254" s="81">
        <f>IF(A254="","",D254-E254-F254-G254-H254)</f>
        <v/>
      </c>
      <c r="L254" s="58">
        <f>IF(A254="","",IF(ABS(K254)&lt;0.001,"KAPALI","KONTROL"))</f>
        <v/>
      </c>
      <c r="M254" s="56">
        <f>IF(A254="","",IF(J254&lt;0,"SEVK PAKETLEMEYİ AŞIYOR",IF(H254&lt;&gt;0,"PAKETLEME BAKİYESİ VAR","DENKLİK KAPALI")))</f>
        <v/>
      </c>
    </row>
    <row r="255" ht="15" customHeight="1">
      <c r="A255" s="60">
        <f>'21 2026 ÜRETİM'!A255</f>
        <v/>
      </c>
      <c r="B255" s="81">
        <f>IF(A255="","",'21 2026 ÜRETİM'!D255)</f>
        <v/>
      </c>
      <c r="C255" s="81">
        <f>IF(A255="","",'21 2026 ÜRETİM'!E255)</f>
        <v/>
      </c>
      <c r="D255" s="82">
        <f>IF(A255="","",'21 2026 ÜRETİM'!F255)</f>
        <v/>
      </c>
      <c r="E255" s="81">
        <f>IF(A255="","",SUMIF('22 2026 PAKETLEME'!$B$2:$B$501,A255,'22 2026 PAKETLEME'!$E$2:$E$501))</f>
        <v/>
      </c>
      <c r="F255" s="82">
        <f>IF(A255="","",SUMIF('22 2026 PAKETLEME'!$B$2:$B$501,A255,'22 2026 PAKETLEME'!$G$2:$G$501))</f>
        <v/>
      </c>
      <c r="G255" s="81">
        <f>IF(A255="","",SUMIF('22 2026 PAKETLEME'!$B$2:$B$501,A255,'22 2026 PAKETLEME'!$H$2:$H$501))</f>
        <v/>
      </c>
      <c r="H255" s="81">
        <f>IF(A255="","",D255-E255-F255-G255)</f>
        <v/>
      </c>
      <c r="I255" s="82">
        <f>IF(A255="","",SUMIF('23 2026 SEVKİYAT'!$E$2:$E$501,A255,'23 2026 SEVKİYAT'!$H$2:$H$501))</f>
        <v/>
      </c>
      <c r="J255" s="81">
        <f>IF(A255="","",E255+F255-I255)</f>
        <v/>
      </c>
      <c r="K255" s="81">
        <f>IF(A255="","",D255-E255-F255-G255-H255)</f>
        <v/>
      </c>
      <c r="L255" s="58">
        <f>IF(A255="","",IF(ABS(K255)&lt;0.001,"KAPALI","KONTROL"))</f>
        <v/>
      </c>
      <c r="M255" s="56">
        <f>IF(A255="","",IF(J255&lt;0,"SEVK PAKETLEMEYİ AŞIYOR",IF(H255&lt;&gt;0,"PAKETLEME BAKİYESİ VAR","DENKLİK KAPALI")))</f>
        <v/>
      </c>
    </row>
    <row r="256" ht="15" customHeight="1">
      <c r="A256" s="60">
        <f>'21 2026 ÜRETİM'!A256</f>
        <v/>
      </c>
      <c r="B256" s="81">
        <f>IF(A256="","",'21 2026 ÜRETİM'!D256)</f>
        <v/>
      </c>
      <c r="C256" s="81">
        <f>IF(A256="","",'21 2026 ÜRETİM'!E256)</f>
        <v/>
      </c>
      <c r="D256" s="82">
        <f>IF(A256="","",'21 2026 ÜRETİM'!F256)</f>
        <v/>
      </c>
      <c r="E256" s="81">
        <f>IF(A256="","",SUMIF('22 2026 PAKETLEME'!$B$2:$B$501,A256,'22 2026 PAKETLEME'!$E$2:$E$501))</f>
        <v/>
      </c>
      <c r="F256" s="82">
        <f>IF(A256="","",SUMIF('22 2026 PAKETLEME'!$B$2:$B$501,A256,'22 2026 PAKETLEME'!$G$2:$G$501))</f>
        <v/>
      </c>
      <c r="G256" s="81">
        <f>IF(A256="","",SUMIF('22 2026 PAKETLEME'!$B$2:$B$501,A256,'22 2026 PAKETLEME'!$H$2:$H$501))</f>
        <v/>
      </c>
      <c r="H256" s="81">
        <f>IF(A256="","",D256-E256-F256-G256)</f>
        <v/>
      </c>
      <c r="I256" s="82">
        <f>IF(A256="","",SUMIF('23 2026 SEVKİYAT'!$E$2:$E$501,A256,'23 2026 SEVKİYAT'!$H$2:$H$501))</f>
        <v/>
      </c>
      <c r="J256" s="81">
        <f>IF(A256="","",E256+F256-I256)</f>
        <v/>
      </c>
      <c r="K256" s="81">
        <f>IF(A256="","",D256-E256-F256-G256-H256)</f>
        <v/>
      </c>
      <c r="L256" s="58">
        <f>IF(A256="","",IF(ABS(K256)&lt;0.001,"KAPALI","KONTROL"))</f>
        <v/>
      </c>
      <c r="M256" s="56">
        <f>IF(A256="","",IF(J256&lt;0,"SEVK PAKETLEMEYİ AŞIYOR",IF(H256&lt;&gt;0,"PAKETLEME BAKİYESİ VAR","DENKLİK KAPALI")))</f>
        <v/>
      </c>
    </row>
    <row r="257" ht="15" customHeight="1">
      <c r="A257" s="60">
        <f>'21 2026 ÜRETİM'!A257</f>
        <v/>
      </c>
      <c r="B257" s="81">
        <f>IF(A257="","",'21 2026 ÜRETİM'!D257)</f>
        <v/>
      </c>
      <c r="C257" s="81">
        <f>IF(A257="","",'21 2026 ÜRETİM'!E257)</f>
        <v/>
      </c>
      <c r="D257" s="82">
        <f>IF(A257="","",'21 2026 ÜRETİM'!F257)</f>
        <v/>
      </c>
      <c r="E257" s="81">
        <f>IF(A257="","",SUMIF('22 2026 PAKETLEME'!$B$2:$B$501,A257,'22 2026 PAKETLEME'!$E$2:$E$501))</f>
        <v/>
      </c>
      <c r="F257" s="82">
        <f>IF(A257="","",SUMIF('22 2026 PAKETLEME'!$B$2:$B$501,A257,'22 2026 PAKETLEME'!$G$2:$G$501))</f>
        <v/>
      </c>
      <c r="G257" s="81">
        <f>IF(A257="","",SUMIF('22 2026 PAKETLEME'!$B$2:$B$501,A257,'22 2026 PAKETLEME'!$H$2:$H$501))</f>
        <v/>
      </c>
      <c r="H257" s="81">
        <f>IF(A257="","",D257-E257-F257-G257)</f>
        <v/>
      </c>
      <c r="I257" s="82">
        <f>IF(A257="","",SUMIF('23 2026 SEVKİYAT'!$E$2:$E$501,A257,'23 2026 SEVKİYAT'!$H$2:$H$501))</f>
        <v/>
      </c>
      <c r="J257" s="81">
        <f>IF(A257="","",E257+F257-I257)</f>
        <v/>
      </c>
      <c r="K257" s="81">
        <f>IF(A257="","",D257-E257-F257-G257-H257)</f>
        <v/>
      </c>
      <c r="L257" s="58">
        <f>IF(A257="","",IF(ABS(K257)&lt;0.001,"KAPALI","KONTROL"))</f>
        <v/>
      </c>
      <c r="M257" s="56">
        <f>IF(A257="","",IF(J257&lt;0,"SEVK PAKETLEMEYİ AŞIYOR",IF(H257&lt;&gt;0,"PAKETLEME BAKİYESİ VAR","DENKLİK KAPALI")))</f>
        <v/>
      </c>
    </row>
    <row r="258" ht="15" customHeight="1">
      <c r="A258" s="60">
        <f>'21 2026 ÜRETİM'!A258</f>
        <v/>
      </c>
      <c r="B258" s="81">
        <f>IF(A258="","",'21 2026 ÜRETİM'!D258)</f>
        <v/>
      </c>
      <c r="C258" s="81">
        <f>IF(A258="","",'21 2026 ÜRETİM'!E258)</f>
        <v/>
      </c>
      <c r="D258" s="82">
        <f>IF(A258="","",'21 2026 ÜRETİM'!F258)</f>
        <v/>
      </c>
      <c r="E258" s="81">
        <f>IF(A258="","",SUMIF('22 2026 PAKETLEME'!$B$2:$B$501,A258,'22 2026 PAKETLEME'!$E$2:$E$501))</f>
        <v/>
      </c>
      <c r="F258" s="82">
        <f>IF(A258="","",SUMIF('22 2026 PAKETLEME'!$B$2:$B$501,A258,'22 2026 PAKETLEME'!$G$2:$G$501))</f>
        <v/>
      </c>
      <c r="G258" s="81">
        <f>IF(A258="","",SUMIF('22 2026 PAKETLEME'!$B$2:$B$501,A258,'22 2026 PAKETLEME'!$H$2:$H$501))</f>
        <v/>
      </c>
      <c r="H258" s="81">
        <f>IF(A258="","",D258-E258-F258-G258)</f>
        <v/>
      </c>
      <c r="I258" s="82">
        <f>IF(A258="","",SUMIF('23 2026 SEVKİYAT'!$E$2:$E$501,A258,'23 2026 SEVKİYAT'!$H$2:$H$501))</f>
        <v/>
      </c>
      <c r="J258" s="81">
        <f>IF(A258="","",E258+F258-I258)</f>
        <v/>
      </c>
      <c r="K258" s="81">
        <f>IF(A258="","",D258-E258-F258-G258-H258)</f>
        <v/>
      </c>
      <c r="L258" s="58">
        <f>IF(A258="","",IF(ABS(K258)&lt;0.001,"KAPALI","KONTROL"))</f>
        <v/>
      </c>
      <c r="M258" s="56">
        <f>IF(A258="","",IF(J258&lt;0,"SEVK PAKETLEMEYİ AŞIYOR",IF(H258&lt;&gt;0,"PAKETLEME BAKİYESİ VAR","DENKLİK KAPALI")))</f>
        <v/>
      </c>
    </row>
    <row r="259" ht="15" customHeight="1">
      <c r="A259" s="60">
        <f>'21 2026 ÜRETİM'!A259</f>
        <v/>
      </c>
      <c r="B259" s="81">
        <f>IF(A259="","",'21 2026 ÜRETİM'!D259)</f>
        <v/>
      </c>
      <c r="C259" s="81">
        <f>IF(A259="","",'21 2026 ÜRETİM'!E259)</f>
        <v/>
      </c>
      <c r="D259" s="82">
        <f>IF(A259="","",'21 2026 ÜRETİM'!F259)</f>
        <v/>
      </c>
      <c r="E259" s="81">
        <f>IF(A259="","",SUMIF('22 2026 PAKETLEME'!$B$2:$B$501,A259,'22 2026 PAKETLEME'!$E$2:$E$501))</f>
        <v/>
      </c>
      <c r="F259" s="82">
        <f>IF(A259="","",SUMIF('22 2026 PAKETLEME'!$B$2:$B$501,A259,'22 2026 PAKETLEME'!$G$2:$G$501))</f>
        <v/>
      </c>
      <c r="G259" s="81">
        <f>IF(A259="","",SUMIF('22 2026 PAKETLEME'!$B$2:$B$501,A259,'22 2026 PAKETLEME'!$H$2:$H$501))</f>
        <v/>
      </c>
      <c r="H259" s="81">
        <f>IF(A259="","",D259-E259-F259-G259)</f>
        <v/>
      </c>
      <c r="I259" s="82">
        <f>IF(A259="","",SUMIF('23 2026 SEVKİYAT'!$E$2:$E$501,A259,'23 2026 SEVKİYAT'!$H$2:$H$501))</f>
        <v/>
      </c>
      <c r="J259" s="81">
        <f>IF(A259="","",E259+F259-I259)</f>
        <v/>
      </c>
      <c r="K259" s="81">
        <f>IF(A259="","",D259-E259-F259-G259-H259)</f>
        <v/>
      </c>
      <c r="L259" s="58">
        <f>IF(A259="","",IF(ABS(K259)&lt;0.001,"KAPALI","KONTROL"))</f>
        <v/>
      </c>
      <c r="M259" s="56">
        <f>IF(A259="","",IF(J259&lt;0,"SEVK PAKETLEMEYİ AŞIYOR",IF(H259&lt;&gt;0,"PAKETLEME BAKİYESİ VAR","DENKLİK KAPALI")))</f>
        <v/>
      </c>
    </row>
    <row r="260" ht="15" customHeight="1">
      <c r="A260" s="60">
        <f>'21 2026 ÜRETİM'!A260</f>
        <v/>
      </c>
      <c r="B260" s="81">
        <f>IF(A260="","",'21 2026 ÜRETİM'!D260)</f>
        <v/>
      </c>
      <c r="C260" s="81">
        <f>IF(A260="","",'21 2026 ÜRETİM'!E260)</f>
        <v/>
      </c>
      <c r="D260" s="82">
        <f>IF(A260="","",'21 2026 ÜRETİM'!F260)</f>
        <v/>
      </c>
      <c r="E260" s="81">
        <f>IF(A260="","",SUMIF('22 2026 PAKETLEME'!$B$2:$B$501,A260,'22 2026 PAKETLEME'!$E$2:$E$501))</f>
        <v/>
      </c>
      <c r="F260" s="82">
        <f>IF(A260="","",SUMIF('22 2026 PAKETLEME'!$B$2:$B$501,A260,'22 2026 PAKETLEME'!$G$2:$G$501))</f>
        <v/>
      </c>
      <c r="G260" s="81">
        <f>IF(A260="","",SUMIF('22 2026 PAKETLEME'!$B$2:$B$501,A260,'22 2026 PAKETLEME'!$H$2:$H$501))</f>
        <v/>
      </c>
      <c r="H260" s="81">
        <f>IF(A260="","",D260-E260-F260-G260)</f>
        <v/>
      </c>
      <c r="I260" s="82">
        <f>IF(A260="","",SUMIF('23 2026 SEVKİYAT'!$E$2:$E$501,A260,'23 2026 SEVKİYAT'!$H$2:$H$501))</f>
        <v/>
      </c>
      <c r="J260" s="81">
        <f>IF(A260="","",E260+F260-I260)</f>
        <v/>
      </c>
      <c r="K260" s="81">
        <f>IF(A260="","",D260-E260-F260-G260-H260)</f>
        <v/>
      </c>
      <c r="L260" s="58">
        <f>IF(A260="","",IF(ABS(K260)&lt;0.001,"KAPALI","KONTROL"))</f>
        <v/>
      </c>
      <c r="M260" s="56">
        <f>IF(A260="","",IF(J260&lt;0,"SEVK PAKETLEMEYİ AŞIYOR",IF(H260&lt;&gt;0,"PAKETLEME BAKİYESİ VAR","DENKLİK KAPALI")))</f>
        <v/>
      </c>
    </row>
    <row r="261" ht="15" customHeight="1">
      <c r="A261" s="60">
        <f>'21 2026 ÜRETİM'!A261</f>
        <v/>
      </c>
      <c r="B261" s="81">
        <f>IF(A261="","",'21 2026 ÜRETİM'!D261)</f>
        <v/>
      </c>
      <c r="C261" s="81">
        <f>IF(A261="","",'21 2026 ÜRETİM'!E261)</f>
        <v/>
      </c>
      <c r="D261" s="82">
        <f>IF(A261="","",'21 2026 ÜRETİM'!F261)</f>
        <v/>
      </c>
      <c r="E261" s="81">
        <f>IF(A261="","",SUMIF('22 2026 PAKETLEME'!$B$2:$B$501,A261,'22 2026 PAKETLEME'!$E$2:$E$501))</f>
        <v/>
      </c>
      <c r="F261" s="82">
        <f>IF(A261="","",SUMIF('22 2026 PAKETLEME'!$B$2:$B$501,A261,'22 2026 PAKETLEME'!$G$2:$G$501))</f>
        <v/>
      </c>
      <c r="G261" s="81">
        <f>IF(A261="","",SUMIF('22 2026 PAKETLEME'!$B$2:$B$501,A261,'22 2026 PAKETLEME'!$H$2:$H$501))</f>
        <v/>
      </c>
      <c r="H261" s="81">
        <f>IF(A261="","",D261-E261-F261-G261)</f>
        <v/>
      </c>
      <c r="I261" s="82">
        <f>IF(A261="","",SUMIF('23 2026 SEVKİYAT'!$E$2:$E$501,A261,'23 2026 SEVKİYAT'!$H$2:$H$501))</f>
        <v/>
      </c>
      <c r="J261" s="81">
        <f>IF(A261="","",E261+F261-I261)</f>
        <v/>
      </c>
      <c r="K261" s="81">
        <f>IF(A261="","",D261-E261-F261-G261-H261)</f>
        <v/>
      </c>
      <c r="L261" s="58">
        <f>IF(A261="","",IF(ABS(K261)&lt;0.001,"KAPALI","KONTROL"))</f>
        <v/>
      </c>
      <c r="M261" s="56">
        <f>IF(A261="","",IF(J261&lt;0,"SEVK PAKETLEMEYİ AŞIYOR",IF(H261&lt;&gt;0,"PAKETLEME BAKİYESİ VAR","DENKLİK KAPALI")))</f>
        <v/>
      </c>
    </row>
    <row r="262" ht="15" customHeight="1">
      <c r="A262" s="60">
        <f>'21 2026 ÜRETİM'!A262</f>
        <v/>
      </c>
      <c r="B262" s="81">
        <f>IF(A262="","",'21 2026 ÜRETİM'!D262)</f>
        <v/>
      </c>
      <c r="C262" s="81">
        <f>IF(A262="","",'21 2026 ÜRETİM'!E262)</f>
        <v/>
      </c>
      <c r="D262" s="82">
        <f>IF(A262="","",'21 2026 ÜRETİM'!F262)</f>
        <v/>
      </c>
      <c r="E262" s="81">
        <f>IF(A262="","",SUMIF('22 2026 PAKETLEME'!$B$2:$B$501,A262,'22 2026 PAKETLEME'!$E$2:$E$501))</f>
        <v/>
      </c>
      <c r="F262" s="82">
        <f>IF(A262="","",SUMIF('22 2026 PAKETLEME'!$B$2:$B$501,A262,'22 2026 PAKETLEME'!$G$2:$G$501))</f>
        <v/>
      </c>
      <c r="G262" s="81">
        <f>IF(A262="","",SUMIF('22 2026 PAKETLEME'!$B$2:$B$501,A262,'22 2026 PAKETLEME'!$H$2:$H$501))</f>
        <v/>
      </c>
      <c r="H262" s="81">
        <f>IF(A262="","",D262-E262-F262-G262)</f>
        <v/>
      </c>
      <c r="I262" s="82">
        <f>IF(A262="","",SUMIF('23 2026 SEVKİYAT'!$E$2:$E$501,A262,'23 2026 SEVKİYAT'!$H$2:$H$501))</f>
        <v/>
      </c>
      <c r="J262" s="81">
        <f>IF(A262="","",E262+F262-I262)</f>
        <v/>
      </c>
      <c r="K262" s="81">
        <f>IF(A262="","",D262-E262-F262-G262-H262)</f>
        <v/>
      </c>
      <c r="L262" s="58">
        <f>IF(A262="","",IF(ABS(K262)&lt;0.001,"KAPALI","KONTROL"))</f>
        <v/>
      </c>
      <c r="M262" s="56">
        <f>IF(A262="","",IF(J262&lt;0,"SEVK PAKETLEMEYİ AŞIYOR",IF(H262&lt;&gt;0,"PAKETLEME BAKİYESİ VAR","DENKLİK KAPALI")))</f>
        <v/>
      </c>
    </row>
    <row r="263" ht="15" customHeight="1">
      <c r="A263" s="60">
        <f>'21 2026 ÜRETİM'!A263</f>
        <v/>
      </c>
      <c r="B263" s="81">
        <f>IF(A263="","",'21 2026 ÜRETİM'!D263)</f>
        <v/>
      </c>
      <c r="C263" s="81">
        <f>IF(A263="","",'21 2026 ÜRETİM'!E263)</f>
        <v/>
      </c>
      <c r="D263" s="82">
        <f>IF(A263="","",'21 2026 ÜRETİM'!F263)</f>
        <v/>
      </c>
      <c r="E263" s="81">
        <f>IF(A263="","",SUMIF('22 2026 PAKETLEME'!$B$2:$B$501,A263,'22 2026 PAKETLEME'!$E$2:$E$501))</f>
        <v/>
      </c>
      <c r="F263" s="82">
        <f>IF(A263="","",SUMIF('22 2026 PAKETLEME'!$B$2:$B$501,A263,'22 2026 PAKETLEME'!$G$2:$G$501))</f>
        <v/>
      </c>
      <c r="G263" s="81">
        <f>IF(A263="","",SUMIF('22 2026 PAKETLEME'!$B$2:$B$501,A263,'22 2026 PAKETLEME'!$H$2:$H$501))</f>
        <v/>
      </c>
      <c r="H263" s="81">
        <f>IF(A263="","",D263-E263-F263-G263)</f>
        <v/>
      </c>
      <c r="I263" s="82">
        <f>IF(A263="","",SUMIF('23 2026 SEVKİYAT'!$E$2:$E$501,A263,'23 2026 SEVKİYAT'!$H$2:$H$501))</f>
        <v/>
      </c>
      <c r="J263" s="81">
        <f>IF(A263="","",E263+F263-I263)</f>
        <v/>
      </c>
      <c r="K263" s="81">
        <f>IF(A263="","",D263-E263-F263-G263-H263)</f>
        <v/>
      </c>
      <c r="L263" s="58">
        <f>IF(A263="","",IF(ABS(K263)&lt;0.001,"KAPALI","KONTROL"))</f>
        <v/>
      </c>
      <c r="M263" s="56">
        <f>IF(A263="","",IF(J263&lt;0,"SEVK PAKETLEMEYİ AŞIYOR",IF(H263&lt;&gt;0,"PAKETLEME BAKİYESİ VAR","DENKLİK KAPALI")))</f>
        <v/>
      </c>
    </row>
    <row r="264" ht="15" customHeight="1">
      <c r="A264" s="60">
        <f>'21 2026 ÜRETİM'!A264</f>
        <v/>
      </c>
      <c r="B264" s="81">
        <f>IF(A264="","",'21 2026 ÜRETİM'!D264)</f>
        <v/>
      </c>
      <c r="C264" s="81">
        <f>IF(A264="","",'21 2026 ÜRETİM'!E264)</f>
        <v/>
      </c>
      <c r="D264" s="82">
        <f>IF(A264="","",'21 2026 ÜRETİM'!F264)</f>
        <v/>
      </c>
      <c r="E264" s="81">
        <f>IF(A264="","",SUMIF('22 2026 PAKETLEME'!$B$2:$B$501,A264,'22 2026 PAKETLEME'!$E$2:$E$501))</f>
        <v/>
      </c>
      <c r="F264" s="82">
        <f>IF(A264="","",SUMIF('22 2026 PAKETLEME'!$B$2:$B$501,A264,'22 2026 PAKETLEME'!$G$2:$G$501))</f>
        <v/>
      </c>
      <c r="G264" s="81">
        <f>IF(A264="","",SUMIF('22 2026 PAKETLEME'!$B$2:$B$501,A264,'22 2026 PAKETLEME'!$H$2:$H$501))</f>
        <v/>
      </c>
      <c r="H264" s="81">
        <f>IF(A264="","",D264-E264-F264-G264)</f>
        <v/>
      </c>
      <c r="I264" s="82">
        <f>IF(A264="","",SUMIF('23 2026 SEVKİYAT'!$E$2:$E$501,A264,'23 2026 SEVKİYAT'!$H$2:$H$501))</f>
        <v/>
      </c>
      <c r="J264" s="81">
        <f>IF(A264="","",E264+F264-I264)</f>
        <v/>
      </c>
      <c r="K264" s="81">
        <f>IF(A264="","",D264-E264-F264-G264-H264)</f>
        <v/>
      </c>
      <c r="L264" s="58">
        <f>IF(A264="","",IF(ABS(K264)&lt;0.001,"KAPALI","KONTROL"))</f>
        <v/>
      </c>
      <c r="M264" s="56">
        <f>IF(A264="","",IF(J264&lt;0,"SEVK PAKETLEMEYİ AŞIYOR",IF(H264&lt;&gt;0,"PAKETLEME BAKİYESİ VAR","DENKLİK KAPALI")))</f>
        <v/>
      </c>
    </row>
    <row r="265" ht="15" customHeight="1">
      <c r="A265" s="60">
        <f>'21 2026 ÜRETİM'!A265</f>
        <v/>
      </c>
      <c r="B265" s="81">
        <f>IF(A265="","",'21 2026 ÜRETİM'!D265)</f>
        <v/>
      </c>
      <c r="C265" s="81">
        <f>IF(A265="","",'21 2026 ÜRETİM'!E265)</f>
        <v/>
      </c>
      <c r="D265" s="82">
        <f>IF(A265="","",'21 2026 ÜRETİM'!F265)</f>
        <v/>
      </c>
      <c r="E265" s="81">
        <f>IF(A265="","",SUMIF('22 2026 PAKETLEME'!$B$2:$B$501,A265,'22 2026 PAKETLEME'!$E$2:$E$501))</f>
        <v/>
      </c>
      <c r="F265" s="82">
        <f>IF(A265="","",SUMIF('22 2026 PAKETLEME'!$B$2:$B$501,A265,'22 2026 PAKETLEME'!$G$2:$G$501))</f>
        <v/>
      </c>
      <c r="G265" s="81">
        <f>IF(A265="","",SUMIF('22 2026 PAKETLEME'!$B$2:$B$501,A265,'22 2026 PAKETLEME'!$H$2:$H$501))</f>
        <v/>
      </c>
      <c r="H265" s="81">
        <f>IF(A265="","",D265-E265-F265-G265)</f>
        <v/>
      </c>
      <c r="I265" s="82">
        <f>IF(A265="","",SUMIF('23 2026 SEVKİYAT'!$E$2:$E$501,A265,'23 2026 SEVKİYAT'!$H$2:$H$501))</f>
        <v/>
      </c>
      <c r="J265" s="81">
        <f>IF(A265="","",E265+F265-I265)</f>
        <v/>
      </c>
      <c r="K265" s="81">
        <f>IF(A265="","",D265-E265-F265-G265-H265)</f>
        <v/>
      </c>
      <c r="L265" s="58">
        <f>IF(A265="","",IF(ABS(K265)&lt;0.001,"KAPALI","KONTROL"))</f>
        <v/>
      </c>
      <c r="M265" s="56">
        <f>IF(A265="","",IF(J265&lt;0,"SEVK PAKETLEMEYİ AŞIYOR",IF(H265&lt;&gt;0,"PAKETLEME BAKİYESİ VAR","DENKLİK KAPALI")))</f>
        <v/>
      </c>
    </row>
    <row r="266" ht="15" customHeight="1">
      <c r="A266" s="60">
        <f>'21 2026 ÜRETİM'!A266</f>
        <v/>
      </c>
      <c r="B266" s="81">
        <f>IF(A266="","",'21 2026 ÜRETİM'!D266)</f>
        <v/>
      </c>
      <c r="C266" s="81">
        <f>IF(A266="","",'21 2026 ÜRETİM'!E266)</f>
        <v/>
      </c>
      <c r="D266" s="82">
        <f>IF(A266="","",'21 2026 ÜRETİM'!F266)</f>
        <v/>
      </c>
      <c r="E266" s="81">
        <f>IF(A266="","",SUMIF('22 2026 PAKETLEME'!$B$2:$B$501,A266,'22 2026 PAKETLEME'!$E$2:$E$501))</f>
        <v/>
      </c>
      <c r="F266" s="82">
        <f>IF(A266="","",SUMIF('22 2026 PAKETLEME'!$B$2:$B$501,A266,'22 2026 PAKETLEME'!$G$2:$G$501))</f>
        <v/>
      </c>
      <c r="G266" s="81">
        <f>IF(A266="","",SUMIF('22 2026 PAKETLEME'!$B$2:$B$501,A266,'22 2026 PAKETLEME'!$H$2:$H$501))</f>
        <v/>
      </c>
      <c r="H266" s="81">
        <f>IF(A266="","",D266-E266-F266-G266)</f>
        <v/>
      </c>
      <c r="I266" s="82">
        <f>IF(A266="","",SUMIF('23 2026 SEVKİYAT'!$E$2:$E$501,A266,'23 2026 SEVKİYAT'!$H$2:$H$501))</f>
        <v/>
      </c>
      <c r="J266" s="81">
        <f>IF(A266="","",E266+F266-I266)</f>
        <v/>
      </c>
      <c r="K266" s="81">
        <f>IF(A266="","",D266-E266-F266-G266-H266)</f>
        <v/>
      </c>
      <c r="L266" s="58">
        <f>IF(A266="","",IF(ABS(K266)&lt;0.001,"KAPALI","KONTROL"))</f>
        <v/>
      </c>
      <c r="M266" s="56">
        <f>IF(A266="","",IF(J266&lt;0,"SEVK PAKETLEMEYİ AŞIYOR",IF(H266&lt;&gt;0,"PAKETLEME BAKİYESİ VAR","DENKLİK KAPALI")))</f>
        <v/>
      </c>
    </row>
    <row r="267" ht="15" customHeight="1">
      <c r="A267" s="60">
        <f>'21 2026 ÜRETİM'!A267</f>
        <v/>
      </c>
      <c r="B267" s="81">
        <f>IF(A267="","",'21 2026 ÜRETİM'!D267)</f>
        <v/>
      </c>
      <c r="C267" s="81">
        <f>IF(A267="","",'21 2026 ÜRETİM'!E267)</f>
        <v/>
      </c>
      <c r="D267" s="82">
        <f>IF(A267="","",'21 2026 ÜRETİM'!F267)</f>
        <v/>
      </c>
      <c r="E267" s="81">
        <f>IF(A267="","",SUMIF('22 2026 PAKETLEME'!$B$2:$B$501,A267,'22 2026 PAKETLEME'!$E$2:$E$501))</f>
        <v/>
      </c>
      <c r="F267" s="82">
        <f>IF(A267="","",SUMIF('22 2026 PAKETLEME'!$B$2:$B$501,A267,'22 2026 PAKETLEME'!$G$2:$G$501))</f>
        <v/>
      </c>
      <c r="G267" s="81">
        <f>IF(A267="","",SUMIF('22 2026 PAKETLEME'!$B$2:$B$501,A267,'22 2026 PAKETLEME'!$H$2:$H$501))</f>
        <v/>
      </c>
      <c r="H267" s="81">
        <f>IF(A267="","",D267-E267-F267-G267)</f>
        <v/>
      </c>
      <c r="I267" s="82">
        <f>IF(A267="","",SUMIF('23 2026 SEVKİYAT'!$E$2:$E$501,A267,'23 2026 SEVKİYAT'!$H$2:$H$501))</f>
        <v/>
      </c>
      <c r="J267" s="81">
        <f>IF(A267="","",E267+F267-I267)</f>
        <v/>
      </c>
      <c r="K267" s="81">
        <f>IF(A267="","",D267-E267-F267-G267-H267)</f>
        <v/>
      </c>
      <c r="L267" s="58">
        <f>IF(A267="","",IF(ABS(K267)&lt;0.001,"KAPALI","KONTROL"))</f>
        <v/>
      </c>
      <c r="M267" s="56">
        <f>IF(A267="","",IF(J267&lt;0,"SEVK PAKETLEMEYİ AŞIYOR",IF(H267&lt;&gt;0,"PAKETLEME BAKİYESİ VAR","DENKLİK KAPALI")))</f>
        <v/>
      </c>
    </row>
    <row r="268" ht="15" customHeight="1">
      <c r="A268" s="60">
        <f>'21 2026 ÜRETİM'!A268</f>
        <v/>
      </c>
      <c r="B268" s="81">
        <f>IF(A268="","",'21 2026 ÜRETİM'!D268)</f>
        <v/>
      </c>
      <c r="C268" s="81">
        <f>IF(A268="","",'21 2026 ÜRETİM'!E268)</f>
        <v/>
      </c>
      <c r="D268" s="82">
        <f>IF(A268="","",'21 2026 ÜRETİM'!F268)</f>
        <v/>
      </c>
      <c r="E268" s="81">
        <f>IF(A268="","",SUMIF('22 2026 PAKETLEME'!$B$2:$B$501,A268,'22 2026 PAKETLEME'!$E$2:$E$501))</f>
        <v/>
      </c>
      <c r="F268" s="82">
        <f>IF(A268="","",SUMIF('22 2026 PAKETLEME'!$B$2:$B$501,A268,'22 2026 PAKETLEME'!$G$2:$G$501))</f>
        <v/>
      </c>
      <c r="G268" s="81">
        <f>IF(A268="","",SUMIF('22 2026 PAKETLEME'!$B$2:$B$501,A268,'22 2026 PAKETLEME'!$H$2:$H$501))</f>
        <v/>
      </c>
      <c r="H268" s="81">
        <f>IF(A268="","",D268-E268-F268-G268)</f>
        <v/>
      </c>
      <c r="I268" s="82">
        <f>IF(A268="","",SUMIF('23 2026 SEVKİYAT'!$E$2:$E$501,A268,'23 2026 SEVKİYAT'!$H$2:$H$501))</f>
        <v/>
      </c>
      <c r="J268" s="81">
        <f>IF(A268="","",E268+F268-I268)</f>
        <v/>
      </c>
      <c r="K268" s="81">
        <f>IF(A268="","",D268-E268-F268-G268-H268)</f>
        <v/>
      </c>
      <c r="L268" s="58">
        <f>IF(A268="","",IF(ABS(K268)&lt;0.001,"KAPALI","KONTROL"))</f>
        <v/>
      </c>
      <c r="M268" s="56">
        <f>IF(A268="","",IF(J268&lt;0,"SEVK PAKETLEMEYİ AŞIYOR",IF(H268&lt;&gt;0,"PAKETLEME BAKİYESİ VAR","DENKLİK KAPALI")))</f>
        <v/>
      </c>
    </row>
    <row r="269" ht="15" customHeight="1">
      <c r="A269" s="60">
        <f>'21 2026 ÜRETİM'!A269</f>
        <v/>
      </c>
      <c r="B269" s="81">
        <f>IF(A269="","",'21 2026 ÜRETİM'!D269)</f>
        <v/>
      </c>
      <c r="C269" s="81">
        <f>IF(A269="","",'21 2026 ÜRETİM'!E269)</f>
        <v/>
      </c>
      <c r="D269" s="82">
        <f>IF(A269="","",'21 2026 ÜRETİM'!F269)</f>
        <v/>
      </c>
      <c r="E269" s="81">
        <f>IF(A269="","",SUMIF('22 2026 PAKETLEME'!$B$2:$B$501,A269,'22 2026 PAKETLEME'!$E$2:$E$501))</f>
        <v/>
      </c>
      <c r="F269" s="82">
        <f>IF(A269="","",SUMIF('22 2026 PAKETLEME'!$B$2:$B$501,A269,'22 2026 PAKETLEME'!$G$2:$G$501))</f>
        <v/>
      </c>
      <c r="G269" s="81">
        <f>IF(A269="","",SUMIF('22 2026 PAKETLEME'!$B$2:$B$501,A269,'22 2026 PAKETLEME'!$H$2:$H$501))</f>
        <v/>
      </c>
      <c r="H269" s="81">
        <f>IF(A269="","",D269-E269-F269-G269)</f>
        <v/>
      </c>
      <c r="I269" s="82">
        <f>IF(A269="","",SUMIF('23 2026 SEVKİYAT'!$E$2:$E$501,A269,'23 2026 SEVKİYAT'!$H$2:$H$501))</f>
        <v/>
      </c>
      <c r="J269" s="81">
        <f>IF(A269="","",E269+F269-I269)</f>
        <v/>
      </c>
      <c r="K269" s="81">
        <f>IF(A269="","",D269-E269-F269-G269-H269)</f>
        <v/>
      </c>
      <c r="L269" s="58">
        <f>IF(A269="","",IF(ABS(K269)&lt;0.001,"KAPALI","KONTROL"))</f>
        <v/>
      </c>
      <c r="M269" s="56">
        <f>IF(A269="","",IF(J269&lt;0,"SEVK PAKETLEMEYİ AŞIYOR",IF(H269&lt;&gt;0,"PAKETLEME BAKİYESİ VAR","DENKLİK KAPALI")))</f>
        <v/>
      </c>
    </row>
    <row r="270" ht="15" customHeight="1">
      <c r="A270" s="60">
        <f>'21 2026 ÜRETİM'!A270</f>
        <v/>
      </c>
      <c r="B270" s="81">
        <f>IF(A270="","",'21 2026 ÜRETİM'!D270)</f>
        <v/>
      </c>
      <c r="C270" s="81">
        <f>IF(A270="","",'21 2026 ÜRETİM'!E270)</f>
        <v/>
      </c>
      <c r="D270" s="82">
        <f>IF(A270="","",'21 2026 ÜRETİM'!F270)</f>
        <v/>
      </c>
      <c r="E270" s="81">
        <f>IF(A270="","",SUMIF('22 2026 PAKETLEME'!$B$2:$B$501,A270,'22 2026 PAKETLEME'!$E$2:$E$501))</f>
        <v/>
      </c>
      <c r="F270" s="82">
        <f>IF(A270="","",SUMIF('22 2026 PAKETLEME'!$B$2:$B$501,A270,'22 2026 PAKETLEME'!$G$2:$G$501))</f>
        <v/>
      </c>
      <c r="G270" s="81">
        <f>IF(A270="","",SUMIF('22 2026 PAKETLEME'!$B$2:$B$501,A270,'22 2026 PAKETLEME'!$H$2:$H$501))</f>
        <v/>
      </c>
      <c r="H270" s="81">
        <f>IF(A270="","",D270-E270-F270-G270)</f>
        <v/>
      </c>
      <c r="I270" s="82">
        <f>IF(A270="","",SUMIF('23 2026 SEVKİYAT'!$E$2:$E$501,A270,'23 2026 SEVKİYAT'!$H$2:$H$501))</f>
        <v/>
      </c>
      <c r="J270" s="81">
        <f>IF(A270="","",E270+F270-I270)</f>
        <v/>
      </c>
      <c r="K270" s="81">
        <f>IF(A270="","",D270-E270-F270-G270-H270)</f>
        <v/>
      </c>
      <c r="L270" s="58">
        <f>IF(A270="","",IF(ABS(K270)&lt;0.001,"KAPALI","KONTROL"))</f>
        <v/>
      </c>
      <c r="M270" s="56">
        <f>IF(A270="","",IF(J270&lt;0,"SEVK PAKETLEMEYİ AŞIYOR",IF(H270&lt;&gt;0,"PAKETLEME BAKİYESİ VAR","DENKLİK KAPALI")))</f>
        <v/>
      </c>
    </row>
    <row r="271" ht="15" customHeight="1">
      <c r="A271" s="60">
        <f>'21 2026 ÜRETİM'!A271</f>
        <v/>
      </c>
      <c r="B271" s="81">
        <f>IF(A271="","",'21 2026 ÜRETİM'!D271)</f>
        <v/>
      </c>
      <c r="C271" s="81">
        <f>IF(A271="","",'21 2026 ÜRETİM'!E271)</f>
        <v/>
      </c>
      <c r="D271" s="82">
        <f>IF(A271="","",'21 2026 ÜRETİM'!F271)</f>
        <v/>
      </c>
      <c r="E271" s="81">
        <f>IF(A271="","",SUMIF('22 2026 PAKETLEME'!$B$2:$B$501,A271,'22 2026 PAKETLEME'!$E$2:$E$501))</f>
        <v/>
      </c>
      <c r="F271" s="82">
        <f>IF(A271="","",SUMIF('22 2026 PAKETLEME'!$B$2:$B$501,A271,'22 2026 PAKETLEME'!$G$2:$G$501))</f>
        <v/>
      </c>
      <c r="G271" s="81">
        <f>IF(A271="","",SUMIF('22 2026 PAKETLEME'!$B$2:$B$501,A271,'22 2026 PAKETLEME'!$H$2:$H$501))</f>
        <v/>
      </c>
      <c r="H271" s="81">
        <f>IF(A271="","",D271-E271-F271-G271)</f>
        <v/>
      </c>
      <c r="I271" s="82">
        <f>IF(A271="","",SUMIF('23 2026 SEVKİYAT'!$E$2:$E$501,A271,'23 2026 SEVKİYAT'!$H$2:$H$501))</f>
        <v/>
      </c>
      <c r="J271" s="81">
        <f>IF(A271="","",E271+F271-I271)</f>
        <v/>
      </c>
      <c r="K271" s="81">
        <f>IF(A271="","",D271-E271-F271-G271-H271)</f>
        <v/>
      </c>
      <c r="L271" s="58">
        <f>IF(A271="","",IF(ABS(K271)&lt;0.001,"KAPALI","KONTROL"))</f>
        <v/>
      </c>
      <c r="M271" s="56">
        <f>IF(A271="","",IF(J271&lt;0,"SEVK PAKETLEMEYİ AŞIYOR",IF(H271&lt;&gt;0,"PAKETLEME BAKİYESİ VAR","DENKLİK KAPALI")))</f>
        <v/>
      </c>
    </row>
    <row r="272" ht="15" customHeight="1">
      <c r="A272" s="60">
        <f>'21 2026 ÜRETİM'!A272</f>
        <v/>
      </c>
      <c r="B272" s="81">
        <f>IF(A272="","",'21 2026 ÜRETİM'!D272)</f>
        <v/>
      </c>
      <c r="C272" s="81">
        <f>IF(A272="","",'21 2026 ÜRETİM'!E272)</f>
        <v/>
      </c>
      <c r="D272" s="82">
        <f>IF(A272="","",'21 2026 ÜRETİM'!F272)</f>
        <v/>
      </c>
      <c r="E272" s="81">
        <f>IF(A272="","",SUMIF('22 2026 PAKETLEME'!$B$2:$B$501,A272,'22 2026 PAKETLEME'!$E$2:$E$501))</f>
        <v/>
      </c>
      <c r="F272" s="82">
        <f>IF(A272="","",SUMIF('22 2026 PAKETLEME'!$B$2:$B$501,A272,'22 2026 PAKETLEME'!$G$2:$G$501))</f>
        <v/>
      </c>
      <c r="G272" s="81">
        <f>IF(A272="","",SUMIF('22 2026 PAKETLEME'!$B$2:$B$501,A272,'22 2026 PAKETLEME'!$H$2:$H$501))</f>
        <v/>
      </c>
      <c r="H272" s="81">
        <f>IF(A272="","",D272-E272-F272-G272)</f>
        <v/>
      </c>
      <c r="I272" s="82">
        <f>IF(A272="","",SUMIF('23 2026 SEVKİYAT'!$E$2:$E$501,A272,'23 2026 SEVKİYAT'!$H$2:$H$501))</f>
        <v/>
      </c>
      <c r="J272" s="81">
        <f>IF(A272="","",E272+F272-I272)</f>
        <v/>
      </c>
      <c r="K272" s="81">
        <f>IF(A272="","",D272-E272-F272-G272-H272)</f>
        <v/>
      </c>
      <c r="L272" s="58">
        <f>IF(A272="","",IF(ABS(K272)&lt;0.001,"KAPALI","KONTROL"))</f>
        <v/>
      </c>
      <c r="M272" s="56">
        <f>IF(A272="","",IF(J272&lt;0,"SEVK PAKETLEMEYİ AŞIYOR",IF(H272&lt;&gt;0,"PAKETLEME BAKİYESİ VAR","DENKLİK KAPALI")))</f>
        <v/>
      </c>
    </row>
    <row r="273" ht="15" customHeight="1">
      <c r="A273" s="60">
        <f>'21 2026 ÜRETİM'!A273</f>
        <v/>
      </c>
      <c r="B273" s="81">
        <f>IF(A273="","",'21 2026 ÜRETİM'!D273)</f>
        <v/>
      </c>
      <c r="C273" s="81">
        <f>IF(A273="","",'21 2026 ÜRETİM'!E273)</f>
        <v/>
      </c>
      <c r="D273" s="82">
        <f>IF(A273="","",'21 2026 ÜRETİM'!F273)</f>
        <v/>
      </c>
      <c r="E273" s="81">
        <f>IF(A273="","",SUMIF('22 2026 PAKETLEME'!$B$2:$B$501,A273,'22 2026 PAKETLEME'!$E$2:$E$501))</f>
        <v/>
      </c>
      <c r="F273" s="82">
        <f>IF(A273="","",SUMIF('22 2026 PAKETLEME'!$B$2:$B$501,A273,'22 2026 PAKETLEME'!$G$2:$G$501))</f>
        <v/>
      </c>
      <c r="G273" s="81">
        <f>IF(A273="","",SUMIF('22 2026 PAKETLEME'!$B$2:$B$501,A273,'22 2026 PAKETLEME'!$H$2:$H$501))</f>
        <v/>
      </c>
      <c r="H273" s="81">
        <f>IF(A273="","",D273-E273-F273-G273)</f>
        <v/>
      </c>
      <c r="I273" s="82">
        <f>IF(A273="","",SUMIF('23 2026 SEVKİYAT'!$E$2:$E$501,A273,'23 2026 SEVKİYAT'!$H$2:$H$501))</f>
        <v/>
      </c>
      <c r="J273" s="81">
        <f>IF(A273="","",E273+F273-I273)</f>
        <v/>
      </c>
      <c r="K273" s="81">
        <f>IF(A273="","",D273-E273-F273-G273-H273)</f>
        <v/>
      </c>
      <c r="L273" s="58">
        <f>IF(A273="","",IF(ABS(K273)&lt;0.001,"KAPALI","KONTROL"))</f>
        <v/>
      </c>
      <c r="M273" s="56">
        <f>IF(A273="","",IF(J273&lt;0,"SEVK PAKETLEMEYİ AŞIYOR",IF(H273&lt;&gt;0,"PAKETLEME BAKİYESİ VAR","DENKLİK KAPALI")))</f>
        <v/>
      </c>
    </row>
    <row r="274" ht="15" customHeight="1">
      <c r="A274" s="60">
        <f>'21 2026 ÜRETİM'!A274</f>
        <v/>
      </c>
      <c r="B274" s="81">
        <f>IF(A274="","",'21 2026 ÜRETİM'!D274)</f>
        <v/>
      </c>
      <c r="C274" s="81">
        <f>IF(A274="","",'21 2026 ÜRETİM'!E274)</f>
        <v/>
      </c>
      <c r="D274" s="82">
        <f>IF(A274="","",'21 2026 ÜRETİM'!F274)</f>
        <v/>
      </c>
      <c r="E274" s="81">
        <f>IF(A274="","",SUMIF('22 2026 PAKETLEME'!$B$2:$B$501,A274,'22 2026 PAKETLEME'!$E$2:$E$501))</f>
        <v/>
      </c>
      <c r="F274" s="82">
        <f>IF(A274="","",SUMIF('22 2026 PAKETLEME'!$B$2:$B$501,A274,'22 2026 PAKETLEME'!$G$2:$G$501))</f>
        <v/>
      </c>
      <c r="G274" s="81">
        <f>IF(A274="","",SUMIF('22 2026 PAKETLEME'!$B$2:$B$501,A274,'22 2026 PAKETLEME'!$H$2:$H$501))</f>
        <v/>
      </c>
      <c r="H274" s="81">
        <f>IF(A274="","",D274-E274-F274-G274)</f>
        <v/>
      </c>
      <c r="I274" s="82">
        <f>IF(A274="","",SUMIF('23 2026 SEVKİYAT'!$E$2:$E$501,A274,'23 2026 SEVKİYAT'!$H$2:$H$501))</f>
        <v/>
      </c>
      <c r="J274" s="81">
        <f>IF(A274="","",E274+F274-I274)</f>
        <v/>
      </c>
      <c r="K274" s="81">
        <f>IF(A274="","",D274-E274-F274-G274-H274)</f>
        <v/>
      </c>
      <c r="L274" s="58">
        <f>IF(A274="","",IF(ABS(K274)&lt;0.001,"KAPALI","KONTROL"))</f>
        <v/>
      </c>
      <c r="M274" s="56">
        <f>IF(A274="","",IF(J274&lt;0,"SEVK PAKETLEMEYİ AŞIYOR",IF(H274&lt;&gt;0,"PAKETLEME BAKİYESİ VAR","DENKLİK KAPALI")))</f>
        <v/>
      </c>
    </row>
    <row r="275" ht="15" customHeight="1">
      <c r="A275" s="60">
        <f>'21 2026 ÜRETİM'!A275</f>
        <v/>
      </c>
      <c r="B275" s="81">
        <f>IF(A275="","",'21 2026 ÜRETİM'!D275)</f>
        <v/>
      </c>
      <c r="C275" s="81">
        <f>IF(A275="","",'21 2026 ÜRETİM'!E275)</f>
        <v/>
      </c>
      <c r="D275" s="82">
        <f>IF(A275="","",'21 2026 ÜRETİM'!F275)</f>
        <v/>
      </c>
      <c r="E275" s="81">
        <f>IF(A275="","",SUMIF('22 2026 PAKETLEME'!$B$2:$B$501,A275,'22 2026 PAKETLEME'!$E$2:$E$501))</f>
        <v/>
      </c>
      <c r="F275" s="82">
        <f>IF(A275="","",SUMIF('22 2026 PAKETLEME'!$B$2:$B$501,A275,'22 2026 PAKETLEME'!$G$2:$G$501))</f>
        <v/>
      </c>
      <c r="G275" s="81">
        <f>IF(A275="","",SUMIF('22 2026 PAKETLEME'!$B$2:$B$501,A275,'22 2026 PAKETLEME'!$H$2:$H$501))</f>
        <v/>
      </c>
      <c r="H275" s="81">
        <f>IF(A275="","",D275-E275-F275-G275)</f>
        <v/>
      </c>
      <c r="I275" s="82">
        <f>IF(A275="","",SUMIF('23 2026 SEVKİYAT'!$E$2:$E$501,A275,'23 2026 SEVKİYAT'!$H$2:$H$501))</f>
        <v/>
      </c>
      <c r="J275" s="81">
        <f>IF(A275="","",E275+F275-I275)</f>
        <v/>
      </c>
      <c r="K275" s="81">
        <f>IF(A275="","",D275-E275-F275-G275-H275)</f>
        <v/>
      </c>
      <c r="L275" s="58">
        <f>IF(A275="","",IF(ABS(K275)&lt;0.001,"KAPALI","KONTROL"))</f>
        <v/>
      </c>
      <c r="M275" s="56">
        <f>IF(A275="","",IF(J275&lt;0,"SEVK PAKETLEMEYİ AŞIYOR",IF(H275&lt;&gt;0,"PAKETLEME BAKİYESİ VAR","DENKLİK KAPALI")))</f>
        <v/>
      </c>
    </row>
    <row r="276" ht="15" customHeight="1">
      <c r="A276" s="60">
        <f>'21 2026 ÜRETİM'!A276</f>
        <v/>
      </c>
      <c r="B276" s="81">
        <f>IF(A276="","",'21 2026 ÜRETİM'!D276)</f>
        <v/>
      </c>
      <c r="C276" s="81">
        <f>IF(A276="","",'21 2026 ÜRETİM'!E276)</f>
        <v/>
      </c>
      <c r="D276" s="82">
        <f>IF(A276="","",'21 2026 ÜRETİM'!F276)</f>
        <v/>
      </c>
      <c r="E276" s="81">
        <f>IF(A276="","",SUMIF('22 2026 PAKETLEME'!$B$2:$B$501,A276,'22 2026 PAKETLEME'!$E$2:$E$501))</f>
        <v/>
      </c>
      <c r="F276" s="82">
        <f>IF(A276="","",SUMIF('22 2026 PAKETLEME'!$B$2:$B$501,A276,'22 2026 PAKETLEME'!$G$2:$G$501))</f>
        <v/>
      </c>
      <c r="G276" s="81">
        <f>IF(A276="","",SUMIF('22 2026 PAKETLEME'!$B$2:$B$501,A276,'22 2026 PAKETLEME'!$H$2:$H$501))</f>
        <v/>
      </c>
      <c r="H276" s="81">
        <f>IF(A276="","",D276-E276-F276-G276)</f>
        <v/>
      </c>
      <c r="I276" s="82">
        <f>IF(A276="","",SUMIF('23 2026 SEVKİYAT'!$E$2:$E$501,A276,'23 2026 SEVKİYAT'!$H$2:$H$501))</f>
        <v/>
      </c>
      <c r="J276" s="81">
        <f>IF(A276="","",E276+F276-I276)</f>
        <v/>
      </c>
      <c r="K276" s="81">
        <f>IF(A276="","",D276-E276-F276-G276-H276)</f>
        <v/>
      </c>
      <c r="L276" s="58">
        <f>IF(A276="","",IF(ABS(K276)&lt;0.001,"KAPALI","KONTROL"))</f>
        <v/>
      </c>
      <c r="M276" s="56">
        <f>IF(A276="","",IF(J276&lt;0,"SEVK PAKETLEMEYİ AŞIYOR",IF(H276&lt;&gt;0,"PAKETLEME BAKİYESİ VAR","DENKLİK KAPALI")))</f>
        <v/>
      </c>
    </row>
    <row r="277" ht="15" customHeight="1">
      <c r="A277" s="60">
        <f>'21 2026 ÜRETİM'!A277</f>
        <v/>
      </c>
      <c r="B277" s="81">
        <f>IF(A277="","",'21 2026 ÜRETİM'!D277)</f>
        <v/>
      </c>
      <c r="C277" s="81">
        <f>IF(A277="","",'21 2026 ÜRETİM'!E277)</f>
        <v/>
      </c>
      <c r="D277" s="82">
        <f>IF(A277="","",'21 2026 ÜRETİM'!F277)</f>
        <v/>
      </c>
      <c r="E277" s="81">
        <f>IF(A277="","",SUMIF('22 2026 PAKETLEME'!$B$2:$B$501,A277,'22 2026 PAKETLEME'!$E$2:$E$501))</f>
        <v/>
      </c>
      <c r="F277" s="82">
        <f>IF(A277="","",SUMIF('22 2026 PAKETLEME'!$B$2:$B$501,A277,'22 2026 PAKETLEME'!$G$2:$G$501))</f>
        <v/>
      </c>
      <c r="G277" s="81">
        <f>IF(A277="","",SUMIF('22 2026 PAKETLEME'!$B$2:$B$501,A277,'22 2026 PAKETLEME'!$H$2:$H$501))</f>
        <v/>
      </c>
      <c r="H277" s="81">
        <f>IF(A277="","",D277-E277-F277-G277)</f>
        <v/>
      </c>
      <c r="I277" s="82">
        <f>IF(A277="","",SUMIF('23 2026 SEVKİYAT'!$E$2:$E$501,A277,'23 2026 SEVKİYAT'!$H$2:$H$501))</f>
        <v/>
      </c>
      <c r="J277" s="81">
        <f>IF(A277="","",E277+F277-I277)</f>
        <v/>
      </c>
      <c r="K277" s="81">
        <f>IF(A277="","",D277-E277-F277-G277-H277)</f>
        <v/>
      </c>
      <c r="L277" s="58">
        <f>IF(A277="","",IF(ABS(K277)&lt;0.001,"KAPALI","KONTROL"))</f>
        <v/>
      </c>
      <c r="M277" s="56">
        <f>IF(A277="","",IF(J277&lt;0,"SEVK PAKETLEMEYİ AŞIYOR",IF(H277&lt;&gt;0,"PAKETLEME BAKİYESİ VAR","DENKLİK KAPALI")))</f>
        <v/>
      </c>
    </row>
    <row r="278" ht="15" customHeight="1">
      <c r="A278" s="60">
        <f>'21 2026 ÜRETİM'!A278</f>
        <v/>
      </c>
      <c r="B278" s="81">
        <f>IF(A278="","",'21 2026 ÜRETİM'!D278)</f>
        <v/>
      </c>
      <c r="C278" s="81">
        <f>IF(A278="","",'21 2026 ÜRETİM'!E278)</f>
        <v/>
      </c>
      <c r="D278" s="82">
        <f>IF(A278="","",'21 2026 ÜRETİM'!F278)</f>
        <v/>
      </c>
      <c r="E278" s="81">
        <f>IF(A278="","",SUMIF('22 2026 PAKETLEME'!$B$2:$B$501,A278,'22 2026 PAKETLEME'!$E$2:$E$501))</f>
        <v/>
      </c>
      <c r="F278" s="82">
        <f>IF(A278="","",SUMIF('22 2026 PAKETLEME'!$B$2:$B$501,A278,'22 2026 PAKETLEME'!$G$2:$G$501))</f>
        <v/>
      </c>
      <c r="G278" s="81">
        <f>IF(A278="","",SUMIF('22 2026 PAKETLEME'!$B$2:$B$501,A278,'22 2026 PAKETLEME'!$H$2:$H$501))</f>
        <v/>
      </c>
      <c r="H278" s="81">
        <f>IF(A278="","",D278-E278-F278-G278)</f>
        <v/>
      </c>
      <c r="I278" s="82">
        <f>IF(A278="","",SUMIF('23 2026 SEVKİYAT'!$E$2:$E$501,A278,'23 2026 SEVKİYAT'!$H$2:$H$501))</f>
        <v/>
      </c>
      <c r="J278" s="81">
        <f>IF(A278="","",E278+F278-I278)</f>
        <v/>
      </c>
      <c r="K278" s="81">
        <f>IF(A278="","",D278-E278-F278-G278-H278)</f>
        <v/>
      </c>
      <c r="L278" s="58">
        <f>IF(A278="","",IF(ABS(K278)&lt;0.001,"KAPALI","KONTROL"))</f>
        <v/>
      </c>
      <c r="M278" s="56">
        <f>IF(A278="","",IF(J278&lt;0,"SEVK PAKETLEMEYİ AŞIYOR",IF(H278&lt;&gt;0,"PAKETLEME BAKİYESİ VAR","DENKLİK KAPALI")))</f>
        <v/>
      </c>
    </row>
    <row r="279" ht="15" customHeight="1">
      <c r="A279" s="60">
        <f>'21 2026 ÜRETİM'!A279</f>
        <v/>
      </c>
      <c r="B279" s="81">
        <f>IF(A279="","",'21 2026 ÜRETİM'!D279)</f>
        <v/>
      </c>
      <c r="C279" s="81">
        <f>IF(A279="","",'21 2026 ÜRETİM'!E279)</f>
        <v/>
      </c>
      <c r="D279" s="82">
        <f>IF(A279="","",'21 2026 ÜRETİM'!F279)</f>
        <v/>
      </c>
      <c r="E279" s="81">
        <f>IF(A279="","",SUMIF('22 2026 PAKETLEME'!$B$2:$B$501,A279,'22 2026 PAKETLEME'!$E$2:$E$501))</f>
        <v/>
      </c>
      <c r="F279" s="82">
        <f>IF(A279="","",SUMIF('22 2026 PAKETLEME'!$B$2:$B$501,A279,'22 2026 PAKETLEME'!$G$2:$G$501))</f>
        <v/>
      </c>
      <c r="G279" s="81">
        <f>IF(A279="","",SUMIF('22 2026 PAKETLEME'!$B$2:$B$501,A279,'22 2026 PAKETLEME'!$H$2:$H$501))</f>
        <v/>
      </c>
      <c r="H279" s="81">
        <f>IF(A279="","",D279-E279-F279-G279)</f>
        <v/>
      </c>
      <c r="I279" s="82">
        <f>IF(A279="","",SUMIF('23 2026 SEVKİYAT'!$E$2:$E$501,A279,'23 2026 SEVKİYAT'!$H$2:$H$501))</f>
        <v/>
      </c>
      <c r="J279" s="81">
        <f>IF(A279="","",E279+F279-I279)</f>
        <v/>
      </c>
      <c r="K279" s="81">
        <f>IF(A279="","",D279-E279-F279-G279-H279)</f>
        <v/>
      </c>
      <c r="L279" s="58">
        <f>IF(A279="","",IF(ABS(K279)&lt;0.001,"KAPALI","KONTROL"))</f>
        <v/>
      </c>
      <c r="M279" s="56">
        <f>IF(A279="","",IF(J279&lt;0,"SEVK PAKETLEMEYİ AŞIYOR",IF(H279&lt;&gt;0,"PAKETLEME BAKİYESİ VAR","DENKLİK KAPALI")))</f>
        <v/>
      </c>
    </row>
    <row r="280" ht="15" customHeight="1">
      <c r="A280" s="60">
        <f>'21 2026 ÜRETİM'!A280</f>
        <v/>
      </c>
      <c r="B280" s="81">
        <f>IF(A280="","",'21 2026 ÜRETİM'!D280)</f>
        <v/>
      </c>
      <c r="C280" s="81">
        <f>IF(A280="","",'21 2026 ÜRETİM'!E280)</f>
        <v/>
      </c>
      <c r="D280" s="82">
        <f>IF(A280="","",'21 2026 ÜRETİM'!F280)</f>
        <v/>
      </c>
      <c r="E280" s="81">
        <f>IF(A280="","",SUMIF('22 2026 PAKETLEME'!$B$2:$B$501,A280,'22 2026 PAKETLEME'!$E$2:$E$501))</f>
        <v/>
      </c>
      <c r="F280" s="82">
        <f>IF(A280="","",SUMIF('22 2026 PAKETLEME'!$B$2:$B$501,A280,'22 2026 PAKETLEME'!$G$2:$G$501))</f>
        <v/>
      </c>
      <c r="G280" s="81">
        <f>IF(A280="","",SUMIF('22 2026 PAKETLEME'!$B$2:$B$501,A280,'22 2026 PAKETLEME'!$H$2:$H$501))</f>
        <v/>
      </c>
      <c r="H280" s="81">
        <f>IF(A280="","",D280-E280-F280-G280)</f>
        <v/>
      </c>
      <c r="I280" s="82">
        <f>IF(A280="","",SUMIF('23 2026 SEVKİYAT'!$E$2:$E$501,A280,'23 2026 SEVKİYAT'!$H$2:$H$501))</f>
        <v/>
      </c>
      <c r="J280" s="81">
        <f>IF(A280="","",E280+F280-I280)</f>
        <v/>
      </c>
      <c r="K280" s="81">
        <f>IF(A280="","",D280-E280-F280-G280-H280)</f>
        <v/>
      </c>
      <c r="L280" s="58">
        <f>IF(A280="","",IF(ABS(K280)&lt;0.001,"KAPALI","KONTROL"))</f>
        <v/>
      </c>
      <c r="M280" s="56">
        <f>IF(A280="","",IF(J280&lt;0,"SEVK PAKETLEMEYİ AŞIYOR",IF(H280&lt;&gt;0,"PAKETLEME BAKİYESİ VAR","DENKLİK KAPALI")))</f>
        <v/>
      </c>
    </row>
    <row r="281" ht="15" customHeight="1">
      <c r="A281" s="60">
        <f>'21 2026 ÜRETİM'!A281</f>
        <v/>
      </c>
      <c r="B281" s="81">
        <f>IF(A281="","",'21 2026 ÜRETİM'!D281)</f>
        <v/>
      </c>
      <c r="C281" s="81">
        <f>IF(A281="","",'21 2026 ÜRETİM'!E281)</f>
        <v/>
      </c>
      <c r="D281" s="82">
        <f>IF(A281="","",'21 2026 ÜRETİM'!F281)</f>
        <v/>
      </c>
      <c r="E281" s="81">
        <f>IF(A281="","",SUMIF('22 2026 PAKETLEME'!$B$2:$B$501,A281,'22 2026 PAKETLEME'!$E$2:$E$501))</f>
        <v/>
      </c>
      <c r="F281" s="82">
        <f>IF(A281="","",SUMIF('22 2026 PAKETLEME'!$B$2:$B$501,A281,'22 2026 PAKETLEME'!$G$2:$G$501))</f>
        <v/>
      </c>
      <c r="G281" s="81">
        <f>IF(A281="","",SUMIF('22 2026 PAKETLEME'!$B$2:$B$501,A281,'22 2026 PAKETLEME'!$H$2:$H$501))</f>
        <v/>
      </c>
      <c r="H281" s="81">
        <f>IF(A281="","",D281-E281-F281-G281)</f>
        <v/>
      </c>
      <c r="I281" s="82">
        <f>IF(A281="","",SUMIF('23 2026 SEVKİYAT'!$E$2:$E$501,A281,'23 2026 SEVKİYAT'!$H$2:$H$501))</f>
        <v/>
      </c>
      <c r="J281" s="81">
        <f>IF(A281="","",E281+F281-I281)</f>
        <v/>
      </c>
      <c r="K281" s="81">
        <f>IF(A281="","",D281-E281-F281-G281-H281)</f>
        <v/>
      </c>
      <c r="L281" s="58">
        <f>IF(A281="","",IF(ABS(K281)&lt;0.001,"KAPALI","KONTROL"))</f>
        <v/>
      </c>
      <c r="M281" s="56">
        <f>IF(A281="","",IF(J281&lt;0,"SEVK PAKETLEMEYİ AŞIYOR",IF(H281&lt;&gt;0,"PAKETLEME BAKİYESİ VAR","DENKLİK KAPALI")))</f>
        <v/>
      </c>
    </row>
    <row r="282" ht="15" customHeight="1">
      <c r="A282" s="60">
        <f>'21 2026 ÜRETİM'!A282</f>
        <v/>
      </c>
      <c r="B282" s="81">
        <f>IF(A282="","",'21 2026 ÜRETİM'!D282)</f>
        <v/>
      </c>
      <c r="C282" s="81">
        <f>IF(A282="","",'21 2026 ÜRETİM'!E282)</f>
        <v/>
      </c>
      <c r="D282" s="82">
        <f>IF(A282="","",'21 2026 ÜRETİM'!F282)</f>
        <v/>
      </c>
      <c r="E282" s="81">
        <f>IF(A282="","",SUMIF('22 2026 PAKETLEME'!$B$2:$B$501,A282,'22 2026 PAKETLEME'!$E$2:$E$501))</f>
        <v/>
      </c>
      <c r="F282" s="82">
        <f>IF(A282="","",SUMIF('22 2026 PAKETLEME'!$B$2:$B$501,A282,'22 2026 PAKETLEME'!$G$2:$G$501))</f>
        <v/>
      </c>
      <c r="G282" s="81">
        <f>IF(A282="","",SUMIF('22 2026 PAKETLEME'!$B$2:$B$501,A282,'22 2026 PAKETLEME'!$H$2:$H$501))</f>
        <v/>
      </c>
      <c r="H282" s="81">
        <f>IF(A282="","",D282-E282-F282-G282)</f>
        <v/>
      </c>
      <c r="I282" s="82">
        <f>IF(A282="","",SUMIF('23 2026 SEVKİYAT'!$E$2:$E$501,A282,'23 2026 SEVKİYAT'!$H$2:$H$501))</f>
        <v/>
      </c>
      <c r="J282" s="81">
        <f>IF(A282="","",E282+F282-I282)</f>
        <v/>
      </c>
      <c r="K282" s="81">
        <f>IF(A282="","",D282-E282-F282-G282-H282)</f>
        <v/>
      </c>
      <c r="L282" s="58">
        <f>IF(A282="","",IF(ABS(K282)&lt;0.001,"KAPALI","KONTROL"))</f>
        <v/>
      </c>
      <c r="M282" s="56">
        <f>IF(A282="","",IF(J282&lt;0,"SEVK PAKETLEMEYİ AŞIYOR",IF(H282&lt;&gt;0,"PAKETLEME BAKİYESİ VAR","DENKLİK KAPALI")))</f>
        <v/>
      </c>
    </row>
    <row r="283" ht="15" customHeight="1">
      <c r="A283" s="60">
        <f>'21 2026 ÜRETİM'!A283</f>
        <v/>
      </c>
      <c r="B283" s="81">
        <f>IF(A283="","",'21 2026 ÜRETİM'!D283)</f>
        <v/>
      </c>
      <c r="C283" s="81">
        <f>IF(A283="","",'21 2026 ÜRETİM'!E283)</f>
        <v/>
      </c>
      <c r="D283" s="82">
        <f>IF(A283="","",'21 2026 ÜRETİM'!F283)</f>
        <v/>
      </c>
      <c r="E283" s="81">
        <f>IF(A283="","",SUMIF('22 2026 PAKETLEME'!$B$2:$B$501,A283,'22 2026 PAKETLEME'!$E$2:$E$501))</f>
        <v/>
      </c>
      <c r="F283" s="82">
        <f>IF(A283="","",SUMIF('22 2026 PAKETLEME'!$B$2:$B$501,A283,'22 2026 PAKETLEME'!$G$2:$G$501))</f>
        <v/>
      </c>
      <c r="G283" s="81">
        <f>IF(A283="","",SUMIF('22 2026 PAKETLEME'!$B$2:$B$501,A283,'22 2026 PAKETLEME'!$H$2:$H$501))</f>
        <v/>
      </c>
      <c r="H283" s="81">
        <f>IF(A283="","",D283-E283-F283-G283)</f>
        <v/>
      </c>
      <c r="I283" s="82">
        <f>IF(A283="","",SUMIF('23 2026 SEVKİYAT'!$E$2:$E$501,A283,'23 2026 SEVKİYAT'!$H$2:$H$501))</f>
        <v/>
      </c>
      <c r="J283" s="81">
        <f>IF(A283="","",E283+F283-I283)</f>
        <v/>
      </c>
      <c r="K283" s="81">
        <f>IF(A283="","",D283-E283-F283-G283-H283)</f>
        <v/>
      </c>
      <c r="L283" s="58">
        <f>IF(A283="","",IF(ABS(K283)&lt;0.001,"KAPALI","KONTROL"))</f>
        <v/>
      </c>
      <c r="M283" s="56">
        <f>IF(A283="","",IF(J283&lt;0,"SEVK PAKETLEMEYİ AŞIYOR",IF(H283&lt;&gt;0,"PAKETLEME BAKİYESİ VAR","DENKLİK KAPALI")))</f>
        <v/>
      </c>
    </row>
    <row r="284" ht="15" customHeight="1">
      <c r="A284" s="60">
        <f>'21 2026 ÜRETİM'!A284</f>
        <v/>
      </c>
      <c r="B284" s="81">
        <f>IF(A284="","",'21 2026 ÜRETİM'!D284)</f>
        <v/>
      </c>
      <c r="C284" s="81">
        <f>IF(A284="","",'21 2026 ÜRETİM'!E284)</f>
        <v/>
      </c>
      <c r="D284" s="82">
        <f>IF(A284="","",'21 2026 ÜRETİM'!F284)</f>
        <v/>
      </c>
      <c r="E284" s="81">
        <f>IF(A284="","",SUMIF('22 2026 PAKETLEME'!$B$2:$B$501,A284,'22 2026 PAKETLEME'!$E$2:$E$501))</f>
        <v/>
      </c>
      <c r="F284" s="82">
        <f>IF(A284="","",SUMIF('22 2026 PAKETLEME'!$B$2:$B$501,A284,'22 2026 PAKETLEME'!$G$2:$G$501))</f>
        <v/>
      </c>
      <c r="G284" s="81">
        <f>IF(A284="","",SUMIF('22 2026 PAKETLEME'!$B$2:$B$501,A284,'22 2026 PAKETLEME'!$H$2:$H$501))</f>
        <v/>
      </c>
      <c r="H284" s="81">
        <f>IF(A284="","",D284-E284-F284-G284)</f>
        <v/>
      </c>
      <c r="I284" s="82">
        <f>IF(A284="","",SUMIF('23 2026 SEVKİYAT'!$E$2:$E$501,A284,'23 2026 SEVKİYAT'!$H$2:$H$501))</f>
        <v/>
      </c>
      <c r="J284" s="81">
        <f>IF(A284="","",E284+F284-I284)</f>
        <v/>
      </c>
      <c r="K284" s="81">
        <f>IF(A284="","",D284-E284-F284-G284-H284)</f>
        <v/>
      </c>
      <c r="L284" s="58">
        <f>IF(A284="","",IF(ABS(K284)&lt;0.001,"KAPALI","KONTROL"))</f>
        <v/>
      </c>
      <c r="M284" s="56">
        <f>IF(A284="","",IF(J284&lt;0,"SEVK PAKETLEMEYİ AŞIYOR",IF(H284&lt;&gt;0,"PAKETLEME BAKİYESİ VAR","DENKLİK KAPALI")))</f>
        <v/>
      </c>
    </row>
    <row r="285" ht="15" customHeight="1">
      <c r="A285" s="60">
        <f>'21 2026 ÜRETİM'!A285</f>
        <v/>
      </c>
      <c r="B285" s="81">
        <f>IF(A285="","",'21 2026 ÜRETİM'!D285)</f>
        <v/>
      </c>
      <c r="C285" s="81">
        <f>IF(A285="","",'21 2026 ÜRETİM'!E285)</f>
        <v/>
      </c>
      <c r="D285" s="82">
        <f>IF(A285="","",'21 2026 ÜRETİM'!F285)</f>
        <v/>
      </c>
      <c r="E285" s="81">
        <f>IF(A285="","",SUMIF('22 2026 PAKETLEME'!$B$2:$B$501,A285,'22 2026 PAKETLEME'!$E$2:$E$501))</f>
        <v/>
      </c>
      <c r="F285" s="82">
        <f>IF(A285="","",SUMIF('22 2026 PAKETLEME'!$B$2:$B$501,A285,'22 2026 PAKETLEME'!$G$2:$G$501))</f>
        <v/>
      </c>
      <c r="G285" s="81">
        <f>IF(A285="","",SUMIF('22 2026 PAKETLEME'!$B$2:$B$501,A285,'22 2026 PAKETLEME'!$H$2:$H$501))</f>
        <v/>
      </c>
      <c r="H285" s="81">
        <f>IF(A285="","",D285-E285-F285-G285)</f>
        <v/>
      </c>
      <c r="I285" s="82">
        <f>IF(A285="","",SUMIF('23 2026 SEVKİYAT'!$E$2:$E$501,A285,'23 2026 SEVKİYAT'!$H$2:$H$501))</f>
        <v/>
      </c>
      <c r="J285" s="81">
        <f>IF(A285="","",E285+F285-I285)</f>
        <v/>
      </c>
      <c r="K285" s="81">
        <f>IF(A285="","",D285-E285-F285-G285-H285)</f>
        <v/>
      </c>
      <c r="L285" s="58">
        <f>IF(A285="","",IF(ABS(K285)&lt;0.001,"KAPALI","KONTROL"))</f>
        <v/>
      </c>
      <c r="M285" s="56">
        <f>IF(A285="","",IF(J285&lt;0,"SEVK PAKETLEMEYİ AŞIYOR",IF(H285&lt;&gt;0,"PAKETLEME BAKİYESİ VAR","DENKLİK KAPALI")))</f>
        <v/>
      </c>
    </row>
    <row r="286" ht="15" customHeight="1">
      <c r="A286" s="60">
        <f>'21 2026 ÜRETİM'!A286</f>
        <v/>
      </c>
      <c r="B286" s="81">
        <f>IF(A286="","",'21 2026 ÜRETİM'!D286)</f>
        <v/>
      </c>
      <c r="C286" s="81">
        <f>IF(A286="","",'21 2026 ÜRETİM'!E286)</f>
        <v/>
      </c>
      <c r="D286" s="82">
        <f>IF(A286="","",'21 2026 ÜRETİM'!F286)</f>
        <v/>
      </c>
      <c r="E286" s="81">
        <f>IF(A286="","",SUMIF('22 2026 PAKETLEME'!$B$2:$B$501,A286,'22 2026 PAKETLEME'!$E$2:$E$501))</f>
        <v/>
      </c>
      <c r="F286" s="82">
        <f>IF(A286="","",SUMIF('22 2026 PAKETLEME'!$B$2:$B$501,A286,'22 2026 PAKETLEME'!$G$2:$G$501))</f>
        <v/>
      </c>
      <c r="G286" s="81">
        <f>IF(A286="","",SUMIF('22 2026 PAKETLEME'!$B$2:$B$501,A286,'22 2026 PAKETLEME'!$H$2:$H$501))</f>
        <v/>
      </c>
      <c r="H286" s="81">
        <f>IF(A286="","",D286-E286-F286-G286)</f>
        <v/>
      </c>
      <c r="I286" s="82">
        <f>IF(A286="","",SUMIF('23 2026 SEVKİYAT'!$E$2:$E$501,A286,'23 2026 SEVKİYAT'!$H$2:$H$501))</f>
        <v/>
      </c>
      <c r="J286" s="81">
        <f>IF(A286="","",E286+F286-I286)</f>
        <v/>
      </c>
      <c r="K286" s="81">
        <f>IF(A286="","",D286-E286-F286-G286-H286)</f>
        <v/>
      </c>
      <c r="L286" s="58">
        <f>IF(A286="","",IF(ABS(K286)&lt;0.001,"KAPALI","KONTROL"))</f>
        <v/>
      </c>
      <c r="M286" s="56">
        <f>IF(A286="","",IF(J286&lt;0,"SEVK PAKETLEMEYİ AŞIYOR",IF(H286&lt;&gt;0,"PAKETLEME BAKİYESİ VAR","DENKLİK KAPALI")))</f>
        <v/>
      </c>
    </row>
    <row r="287" ht="15" customHeight="1">
      <c r="A287" s="60">
        <f>'21 2026 ÜRETİM'!A287</f>
        <v/>
      </c>
      <c r="B287" s="81">
        <f>IF(A287="","",'21 2026 ÜRETİM'!D287)</f>
        <v/>
      </c>
      <c r="C287" s="81">
        <f>IF(A287="","",'21 2026 ÜRETİM'!E287)</f>
        <v/>
      </c>
      <c r="D287" s="82">
        <f>IF(A287="","",'21 2026 ÜRETİM'!F287)</f>
        <v/>
      </c>
      <c r="E287" s="81">
        <f>IF(A287="","",SUMIF('22 2026 PAKETLEME'!$B$2:$B$501,A287,'22 2026 PAKETLEME'!$E$2:$E$501))</f>
        <v/>
      </c>
      <c r="F287" s="82">
        <f>IF(A287="","",SUMIF('22 2026 PAKETLEME'!$B$2:$B$501,A287,'22 2026 PAKETLEME'!$G$2:$G$501))</f>
        <v/>
      </c>
      <c r="G287" s="81">
        <f>IF(A287="","",SUMIF('22 2026 PAKETLEME'!$B$2:$B$501,A287,'22 2026 PAKETLEME'!$H$2:$H$501))</f>
        <v/>
      </c>
      <c r="H287" s="81">
        <f>IF(A287="","",D287-E287-F287-G287)</f>
        <v/>
      </c>
      <c r="I287" s="82">
        <f>IF(A287="","",SUMIF('23 2026 SEVKİYAT'!$E$2:$E$501,A287,'23 2026 SEVKİYAT'!$H$2:$H$501))</f>
        <v/>
      </c>
      <c r="J287" s="81">
        <f>IF(A287="","",E287+F287-I287)</f>
        <v/>
      </c>
      <c r="K287" s="81">
        <f>IF(A287="","",D287-E287-F287-G287-H287)</f>
        <v/>
      </c>
      <c r="L287" s="58">
        <f>IF(A287="","",IF(ABS(K287)&lt;0.001,"KAPALI","KONTROL"))</f>
        <v/>
      </c>
      <c r="M287" s="56">
        <f>IF(A287="","",IF(J287&lt;0,"SEVK PAKETLEMEYİ AŞIYOR",IF(H287&lt;&gt;0,"PAKETLEME BAKİYESİ VAR","DENKLİK KAPALI")))</f>
        <v/>
      </c>
    </row>
    <row r="288" ht="15" customHeight="1">
      <c r="A288" s="60">
        <f>'21 2026 ÜRETİM'!A288</f>
        <v/>
      </c>
      <c r="B288" s="81">
        <f>IF(A288="","",'21 2026 ÜRETİM'!D288)</f>
        <v/>
      </c>
      <c r="C288" s="81">
        <f>IF(A288="","",'21 2026 ÜRETİM'!E288)</f>
        <v/>
      </c>
      <c r="D288" s="82">
        <f>IF(A288="","",'21 2026 ÜRETİM'!F288)</f>
        <v/>
      </c>
      <c r="E288" s="81">
        <f>IF(A288="","",SUMIF('22 2026 PAKETLEME'!$B$2:$B$501,A288,'22 2026 PAKETLEME'!$E$2:$E$501))</f>
        <v/>
      </c>
      <c r="F288" s="82">
        <f>IF(A288="","",SUMIF('22 2026 PAKETLEME'!$B$2:$B$501,A288,'22 2026 PAKETLEME'!$G$2:$G$501))</f>
        <v/>
      </c>
      <c r="G288" s="81">
        <f>IF(A288="","",SUMIF('22 2026 PAKETLEME'!$B$2:$B$501,A288,'22 2026 PAKETLEME'!$H$2:$H$501))</f>
        <v/>
      </c>
      <c r="H288" s="81">
        <f>IF(A288="","",D288-E288-F288-G288)</f>
        <v/>
      </c>
      <c r="I288" s="82">
        <f>IF(A288="","",SUMIF('23 2026 SEVKİYAT'!$E$2:$E$501,A288,'23 2026 SEVKİYAT'!$H$2:$H$501))</f>
        <v/>
      </c>
      <c r="J288" s="81">
        <f>IF(A288="","",E288+F288-I288)</f>
        <v/>
      </c>
      <c r="K288" s="81">
        <f>IF(A288="","",D288-E288-F288-G288-H288)</f>
        <v/>
      </c>
      <c r="L288" s="58">
        <f>IF(A288="","",IF(ABS(K288)&lt;0.001,"KAPALI","KONTROL"))</f>
        <v/>
      </c>
      <c r="M288" s="56">
        <f>IF(A288="","",IF(J288&lt;0,"SEVK PAKETLEMEYİ AŞIYOR",IF(H288&lt;&gt;0,"PAKETLEME BAKİYESİ VAR","DENKLİK KAPALI")))</f>
        <v/>
      </c>
    </row>
    <row r="289" ht="15" customHeight="1">
      <c r="A289" s="60">
        <f>'21 2026 ÜRETİM'!A289</f>
        <v/>
      </c>
      <c r="B289" s="81">
        <f>IF(A289="","",'21 2026 ÜRETİM'!D289)</f>
        <v/>
      </c>
      <c r="C289" s="81">
        <f>IF(A289="","",'21 2026 ÜRETİM'!E289)</f>
        <v/>
      </c>
      <c r="D289" s="82">
        <f>IF(A289="","",'21 2026 ÜRETİM'!F289)</f>
        <v/>
      </c>
      <c r="E289" s="81">
        <f>IF(A289="","",SUMIF('22 2026 PAKETLEME'!$B$2:$B$501,A289,'22 2026 PAKETLEME'!$E$2:$E$501))</f>
        <v/>
      </c>
      <c r="F289" s="82">
        <f>IF(A289="","",SUMIF('22 2026 PAKETLEME'!$B$2:$B$501,A289,'22 2026 PAKETLEME'!$G$2:$G$501))</f>
        <v/>
      </c>
      <c r="G289" s="81">
        <f>IF(A289="","",SUMIF('22 2026 PAKETLEME'!$B$2:$B$501,A289,'22 2026 PAKETLEME'!$H$2:$H$501))</f>
        <v/>
      </c>
      <c r="H289" s="81">
        <f>IF(A289="","",D289-E289-F289-G289)</f>
        <v/>
      </c>
      <c r="I289" s="82">
        <f>IF(A289="","",SUMIF('23 2026 SEVKİYAT'!$E$2:$E$501,A289,'23 2026 SEVKİYAT'!$H$2:$H$501))</f>
        <v/>
      </c>
      <c r="J289" s="81">
        <f>IF(A289="","",E289+F289-I289)</f>
        <v/>
      </c>
      <c r="K289" s="81">
        <f>IF(A289="","",D289-E289-F289-G289-H289)</f>
        <v/>
      </c>
      <c r="L289" s="58">
        <f>IF(A289="","",IF(ABS(K289)&lt;0.001,"KAPALI","KONTROL"))</f>
        <v/>
      </c>
      <c r="M289" s="56">
        <f>IF(A289="","",IF(J289&lt;0,"SEVK PAKETLEMEYİ AŞIYOR",IF(H289&lt;&gt;0,"PAKETLEME BAKİYESİ VAR","DENKLİK KAPALI")))</f>
        <v/>
      </c>
    </row>
    <row r="290" ht="15" customHeight="1">
      <c r="A290" s="60">
        <f>'21 2026 ÜRETİM'!A290</f>
        <v/>
      </c>
      <c r="B290" s="81">
        <f>IF(A290="","",'21 2026 ÜRETİM'!D290)</f>
        <v/>
      </c>
      <c r="C290" s="81">
        <f>IF(A290="","",'21 2026 ÜRETİM'!E290)</f>
        <v/>
      </c>
      <c r="D290" s="82">
        <f>IF(A290="","",'21 2026 ÜRETİM'!F290)</f>
        <v/>
      </c>
      <c r="E290" s="81">
        <f>IF(A290="","",SUMIF('22 2026 PAKETLEME'!$B$2:$B$501,A290,'22 2026 PAKETLEME'!$E$2:$E$501))</f>
        <v/>
      </c>
      <c r="F290" s="82">
        <f>IF(A290="","",SUMIF('22 2026 PAKETLEME'!$B$2:$B$501,A290,'22 2026 PAKETLEME'!$G$2:$G$501))</f>
        <v/>
      </c>
      <c r="G290" s="81">
        <f>IF(A290="","",SUMIF('22 2026 PAKETLEME'!$B$2:$B$501,A290,'22 2026 PAKETLEME'!$H$2:$H$501))</f>
        <v/>
      </c>
      <c r="H290" s="81">
        <f>IF(A290="","",D290-E290-F290-G290)</f>
        <v/>
      </c>
      <c r="I290" s="82">
        <f>IF(A290="","",SUMIF('23 2026 SEVKİYAT'!$E$2:$E$501,A290,'23 2026 SEVKİYAT'!$H$2:$H$501))</f>
        <v/>
      </c>
      <c r="J290" s="81">
        <f>IF(A290="","",E290+F290-I290)</f>
        <v/>
      </c>
      <c r="K290" s="81">
        <f>IF(A290="","",D290-E290-F290-G290-H290)</f>
        <v/>
      </c>
      <c r="L290" s="58">
        <f>IF(A290="","",IF(ABS(K290)&lt;0.001,"KAPALI","KONTROL"))</f>
        <v/>
      </c>
      <c r="M290" s="56">
        <f>IF(A290="","",IF(J290&lt;0,"SEVK PAKETLEMEYİ AŞIYOR",IF(H290&lt;&gt;0,"PAKETLEME BAKİYESİ VAR","DENKLİK KAPALI")))</f>
        <v/>
      </c>
    </row>
    <row r="291" ht="15" customHeight="1">
      <c r="A291" s="60">
        <f>'21 2026 ÜRETİM'!A291</f>
        <v/>
      </c>
      <c r="B291" s="81">
        <f>IF(A291="","",'21 2026 ÜRETİM'!D291)</f>
        <v/>
      </c>
      <c r="C291" s="81">
        <f>IF(A291="","",'21 2026 ÜRETİM'!E291)</f>
        <v/>
      </c>
      <c r="D291" s="82">
        <f>IF(A291="","",'21 2026 ÜRETİM'!F291)</f>
        <v/>
      </c>
      <c r="E291" s="81">
        <f>IF(A291="","",SUMIF('22 2026 PAKETLEME'!$B$2:$B$501,A291,'22 2026 PAKETLEME'!$E$2:$E$501))</f>
        <v/>
      </c>
      <c r="F291" s="82">
        <f>IF(A291="","",SUMIF('22 2026 PAKETLEME'!$B$2:$B$501,A291,'22 2026 PAKETLEME'!$G$2:$G$501))</f>
        <v/>
      </c>
      <c r="G291" s="81">
        <f>IF(A291="","",SUMIF('22 2026 PAKETLEME'!$B$2:$B$501,A291,'22 2026 PAKETLEME'!$H$2:$H$501))</f>
        <v/>
      </c>
      <c r="H291" s="81">
        <f>IF(A291="","",D291-E291-F291-G291)</f>
        <v/>
      </c>
      <c r="I291" s="82">
        <f>IF(A291="","",SUMIF('23 2026 SEVKİYAT'!$E$2:$E$501,A291,'23 2026 SEVKİYAT'!$H$2:$H$501))</f>
        <v/>
      </c>
      <c r="J291" s="81">
        <f>IF(A291="","",E291+F291-I291)</f>
        <v/>
      </c>
      <c r="K291" s="81">
        <f>IF(A291="","",D291-E291-F291-G291-H291)</f>
        <v/>
      </c>
      <c r="L291" s="58">
        <f>IF(A291="","",IF(ABS(K291)&lt;0.001,"KAPALI","KONTROL"))</f>
        <v/>
      </c>
      <c r="M291" s="56">
        <f>IF(A291="","",IF(J291&lt;0,"SEVK PAKETLEMEYİ AŞIYOR",IF(H291&lt;&gt;0,"PAKETLEME BAKİYESİ VAR","DENKLİK KAPALI")))</f>
        <v/>
      </c>
    </row>
    <row r="292" ht="15" customHeight="1">
      <c r="A292" s="60">
        <f>'21 2026 ÜRETİM'!A292</f>
        <v/>
      </c>
      <c r="B292" s="81">
        <f>IF(A292="","",'21 2026 ÜRETİM'!D292)</f>
        <v/>
      </c>
      <c r="C292" s="81">
        <f>IF(A292="","",'21 2026 ÜRETİM'!E292)</f>
        <v/>
      </c>
      <c r="D292" s="82">
        <f>IF(A292="","",'21 2026 ÜRETİM'!F292)</f>
        <v/>
      </c>
      <c r="E292" s="81">
        <f>IF(A292="","",SUMIF('22 2026 PAKETLEME'!$B$2:$B$501,A292,'22 2026 PAKETLEME'!$E$2:$E$501))</f>
        <v/>
      </c>
      <c r="F292" s="82">
        <f>IF(A292="","",SUMIF('22 2026 PAKETLEME'!$B$2:$B$501,A292,'22 2026 PAKETLEME'!$G$2:$G$501))</f>
        <v/>
      </c>
      <c r="G292" s="81">
        <f>IF(A292="","",SUMIF('22 2026 PAKETLEME'!$B$2:$B$501,A292,'22 2026 PAKETLEME'!$H$2:$H$501))</f>
        <v/>
      </c>
      <c r="H292" s="81">
        <f>IF(A292="","",D292-E292-F292-G292)</f>
        <v/>
      </c>
      <c r="I292" s="82">
        <f>IF(A292="","",SUMIF('23 2026 SEVKİYAT'!$E$2:$E$501,A292,'23 2026 SEVKİYAT'!$H$2:$H$501))</f>
        <v/>
      </c>
      <c r="J292" s="81">
        <f>IF(A292="","",E292+F292-I292)</f>
        <v/>
      </c>
      <c r="K292" s="81">
        <f>IF(A292="","",D292-E292-F292-G292-H292)</f>
        <v/>
      </c>
      <c r="L292" s="58">
        <f>IF(A292="","",IF(ABS(K292)&lt;0.001,"KAPALI","KONTROL"))</f>
        <v/>
      </c>
      <c r="M292" s="56">
        <f>IF(A292="","",IF(J292&lt;0,"SEVK PAKETLEMEYİ AŞIYOR",IF(H292&lt;&gt;0,"PAKETLEME BAKİYESİ VAR","DENKLİK KAPALI")))</f>
        <v/>
      </c>
    </row>
    <row r="293" ht="15" customHeight="1">
      <c r="A293" s="60">
        <f>'21 2026 ÜRETİM'!A293</f>
        <v/>
      </c>
      <c r="B293" s="81">
        <f>IF(A293="","",'21 2026 ÜRETİM'!D293)</f>
        <v/>
      </c>
      <c r="C293" s="81">
        <f>IF(A293="","",'21 2026 ÜRETİM'!E293)</f>
        <v/>
      </c>
      <c r="D293" s="82">
        <f>IF(A293="","",'21 2026 ÜRETİM'!F293)</f>
        <v/>
      </c>
      <c r="E293" s="81">
        <f>IF(A293="","",SUMIF('22 2026 PAKETLEME'!$B$2:$B$501,A293,'22 2026 PAKETLEME'!$E$2:$E$501))</f>
        <v/>
      </c>
      <c r="F293" s="82">
        <f>IF(A293="","",SUMIF('22 2026 PAKETLEME'!$B$2:$B$501,A293,'22 2026 PAKETLEME'!$G$2:$G$501))</f>
        <v/>
      </c>
      <c r="G293" s="81">
        <f>IF(A293="","",SUMIF('22 2026 PAKETLEME'!$B$2:$B$501,A293,'22 2026 PAKETLEME'!$H$2:$H$501))</f>
        <v/>
      </c>
      <c r="H293" s="81">
        <f>IF(A293="","",D293-E293-F293-G293)</f>
        <v/>
      </c>
      <c r="I293" s="82">
        <f>IF(A293="","",SUMIF('23 2026 SEVKİYAT'!$E$2:$E$501,A293,'23 2026 SEVKİYAT'!$H$2:$H$501))</f>
        <v/>
      </c>
      <c r="J293" s="81">
        <f>IF(A293="","",E293+F293-I293)</f>
        <v/>
      </c>
      <c r="K293" s="81">
        <f>IF(A293="","",D293-E293-F293-G293-H293)</f>
        <v/>
      </c>
      <c r="L293" s="58">
        <f>IF(A293="","",IF(ABS(K293)&lt;0.001,"KAPALI","KONTROL"))</f>
        <v/>
      </c>
      <c r="M293" s="56">
        <f>IF(A293="","",IF(J293&lt;0,"SEVK PAKETLEMEYİ AŞIYOR",IF(H293&lt;&gt;0,"PAKETLEME BAKİYESİ VAR","DENKLİK KAPALI")))</f>
        <v/>
      </c>
    </row>
    <row r="294" ht="15" customHeight="1">
      <c r="A294" s="60">
        <f>'21 2026 ÜRETİM'!A294</f>
        <v/>
      </c>
      <c r="B294" s="81">
        <f>IF(A294="","",'21 2026 ÜRETİM'!D294)</f>
        <v/>
      </c>
      <c r="C294" s="81">
        <f>IF(A294="","",'21 2026 ÜRETİM'!E294)</f>
        <v/>
      </c>
      <c r="D294" s="82">
        <f>IF(A294="","",'21 2026 ÜRETİM'!F294)</f>
        <v/>
      </c>
      <c r="E294" s="81">
        <f>IF(A294="","",SUMIF('22 2026 PAKETLEME'!$B$2:$B$501,A294,'22 2026 PAKETLEME'!$E$2:$E$501))</f>
        <v/>
      </c>
      <c r="F294" s="82">
        <f>IF(A294="","",SUMIF('22 2026 PAKETLEME'!$B$2:$B$501,A294,'22 2026 PAKETLEME'!$G$2:$G$501))</f>
        <v/>
      </c>
      <c r="G294" s="81">
        <f>IF(A294="","",SUMIF('22 2026 PAKETLEME'!$B$2:$B$501,A294,'22 2026 PAKETLEME'!$H$2:$H$501))</f>
        <v/>
      </c>
      <c r="H294" s="81">
        <f>IF(A294="","",D294-E294-F294-G294)</f>
        <v/>
      </c>
      <c r="I294" s="82">
        <f>IF(A294="","",SUMIF('23 2026 SEVKİYAT'!$E$2:$E$501,A294,'23 2026 SEVKİYAT'!$H$2:$H$501))</f>
        <v/>
      </c>
      <c r="J294" s="81">
        <f>IF(A294="","",E294+F294-I294)</f>
        <v/>
      </c>
      <c r="K294" s="81">
        <f>IF(A294="","",D294-E294-F294-G294-H294)</f>
        <v/>
      </c>
      <c r="L294" s="58">
        <f>IF(A294="","",IF(ABS(K294)&lt;0.001,"KAPALI","KONTROL"))</f>
        <v/>
      </c>
      <c r="M294" s="56">
        <f>IF(A294="","",IF(J294&lt;0,"SEVK PAKETLEMEYİ AŞIYOR",IF(H294&lt;&gt;0,"PAKETLEME BAKİYESİ VAR","DENKLİK KAPALI")))</f>
        <v/>
      </c>
    </row>
    <row r="295" ht="15" customHeight="1">
      <c r="A295" s="60">
        <f>'21 2026 ÜRETİM'!A295</f>
        <v/>
      </c>
      <c r="B295" s="81">
        <f>IF(A295="","",'21 2026 ÜRETİM'!D295)</f>
        <v/>
      </c>
      <c r="C295" s="81">
        <f>IF(A295="","",'21 2026 ÜRETİM'!E295)</f>
        <v/>
      </c>
      <c r="D295" s="82">
        <f>IF(A295="","",'21 2026 ÜRETİM'!F295)</f>
        <v/>
      </c>
      <c r="E295" s="81">
        <f>IF(A295="","",SUMIF('22 2026 PAKETLEME'!$B$2:$B$501,A295,'22 2026 PAKETLEME'!$E$2:$E$501))</f>
        <v/>
      </c>
      <c r="F295" s="82">
        <f>IF(A295="","",SUMIF('22 2026 PAKETLEME'!$B$2:$B$501,A295,'22 2026 PAKETLEME'!$G$2:$G$501))</f>
        <v/>
      </c>
      <c r="G295" s="81">
        <f>IF(A295="","",SUMIF('22 2026 PAKETLEME'!$B$2:$B$501,A295,'22 2026 PAKETLEME'!$H$2:$H$501))</f>
        <v/>
      </c>
      <c r="H295" s="81">
        <f>IF(A295="","",D295-E295-F295-G295)</f>
        <v/>
      </c>
      <c r="I295" s="82">
        <f>IF(A295="","",SUMIF('23 2026 SEVKİYAT'!$E$2:$E$501,A295,'23 2026 SEVKİYAT'!$H$2:$H$501))</f>
        <v/>
      </c>
      <c r="J295" s="81">
        <f>IF(A295="","",E295+F295-I295)</f>
        <v/>
      </c>
      <c r="K295" s="81">
        <f>IF(A295="","",D295-E295-F295-G295-H295)</f>
        <v/>
      </c>
      <c r="L295" s="58">
        <f>IF(A295="","",IF(ABS(K295)&lt;0.001,"KAPALI","KONTROL"))</f>
        <v/>
      </c>
      <c r="M295" s="56">
        <f>IF(A295="","",IF(J295&lt;0,"SEVK PAKETLEMEYİ AŞIYOR",IF(H295&lt;&gt;0,"PAKETLEME BAKİYESİ VAR","DENKLİK KAPALI")))</f>
        <v/>
      </c>
    </row>
    <row r="296" ht="15" customHeight="1">
      <c r="A296" s="60">
        <f>'21 2026 ÜRETİM'!A296</f>
        <v/>
      </c>
      <c r="B296" s="81">
        <f>IF(A296="","",'21 2026 ÜRETİM'!D296)</f>
        <v/>
      </c>
      <c r="C296" s="81">
        <f>IF(A296="","",'21 2026 ÜRETİM'!E296)</f>
        <v/>
      </c>
      <c r="D296" s="82">
        <f>IF(A296="","",'21 2026 ÜRETİM'!F296)</f>
        <v/>
      </c>
      <c r="E296" s="81">
        <f>IF(A296="","",SUMIF('22 2026 PAKETLEME'!$B$2:$B$501,A296,'22 2026 PAKETLEME'!$E$2:$E$501))</f>
        <v/>
      </c>
      <c r="F296" s="82">
        <f>IF(A296="","",SUMIF('22 2026 PAKETLEME'!$B$2:$B$501,A296,'22 2026 PAKETLEME'!$G$2:$G$501))</f>
        <v/>
      </c>
      <c r="G296" s="81">
        <f>IF(A296="","",SUMIF('22 2026 PAKETLEME'!$B$2:$B$501,A296,'22 2026 PAKETLEME'!$H$2:$H$501))</f>
        <v/>
      </c>
      <c r="H296" s="81">
        <f>IF(A296="","",D296-E296-F296-G296)</f>
        <v/>
      </c>
      <c r="I296" s="82">
        <f>IF(A296="","",SUMIF('23 2026 SEVKİYAT'!$E$2:$E$501,A296,'23 2026 SEVKİYAT'!$H$2:$H$501))</f>
        <v/>
      </c>
      <c r="J296" s="81">
        <f>IF(A296="","",E296+F296-I296)</f>
        <v/>
      </c>
      <c r="K296" s="81">
        <f>IF(A296="","",D296-E296-F296-G296-H296)</f>
        <v/>
      </c>
      <c r="L296" s="58">
        <f>IF(A296="","",IF(ABS(K296)&lt;0.001,"KAPALI","KONTROL"))</f>
        <v/>
      </c>
      <c r="M296" s="56">
        <f>IF(A296="","",IF(J296&lt;0,"SEVK PAKETLEMEYİ AŞIYOR",IF(H296&lt;&gt;0,"PAKETLEME BAKİYESİ VAR","DENKLİK KAPALI")))</f>
        <v/>
      </c>
    </row>
    <row r="297" ht="15" customHeight="1">
      <c r="A297" s="60">
        <f>'21 2026 ÜRETİM'!A297</f>
        <v/>
      </c>
      <c r="B297" s="81">
        <f>IF(A297="","",'21 2026 ÜRETİM'!D297)</f>
        <v/>
      </c>
      <c r="C297" s="81">
        <f>IF(A297="","",'21 2026 ÜRETİM'!E297)</f>
        <v/>
      </c>
      <c r="D297" s="82">
        <f>IF(A297="","",'21 2026 ÜRETİM'!F297)</f>
        <v/>
      </c>
      <c r="E297" s="81">
        <f>IF(A297="","",SUMIF('22 2026 PAKETLEME'!$B$2:$B$501,A297,'22 2026 PAKETLEME'!$E$2:$E$501))</f>
        <v/>
      </c>
      <c r="F297" s="82">
        <f>IF(A297="","",SUMIF('22 2026 PAKETLEME'!$B$2:$B$501,A297,'22 2026 PAKETLEME'!$G$2:$G$501))</f>
        <v/>
      </c>
      <c r="G297" s="81">
        <f>IF(A297="","",SUMIF('22 2026 PAKETLEME'!$B$2:$B$501,A297,'22 2026 PAKETLEME'!$H$2:$H$501))</f>
        <v/>
      </c>
      <c r="H297" s="81">
        <f>IF(A297="","",D297-E297-F297-G297)</f>
        <v/>
      </c>
      <c r="I297" s="82">
        <f>IF(A297="","",SUMIF('23 2026 SEVKİYAT'!$E$2:$E$501,A297,'23 2026 SEVKİYAT'!$H$2:$H$501))</f>
        <v/>
      </c>
      <c r="J297" s="81">
        <f>IF(A297="","",E297+F297-I297)</f>
        <v/>
      </c>
      <c r="K297" s="81">
        <f>IF(A297="","",D297-E297-F297-G297-H297)</f>
        <v/>
      </c>
      <c r="L297" s="58">
        <f>IF(A297="","",IF(ABS(K297)&lt;0.001,"KAPALI","KONTROL"))</f>
        <v/>
      </c>
      <c r="M297" s="56">
        <f>IF(A297="","",IF(J297&lt;0,"SEVK PAKETLEMEYİ AŞIYOR",IF(H297&lt;&gt;0,"PAKETLEME BAKİYESİ VAR","DENKLİK KAPALI")))</f>
        <v/>
      </c>
    </row>
    <row r="298" ht="15" customHeight="1">
      <c r="A298" s="60">
        <f>'21 2026 ÜRETİM'!A298</f>
        <v/>
      </c>
      <c r="B298" s="81">
        <f>IF(A298="","",'21 2026 ÜRETİM'!D298)</f>
        <v/>
      </c>
      <c r="C298" s="81">
        <f>IF(A298="","",'21 2026 ÜRETİM'!E298)</f>
        <v/>
      </c>
      <c r="D298" s="82">
        <f>IF(A298="","",'21 2026 ÜRETİM'!F298)</f>
        <v/>
      </c>
      <c r="E298" s="81">
        <f>IF(A298="","",SUMIF('22 2026 PAKETLEME'!$B$2:$B$501,A298,'22 2026 PAKETLEME'!$E$2:$E$501))</f>
        <v/>
      </c>
      <c r="F298" s="82">
        <f>IF(A298="","",SUMIF('22 2026 PAKETLEME'!$B$2:$B$501,A298,'22 2026 PAKETLEME'!$G$2:$G$501))</f>
        <v/>
      </c>
      <c r="G298" s="81">
        <f>IF(A298="","",SUMIF('22 2026 PAKETLEME'!$B$2:$B$501,A298,'22 2026 PAKETLEME'!$H$2:$H$501))</f>
        <v/>
      </c>
      <c r="H298" s="81">
        <f>IF(A298="","",D298-E298-F298-G298)</f>
        <v/>
      </c>
      <c r="I298" s="82">
        <f>IF(A298="","",SUMIF('23 2026 SEVKİYAT'!$E$2:$E$501,A298,'23 2026 SEVKİYAT'!$H$2:$H$501))</f>
        <v/>
      </c>
      <c r="J298" s="81">
        <f>IF(A298="","",E298+F298-I298)</f>
        <v/>
      </c>
      <c r="K298" s="81">
        <f>IF(A298="","",D298-E298-F298-G298-H298)</f>
        <v/>
      </c>
      <c r="L298" s="58">
        <f>IF(A298="","",IF(ABS(K298)&lt;0.001,"KAPALI","KONTROL"))</f>
        <v/>
      </c>
      <c r="M298" s="56">
        <f>IF(A298="","",IF(J298&lt;0,"SEVK PAKETLEMEYİ AŞIYOR",IF(H298&lt;&gt;0,"PAKETLEME BAKİYESİ VAR","DENKLİK KAPALI")))</f>
        <v/>
      </c>
    </row>
    <row r="299" ht="15" customHeight="1">
      <c r="A299" s="60">
        <f>'21 2026 ÜRETİM'!A299</f>
        <v/>
      </c>
      <c r="B299" s="81">
        <f>IF(A299="","",'21 2026 ÜRETİM'!D299)</f>
        <v/>
      </c>
      <c r="C299" s="81">
        <f>IF(A299="","",'21 2026 ÜRETİM'!E299)</f>
        <v/>
      </c>
      <c r="D299" s="82">
        <f>IF(A299="","",'21 2026 ÜRETİM'!F299)</f>
        <v/>
      </c>
      <c r="E299" s="81">
        <f>IF(A299="","",SUMIF('22 2026 PAKETLEME'!$B$2:$B$501,A299,'22 2026 PAKETLEME'!$E$2:$E$501))</f>
        <v/>
      </c>
      <c r="F299" s="82">
        <f>IF(A299="","",SUMIF('22 2026 PAKETLEME'!$B$2:$B$501,A299,'22 2026 PAKETLEME'!$G$2:$G$501))</f>
        <v/>
      </c>
      <c r="G299" s="81">
        <f>IF(A299="","",SUMIF('22 2026 PAKETLEME'!$B$2:$B$501,A299,'22 2026 PAKETLEME'!$H$2:$H$501))</f>
        <v/>
      </c>
      <c r="H299" s="81">
        <f>IF(A299="","",D299-E299-F299-G299)</f>
        <v/>
      </c>
      <c r="I299" s="82">
        <f>IF(A299="","",SUMIF('23 2026 SEVKİYAT'!$E$2:$E$501,A299,'23 2026 SEVKİYAT'!$H$2:$H$501))</f>
        <v/>
      </c>
      <c r="J299" s="81">
        <f>IF(A299="","",E299+F299-I299)</f>
        <v/>
      </c>
      <c r="K299" s="81">
        <f>IF(A299="","",D299-E299-F299-G299-H299)</f>
        <v/>
      </c>
      <c r="L299" s="58">
        <f>IF(A299="","",IF(ABS(K299)&lt;0.001,"KAPALI","KONTROL"))</f>
        <v/>
      </c>
      <c r="M299" s="56">
        <f>IF(A299="","",IF(J299&lt;0,"SEVK PAKETLEMEYİ AŞIYOR",IF(H299&lt;&gt;0,"PAKETLEME BAKİYESİ VAR","DENKLİK KAPALI")))</f>
        <v/>
      </c>
    </row>
    <row r="300" ht="15" customHeight="1">
      <c r="A300" s="60">
        <f>'21 2026 ÜRETİM'!A300</f>
        <v/>
      </c>
      <c r="B300" s="81">
        <f>IF(A300="","",'21 2026 ÜRETİM'!D300)</f>
        <v/>
      </c>
      <c r="C300" s="81">
        <f>IF(A300="","",'21 2026 ÜRETİM'!E300)</f>
        <v/>
      </c>
      <c r="D300" s="82">
        <f>IF(A300="","",'21 2026 ÜRETİM'!F300)</f>
        <v/>
      </c>
      <c r="E300" s="81">
        <f>IF(A300="","",SUMIF('22 2026 PAKETLEME'!$B$2:$B$501,A300,'22 2026 PAKETLEME'!$E$2:$E$501))</f>
        <v/>
      </c>
      <c r="F300" s="82">
        <f>IF(A300="","",SUMIF('22 2026 PAKETLEME'!$B$2:$B$501,A300,'22 2026 PAKETLEME'!$G$2:$G$501))</f>
        <v/>
      </c>
      <c r="G300" s="81">
        <f>IF(A300="","",SUMIF('22 2026 PAKETLEME'!$B$2:$B$501,A300,'22 2026 PAKETLEME'!$H$2:$H$501))</f>
        <v/>
      </c>
      <c r="H300" s="81">
        <f>IF(A300="","",D300-E300-F300-G300)</f>
        <v/>
      </c>
      <c r="I300" s="82">
        <f>IF(A300="","",SUMIF('23 2026 SEVKİYAT'!$E$2:$E$501,A300,'23 2026 SEVKİYAT'!$H$2:$H$501))</f>
        <v/>
      </c>
      <c r="J300" s="81">
        <f>IF(A300="","",E300+F300-I300)</f>
        <v/>
      </c>
      <c r="K300" s="81">
        <f>IF(A300="","",D300-E300-F300-G300-H300)</f>
        <v/>
      </c>
      <c r="L300" s="58">
        <f>IF(A300="","",IF(ABS(K300)&lt;0.001,"KAPALI","KONTROL"))</f>
        <v/>
      </c>
      <c r="M300" s="56">
        <f>IF(A300="","",IF(J300&lt;0,"SEVK PAKETLEMEYİ AŞIYOR",IF(H300&lt;&gt;0,"PAKETLEME BAKİYESİ VAR","DENKLİK KAPALI")))</f>
        <v/>
      </c>
    </row>
    <row r="301" ht="15" customHeight="1">
      <c r="A301" s="60">
        <f>'21 2026 ÜRETİM'!A301</f>
        <v/>
      </c>
      <c r="B301" s="81">
        <f>IF(A301="","",'21 2026 ÜRETİM'!D301)</f>
        <v/>
      </c>
      <c r="C301" s="81">
        <f>IF(A301="","",'21 2026 ÜRETİM'!E301)</f>
        <v/>
      </c>
      <c r="D301" s="82">
        <f>IF(A301="","",'21 2026 ÜRETİM'!F301)</f>
        <v/>
      </c>
      <c r="E301" s="81">
        <f>IF(A301="","",SUMIF('22 2026 PAKETLEME'!$B$2:$B$501,A301,'22 2026 PAKETLEME'!$E$2:$E$501))</f>
        <v/>
      </c>
      <c r="F301" s="82">
        <f>IF(A301="","",SUMIF('22 2026 PAKETLEME'!$B$2:$B$501,A301,'22 2026 PAKETLEME'!$G$2:$G$501))</f>
        <v/>
      </c>
      <c r="G301" s="81">
        <f>IF(A301="","",SUMIF('22 2026 PAKETLEME'!$B$2:$B$501,A301,'22 2026 PAKETLEME'!$H$2:$H$501))</f>
        <v/>
      </c>
      <c r="H301" s="81">
        <f>IF(A301="","",D301-E301-F301-G301)</f>
        <v/>
      </c>
      <c r="I301" s="82">
        <f>IF(A301="","",SUMIF('23 2026 SEVKİYAT'!$E$2:$E$501,A301,'23 2026 SEVKİYAT'!$H$2:$H$501))</f>
        <v/>
      </c>
      <c r="J301" s="81">
        <f>IF(A301="","",E301+F301-I301)</f>
        <v/>
      </c>
      <c r="K301" s="81">
        <f>IF(A301="","",D301-E301-F301-G301-H301)</f>
        <v/>
      </c>
      <c r="L301" s="58">
        <f>IF(A301="","",IF(ABS(K301)&lt;0.001,"KAPALI","KONTROL"))</f>
        <v/>
      </c>
      <c r="M301" s="56">
        <f>IF(A301="","",IF(J301&lt;0,"SEVK PAKETLEMEYİ AŞIYOR",IF(H301&lt;&gt;0,"PAKETLEME BAKİYESİ VAR","DENKLİK KAPALI")))</f>
        <v/>
      </c>
    </row>
    <row r="302" ht="15" customHeight="1">
      <c r="A302" s="60">
        <f>'21 2026 ÜRETİM'!A302</f>
        <v/>
      </c>
      <c r="B302" s="81">
        <f>IF(A302="","",'21 2026 ÜRETİM'!D302)</f>
        <v/>
      </c>
      <c r="C302" s="81">
        <f>IF(A302="","",'21 2026 ÜRETİM'!E302)</f>
        <v/>
      </c>
      <c r="D302" s="82">
        <f>IF(A302="","",'21 2026 ÜRETİM'!F302)</f>
        <v/>
      </c>
      <c r="E302" s="81">
        <f>IF(A302="","",SUMIF('22 2026 PAKETLEME'!$B$2:$B$501,A302,'22 2026 PAKETLEME'!$E$2:$E$501))</f>
        <v/>
      </c>
      <c r="F302" s="82">
        <f>IF(A302="","",SUMIF('22 2026 PAKETLEME'!$B$2:$B$501,A302,'22 2026 PAKETLEME'!$G$2:$G$501))</f>
        <v/>
      </c>
      <c r="G302" s="81">
        <f>IF(A302="","",SUMIF('22 2026 PAKETLEME'!$B$2:$B$501,A302,'22 2026 PAKETLEME'!$H$2:$H$501))</f>
        <v/>
      </c>
      <c r="H302" s="81">
        <f>IF(A302="","",D302-E302-F302-G302)</f>
        <v/>
      </c>
      <c r="I302" s="82">
        <f>IF(A302="","",SUMIF('23 2026 SEVKİYAT'!$E$2:$E$501,A302,'23 2026 SEVKİYAT'!$H$2:$H$501))</f>
        <v/>
      </c>
      <c r="J302" s="81">
        <f>IF(A302="","",E302+F302-I302)</f>
        <v/>
      </c>
      <c r="K302" s="81">
        <f>IF(A302="","",D302-E302-F302-G302-H302)</f>
        <v/>
      </c>
      <c r="L302" s="58">
        <f>IF(A302="","",IF(ABS(K302)&lt;0.001,"KAPALI","KONTROL"))</f>
        <v/>
      </c>
      <c r="M302" s="56">
        <f>IF(A302="","",IF(J302&lt;0,"SEVK PAKETLEMEYİ AŞIYOR",IF(H302&lt;&gt;0,"PAKETLEME BAKİYESİ VAR","DENKLİK KAPALI")))</f>
        <v/>
      </c>
    </row>
    <row r="303" ht="15" customHeight="1">
      <c r="A303" s="60">
        <f>'21 2026 ÜRETİM'!A303</f>
        <v/>
      </c>
      <c r="B303" s="81">
        <f>IF(A303="","",'21 2026 ÜRETİM'!D303)</f>
        <v/>
      </c>
      <c r="C303" s="81">
        <f>IF(A303="","",'21 2026 ÜRETİM'!E303)</f>
        <v/>
      </c>
      <c r="D303" s="82">
        <f>IF(A303="","",'21 2026 ÜRETİM'!F303)</f>
        <v/>
      </c>
      <c r="E303" s="81">
        <f>IF(A303="","",SUMIF('22 2026 PAKETLEME'!$B$2:$B$501,A303,'22 2026 PAKETLEME'!$E$2:$E$501))</f>
        <v/>
      </c>
      <c r="F303" s="82">
        <f>IF(A303="","",SUMIF('22 2026 PAKETLEME'!$B$2:$B$501,A303,'22 2026 PAKETLEME'!$G$2:$G$501))</f>
        <v/>
      </c>
      <c r="G303" s="81">
        <f>IF(A303="","",SUMIF('22 2026 PAKETLEME'!$B$2:$B$501,A303,'22 2026 PAKETLEME'!$H$2:$H$501))</f>
        <v/>
      </c>
      <c r="H303" s="81">
        <f>IF(A303="","",D303-E303-F303-G303)</f>
        <v/>
      </c>
      <c r="I303" s="82">
        <f>IF(A303="","",SUMIF('23 2026 SEVKİYAT'!$E$2:$E$501,A303,'23 2026 SEVKİYAT'!$H$2:$H$501))</f>
        <v/>
      </c>
      <c r="J303" s="81">
        <f>IF(A303="","",E303+F303-I303)</f>
        <v/>
      </c>
      <c r="K303" s="81">
        <f>IF(A303="","",D303-E303-F303-G303-H303)</f>
        <v/>
      </c>
      <c r="L303" s="58">
        <f>IF(A303="","",IF(ABS(K303)&lt;0.001,"KAPALI","KONTROL"))</f>
        <v/>
      </c>
      <c r="M303" s="56">
        <f>IF(A303="","",IF(J303&lt;0,"SEVK PAKETLEMEYİ AŞIYOR",IF(H303&lt;&gt;0,"PAKETLEME BAKİYESİ VAR","DENKLİK KAPALI")))</f>
        <v/>
      </c>
    </row>
    <row r="304" ht="15" customHeight="1">
      <c r="A304" s="60">
        <f>'21 2026 ÜRETİM'!A304</f>
        <v/>
      </c>
      <c r="B304" s="81">
        <f>IF(A304="","",'21 2026 ÜRETİM'!D304)</f>
        <v/>
      </c>
      <c r="C304" s="81">
        <f>IF(A304="","",'21 2026 ÜRETİM'!E304)</f>
        <v/>
      </c>
      <c r="D304" s="82">
        <f>IF(A304="","",'21 2026 ÜRETİM'!F304)</f>
        <v/>
      </c>
      <c r="E304" s="81">
        <f>IF(A304="","",SUMIF('22 2026 PAKETLEME'!$B$2:$B$501,A304,'22 2026 PAKETLEME'!$E$2:$E$501))</f>
        <v/>
      </c>
      <c r="F304" s="82">
        <f>IF(A304="","",SUMIF('22 2026 PAKETLEME'!$B$2:$B$501,A304,'22 2026 PAKETLEME'!$G$2:$G$501))</f>
        <v/>
      </c>
      <c r="G304" s="81">
        <f>IF(A304="","",SUMIF('22 2026 PAKETLEME'!$B$2:$B$501,A304,'22 2026 PAKETLEME'!$H$2:$H$501))</f>
        <v/>
      </c>
      <c r="H304" s="81">
        <f>IF(A304="","",D304-E304-F304-G304)</f>
        <v/>
      </c>
      <c r="I304" s="82">
        <f>IF(A304="","",SUMIF('23 2026 SEVKİYAT'!$E$2:$E$501,A304,'23 2026 SEVKİYAT'!$H$2:$H$501))</f>
        <v/>
      </c>
      <c r="J304" s="81">
        <f>IF(A304="","",E304+F304-I304)</f>
        <v/>
      </c>
      <c r="K304" s="81">
        <f>IF(A304="","",D304-E304-F304-G304-H304)</f>
        <v/>
      </c>
      <c r="L304" s="58">
        <f>IF(A304="","",IF(ABS(K304)&lt;0.001,"KAPALI","KONTROL"))</f>
        <v/>
      </c>
      <c r="M304" s="56">
        <f>IF(A304="","",IF(J304&lt;0,"SEVK PAKETLEMEYİ AŞIYOR",IF(H304&lt;&gt;0,"PAKETLEME BAKİYESİ VAR","DENKLİK KAPALI")))</f>
        <v/>
      </c>
    </row>
    <row r="305" ht="15" customHeight="1">
      <c r="A305" s="60">
        <f>'21 2026 ÜRETİM'!A305</f>
        <v/>
      </c>
      <c r="B305" s="81">
        <f>IF(A305="","",'21 2026 ÜRETİM'!D305)</f>
        <v/>
      </c>
      <c r="C305" s="81">
        <f>IF(A305="","",'21 2026 ÜRETİM'!E305)</f>
        <v/>
      </c>
      <c r="D305" s="82">
        <f>IF(A305="","",'21 2026 ÜRETİM'!F305)</f>
        <v/>
      </c>
      <c r="E305" s="81">
        <f>IF(A305="","",SUMIF('22 2026 PAKETLEME'!$B$2:$B$501,A305,'22 2026 PAKETLEME'!$E$2:$E$501))</f>
        <v/>
      </c>
      <c r="F305" s="82">
        <f>IF(A305="","",SUMIF('22 2026 PAKETLEME'!$B$2:$B$501,A305,'22 2026 PAKETLEME'!$G$2:$G$501))</f>
        <v/>
      </c>
      <c r="G305" s="81">
        <f>IF(A305="","",SUMIF('22 2026 PAKETLEME'!$B$2:$B$501,A305,'22 2026 PAKETLEME'!$H$2:$H$501))</f>
        <v/>
      </c>
      <c r="H305" s="81">
        <f>IF(A305="","",D305-E305-F305-G305)</f>
        <v/>
      </c>
      <c r="I305" s="82">
        <f>IF(A305="","",SUMIF('23 2026 SEVKİYAT'!$E$2:$E$501,A305,'23 2026 SEVKİYAT'!$H$2:$H$501))</f>
        <v/>
      </c>
      <c r="J305" s="81">
        <f>IF(A305="","",E305+F305-I305)</f>
        <v/>
      </c>
      <c r="K305" s="81">
        <f>IF(A305="","",D305-E305-F305-G305-H305)</f>
        <v/>
      </c>
      <c r="L305" s="58">
        <f>IF(A305="","",IF(ABS(K305)&lt;0.001,"KAPALI","KONTROL"))</f>
        <v/>
      </c>
      <c r="M305" s="56">
        <f>IF(A305="","",IF(J305&lt;0,"SEVK PAKETLEMEYİ AŞIYOR",IF(H305&lt;&gt;0,"PAKETLEME BAKİYESİ VAR","DENKLİK KAPALI")))</f>
        <v/>
      </c>
    </row>
    <row r="306" ht="15" customHeight="1">
      <c r="A306" s="60">
        <f>'21 2026 ÜRETİM'!A306</f>
        <v/>
      </c>
      <c r="B306" s="81">
        <f>IF(A306="","",'21 2026 ÜRETİM'!D306)</f>
        <v/>
      </c>
      <c r="C306" s="81">
        <f>IF(A306="","",'21 2026 ÜRETİM'!E306)</f>
        <v/>
      </c>
      <c r="D306" s="82">
        <f>IF(A306="","",'21 2026 ÜRETİM'!F306)</f>
        <v/>
      </c>
      <c r="E306" s="81">
        <f>IF(A306="","",SUMIF('22 2026 PAKETLEME'!$B$2:$B$501,A306,'22 2026 PAKETLEME'!$E$2:$E$501))</f>
        <v/>
      </c>
      <c r="F306" s="82">
        <f>IF(A306="","",SUMIF('22 2026 PAKETLEME'!$B$2:$B$501,A306,'22 2026 PAKETLEME'!$G$2:$G$501))</f>
        <v/>
      </c>
      <c r="G306" s="81">
        <f>IF(A306="","",SUMIF('22 2026 PAKETLEME'!$B$2:$B$501,A306,'22 2026 PAKETLEME'!$H$2:$H$501))</f>
        <v/>
      </c>
      <c r="H306" s="81">
        <f>IF(A306="","",D306-E306-F306-G306)</f>
        <v/>
      </c>
      <c r="I306" s="82">
        <f>IF(A306="","",SUMIF('23 2026 SEVKİYAT'!$E$2:$E$501,A306,'23 2026 SEVKİYAT'!$H$2:$H$501))</f>
        <v/>
      </c>
      <c r="J306" s="81">
        <f>IF(A306="","",E306+F306-I306)</f>
        <v/>
      </c>
      <c r="K306" s="81">
        <f>IF(A306="","",D306-E306-F306-G306-H306)</f>
        <v/>
      </c>
      <c r="L306" s="58">
        <f>IF(A306="","",IF(ABS(K306)&lt;0.001,"KAPALI","KONTROL"))</f>
        <v/>
      </c>
      <c r="M306" s="56">
        <f>IF(A306="","",IF(J306&lt;0,"SEVK PAKETLEMEYİ AŞIYOR",IF(H306&lt;&gt;0,"PAKETLEME BAKİYESİ VAR","DENKLİK KAPALI")))</f>
        <v/>
      </c>
    </row>
    <row r="307" ht="15" customHeight="1">
      <c r="A307" s="60">
        <f>'21 2026 ÜRETİM'!A307</f>
        <v/>
      </c>
      <c r="B307" s="81">
        <f>IF(A307="","",'21 2026 ÜRETİM'!D307)</f>
        <v/>
      </c>
      <c r="C307" s="81">
        <f>IF(A307="","",'21 2026 ÜRETİM'!E307)</f>
        <v/>
      </c>
      <c r="D307" s="82">
        <f>IF(A307="","",'21 2026 ÜRETİM'!F307)</f>
        <v/>
      </c>
      <c r="E307" s="81">
        <f>IF(A307="","",SUMIF('22 2026 PAKETLEME'!$B$2:$B$501,A307,'22 2026 PAKETLEME'!$E$2:$E$501))</f>
        <v/>
      </c>
      <c r="F307" s="82">
        <f>IF(A307="","",SUMIF('22 2026 PAKETLEME'!$B$2:$B$501,A307,'22 2026 PAKETLEME'!$G$2:$G$501))</f>
        <v/>
      </c>
      <c r="G307" s="81">
        <f>IF(A307="","",SUMIF('22 2026 PAKETLEME'!$B$2:$B$501,A307,'22 2026 PAKETLEME'!$H$2:$H$501))</f>
        <v/>
      </c>
      <c r="H307" s="81">
        <f>IF(A307="","",D307-E307-F307-G307)</f>
        <v/>
      </c>
      <c r="I307" s="82">
        <f>IF(A307="","",SUMIF('23 2026 SEVKİYAT'!$E$2:$E$501,A307,'23 2026 SEVKİYAT'!$H$2:$H$501))</f>
        <v/>
      </c>
      <c r="J307" s="81">
        <f>IF(A307="","",E307+F307-I307)</f>
        <v/>
      </c>
      <c r="K307" s="81">
        <f>IF(A307="","",D307-E307-F307-G307-H307)</f>
        <v/>
      </c>
      <c r="L307" s="58">
        <f>IF(A307="","",IF(ABS(K307)&lt;0.001,"KAPALI","KONTROL"))</f>
        <v/>
      </c>
      <c r="M307" s="56">
        <f>IF(A307="","",IF(J307&lt;0,"SEVK PAKETLEMEYİ AŞIYOR",IF(H307&lt;&gt;0,"PAKETLEME BAKİYESİ VAR","DENKLİK KAPALI")))</f>
        <v/>
      </c>
    </row>
    <row r="308" ht="15" customHeight="1">
      <c r="A308" s="60">
        <f>'21 2026 ÜRETİM'!A308</f>
        <v/>
      </c>
      <c r="B308" s="81">
        <f>IF(A308="","",'21 2026 ÜRETİM'!D308)</f>
        <v/>
      </c>
      <c r="C308" s="81">
        <f>IF(A308="","",'21 2026 ÜRETİM'!E308)</f>
        <v/>
      </c>
      <c r="D308" s="82">
        <f>IF(A308="","",'21 2026 ÜRETİM'!F308)</f>
        <v/>
      </c>
      <c r="E308" s="81">
        <f>IF(A308="","",SUMIF('22 2026 PAKETLEME'!$B$2:$B$501,A308,'22 2026 PAKETLEME'!$E$2:$E$501))</f>
        <v/>
      </c>
      <c r="F308" s="82">
        <f>IF(A308="","",SUMIF('22 2026 PAKETLEME'!$B$2:$B$501,A308,'22 2026 PAKETLEME'!$G$2:$G$501))</f>
        <v/>
      </c>
      <c r="G308" s="81">
        <f>IF(A308="","",SUMIF('22 2026 PAKETLEME'!$B$2:$B$501,A308,'22 2026 PAKETLEME'!$H$2:$H$501))</f>
        <v/>
      </c>
      <c r="H308" s="81">
        <f>IF(A308="","",D308-E308-F308-G308)</f>
        <v/>
      </c>
      <c r="I308" s="82">
        <f>IF(A308="","",SUMIF('23 2026 SEVKİYAT'!$E$2:$E$501,A308,'23 2026 SEVKİYAT'!$H$2:$H$501))</f>
        <v/>
      </c>
      <c r="J308" s="81">
        <f>IF(A308="","",E308+F308-I308)</f>
        <v/>
      </c>
      <c r="K308" s="81">
        <f>IF(A308="","",D308-E308-F308-G308-H308)</f>
        <v/>
      </c>
      <c r="L308" s="58">
        <f>IF(A308="","",IF(ABS(K308)&lt;0.001,"KAPALI","KONTROL"))</f>
        <v/>
      </c>
      <c r="M308" s="56">
        <f>IF(A308="","",IF(J308&lt;0,"SEVK PAKETLEMEYİ AŞIYOR",IF(H308&lt;&gt;0,"PAKETLEME BAKİYESİ VAR","DENKLİK KAPALI")))</f>
        <v/>
      </c>
    </row>
    <row r="309" ht="15" customHeight="1">
      <c r="A309" s="60">
        <f>'21 2026 ÜRETİM'!A309</f>
        <v/>
      </c>
      <c r="B309" s="81">
        <f>IF(A309="","",'21 2026 ÜRETİM'!D309)</f>
        <v/>
      </c>
      <c r="C309" s="81">
        <f>IF(A309="","",'21 2026 ÜRETİM'!E309)</f>
        <v/>
      </c>
      <c r="D309" s="82">
        <f>IF(A309="","",'21 2026 ÜRETİM'!F309)</f>
        <v/>
      </c>
      <c r="E309" s="81">
        <f>IF(A309="","",SUMIF('22 2026 PAKETLEME'!$B$2:$B$501,A309,'22 2026 PAKETLEME'!$E$2:$E$501))</f>
        <v/>
      </c>
      <c r="F309" s="82">
        <f>IF(A309="","",SUMIF('22 2026 PAKETLEME'!$B$2:$B$501,A309,'22 2026 PAKETLEME'!$G$2:$G$501))</f>
        <v/>
      </c>
      <c r="G309" s="81">
        <f>IF(A309="","",SUMIF('22 2026 PAKETLEME'!$B$2:$B$501,A309,'22 2026 PAKETLEME'!$H$2:$H$501))</f>
        <v/>
      </c>
      <c r="H309" s="81">
        <f>IF(A309="","",D309-E309-F309-G309)</f>
        <v/>
      </c>
      <c r="I309" s="82">
        <f>IF(A309="","",SUMIF('23 2026 SEVKİYAT'!$E$2:$E$501,A309,'23 2026 SEVKİYAT'!$H$2:$H$501))</f>
        <v/>
      </c>
      <c r="J309" s="81">
        <f>IF(A309="","",E309+F309-I309)</f>
        <v/>
      </c>
      <c r="K309" s="81">
        <f>IF(A309="","",D309-E309-F309-G309-H309)</f>
        <v/>
      </c>
      <c r="L309" s="58">
        <f>IF(A309="","",IF(ABS(K309)&lt;0.001,"KAPALI","KONTROL"))</f>
        <v/>
      </c>
      <c r="M309" s="56">
        <f>IF(A309="","",IF(J309&lt;0,"SEVK PAKETLEMEYİ AŞIYOR",IF(H309&lt;&gt;0,"PAKETLEME BAKİYESİ VAR","DENKLİK KAPALI")))</f>
        <v/>
      </c>
    </row>
    <row r="310" ht="15" customHeight="1">
      <c r="A310" s="60">
        <f>'21 2026 ÜRETİM'!A310</f>
        <v/>
      </c>
      <c r="B310" s="81">
        <f>IF(A310="","",'21 2026 ÜRETİM'!D310)</f>
        <v/>
      </c>
      <c r="C310" s="81">
        <f>IF(A310="","",'21 2026 ÜRETİM'!E310)</f>
        <v/>
      </c>
      <c r="D310" s="82">
        <f>IF(A310="","",'21 2026 ÜRETİM'!F310)</f>
        <v/>
      </c>
      <c r="E310" s="81">
        <f>IF(A310="","",SUMIF('22 2026 PAKETLEME'!$B$2:$B$501,A310,'22 2026 PAKETLEME'!$E$2:$E$501))</f>
        <v/>
      </c>
      <c r="F310" s="82">
        <f>IF(A310="","",SUMIF('22 2026 PAKETLEME'!$B$2:$B$501,A310,'22 2026 PAKETLEME'!$G$2:$G$501))</f>
        <v/>
      </c>
      <c r="G310" s="81">
        <f>IF(A310="","",SUMIF('22 2026 PAKETLEME'!$B$2:$B$501,A310,'22 2026 PAKETLEME'!$H$2:$H$501))</f>
        <v/>
      </c>
      <c r="H310" s="81">
        <f>IF(A310="","",D310-E310-F310-G310)</f>
        <v/>
      </c>
      <c r="I310" s="82">
        <f>IF(A310="","",SUMIF('23 2026 SEVKİYAT'!$E$2:$E$501,A310,'23 2026 SEVKİYAT'!$H$2:$H$501))</f>
        <v/>
      </c>
      <c r="J310" s="81">
        <f>IF(A310="","",E310+F310-I310)</f>
        <v/>
      </c>
      <c r="K310" s="81">
        <f>IF(A310="","",D310-E310-F310-G310-H310)</f>
        <v/>
      </c>
      <c r="L310" s="58">
        <f>IF(A310="","",IF(ABS(K310)&lt;0.001,"KAPALI","KONTROL"))</f>
        <v/>
      </c>
      <c r="M310" s="56">
        <f>IF(A310="","",IF(J310&lt;0,"SEVK PAKETLEMEYİ AŞIYOR",IF(H310&lt;&gt;0,"PAKETLEME BAKİYESİ VAR","DENKLİK KAPALI")))</f>
        <v/>
      </c>
    </row>
    <row r="311" ht="15" customHeight="1">
      <c r="A311" s="60">
        <f>'21 2026 ÜRETİM'!A311</f>
        <v/>
      </c>
      <c r="B311" s="81">
        <f>IF(A311="","",'21 2026 ÜRETİM'!D311)</f>
        <v/>
      </c>
      <c r="C311" s="81">
        <f>IF(A311="","",'21 2026 ÜRETİM'!E311)</f>
        <v/>
      </c>
      <c r="D311" s="82">
        <f>IF(A311="","",'21 2026 ÜRETİM'!F311)</f>
        <v/>
      </c>
      <c r="E311" s="81">
        <f>IF(A311="","",SUMIF('22 2026 PAKETLEME'!$B$2:$B$501,A311,'22 2026 PAKETLEME'!$E$2:$E$501))</f>
        <v/>
      </c>
      <c r="F311" s="82">
        <f>IF(A311="","",SUMIF('22 2026 PAKETLEME'!$B$2:$B$501,A311,'22 2026 PAKETLEME'!$G$2:$G$501))</f>
        <v/>
      </c>
      <c r="G311" s="81">
        <f>IF(A311="","",SUMIF('22 2026 PAKETLEME'!$B$2:$B$501,A311,'22 2026 PAKETLEME'!$H$2:$H$501))</f>
        <v/>
      </c>
      <c r="H311" s="81">
        <f>IF(A311="","",D311-E311-F311-G311)</f>
        <v/>
      </c>
      <c r="I311" s="82">
        <f>IF(A311="","",SUMIF('23 2026 SEVKİYAT'!$E$2:$E$501,A311,'23 2026 SEVKİYAT'!$H$2:$H$501))</f>
        <v/>
      </c>
      <c r="J311" s="81">
        <f>IF(A311="","",E311+F311-I311)</f>
        <v/>
      </c>
      <c r="K311" s="81">
        <f>IF(A311="","",D311-E311-F311-G311-H311)</f>
        <v/>
      </c>
      <c r="L311" s="58">
        <f>IF(A311="","",IF(ABS(K311)&lt;0.001,"KAPALI","KONTROL"))</f>
        <v/>
      </c>
      <c r="M311" s="56">
        <f>IF(A311="","",IF(J311&lt;0,"SEVK PAKETLEMEYİ AŞIYOR",IF(H311&lt;&gt;0,"PAKETLEME BAKİYESİ VAR","DENKLİK KAPALI")))</f>
        <v/>
      </c>
    </row>
    <row r="312" ht="15" customHeight="1">
      <c r="A312" s="60">
        <f>'21 2026 ÜRETİM'!A312</f>
        <v/>
      </c>
      <c r="B312" s="81">
        <f>IF(A312="","",'21 2026 ÜRETİM'!D312)</f>
        <v/>
      </c>
      <c r="C312" s="81">
        <f>IF(A312="","",'21 2026 ÜRETİM'!E312)</f>
        <v/>
      </c>
      <c r="D312" s="82">
        <f>IF(A312="","",'21 2026 ÜRETİM'!F312)</f>
        <v/>
      </c>
      <c r="E312" s="81">
        <f>IF(A312="","",SUMIF('22 2026 PAKETLEME'!$B$2:$B$501,A312,'22 2026 PAKETLEME'!$E$2:$E$501))</f>
        <v/>
      </c>
      <c r="F312" s="82">
        <f>IF(A312="","",SUMIF('22 2026 PAKETLEME'!$B$2:$B$501,A312,'22 2026 PAKETLEME'!$G$2:$G$501))</f>
        <v/>
      </c>
      <c r="G312" s="81">
        <f>IF(A312="","",SUMIF('22 2026 PAKETLEME'!$B$2:$B$501,A312,'22 2026 PAKETLEME'!$H$2:$H$501))</f>
        <v/>
      </c>
      <c r="H312" s="81">
        <f>IF(A312="","",D312-E312-F312-G312)</f>
        <v/>
      </c>
      <c r="I312" s="82">
        <f>IF(A312="","",SUMIF('23 2026 SEVKİYAT'!$E$2:$E$501,A312,'23 2026 SEVKİYAT'!$H$2:$H$501))</f>
        <v/>
      </c>
      <c r="J312" s="81">
        <f>IF(A312="","",E312+F312-I312)</f>
        <v/>
      </c>
      <c r="K312" s="81">
        <f>IF(A312="","",D312-E312-F312-G312-H312)</f>
        <v/>
      </c>
      <c r="L312" s="58">
        <f>IF(A312="","",IF(ABS(K312)&lt;0.001,"KAPALI","KONTROL"))</f>
        <v/>
      </c>
      <c r="M312" s="56">
        <f>IF(A312="","",IF(J312&lt;0,"SEVK PAKETLEMEYİ AŞIYOR",IF(H312&lt;&gt;0,"PAKETLEME BAKİYESİ VAR","DENKLİK KAPALI")))</f>
        <v/>
      </c>
    </row>
    <row r="313" ht="15" customHeight="1">
      <c r="A313" s="60">
        <f>'21 2026 ÜRETİM'!A313</f>
        <v/>
      </c>
      <c r="B313" s="81">
        <f>IF(A313="","",'21 2026 ÜRETİM'!D313)</f>
        <v/>
      </c>
      <c r="C313" s="81">
        <f>IF(A313="","",'21 2026 ÜRETİM'!E313)</f>
        <v/>
      </c>
      <c r="D313" s="82">
        <f>IF(A313="","",'21 2026 ÜRETİM'!F313)</f>
        <v/>
      </c>
      <c r="E313" s="81">
        <f>IF(A313="","",SUMIF('22 2026 PAKETLEME'!$B$2:$B$501,A313,'22 2026 PAKETLEME'!$E$2:$E$501))</f>
        <v/>
      </c>
      <c r="F313" s="82">
        <f>IF(A313="","",SUMIF('22 2026 PAKETLEME'!$B$2:$B$501,A313,'22 2026 PAKETLEME'!$G$2:$G$501))</f>
        <v/>
      </c>
      <c r="G313" s="81">
        <f>IF(A313="","",SUMIF('22 2026 PAKETLEME'!$B$2:$B$501,A313,'22 2026 PAKETLEME'!$H$2:$H$501))</f>
        <v/>
      </c>
      <c r="H313" s="81">
        <f>IF(A313="","",D313-E313-F313-G313)</f>
        <v/>
      </c>
      <c r="I313" s="82">
        <f>IF(A313="","",SUMIF('23 2026 SEVKİYAT'!$E$2:$E$501,A313,'23 2026 SEVKİYAT'!$H$2:$H$501))</f>
        <v/>
      </c>
      <c r="J313" s="81">
        <f>IF(A313="","",E313+F313-I313)</f>
        <v/>
      </c>
      <c r="K313" s="81">
        <f>IF(A313="","",D313-E313-F313-G313-H313)</f>
        <v/>
      </c>
      <c r="L313" s="58">
        <f>IF(A313="","",IF(ABS(K313)&lt;0.001,"KAPALI","KONTROL"))</f>
        <v/>
      </c>
      <c r="M313" s="56">
        <f>IF(A313="","",IF(J313&lt;0,"SEVK PAKETLEMEYİ AŞIYOR",IF(H313&lt;&gt;0,"PAKETLEME BAKİYESİ VAR","DENKLİK KAPALI")))</f>
        <v/>
      </c>
    </row>
    <row r="314" ht="15" customHeight="1">
      <c r="A314" s="60">
        <f>'21 2026 ÜRETİM'!A314</f>
        <v/>
      </c>
      <c r="B314" s="81">
        <f>IF(A314="","",'21 2026 ÜRETİM'!D314)</f>
        <v/>
      </c>
      <c r="C314" s="81">
        <f>IF(A314="","",'21 2026 ÜRETİM'!E314)</f>
        <v/>
      </c>
      <c r="D314" s="82">
        <f>IF(A314="","",'21 2026 ÜRETİM'!F314)</f>
        <v/>
      </c>
      <c r="E314" s="81">
        <f>IF(A314="","",SUMIF('22 2026 PAKETLEME'!$B$2:$B$501,A314,'22 2026 PAKETLEME'!$E$2:$E$501))</f>
        <v/>
      </c>
      <c r="F314" s="82">
        <f>IF(A314="","",SUMIF('22 2026 PAKETLEME'!$B$2:$B$501,A314,'22 2026 PAKETLEME'!$G$2:$G$501))</f>
        <v/>
      </c>
      <c r="G314" s="81">
        <f>IF(A314="","",SUMIF('22 2026 PAKETLEME'!$B$2:$B$501,A314,'22 2026 PAKETLEME'!$H$2:$H$501))</f>
        <v/>
      </c>
      <c r="H314" s="81">
        <f>IF(A314="","",D314-E314-F314-G314)</f>
        <v/>
      </c>
      <c r="I314" s="82">
        <f>IF(A314="","",SUMIF('23 2026 SEVKİYAT'!$E$2:$E$501,A314,'23 2026 SEVKİYAT'!$H$2:$H$501))</f>
        <v/>
      </c>
      <c r="J314" s="81">
        <f>IF(A314="","",E314+F314-I314)</f>
        <v/>
      </c>
      <c r="K314" s="81">
        <f>IF(A314="","",D314-E314-F314-G314-H314)</f>
        <v/>
      </c>
      <c r="L314" s="58">
        <f>IF(A314="","",IF(ABS(K314)&lt;0.001,"KAPALI","KONTROL"))</f>
        <v/>
      </c>
      <c r="M314" s="56">
        <f>IF(A314="","",IF(J314&lt;0,"SEVK PAKETLEMEYİ AŞIYOR",IF(H314&lt;&gt;0,"PAKETLEME BAKİYESİ VAR","DENKLİK KAPALI")))</f>
        <v/>
      </c>
    </row>
    <row r="315" ht="15" customHeight="1">
      <c r="A315" s="60">
        <f>'21 2026 ÜRETİM'!A315</f>
        <v/>
      </c>
      <c r="B315" s="81">
        <f>IF(A315="","",'21 2026 ÜRETİM'!D315)</f>
        <v/>
      </c>
      <c r="C315" s="81">
        <f>IF(A315="","",'21 2026 ÜRETİM'!E315)</f>
        <v/>
      </c>
      <c r="D315" s="82">
        <f>IF(A315="","",'21 2026 ÜRETİM'!F315)</f>
        <v/>
      </c>
      <c r="E315" s="81">
        <f>IF(A315="","",SUMIF('22 2026 PAKETLEME'!$B$2:$B$501,A315,'22 2026 PAKETLEME'!$E$2:$E$501))</f>
        <v/>
      </c>
      <c r="F315" s="82">
        <f>IF(A315="","",SUMIF('22 2026 PAKETLEME'!$B$2:$B$501,A315,'22 2026 PAKETLEME'!$G$2:$G$501))</f>
        <v/>
      </c>
      <c r="G315" s="81">
        <f>IF(A315="","",SUMIF('22 2026 PAKETLEME'!$B$2:$B$501,A315,'22 2026 PAKETLEME'!$H$2:$H$501))</f>
        <v/>
      </c>
      <c r="H315" s="81">
        <f>IF(A315="","",D315-E315-F315-G315)</f>
        <v/>
      </c>
      <c r="I315" s="82">
        <f>IF(A315="","",SUMIF('23 2026 SEVKİYAT'!$E$2:$E$501,A315,'23 2026 SEVKİYAT'!$H$2:$H$501))</f>
        <v/>
      </c>
      <c r="J315" s="81">
        <f>IF(A315="","",E315+F315-I315)</f>
        <v/>
      </c>
      <c r="K315" s="81">
        <f>IF(A315="","",D315-E315-F315-G315-H315)</f>
        <v/>
      </c>
      <c r="L315" s="58">
        <f>IF(A315="","",IF(ABS(K315)&lt;0.001,"KAPALI","KONTROL"))</f>
        <v/>
      </c>
      <c r="M315" s="56">
        <f>IF(A315="","",IF(J315&lt;0,"SEVK PAKETLEMEYİ AŞIYOR",IF(H315&lt;&gt;0,"PAKETLEME BAKİYESİ VAR","DENKLİK KAPALI")))</f>
        <v/>
      </c>
    </row>
    <row r="316" ht="15" customHeight="1">
      <c r="A316" s="60">
        <f>'21 2026 ÜRETİM'!A316</f>
        <v/>
      </c>
      <c r="B316" s="81">
        <f>IF(A316="","",'21 2026 ÜRETİM'!D316)</f>
        <v/>
      </c>
      <c r="C316" s="81">
        <f>IF(A316="","",'21 2026 ÜRETİM'!E316)</f>
        <v/>
      </c>
      <c r="D316" s="82">
        <f>IF(A316="","",'21 2026 ÜRETİM'!F316)</f>
        <v/>
      </c>
      <c r="E316" s="81">
        <f>IF(A316="","",SUMIF('22 2026 PAKETLEME'!$B$2:$B$501,A316,'22 2026 PAKETLEME'!$E$2:$E$501))</f>
        <v/>
      </c>
      <c r="F316" s="82">
        <f>IF(A316="","",SUMIF('22 2026 PAKETLEME'!$B$2:$B$501,A316,'22 2026 PAKETLEME'!$G$2:$G$501))</f>
        <v/>
      </c>
      <c r="G316" s="81">
        <f>IF(A316="","",SUMIF('22 2026 PAKETLEME'!$B$2:$B$501,A316,'22 2026 PAKETLEME'!$H$2:$H$501))</f>
        <v/>
      </c>
      <c r="H316" s="81">
        <f>IF(A316="","",D316-E316-F316-G316)</f>
        <v/>
      </c>
      <c r="I316" s="82">
        <f>IF(A316="","",SUMIF('23 2026 SEVKİYAT'!$E$2:$E$501,A316,'23 2026 SEVKİYAT'!$H$2:$H$501))</f>
        <v/>
      </c>
      <c r="J316" s="81">
        <f>IF(A316="","",E316+F316-I316)</f>
        <v/>
      </c>
      <c r="K316" s="81">
        <f>IF(A316="","",D316-E316-F316-G316-H316)</f>
        <v/>
      </c>
      <c r="L316" s="58">
        <f>IF(A316="","",IF(ABS(K316)&lt;0.001,"KAPALI","KONTROL"))</f>
        <v/>
      </c>
      <c r="M316" s="56">
        <f>IF(A316="","",IF(J316&lt;0,"SEVK PAKETLEMEYİ AŞIYOR",IF(H316&lt;&gt;0,"PAKETLEME BAKİYESİ VAR","DENKLİK KAPALI")))</f>
        <v/>
      </c>
    </row>
    <row r="317" ht="15" customHeight="1">
      <c r="A317" s="60">
        <f>'21 2026 ÜRETİM'!A317</f>
        <v/>
      </c>
      <c r="B317" s="81">
        <f>IF(A317="","",'21 2026 ÜRETİM'!D317)</f>
        <v/>
      </c>
      <c r="C317" s="81">
        <f>IF(A317="","",'21 2026 ÜRETİM'!E317)</f>
        <v/>
      </c>
      <c r="D317" s="82">
        <f>IF(A317="","",'21 2026 ÜRETİM'!F317)</f>
        <v/>
      </c>
      <c r="E317" s="81">
        <f>IF(A317="","",SUMIF('22 2026 PAKETLEME'!$B$2:$B$501,A317,'22 2026 PAKETLEME'!$E$2:$E$501))</f>
        <v/>
      </c>
      <c r="F317" s="82">
        <f>IF(A317="","",SUMIF('22 2026 PAKETLEME'!$B$2:$B$501,A317,'22 2026 PAKETLEME'!$G$2:$G$501))</f>
        <v/>
      </c>
      <c r="G317" s="81">
        <f>IF(A317="","",SUMIF('22 2026 PAKETLEME'!$B$2:$B$501,A317,'22 2026 PAKETLEME'!$H$2:$H$501))</f>
        <v/>
      </c>
      <c r="H317" s="81">
        <f>IF(A317="","",D317-E317-F317-G317)</f>
        <v/>
      </c>
      <c r="I317" s="82">
        <f>IF(A317="","",SUMIF('23 2026 SEVKİYAT'!$E$2:$E$501,A317,'23 2026 SEVKİYAT'!$H$2:$H$501))</f>
        <v/>
      </c>
      <c r="J317" s="81">
        <f>IF(A317="","",E317+F317-I317)</f>
        <v/>
      </c>
      <c r="K317" s="81">
        <f>IF(A317="","",D317-E317-F317-G317-H317)</f>
        <v/>
      </c>
      <c r="L317" s="58">
        <f>IF(A317="","",IF(ABS(K317)&lt;0.001,"KAPALI","KONTROL"))</f>
        <v/>
      </c>
      <c r="M317" s="56">
        <f>IF(A317="","",IF(J317&lt;0,"SEVK PAKETLEMEYİ AŞIYOR",IF(H317&lt;&gt;0,"PAKETLEME BAKİYESİ VAR","DENKLİK KAPALI")))</f>
        <v/>
      </c>
    </row>
    <row r="318" ht="15" customHeight="1">
      <c r="A318" s="60">
        <f>'21 2026 ÜRETİM'!A318</f>
        <v/>
      </c>
      <c r="B318" s="81">
        <f>IF(A318="","",'21 2026 ÜRETİM'!D318)</f>
        <v/>
      </c>
      <c r="C318" s="81">
        <f>IF(A318="","",'21 2026 ÜRETİM'!E318)</f>
        <v/>
      </c>
      <c r="D318" s="82">
        <f>IF(A318="","",'21 2026 ÜRETİM'!F318)</f>
        <v/>
      </c>
      <c r="E318" s="81">
        <f>IF(A318="","",SUMIF('22 2026 PAKETLEME'!$B$2:$B$501,A318,'22 2026 PAKETLEME'!$E$2:$E$501))</f>
        <v/>
      </c>
      <c r="F318" s="82">
        <f>IF(A318="","",SUMIF('22 2026 PAKETLEME'!$B$2:$B$501,A318,'22 2026 PAKETLEME'!$G$2:$G$501))</f>
        <v/>
      </c>
      <c r="G318" s="81">
        <f>IF(A318="","",SUMIF('22 2026 PAKETLEME'!$B$2:$B$501,A318,'22 2026 PAKETLEME'!$H$2:$H$501))</f>
        <v/>
      </c>
      <c r="H318" s="81">
        <f>IF(A318="","",D318-E318-F318-G318)</f>
        <v/>
      </c>
      <c r="I318" s="82">
        <f>IF(A318="","",SUMIF('23 2026 SEVKİYAT'!$E$2:$E$501,A318,'23 2026 SEVKİYAT'!$H$2:$H$501))</f>
        <v/>
      </c>
      <c r="J318" s="81">
        <f>IF(A318="","",E318+F318-I318)</f>
        <v/>
      </c>
      <c r="K318" s="81">
        <f>IF(A318="","",D318-E318-F318-G318-H318)</f>
        <v/>
      </c>
      <c r="L318" s="58">
        <f>IF(A318="","",IF(ABS(K318)&lt;0.001,"KAPALI","KONTROL"))</f>
        <v/>
      </c>
      <c r="M318" s="56">
        <f>IF(A318="","",IF(J318&lt;0,"SEVK PAKETLEMEYİ AŞIYOR",IF(H318&lt;&gt;0,"PAKETLEME BAKİYESİ VAR","DENKLİK KAPALI")))</f>
        <v/>
      </c>
    </row>
    <row r="319" ht="15" customHeight="1">
      <c r="A319" s="60">
        <f>'21 2026 ÜRETİM'!A319</f>
        <v/>
      </c>
      <c r="B319" s="81">
        <f>IF(A319="","",'21 2026 ÜRETİM'!D319)</f>
        <v/>
      </c>
      <c r="C319" s="81">
        <f>IF(A319="","",'21 2026 ÜRETİM'!E319)</f>
        <v/>
      </c>
      <c r="D319" s="82">
        <f>IF(A319="","",'21 2026 ÜRETİM'!F319)</f>
        <v/>
      </c>
      <c r="E319" s="81">
        <f>IF(A319="","",SUMIF('22 2026 PAKETLEME'!$B$2:$B$501,A319,'22 2026 PAKETLEME'!$E$2:$E$501))</f>
        <v/>
      </c>
      <c r="F319" s="82">
        <f>IF(A319="","",SUMIF('22 2026 PAKETLEME'!$B$2:$B$501,A319,'22 2026 PAKETLEME'!$G$2:$G$501))</f>
        <v/>
      </c>
      <c r="G319" s="81">
        <f>IF(A319="","",SUMIF('22 2026 PAKETLEME'!$B$2:$B$501,A319,'22 2026 PAKETLEME'!$H$2:$H$501))</f>
        <v/>
      </c>
      <c r="H319" s="81">
        <f>IF(A319="","",D319-E319-F319-G319)</f>
        <v/>
      </c>
      <c r="I319" s="82">
        <f>IF(A319="","",SUMIF('23 2026 SEVKİYAT'!$E$2:$E$501,A319,'23 2026 SEVKİYAT'!$H$2:$H$501))</f>
        <v/>
      </c>
      <c r="J319" s="81">
        <f>IF(A319="","",E319+F319-I319)</f>
        <v/>
      </c>
      <c r="K319" s="81">
        <f>IF(A319="","",D319-E319-F319-G319-H319)</f>
        <v/>
      </c>
      <c r="L319" s="58">
        <f>IF(A319="","",IF(ABS(K319)&lt;0.001,"KAPALI","KONTROL"))</f>
        <v/>
      </c>
      <c r="M319" s="56">
        <f>IF(A319="","",IF(J319&lt;0,"SEVK PAKETLEMEYİ AŞIYOR",IF(H319&lt;&gt;0,"PAKETLEME BAKİYESİ VAR","DENKLİK KAPALI")))</f>
        <v/>
      </c>
    </row>
    <row r="320" ht="15" customHeight="1">
      <c r="A320" s="60">
        <f>'21 2026 ÜRETİM'!A320</f>
        <v/>
      </c>
      <c r="B320" s="81">
        <f>IF(A320="","",'21 2026 ÜRETİM'!D320)</f>
        <v/>
      </c>
      <c r="C320" s="81">
        <f>IF(A320="","",'21 2026 ÜRETİM'!E320)</f>
        <v/>
      </c>
      <c r="D320" s="82">
        <f>IF(A320="","",'21 2026 ÜRETİM'!F320)</f>
        <v/>
      </c>
      <c r="E320" s="81">
        <f>IF(A320="","",SUMIF('22 2026 PAKETLEME'!$B$2:$B$501,A320,'22 2026 PAKETLEME'!$E$2:$E$501))</f>
        <v/>
      </c>
      <c r="F320" s="82">
        <f>IF(A320="","",SUMIF('22 2026 PAKETLEME'!$B$2:$B$501,A320,'22 2026 PAKETLEME'!$G$2:$G$501))</f>
        <v/>
      </c>
      <c r="G320" s="81">
        <f>IF(A320="","",SUMIF('22 2026 PAKETLEME'!$B$2:$B$501,A320,'22 2026 PAKETLEME'!$H$2:$H$501))</f>
        <v/>
      </c>
      <c r="H320" s="81">
        <f>IF(A320="","",D320-E320-F320-G320)</f>
        <v/>
      </c>
      <c r="I320" s="82">
        <f>IF(A320="","",SUMIF('23 2026 SEVKİYAT'!$E$2:$E$501,A320,'23 2026 SEVKİYAT'!$H$2:$H$501))</f>
        <v/>
      </c>
      <c r="J320" s="81">
        <f>IF(A320="","",E320+F320-I320)</f>
        <v/>
      </c>
      <c r="K320" s="81">
        <f>IF(A320="","",D320-E320-F320-G320-H320)</f>
        <v/>
      </c>
      <c r="L320" s="58">
        <f>IF(A320="","",IF(ABS(K320)&lt;0.001,"KAPALI","KONTROL"))</f>
        <v/>
      </c>
      <c r="M320" s="56">
        <f>IF(A320="","",IF(J320&lt;0,"SEVK PAKETLEMEYİ AŞIYOR",IF(H320&lt;&gt;0,"PAKETLEME BAKİYESİ VAR","DENKLİK KAPALI")))</f>
        <v/>
      </c>
    </row>
    <row r="321" ht="15" customHeight="1">
      <c r="A321" s="60">
        <f>'21 2026 ÜRETİM'!A321</f>
        <v/>
      </c>
      <c r="B321" s="81">
        <f>IF(A321="","",'21 2026 ÜRETİM'!D321)</f>
        <v/>
      </c>
      <c r="C321" s="81">
        <f>IF(A321="","",'21 2026 ÜRETİM'!E321)</f>
        <v/>
      </c>
      <c r="D321" s="82">
        <f>IF(A321="","",'21 2026 ÜRETİM'!F321)</f>
        <v/>
      </c>
      <c r="E321" s="81">
        <f>IF(A321="","",SUMIF('22 2026 PAKETLEME'!$B$2:$B$501,A321,'22 2026 PAKETLEME'!$E$2:$E$501))</f>
        <v/>
      </c>
      <c r="F321" s="82">
        <f>IF(A321="","",SUMIF('22 2026 PAKETLEME'!$B$2:$B$501,A321,'22 2026 PAKETLEME'!$G$2:$G$501))</f>
        <v/>
      </c>
      <c r="G321" s="81">
        <f>IF(A321="","",SUMIF('22 2026 PAKETLEME'!$B$2:$B$501,A321,'22 2026 PAKETLEME'!$H$2:$H$501))</f>
        <v/>
      </c>
      <c r="H321" s="81">
        <f>IF(A321="","",D321-E321-F321-G321)</f>
        <v/>
      </c>
      <c r="I321" s="82">
        <f>IF(A321="","",SUMIF('23 2026 SEVKİYAT'!$E$2:$E$501,A321,'23 2026 SEVKİYAT'!$H$2:$H$501))</f>
        <v/>
      </c>
      <c r="J321" s="81">
        <f>IF(A321="","",E321+F321-I321)</f>
        <v/>
      </c>
      <c r="K321" s="81">
        <f>IF(A321="","",D321-E321-F321-G321-H321)</f>
        <v/>
      </c>
      <c r="L321" s="58">
        <f>IF(A321="","",IF(ABS(K321)&lt;0.001,"KAPALI","KONTROL"))</f>
        <v/>
      </c>
      <c r="M321" s="56">
        <f>IF(A321="","",IF(J321&lt;0,"SEVK PAKETLEMEYİ AŞIYOR",IF(H321&lt;&gt;0,"PAKETLEME BAKİYESİ VAR","DENKLİK KAPALI")))</f>
        <v/>
      </c>
    </row>
    <row r="322" ht="15" customHeight="1">
      <c r="A322" s="60">
        <f>'21 2026 ÜRETİM'!A322</f>
        <v/>
      </c>
      <c r="B322" s="81">
        <f>IF(A322="","",'21 2026 ÜRETİM'!D322)</f>
        <v/>
      </c>
      <c r="C322" s="81">
        <f>IF(A322="","",'21 2026 ÜRETİM'!E322)</f>
        <v/>
      </c>
      <c r="D322" s="82">
        <f>IF(A322="","",'21 2026 ÜRETİM'!F322)</f>
        <v/>
      </c>
      <c r="E322" s="81">
        <f>IF(A322="","",SUMIF('22 2026 PAKETLEME'!$B$2:$B$501,A322,'22 2026 PAKETLEME'!$E$2:$E$501))</f>
        <v/>
      </c>
      <c r="F322" s="82">
        <f>IF(A322="","",SUMIF('22 2026 PAKETLEME'!$B$2:$B$501,A322,'22 2026 PAKETLEME'!$G$2:$G$501))</f>
        <v/>
      </c>
      <c r="G322" s="81">
        <f>IF(A322="","",SUMIF('22 2026 PAKETLEME'!$B$2:$B$501,A322,'22 2026 PAKETLEME'!$H$2:$H$501))</f>
        <v/>
      </c>
      <c r="H322" s="81">
        <f>IF(A322="","",D322-E322-F322-G322)</f>
        <v/>
      </c>
      <c r="I322" s="82">
        <f>IF(A322="","",SUMIF('23 2026 SEVKİYAT'!$E$2:$E$501,A322,'23 2026 SEVKİYAT'!$H$2:$H$501))</f>
        <v/>
      </c>
      <c r="J322" s="81">
        <f>IF(A322="","",E322+F322-I322)</f>
        <v/>
      </c>
      <c r="K322" s="81">
        <f>IF(A322="","",D322-E322-F322-G322-H322)</f>
        <v/>
      </c>
      <c r="L322" s="58">
        <f>IF(A322="","",IF(ABS(K322)&lt;0.001,"KAPALI","KONTROL"))</f>
        <v/>
      </c>
      <c r="M322" s="56">
        <f>IF(A322="","",IF(J322&lt;0,"SEVK PAKETLEMEYİ AŞIYOR",IF(H322&lt;&gt;0,"PAKETLEME BAKİYESİ VAR","DENKLİK KAPALI")))</f>
        <v/>
      </c>
    </row>
    <row r="323" ht="15" customHeight="1">
      <c r="A323" s="60">
        <f>'21 2026 ÜRETİM'!A323</f>
        <v/>
      </c>
      <c r="B323" s="81">
        <f>IF(A323="","",'21 2026 ÜRETİM'!D323)</f>
        <v/>
      </c>
      <c r="C323" s="81">
        <f>IF(A323="","",'21 2026 ÜRETİM'!E323)</f>
        <v/>
      </c>
      <c r="D323" s="82">
        <f>IF(A323="","",'21 2026 ÜRETİM'!F323)</f>
        <v/>
      </c>
      <c r="E323" s="81">
        <f>IF(A323="","",SUMIF('22 2026 PAKETLEME'!$B$2:$B$501,A323,'22 2026 PAKETLEME'!$E$2:$E$501))</f>
        <v/>
      </c>
      <c r="F323" s="82">
        <f>IF(A323="","",SUMIF('22 2026 PAKETLEME'!$B$2:$B$501,A323,'22 2026 PAKETLEME'!$G$2:$G$501))</f>
        <v/>
      </c>
      <c r="G323" s="81">
        <f>IF(A323="","",SUMIF('22 2026 PAKETLEME'!$B$2:$B$501,A323,'22 2026 PAKETLEME'!$H$2:$H$501))</f>
        <v/>
      </c>
      <c r="H323" s="81">
        <f>IF(A323="","",D323-E323-F323-G323)</f>
        <v/>
      </c>
      <c r="I323" s="82">
        <f>IF(A323="","",SUMIF('23 2026 SEVKİYAT'!$E$2:$E$501,A323,'23 2026 SEVKİYAT'!$H$2:$H$501))</f>
        <v/>
      </c>
      <c r="J323" s="81">
        <f>IF(A323="","",E323+F323-I323)</f>
        <v/>
      </c>
      <c r="K323" s="81">
        <f>IF(A323="","",D323-E323-F323-G323-H323)</f>
        <v/>
      </c>
      <c r="L323" s="58">
        <f>IF(A323="","",IF(ABS(K323)&lt;0.001,"KAPALI","KONTROL"))</f>
        <v/>
      </c>
      <c r="M323" s="56">
        <f>IF(A323="","",IF(J323&lt;0,"SEVK PAKETLEMEYİ AŞIYOR",IF(H323&lt;&gt;0,"PAKETLEME BAKİYESİ VAR","DENKLİK KAPALI")))</f>
        <v/>
      </c>
    </row>
    <row r="324" ht="15" customHeight="1">
      <c r="A324" s="60">
        <f>'21 2026 ÜRETİM'!A324</f>
        <v/>
      </c>
      <c r="B324" s="81">
        <f>IF(A324="","",'21 2026 ÜRETİM'!D324)</f>
        <v/>
      </c>
      <c r="C324" s="81">
        <f>IF(A324="","",'21 2026 ÜRETİM'!E324)</f>
        <v/>
      </c>
      <c r="D324" s="82">
        <f>IF(A324="","",'21 2026 ÜRETİM'!F324)</f>
        <v/>
      </c>
      <c r="E324" s="81">
        <f>IF(A324="","",SUMIF('22 2026 PAKETLEME'!$B$2:$B$501,A324,'22 2026 PAKETLEME'!$E$2:$E$501))</f>
        <v/>
      </c>
      <c r="F324" s="82">
        <f>IF(A324="","",SUMIF('22 2026 PAKETLEME'!$B$2:$B$501,A324,'22 2026 PAKETLEME'!$G$2:$G$501))</f>
        <v/>
      </c>
      <c r="G324" s="81">
        <f>IF(A324="","",SUMIF('22 2026 PAKETLEME'!$B$2:$B$501,A324,'22 2026 PAKETLEME'!$H$2:$H$501))</f>
        <v/>
      </c>
      <c r="H324" s="81">
        <f>IF(A324="","",D324-E324-F324-G324)</f>
        <v/>
      </c>
      <c r="I324" s="82">
        <f>IF(A324="","",SUMIF('23 2026 SEVKİYAT'!$E$2:$E$501,A324,'23 2026 SEVKİYAT'!$H$2:$H$501))</f>
        <v/>
      </c>
      <c r="J324" s="81">
        <f>IF(A324="","",E324+F324-I324)</f>
        <v/>
      </c>
      <c r="K324" s="81">
        <f>IF(A324="","",D324-E324-F324-G324-H324)</f>
        <v/>
      </c>
      <c r="L324" s="58">
        <f>IF(A324="","",IF(ABS(K324)&lt;0.001,"KAPALI","KONTROL"))</f>
        <v/>
      </c>
      <c r="M324" s="56">
        <f>IF(A324="","",IF(J324&lt;0,"SEVK PAKETLEMEYİ AŞIYOR",IF(H324&lt;&gt;0,"PAKETLEME BAKİYESİ VAR","DENKLİK KAPALI")))</f>
        <v/>
      </c>
    </row>
    <row r="325" ht="15" customHeight="1">
      <c r="A325" s="60">
        <f>'21 2026 ÜRETİM'!A325</f>
        <v/>
      </c>
      <c r="B325" s="81">
        <f>IF(A325="","",'21 2026 ÜRETİM'!D325)</f>
        <v/>
      </c>
      <c r="C325" s="81">
        <f>IF(A325="","",'21 2026 ÜRETİM'!E325)</f>
        <v/>
      </c>
      <c r="D325" s="82">
        <f>IF(A325="","",'21 2026 ÜRETİM'!F325)</f>
        <v/>
      </c>
      <c r="E325" s="81">
        <f>IF(A325="","",SUMIF('22 2026 PAKETLEME'!$B$2:$B$501,A325,'22 2026 PAKETLEME'!$E$2:$E$501))</f>
        <v/>
      </c>
      <c r="F325" s="82">
        <f>IF(A325="","",SUMIF('22 2026 PAKETLEME'!$B$2:$B$501,A325,'22 2026 PAKETLEME'!$G$2:$G$501))</f>
        <v/>
      </c>
      <c r="G325" s="81">
        <f>IF(A325="","",SUMIF('22 2026 PAKETLEME'!$B$2:$B$501,A325,'22 2026 PAKETLEME'!$H$2:$H$501))</f>
        <v/>
      </c>
      <c r="H325" s="81">
        <f>IF(A325="","",D325-E325-F325-G325)</f>
        <v/>
      </c>
      <c r="I325" s="82">
        <f>IF(A325="","",SUMIF('23 2026 SEVKİYAT'!$E$2:$E$501,A325,'23 2026 SEVKİYAT'!$H$2:$H$501))</f>
        <v/>
      </c>
      <c r="J325" s="81">
        <f>IF(A325="","",E325+F325-I325)</f>
        <v/>
      </c>
      <c r="K325" s="81">
        <f>IF(A325="","",D325-E325-F325-G325-H325)</f>
        <v/>
      </c>
      <c r="L325" s="58">
        <f>IF(A325="","",IF(ABS(K325)&lt;0.001,"KAPALI","KONTROL"))</f>
        <v/>
      </c>
      <c r="M325" s="56">
        <f>IF(A325="","",IF(J325&lt;0,"SEVK PAKETLEMEYİ AŞIYOR",IF(H325&lt;&gt;0,"PAKETLEME BAKİYESİ VAR","DENKLİK KAPALI")))</f>
        <v/>
      </c>
    </row>
    <row r="326" ht="15" customHeight="1">
      <c r="A326" s="60">
        <f>'21 2026 ÜRETİM'!A326</f>
        <v/>
      </c>
      <c r="B326" s="81">
        <f>IF(A326="","",'21 2026 ÜRETİM'!D326)</f>
        <v/>
      </c>
      <c r="C326" s="81">
        <f>IF(A326="","",'21 2026 ÜRETİM'!E326)</f>
        <v/>
      </c>
      <c r="D326" s="82">
        <f>IF(A326="","",'21 2026 ÜRETİM'!F326)</f>
        <v/>
      </c>
      <c r="E326" s="81">
        <f>IF(A326="","",SUMIF('22 2026 PAKETLEME'!$B$2:$B$501,A326,'22 2026 PAKETLEME'!$E$2:$E$501))</f>
        <v/>
      </c>
      <c r="F326" s="82">
        <f>IF(A326="","",SUMIF('22 2026 PAKETLEME'!$B$2:$B$501,A326,'22 2026 PAKETLEME'!$G$2:$G$501))</f>
        <v/>
      </c>
      <c r="G326" s="81">
        <f>IF(A326="","",SUMIF('22 2026 PAKETLEME'!$B$2:$B$501,A326,'22 2026 PAKETLEME'!$H$2:$H$501))</f>
        <v/>
      </c>
      <c r="H326" s="81">
        <f>IF(A326="","",D326-E326-F326-G326)</f>
        <v/>
      </c>
      <c r="I326" s="82">
        <f>IF(A326="","",SUMIF('23 2026 SEVKİYAT'!$E$2:$E$501,A326,'23 2026 SEVKİYAT'!$H$2:$H$501))</f>
        <v/>
      </c>
      <c r="J326" s="81">
        <f>IF(A326="","",E326+F326-I326)</f>
        <v/>
      </c>
      <c r="K326" s="81">
        <f>IF(A326="","",D326-E326-F326-G326-H326)</f>
        <v/>
      </c>
      <c r="L326" s="58">
        <f>IF(A326="","",IF(ABS(K326)&lt;0.001,"KAPALI","KONTROL"))</f>
        <v/>
      </c>
      <c r="M326" s="56">
        <f>IF(A326="","",IF(J326&lt;0,"SEVK PAKETLEMEYİ AŞIYOR",IF(H326&lt;&gt;0,"PAKETLEME BAKİYESİ VAR","DENKLİK KAPALI")))</f>
        <v/>
      </c>
    </row>
    <row r="327" ht="15" customHeight="1">
      <c r="A327" s="60">
        <f>'21 2026 ÜRETİM'!A327</f>
        <v/>
      </c>
      <c r="B327" s="81">
        <f>IF(A327="","",'21 2026 ÜRETİM'!D327)</f>
        <v/>
      </c>
      <c r="C327" s="81">
        <f>IF(A327="","",'21 2026 ÜRETİM'!E327)</f>
        <v/>
      </c>
      <c r="D327" s="82">
        <f>IF(A327="","",'21 2026 ÜRETİM'!F327)</f>
        <v/>
      </c>
      <c r="E327" s="81">
        <f>IF(A327="","",SUMIF('22 2026 PAKETLEME'!$B$2:$B$501,A327,'22 2026 PAKETLEME'!$E$2:$E$501))</f>
        <v/>
      </c>
      <c r="F327" s="82">
        <f>IF(A327="","",SUMIF('22 2026 PAKETLEME'!$B$2:$B$501,A327,'22 2026 PAKETLEME'!$G$2:$G$501))</f>
        <v/>
      </c>
      <c r="G327" s="81">
        <f>IF(A327="","",SUMIF('22 2026 PAKETLEME'!$B$2:$B$501,A327,'22 2026 PAKETLEME'!$H$2:$H$501))</f>
        <v/>
      </c>
      <c r="H327" s="81">
        <f>IF(A327="","",D327-E327-F327-G327)</f>
        <v/>
      </c>
      <c r="I327" s="82">
        <f>IF(A327="","",SUMIF('23 2026 SEVKİYAT'!$E$2:$E$501,A327,'23 2026 SEVKİYAT'!$H$2:$H$501))</f>
        <v/>
      </c>
      <c r="J327" s="81">
        <f>IF(A327="","",E327+F327-I327)</f>
        <v/>
      </c>
      <c r="K327" s="81">
        <f>IF(A327="","",D327-E327-F327-G327-H327)</f>
        <v/>
      </c>
      <c r="L327" s="58">
        <f>IF(A327="","",IF(ABS(K327)&lt;0.001,"KAPALI","KONTROL"))</f>
        <v/>
      </c>
      <c r="M327" s="56">
        <f>IF(A327="","",IF(J327&lt;0,"SEVK PAKETLEMEYİ AŞIYOR",IF(H327&lt;&gt;0,"PAKETLEME BAKİYESİ VAR","DENKLİK KAPALI")))</f>
        <v/>
      </c>
    </row>
    <row r="328" ht="15" customHeight="1">
      <c r="A328" s="60">
        <f>'21 2026 ÜRETİM'!A328</f>
        <v/>
      </c>
      <c r="B328" s="81">
        <f>IF(A328="","",'21 2026 ÜRETİM'!D328)</f>
        <v/>
      </c>
      <c r="C328" s="81">
        <f>IF(A328="","",'21 2026 ÜRETİM'!E328)</f>
        <v/>
      </c>
      <c r="D328" s="82">
        <f>IF(A328="","",'21 2026 ÜRETİM'!F328)</f>
        <v/>
      </c>
      <c r="E328" s="81">
        <f>IF(A328="","",SUMIF('22 2026 PAKETLEME'!$B$2:$B$501,A328,'22 2026 PAKETLEME'!$E$2:$E$501))</f>
        <v/>
      </c>
      <c r="F328" s="82">
        <f>IF(A328="","",SUMIF('22 2026 PAKETLEME'!$B$2:$B$501,A328,'22 2026 PAKETLEME'!$G$2:$G$501))</f>
        <v/>
      </c>
      <c r="G328" s="81">
        <f>IF(A328="","",SUMIF('22 2026 PAKETLEME'!$B$2:$B$501,A328,'22 2026 PAKETLEME'!$H$2:$H$501))</f>
        <v/>
      </c>
      <c r="H328" s="81">
        <f>IF(A328="","",D328-E328-F328-G328)</f>
        <v/>
      </c>
      <c r="I328" s="82">
        <f>IF(A328="","",SUMIF('23 2026 SEVKİYAT'!$E$2:$E$501,A328,'23 2026 SEVKİYAT'!$H$2:$H$501))</f>
        <v/>
      </c>
      <c r="J328" s="81">
        <f>IF(A328="","",E328+F328-I328)</f>
        <v/>
      </c>
      <c r="K328" s="81">
        <f>IF(A328="","",D328-E328-F328-G328-H328)</f>
        <v/>
      </c>
      <c r="L328" s="58">
        <f>IF(A328="","",IF(ABS(K328)&lt;0.001,"KAPALI","KONTROL"))</f>
        <v/>
      </c>
      <c r="M328" s="56">
        <f>IF(A328="","",IF(J328&lt;0,"SEVK PAKETLEMEYİ AŞIYOR",IF(H328&lt;&gt;0,"PAKETLEME BAKİYESİ VAR","DENKLİK KAPALI")))</f>
        <v/>
      </c>
    </row>
    <row r="329" ht="15" customHeight="1">
      <c r="A329" s="60">
        <f>'21 2026 ÜRETİM'!A329</f>
        <v/>
      </c>
      <c r="B329" s="81">
        <f>IF(A329="","",'21 2026 ÜRETİM'!D329)</f>
        <v/>
      </c>
      <c r="C329" s="81">
        <f>IF(A329="","",'21 2026 ÜRETİM'!E329)</f>
        <v/>
      </c>
      <c r="D329" s="82">
        <f>IF(A329="","",'21 2026 ÜRETİM'!F329)</f>
        <v/>
      </c>
      <c r="E329" s="81">
        <f>IF(A329="","",SUMIF('22 2026 PAKETLEME'!$B$2:$B$501,A329,'22 2026 PAKETLEME'!$E$2:$E$501))</f>
        <v/>
      </c>
      <c r="F329" s="82">
        <f>IF(A329="","",SUMIF('22 2026 PAKETLEME'!$B$2:$B$501,A329,'22 2026 PAKETLEME'!$G$2:$G$501))</f>
        <v/>
      </c>
      <c r="G329" s="81">
        <f>IF(A329="","",SUMIF('22 2026 PAKETLEME'!$B$2:$B$501,A329,'22 2026 PAKETLEME'!$H$2:$H$501))</f>
        <v/>
      </c>
      <c r="H329" s="81">
        <f>IF(A329="","",D329-E329-F329-G329)</f>
        <v/>
      </c>
      <c r="I329" s="82">
        <f>IF(A329="","",SUMIF('23 2026 SEVKİYAT'!$E$2:$E$501,A329,'23 2026 SEVKİYAT'!$H$2:$H$501))</f>
        <v/>
      </c>
      <c r="J329" s="81">
        <f>IF(A329="","",E329+F329-I329)</f>
        <v/>
      </c>
      <c r="K329" s="81">
        <f>IF(A329="","",D329-E329-F329-G329-H329)</f>
        <v/>
      </c>
      <c r="L329" s="58">
        <f>IF(A329="","",IF(ABS(K329)&lt;0.001,"KAPALI","KONTROL"))</f>
        <v/>
      </c>
      <c r="M329" s="56">
        <f>IF(A329="","",IF(J329&lt;0,"SEVK PAKETLEMEYİ AŞIYOR",IF(H329&lt;&gt;0,"PAKETLEME BAKİYESİ VAR","DENKLİK KAPALI")))</f>
        <v/>
      </c>
    </row>
    <row r="330" ht="15" customHeight="1">
      <c r="A330" s="60">
        <f>'21 2026 ÜRETİM'!A330</f>
        <v/>
      </c>
      <c r="B330" s="81">
        <f>IF(A330="","",'21 2026 ÜRETİM'!D330)</f>
        <v/>
      </c>
      <c r="C330" s="81">
        <f>IF(A330="","",'21 2026 ÜRETİM'!E330)</f>
        <v/>
      </c>
      <c r="D330" s="82">
        <f>IF(A330="","",'21 2026 ÜRETİM'!F330)</f>
        <v/>
      </c>
      <c r="E330" s="81">
        <f>IF(A330="","",SUMIF('22 2026 PAKETLEME'!$B$2:$B$501,A330,'22 2026 PAKETLEME'!$E$2:$E$501))</f>
        <v/>
      </c>
      <c r="F330" s="82">
        <f>IF(A330="","",SUMIF('22 2026 PAKETLEME'!$B$2:$B$501,A330,'22 2026 PAKETLEME'!$G$2:$G$501))</f>
        <v/>
      </c>
      <c r="G330" s="81">
        <f>IF(A330="","",SUMIF('22 2026 PAKETLEME'!$B$2:$B$501,A330,'22 2026 PAKETLEME'!$H$2:$H$501))</f>
        <v/>
      </c>
      <c r="H330" s="81">
        <f>IF(A330="","",D330-E330-F330-G330)</f>
        <v/>
      </c>
      <c r="I330" s="82">
        <f>IF(A330="","",SUMIF('23 2026 SEVKİYAT'!$E$2:$E$501,A330,'23 2026 SEVKİYAT'!$H$2:$H$501))</f>
        <v/>
      </c>
      <c r="J330" s="81">
        <f>IF(A330="","",E330+F330-I330)</f>
        <v/>
      </c>
      <c r="K330" s="81">
        <f>IF(A330="","",D330-E330-F330-G330-H330)</f>
        <v/>
      </c>
      <c r="L330" s="58">
        <f>IF(A330="","",IF(ABS(K330)&lt;0.001,"KAPALI","KONTROL"))</f>
        <v/>
      </c>
      <c r="M330" s="56">
        <f>IF(A330="","",IF(J330&lt;0,"SEVK PAKETLEMEYİ AŞIYOR",IF(H330&lt;&gt;0,"PAKETLEME BAKİYESİ VAR","DENKLİK KAPALI")))</f>
        <v/>
      </c>
    </row>
    <row r="331" ht="15" customHeight="1">
      <c r="A331" s="60">
        <f>'21 2026 ÜRETİM'!A331</f>
        <v/>
      </c>
      <c r="B331" s="81">
        <f>IF(A331="","",'21 2026 ÜRETİM'!D331)</f>
        <v/>
      </c>
      <c r="C331" s="81">
        <f>IF(A331="","",'21 2026 ÜRETİM'!E331)</f>
        <v/>
      </c>
      <c r="D331" s="82">
        <f>IF(A331="","",'21 2026 ÜRETİM'!F331)</f>
        <v/>
      </c>
      <c r="E331" s="81">
        <f>IF(A331="","",SUMIF('22 2026 PAKETLEME'!$B$2:$B$501,A331,'22 2026 PAKETLEME'!$E$2:$E$501))</f>
        <v/>
      </c>
      <c r="F331" s="82">
        <f>IF(A331="","",SUMIF('22 2026 PAKETLEME'!$B$2:$B$501,A331,'22 2026 PAKETLEME'!$G$2:$G$501))</f>
        <v/>
      </c>
      <c r="G331" s="81">
        <f>IF(A331="","",SUMIF('22 2026 PAKETLEME'!$B$2:$B$501,A331,'22 2026 PAKETLEME'!$H$2:$H$501))</f>
        <v/>
      </c>
      <c r="H331" s="81">
        <f>IF(A331="","",D331-E331-F331-G331)</f>
        <v/>
      </c>
      <c r="I331" s="82">
        <f>IF(A331="","",SUMIF('23 2026 SEVKİYAT'!$E$2:$E$501,A331,'23 2026 SEVKİYAT'!$H$2:$H$501))</f>
        <v/>
      </c>
      <c r="J331" s="81">
        <f>IF(A331="","",E331+F331-I331)</f>
        <v/>
      </c>
      <c r="K331" s="81">
        <f>IF(A331="","",D331-E331-F331-G331-H331)</f>
        <v/>
      </c>
      <c r="L331" s="58">
        <f>IF(A331="","",IF(ABS(K331)&lt;0.001,"KAPALI","KONTROL"))</f>
        <v/>
      </c>
      <c r="M331" s="56">
        <f>IF(A331="","",IF(J331&lt;0,"SEVK PAKETLEMEYİ AŞIYOR",IF(H331&lt;&gt;0,"PAKETLEME BAKİYESİ VAR","DENKLİK KAPALI")))</f>
        <v/>
      </c>
    </row>
    <row r="332" ht="15" customHeight="1">
      <c r="A332" s="60">
        <f>'21 2026 ÜRETİM'!A332</f>
        <v/>
      </c>
      <c r="B332" s="81">
        <f>IF(A332="","",'21 2026 ÜRETİM'!D332)</f>
        <v/>
      </c>
      <c r="C332" s="81">
        <f>IF(A332="","",'21 2026 ÜRETİM'!E332)</f>
        <v/>
      </c>
      <c r="D332" s="82">
        <f>IF(A332="","",'21 2026 ÜRETİM'!F332)</f>
        <v/>
      </c>
      <c r="E332" s="81">
        <f>IF(A332="","",SUMIF('22 2026 PAKETLEME'!$B$2:$B$501,A332,'22 2026 PAKETLEME'!$E$2:$E$501))</f>
        <v/>
      </c>
      <c r="F332" s="82">
        <f>IF(A332="","",SUMIF('22 2026 PAKETLEME'!$B$2:$B$501,A332,'22 2026 PAKETLEME'!$G$2:$G$501))</f>
        <v/>
      </c>
      <c r="G332" s="81">
        <f>IF(A332="","",SUMIF('22 2026 PAKETLEME'!$B$2:$B$501,A332,'22 2026 PAKETLEME'!$H$2:$H$501))</f>
        <v/>
      </c>
      <c r="H332" s="81">
        <f>IF(A332="","",D332-E332-F332-G332)</f>
        <v/>
      </c>
      <c r="I332" s="82">
        <f>IF(A332="","",SUMIF('23 2026 SEVKİYAT'!$E$2:$E$501,A332,'23 2026 SEVKİYAT'!$H$2:$H$501))</f>
        <v/>
      </c>
      <c r="J332" s="81">
        <f>IF(A332="","",E332+F332-I332)</f>
        <v/>
      </c>
      <c r="K332" s="81">
        <f>IF(A332="","",D332-E332-F332-G332-H332)</f>
        <v/>
      </c>
      <c r="L332" s="58">
        <f>IF(A332="","",IF(ABS(K332)&lt;0.001,"KAPALI","KONTROL"))</f>
        <v/>
      </c>
      <c r="M332" s="56">
        <f>IF(A332="","",IF(J332&lt;0,"SEVK PAKETLEMEYİ AŞIYOR",IF(H332&lt;&gt;0,"PAKETLEME BAKİYESİ VAR","DENKLİK KAPALI")))</f>
        <v/>
      </c>
    </row>
    <row r="333" ht="15" customHeight="1">
      <c r="A333" s="60">
        <f>'21 2026 ÜRETİM'!A333</f>
        <v/>
      </c>
      <c r="B333" s="81">
        <f>IF(A333="","",'21 2026 ÜRETİM'!D333)</f>
        <v/>
      </c>
      <c r="C333" s="81">
        <f>IF(A333="","",'21 2026 ÜRETİM'!E333)</f>
        <v/>
      </c>
      <c r="D333" s="82">
        <f>IF(A333="","",'21 2026 ÜRETİM'!F333)</f>
        <v/>
      </c>
      <c r="E333" s="81">
        <f>IF(A333="","",SUMIF('22 2026 PAKETLEME'!$B$2:$B$501,A333,'22 2026 PAKETLEME'!$E$2:$E$501))</f>
        <v/>
      </c>
      <c r="F333" s="82">
        <f>IF(A333="","",SUMIF('22 2026 PAKETLEME'!$B$2:$B$501,A333,'22 2026 PAKETLEME'!$G$2:$G$501))</f>
        <v/>
      </c>
      <c r="G333" s="81">
        <f>IF(A333="","",SUMIF('22 2026 PAKETLEME'!$B$2:$B$501,A333,'22 2026 PAKETLEME'!$H$2:$H$501))</f>
        <v/>
      </c>
      <c r="H333" s="81">
        <f>IF(A333="","",D333-E333-F333-G333)</f>
        <v/>
      </c>
      <c r="I333" s="82">
        <f>IF(A333="","",SUMIF('23 2026 SEVKİYAT'!$E$2:$E$501,A333,'23 2026 SEVKİYAT'!$H$2:$H$501))</f>
        <v/>
      </c>
      <c r="J333" s="81">
        <f>IF(A333="","",E333+F333-I333)</f>
        <v/>
      </c>
      <c r="K333" s="81">
        <f>IF(A333="","",D333-E333-F333-G333-H333)</f>
        <v/>
      </c>
      <c r="L333" s="58">
        <f>IF(A333="","",IF(ABS(K333)&lt;0.001,"KAPALI","KONTROL"))</f>
        <v/>
      </c>
      <c r="M333" s="56">
        <f>IF(A333="","",IF(J333&lt;0,"SEVK PAKETLEMEYİ AŞIYOR",IF(H333&lt;&gt;0,"PAKETLEME BAKİYESİ VAR","DENKLİK KAPALI")))</f>
        <v/>
      </c>
    </row>
    <row r="334" ht="15" customHeight="1">
      <c r="A334" s="60">
        <f>'21 2026 ÜRETİM'!A334</f>
        <v/>
      </c>
      <c r="B334" s="81">
        <f>IF(A334="","",'21 2026 ÜRETİM'!D334)</f>
        <v/>
      </c>
      <c r="C334" s="81">
        <f>IF(A334="","",'21 2026 ÜRETİM'!E334)</f>
        <v/>
      </c>
      <c r="D334" s="82">
        <f>IF(A334="","",'21 2026 ÜRETİM'!F334)</f>
        <v/>
      </c>
      <c r="E334" s="81">
        <f>IF(A334="","",SUMIF('22 2026 PAKETLEME'!$B$2:$B$501,A334,'22 2026 PAKETLEME'!$E$2:$E$501))</f>
        <v/>
      </c>
      <c r="F334" s="82">
        <f>IF(A334="","",SUMIF('22 2026 PAKETLEME'!$B$2:$B$501,A334,'22 2026 PAKETLEME'!$G$2:$G$501))</f>
        <v/>
      </c>
      <c r="G334" s="81">
        <f>IF(A334="","",SUMIF('22 2026 PAKETLEME'!$B$2:$B$501,A334,'22 2026 PAKETLEME'!$H$2:$H$501))</f>
        <v/>
      </c>
      <c r="H334" s="81">
        <f>IF(A334="","",D334-E334-F334-G334)</f>
        <v/>
      </c>
      <c r="I334" s="82">
        <f>IF(A334="","",SUMIF('23 2026 SEVKİYAT'!$E$2:$E$501,A334,'23 2026 SEVKİYAT'!$H$2:$H$501))</f>
        <v/>
      </c>
      <c r="J334" s="81">
        <f>IF(A334="","",E334+F334-I334)</f>
        <v/>
      </c>
      <c r="K334" s="81">
        <f>IF(A334="","",D334-E334-F334-G334-H334)</f>
        <v/>
      </c>
      <c r="L334" s="58">
        <f>IF(A334="","",IF(ABS(K334)&lt;0.001,"KAPALI","KONTROL"))</f>
        <v/>
      </c>
      <c r="M334" s="56">
        <f>IF(A334="","",IF(J334&lt;0,"SEVK PAKETLEMEYİ AŞIYOR",IF(H334&lt;&gt;0,"PAKETLEME BAKİYESİ VAR","DENKLİK KAPALI")))</f>
        <v/>
      </c>
    </row>
    <row r="335" ht="15" customHeight="1">
      <c r="A335" s="60">
        <f>'21 2026 ÜRETİM'!A335</f>
        <v/>
      </c>
      <c r="B335" s="81">
        <f>IF(A335="","",'21 2026 ÜRETİM'!D335)</f>
        <v/>
      </c>
      <c r="C335" s="81">
        <f>IF(A335="","",'21 2026 ÜRETİM'!E335)</f>
        <v/>
      </c>
      <c r="D335" s="82">
        <f>IF(A335="","",'21 2026 ÜRETİM'!F335)</f>
        <v/>
      </c>
      <c r="E335" s="81">
        <f>IF(A335="","",SUMIF('22 2026 PAKETLEME'!$B$2:$B$501,A335,'22 2026 PAKETLEME'!$E$2:$E$501))</f>
        <v/>
      </c>
      <c r="F335" s="82">
        <f>IF(A335="","",SUMIF('22 2026 PAKETLEME'!$B$2:$B$501,A335,'22 2026 PAKETLEME'!$G$2:$G$501))</f>
        <v/>
      </c>
      <c r="G335" s="81">
        <f>IF(A335="","",SUMIF('22 2026 PAKETLEME'!$B$2:$B$501,A335,'22 2026 PAKETLEME'!$H$2:$H$501))</f>
        <v/>
      </c>
      <c r="H335" s="81">
        <f>IF(A335="","",D335-E335-F335-G335)</f>
        <v/>
      </c>
      <c r="I335" s="82">
        <f>IF(A335="","",SUMIF('23 2026 SEVKİYAT'!$E$2:$E$501,A335,'23 2026 SEVKİYAT'!$H$2:$H$501))</f>
        <v/>
      </c>
      <c r="J335" s="81">
        <f>IF(A335="","",E335+F335-I335)</f>
        <v/>
      </c>
      <c r="K335" s="81">
        <f>IF(A335="","",D335-E335-F335-G335-H335)</f>
        <v/>
      </c>
      <c r="L335" s="58">
        <f>IF(A335="","",IF(ABS(K335)&lt;0.001,"KAPALI","KONTROL"))</f>
        <v/>
      </c>
      <c r="M335" s="56">
        <f>IF(A335="","",IF(J335&lt;0,"SEVK PAKETLEMEYİ AŞIYOR",IF(H335&lt;&gt;0,"PAKETLEME BAKİYESİ VAR","DENKLİK KAPALI")))</f>
        <v/>
      </c>
    </row>
    <row r="336" ht="15" customHeight="1">
      <c r="A336" s="60">
        <f>'21 2026 ÜRETİM'!A336</f>
        <v/>
      </c>
      <c r="B336" s="81">
        <f>IF(A336="","",'21 2026 ÜRETİM'!D336)</f>
        <v/>
      </c>
      <c r="C336" s="81">
        <f>IF(A336="","",'21 2026 ÜRETİM'!E336)</f>
        <v/>
      </c>
      <c r="D336" s="82">
        <f>IF(A336="","",'21 2026 ÜRETİM'!F336)</f>
        <v/>
      </c>
      <c r="E336" s="81">
        <f>IF(A336="","",SUMIF('22 2026 PAKETLEME'!$B$2:$B$501,A336,'22 2026 PAKETLEME'!$E$2:$E$501))</f>
        <v/>
      </c>
      <c r="F336" s="82">
        <f>IF(A336="","",SUMIF('22 2026 PAKETLEME'!$B$2:$B$501,A336,'22 2026 PAKETLEME'!$G$2:$G$501))</f>
        <v/>
      </c>
      <c r="G336" s="81">
        <f>IF(A336="","",SUMIF('22 2026 PAKETLEME'!$B$2:$B$501,A336,'22 2026 PAKETLEME'!$H$2:$H$501))</f>
        <v/>
      </c>
      <c r="H336" s="81">
        <f>IF(A336="","",D336-E336-F336-G336)</f>
        <v/>
      </c>
      <c r="I336" s="82">
        <f>IF(A336="","",SUMIF('23 2026 SEVKİYAT'!$E$2:$E$501,A336,'23 2026 SEVKİYAT'!$H$2:$H$501))</f>
        <v/>
      </c>
      <c r="J336" s="81">
        <f>IF(A336="","",E336+F336-I336)</f>
        <v/>
      </c>
      <c r="K336" s="81">
        <f>IF(A336="","",D336-E336-F336-G336-H336)</f>
        <v/>
      </c>
      <c r="L336" s="58">
        <f>IF(A336="","",IF(ABS(K336)&lt;0.001,"KAPALI","KONTROL"))</f>
        <v/>
      </c>
      <c r="M336" s="56">
        <f>IF(A336="","",IF(J336&lt;0,"SEVK PAKETLEMEYİ AŞIYOR",IF(H336&lt;&gt;0,"PAKETLEME BAKİYESİ VAR","DENKLİK KAPALI")))</f>
        <v/>
      </c>
    </row>
    <row r="337" ht="15" customHeight="1">
      <c r="A337" s="60">
        <f>'21 2026 ÜRETİM'!A337</f>
        <v/>
      </c>
      <c r="B337" s="81">
        <f>IF(A337="","",'21 2026 ÜRETİM'!D337)</f>
        <v/>
      </c>
      <c r="C337" s="81">
        <f>IF(A337="","",'21 2026 ÜRETİM'!E337)</f>
        <v/>
      </c>
      <c r="D337" s="82">
        <f>IF(A337="","",'21 2026 ÜRETİM'!F337)</f>
        <v/>
      </c>
      <c r="E337" s="81">
        <f>IF(A337="","",SUMIF('22 2026 PAKETLEME'!$B$2:$B$501,A337,'22 2026 PAKETLEME'!$E$2:$E$501))</f>
        <v/>
      </c>
      <c r="F337" s="82">
        <f>IF(A337="","",SUMIF('22 2026 PAKETLEME'!$B$2:$B$501,A337,'22 2026 PAKETLEME'!$G$2:$G$501))</f>
        <v/>
      </c>
      <c r="G337" s="81">
        <f>IF(A337="","",SUMIF('22 2026 PAKETLEME'!$B$2:$B$501,A337,'22 2026 PAKETLEME'!$H$2:$H$501))</f>
        <v/>
      </c>
      <c r="H337" s="81">
        <f>IF(A337="","",D337-E337-F337-G337)</f>
        <v/>
      </c>
      <c r="I337" s="82">
        <f>IF(A337="","",SUMIF('23 2026 SEVKİYAT'!$E$2:$E$501,A337,'23 2026 SEVKİYAT'!$H$2:$H$501))</f>
        <v/>
      </c>
      <c r="J337" s="81">
        <f>IF(A337="","",E337+F337-I337)</f>
        <v/>
      </c>
      <c r="K337" s="81">
        <f>IF(A337="","",D337-E337-F337-G337-H337)</f>
        <v/>
      </c>
      <c r="L337" s="58">
        <f>IF(A337="","",IF(ABS(K337)&lt;0.001,"KAPALI","KONTROL"))</f>
        <v/>
      </c>
      <c r="M337" s="56">
        <f>IF(A337="","",IF(J337&lt;0,"SEVK PAKETLEMEYİ AŞIYOR",IF(H337&lt;&gt;0,"PAKETLEME BAKİYESİ VAR","DENKLİK KAPALI")))</f>
        <v/>
      </c>
    </row>
    <row r="338" ht="15" customHeight="1">
      <c r="A338" s="60">
        <f>'21 2026 ÜRETİM'!A338</f>
        <v/>
      </c>
      <c r="B338" s="81">
        <f>IF(A338="","",'21 2026 ÜRETİM'!D338)</f>
        <v/>
      </c>
      <c r="C338" s="81">
        <f>IF(A338="","",'21 2026 ÜRETİM'!E338)</f>
        <v/>
      </c>
      <c r="D338" s="82">
        <f>IF(A338="","",'21 2026 ÜRETİM'!F338)</f>
        <v/>
      </c>
      <c r="E338" s="81">
        <f>IF(A338="","",SUMIF('22 2026 PAKETLEME'!$B$2:$B$501,A338,'22 2026 PAKETLEME'!$E$2:$E$501))</f>
        <v/>
      </c>
      <c r="F338" s="82">
        <f>IF(A338="","",SUMIF('22 2026 PAKETLEME'!$B$2:$B$501,A338,'22 2026 PAKETLEME'!$G$2:$G$501))</f>
        <v/>
      </c>
      <c r="G338" s="81">
        <f>IF(A338="","",SUMIF('22 2026 PAKETLEME'!$B$2:$B$501,A338,'22 2026 PAKETLEME'!$H$2:$H$501))</f>
        <v/>
      </c>
      <c r="H338" s="81">
        <f>IF(A338="","",D338-E338-F338-G338)</f>
        <v/>
      </c>
      <c r="I338" s="82">
        <f>IF(A338="","",SUMIF('23 2026 SEVKİYAT'!$E$2:$E$501,A338,'23 2026 SEVKİYAT'!$H$2:$H$501))</f>
        <v/>
      </c>
      <c r="J338" s="81">
        <f>IF(A338="","",E338+F338-I338)</f>
        <v/>
      </c>
      <c r="K338" s="81">
        <f>IF(A338="","",D338-E338-F338-G338-H338)</f>
        <v/>
      </c>
      <c r="L338" s="58">
        <f>IF(A338="","",IF(ABS(K338)&lt;0.001,"KAPALI","KONTROL"))</f>
        <v/>
      </c>
      <c r="M338" s="56">
        <f>IF(A338="","",IF(J338&lt;0,"SEVK PAKETLEMEYİ AŞIYOR",IF(H338&lt;&gt;0,"PAKETLEME BAKİYESİ VAR","DENKLİK KAPALI")))</f>
        <v/>
      </c>
    </row>
    <row r="339" ht="15" customHeight="1">
      <c r="A339" s="60">
        <f>'21 2026 ÜRETİM'!A339</f>
        <v/>
      </c>
      <c r="B339" s="81">
        <f>IF(A339="","",'21 2026 ÜRETİM'!D339)</f>
        <v/>
      </c>
      <c r="C339" s="81">
        <f>IF(A339="","",'21 2026 ÜRETİM'!E339)</f>
        <v/>
      </c>
      <c r="D339" s="82">
        <f>IF(A339="","",'21 2026 ÜRETİM'!F339)</f>
        <v/>
      </c>
      <c r="E339" s="81">
        <f>IF(A339="","",SUMIF('22 2026 PAKETLEME'!$B$2:$B$501,A339,'22 2026 PAKETLEME'!$E$2:$E$501))</f>
        <v/>
      </c>
      <c r="F339" s="82">
        <f>IF(A339="","",SUMIF('22 2026 PAKETLEME'!$B$2:$B$501,A339,'22 2026 PAKETLEME'!$G$2:$G$501))</f>
        <v/>
      </c>
      <c r="G339" s="81">
        <f>IF(A339="","",SUMIF('22 2026 PAKETLEME'!$B$2:$B$501,A339,'22 2026 PAKETLEME'!$H$2:$H$501))</f>
        <v/>
      </c>
      <c r="H339" s="81">
        <f>IF(A339="","",D339-E339-F339-G339)</f>
        <v/>
      </c>
      <c r="I339" s="82">
        <f>IF(A339="","",SUMIF('23 2026 SEVKİYAT'!$E$2:$E$501,A339,'23 2026 SEVKİYAT'!$H$2:$H$501))</f>
        <v/>
      </c>
      <c r="J339" s="81">
        <f>IF(A339="","",E339+F339-I339)</f>
        <v/>
      </c>
      <c r="K339" s="81">
        <f>IF(A339="","",D339-E339-F339-G339-H339)</f>
        <v/>
      </c>
      <c r="L339" s="58">
        <f>IF(A339="","",IF(ABS(K339)&lt;0.001,"KAPALI","KONTROL"))</f>
        <v/>
      </c>
      <c r="M339" s="56">
        <f>IF(A339="","",IF(J339&lt;0,"SEVK PAKETLEMEYİ AŞIYOR",IF(H339&lt;&gt;0,"PAKETLEME BAKİYESİ VAR","DENKLİK KAPALI")))</f>
        <v/>
      </c>
    </row>
    <row r="340" ht="15" customHeight="1">
      <c r="A340" s="60">
        <f>'21 2026 ÜRETİM'!A340</f>
        <v/>
      </c>
      <c r="B340" s="81">
        <f>IF(A340="","",'21 2026 ÜRETİM'!D340)</f>
        <v/>
      </c>
      <c r="C340" s="81">
        <f>IF(A340="","",'21 2026 ÜRETİM'!E340)</f>
        <v/>
      </c>
      <c r="D340" s="82">
        <f>IF(A340="","",'21 2026 ÜRETİM'!F340)</f>
        <v/>
      </c>
      <c r="E340" s="81">
        <f>IF(A340="","",SUMIF('22 2026 PAKETLEME'!$B$2:$B$501,A340,'22 2026 PAKETLEME'!$E$2:$E$501))</f>
        <v/>
      </c>
      <c r="F340" s="82">
        <f>IF(A340="","",SUMIF('22 2026 PAKETLEME'!$B$2:$B$501,A340,'22 2026 PAKETLEME'!$G$2:$G$501))</f>
        <v/>
      </c>
      <c r="G340" s="81">
        <f>IF(A340="","",SUMIF('22 2026 PAKETLEME'!$B$2:$B$501,A340,'22 2026 PAKETLEME'!$H$2:$H$501))</f>
        <v/>
      </c>
      <c r="H340" s="81">
        <f>IF(A340="","",D340-E340-F340-G340)</f>
        <v/>
      </c>
      <c r="I340" s="82">
        <f>IF(A340="","",SUMIF('23 2026 SEVKİYAT'!$E$2:$E$501,A340,'23 2026 SEVKİYAT'!$H$2:$H$501))</f>
        <v/>
      </c>
      <c r="J340" s="81">
        <f>IF(A340="","",E340+F340-I340)</f>
        <v/>
      </c>
      <c r="K340" s="81">
        <f>IF(A340="","",D340-E340-F340-G340-H340)</f>
        <v/>
      </c>
      <c r="L340" s="58">
        <f>IF(A340="","",IF(ABS(K340)&lt;0.001,"KAPALI","KONTROL"))</f>
        <v/>
      </c>
      <c r="M340" s="56">
        <f>IF(A340="","",IF(J340&lt;0,"SEVK PAKETLEMEYİ AŞIYOR",IF(H340&lt;&gt;0,"PAKETLEME BAKİYESİ VAR","DENKLİK KAPALI")))</f>
        <v/>
      </c>
    </row>
    <row r="341" ht="15" customHeight="1">
      <c r="A341" s="60">
        <f>'21 2026 ÜRETİM'!A341</f>
        <v/>
      </c>
      <c r="B341" s="81">
        <f>IF(A341="","",'21 2026 ÜRETİM'!D341)</f>
        <v/>
      </c>
      <c r="C341" s="81">
        <f>IF(A341="","",'21 2026 ÜRETİM'!E341)</f>
        <v/>
      </c>
      <c r="D341" s="82">
        <f>IF(A341="","",'21 2026 ÜRETİM'!F341)</f>
        <v/>
      </c>
      <c r="E341" s="81">
        <f>IF(A341="","",SUMIF('22 2026 PAKETLEME'!$B$2:$B$501,A341,'22 2026 PAKETLEME'!$E$2:$E$501))</f>
        <v/>
      </c>
      <c r="F341" s="82">
        <f>IF(A341="","",SUMIF('22 2026 PAKETLEME'!$B$2:$B$501,A341,'22 2026 PAKETLEME'!$G$2:$G$501))</f>
        <v/>
      </c>
      <c r="G341" s="81">
        <f>IF(A341="","",SUMIF('22 2026 PAKETLEME'!$B$2:$B$501,A341,'22 2026 PAKETLEME'!$H$2:$H$501))</f>
        <v/>
      </c>
      <c r="H341" s="81">
        <f>IF(A341="","",D341-E341-F341-G341)</f>
        <v/>
      </c>
      <c r="I341" s="82">
        <f>IF(A341="","",SUMIF('23 2026 SEVKİYAT'!$E$2:$E$501,A341,'23 2026 SEVKİYAT'!$H$2:$H$501))</f>
        <v/>
      </c>
      <c r="J341" s="81">
        <f>IF(A341="","",E341+F341-I341)</f>
        <v/>
      </c>
      <c r="K341" s="81">
        <f>IF(A341="","",D341-E341-F341-G341-H341)</f>
        <v/>
      </c>
      <c r="L341" s="58">
        <f>IF(A341="","",IF(ABS(K341)&lt;0.001,"KAPALI","KONTROL"))</f>
        <v/>
      </c>
      <c r="M341" s="56">
        <f>IF(A341="","",IF(J341&lt;0,"SEVK PAKETLEMEYİ AŞIYOR",IF(H341&lt;&gt;0,"PAKETLEME BAKİYESİ VAR","DENKLİK KAPALI")))</f>
        <v/>
      </c>
    </row>
    <row r="342" ht="15" customHeight="1">
      <c r="A342" s="60">
        <f>'21 2026 ÜRETİM'!A342</f>
        <v/>
      </c>
      <c r="B342" s="81">
        <f>IF(A342="","",'21 2026 ÜRETİM'!D342)</f>
        <v/>
      </c>
      <c r="C342" s="81">
        <f>IF(A342="","",'21 2026 ÜRETİM'!E342)</f>
        <v/>
      </c>
      <c r="D342" s="82">
        <f>IF(A342="","",'21 2026 ÜRETİM'!F342)</f>
        <v/>
      </c>
      <c r="E342" s="81">
        <f>IF(A342="","",SUMIF('22 2026 PAKETLEME'!$B$2:$B$501,A342,'22 2026 PAKETLEME'!$E$2:$E$501))</f>
        <v/>
      </c>
      <c r="F342" s="82">
        <f>IF(A342="","",SUMIF('22 2026 PAKETLEME'!$B$2:$B$501,A342,'22 2026 PAKETLEME'!$G$2:$G$501))</f>
        <v/>
      </c>
      <c r="G342" s="81">
        <f>IF(A342="","",SUMIF('22 2026 PAKETLEME'!$B$2:$B$501,A342,'22 2026 PAKETLEME'!$H$2:$H$501))</f>
        <v/>
      </c>
      <c r="H342" s="81">
        <f>IF(A342="","",D342-E342-F342-G342)</f>
        <v/>
      </c>
      <c r="I342" s="82">
        <f>IF(A342="","",SUMIF('23 2026 SEVKİYAT'!$E$2:$E$501,A342,'23 2026 SEVKİYAT'!$H$2:$H$501))</f>
        <v/>
      </c>
      <c r="J342" s="81">
        <f>IF(A342="","",E342+F342-I342)</f>
        <v/>
      </c>
      <c r="K342" s="81">
        <f>IF(A342="","",D342-E342-F342-G342-H342)</f>
        <v/>
      </c>
      <c r="L342" s="58">
        <f>IF(A342="","",IF(ABS(K342)&lt;0.001,"KAPALI","KONTROL"))</f>
        <v/>
      </c>
      <c r="M342" s="56">
        <f>IF(A342="","",IF(J342&lt;0,"SEVK PAKETLEMEYİ AŞIYOR",IF(H342&lt;&gt;0,"PAKETLEME BAKİYESİ VAR","DENKLİK KAPALI")))</f>
        <v/>
      </c>
    </row>
    <row r="343" ht="15" customHeight="1">
      <c r="A343" s="60">
        <f>'21 2026 ÜRETİM'!A343</f>
        <v/>
      </c>
      <c r="B343" s="81">
        <f>IF(A343="","",'21 2026 ÜRETİM'!D343)</f>
        <v/>
      </c>
      <c r="C343" s="81">
        <f>IF(A343="","",'21 2026 ÜRETİM'!E343)</f>
        <v/>
      </c>
      <c r="D343" s="82">
        <f>IF(A343="","",'21 2026 ÜRETİM'!F343)</f>
        <v/>
      </c>
      <c r="E343" s="81">
        <f>IF(A343="","",SUMIF('22 2026 PAKETLEME'!$B$2:$B$501,A343,'22 2026 PAKETLEME'!$E$2:$E$501))</f>
        <v/>
      </c>
      <c r="F343" s="82">
        <f>IF(A343="","",SUMIF('22 2026 PAKETLEME'!$B$2:$B$501,A343,'22 2026 PAKETLEME'!$G$2:$G$501))</f>
        <v/>
      </c>
      <c r="G343" s="81">
        <f>IF(A343="","",SUMIF('22 2026 PAKETLEME'!$B$2:$B$501,A343,'22 2026 PAKETLEME'!$H$2:$H$501))</f>
        <v/>
      </c>
      <c r="H343" s="81">
        <f>IF(A343="","",D343-E343-F343-G343)</f>
        <v/>
      </c>
      <c r="I343" s="82">
        <f>IF(A343="","",SUMIF('23 2026 SEVKİYAT'!$E$2:$E$501,A343,'23 2026 SEVKİYAT'!$H$2:$H$501))</f>
        <v/>
      </c>
      <c r="J343" s="81">
        <f>IF(A343="","",E343+F343-I343)</f>
        <v/>
      </c>
      <c r="K343" s="81">
        <f>IF(A343="","",D343-E343-F343-G343-H343)</f>
        <v/>
      </c>
      <c r="L343" s="58">
        <f>IF(A343="","",IF(ABS(K343)&lt;0.001,"KAPALI","KONTROL"))</f>
        <v/>
      </c>
      <c r="M343" s="56">
        <f>IF(A343="","",IF(J343&lt;0,"SEVK PAKETLEMEYİ AŞIYOR",IF(H343&lt;&gt;0,"PAKETLEME BAKİYESİ VAR","DENKLİK KAPALI")))</f>
        <v/>
      </c>
    </row>
    <row r="344" ht="15" customHeight="1">
      <c r="A344" s="60">
        <f>'21 2026 ÜRETİM'!A344</f>
        <v/>
      </c>
      <c r="B344" s="81">
        <f>IF(A344="","",'21 2026 ÜRETİM'!D344)</f>
        <v/>
      </c>
      <c r="C344" s="81">
        <f>IF(A344="","",'21 2026 ÜRETİM'!E344)</f>
        <v/>
      </c>
      <c r="D344" s="82">
        <f>IF(A344="","",'21 2026 ÜRETİM'!F344)</f>
        <v/>
      </c>
      <c r="E344" s="81">
        <f>IF(A344="","",SUMIF('22 2026 PAKETLEME'!$B$2:$B$501,A344,'22 2026 PAKETLEME'!$E$2:$E$501))</f>
        <v/>
      </c>
      <c r="F344" s="82">
        <f>IF(A344="","",SUMIF('22 2026 PAKETLEME'!$B$2:$B$501,A344,'22 2026 PAKETLEME'!$G$2:$G$501))</f>
        <v/>
      </c>
      <c r="G344" s="81">
        <f>IF(A344="","",SUMIF('22 2026 PAKETLEME'!$B$2:$B$501,A344,'22 2026 PAKETLEME'!$H$2:$H$501))</f>
        <v/>
      </c>
      <c r="H344" s="81">
        <f>IF(A344="","",D344-E344-F344-G344)</f>
        <v/>
      </c>
      <c r="I344" s="82">
        <f>IF(A344="","",SUMIF('23 2026 SEVKİYAT'!$E$2:$E$501,A344,'23 2026 SEVKİYAT'!$H$2:$H$501))</f>
        <v/>
      </c>
      <c r="J344" s="81">
        <f>IF(A344="","",E344+F344-I344)</f>
        <v/>
      </c>
      <c r="K344" s="81">
        <f>IF(A344="","",D344-E344-F344-G344-H344)</f>
        <v/>
      </c>
      <c r="L344" s="58">
        <f>IF(A344="","",IF(ABS(K344)&lt;0.001,"KAPALI","KONTROL"))</f>
        <v/>
      </c>
      <c r="M344" s="56">
        <f>IF(A344="","",IF(J344&lt;0,"SEVK PAKETLEMEYİ AŞIYOR",IF(H344&lt;&gt;0,"PAKETLEME BAKİYESİ VAR","DENKLİK KAPALI")))</f>
        <v/>
      </c>
    </row>
    <row r="345" ht="15" customHeight="1">
      <c r="A345" s="60">
        <f>'21 2026 ÜRETİM'!A345</f>
        <v/>
      </c>
      <c r="B345" s="81">
        <f>IF(A345="","",'21 2026 ÜRETİM'!D345)</f>
        <v/>
      </c>
      <c r="C345" s="81">
        <f>IF(A345="","",'21 2026 ÜRETİM'!E345)</f>
        <v/>
      </c>
      <c r="D345" s="82">
        <f>IF(A345="","",'21 2026 ÜRETİM'!F345)</f>
        <v/>
      </c>
      <c r="E345" s="81">
        <f>IF(A345="","",SUMIF('22 2026 PAKETLEME'!$B$2:$B$501,A345,'22 2026 PAKETLEME'!$E$2:$E$501))</f>
        <v/>
      </c>
      <c r="F345" s="82">
        <f>IF(A345="","",SUMIF('22 2026 PAKETLEME'!$B$2:$B$501,A345,'22 2026 PAKETLEME'!$G$2:$G$501))</f>
        <v/>
      </c>
      <c r="G345" s="81">
        <f>IF(A345="","",SUMIF('22 2026 PAKETLEME'!$B$2:$B$501,A345,'22 2026 PAKETLEME'!$H$2:$H$501))</f>
        <v/>
      </c>
      <c r="H345" s="81">
        <f>IF(A345="","",D345-E345-F345-G345)</f>
        <v/>
      </c>
      <c r="I345" s="82">
        <f>IF(A345="","",SUMIF('23 2026 SEVKİYAT'!$E$2:$E$501,A345,'23 2026 SEVKİYAT'!$H$2:$H$501))</f>
        <v/>
      </c>
      <c r="J345" s="81">
        <f>IF(A345="","",E345+F345-I345)</f>
        <v/>
      </c>
      <c r="K345" s="81">
        <f>IF(A345="","",D345-E345-F345-G345-H345)</f>
        <v/>
      </c>
      <c r="L345" s="58">
        <f>IF(A345="","",IF(ABS(K345)&lt;0.001,"KAPALI","KONTROL"))</f>
        <v/>
      </c>
      <c r="M345" s="56">
        <f>IF(A345="","",IF(J345&lt;0,"SEVK PAKETLEMEYİ AŞIYOR",IF(H345&lt;&gt;0,"PAKETLEME BAKİYESİ VAR","DENKLİK KAPALI")))</f>
        <v/>
      </c>
    </row>
    <row r="346" ht="15" customHeight="1">
      <c r="A346" s="60">
        <f>'21 2026 ÜRETİM'!A346</f>
        <v/>
      </c>
      <c r="B346" s="81">
        <f>IF(A346="","",'21 2026 ÜRETİM'!D346)</f>
        <v/>
      </c>
      <c r="C346" s="81">
        <f>IF(A346="","",'21 2026 ÜRETİM'!E346)</f>
        <v/>
      </c>
      <c r="D346" s="82">
        <f>IF(A346="","",'21 2026 ÜRETİM'!F346)</f>
        <v/>
      </c>
      <c r="E346" s="81">
        <f>IF(A346="","",SUMIF('22 2026 PAKETLEME'!$B$2:$B$501,A346,'22 2026 PAKETLEME'!$E$2:$E$501))</f>
        <v/>
      </c>
      <c r="F346" s="82">
        <f>IF(A346="","",SUMIF('22 2026 PAKETLEME'!$B$2:$B$501,A346,'22 2026 PAKETLEME'!$G$2:$G$501))</f>
        <v/>
      </c>
      <c r="G346" s="81">
        <f>IF(A346="","",SUMIF('22 2026 PAKETLEME'!$B$2:$B$501,A346,'22 2026 PAKETLEME'!$H$2:$H$501))</f>
        <v/>
      </c>
      <c r="H346" s="81">
        <f>IF(A346="","",D346-E346-F346-G346)</f>
        <v/>
      </c>
      <c r="I346" s="82">
        <f>IF(A346="","",SUMIF('23 2026 SEVKİYAT'!$E$2:$E$501,A346,'23 2026 SEVKİYAT'!$H$2:$H$501))</f>
        <v/>
      </c>
      <c r="J346" s="81">
        <f>IF(A346="","",E346+F346-I346)</f>
        <v/>
      </c>
      <c r="K346" s="81">
        <f>IF(A346="","",D346-E346-F346-G346-H346)</f>
        <v/>
      </c>
      <c r="L346" s="58">
        <f>IF(A346="","",IF(ABS(K346)&lt;0.001,"KAPALI","KONTROL"))</f>
        <v/>
      </c>
      <c r="M346" s="56">
        <f>IF(A346="","",IF(J346&lt;0,"SEVK PAKETLEMEYİ AŞIYOR",IF(H346&lt;&gt;0,"PAKETLEME BAKİYESİ VAR","DENKLİK KAPALI")))</f>
        <v/>
      </c>
    </row>
    <row r="347" ht="15" customHeight="1">
      <c r="A347" s="60">
        <f>'21 2026 ÜRETİM'!A347</f>
        <v/>
      </c>
      <c r="B347" s="81">
        <f>IF(A347="","",'21 2026 ÜRETİM'!D347)</f>
        <v/>
      </c>
      <c r="C347" s="81">
        <f>IF(A347="","",'21 2026 ÜRETİM'!E347)</f>
        <v/>
      </c>
      <c r="D347" s="82">
        <f>IF(A347="","",'21 2026 ÜRETİM'!F347)</f>
        <v/>
      </c>
      <c r="E347" s="81">
        <f>IF(A347="","",SUMIF('22 2026 PAKETLEME'!$B$2:$B$501,A347,'22 2026 PAKETLEME'!$E$2:$E$501))</f>
        <v/>
      </c>
      <c r="F347" s="82">
        <f>IF(A347="","",SUMIF('22 2026 PAKETLEME'!$B$2:$B$501,A347,'22 2026 PAKETLEME'!$G$2:$G$501))</f>
        <v/>
      </c>
      <c r="G347" s="81">
        <f>IF(A347="","",SUMIF('22 2026 PAKETLEME'!$B$2:$B$501,A347,'22 2026 PAKETLEME'!$H$2:$H$501))</f>
        <v/>
      </c>
      <c r="H347" s="81">
        <f>IF(A347="","",D347-E347-F347-G347)</f>
        <v/>
      </c>
      <c r="I347" s="82">
        <f>IF(A347="","",SUMIF('23 2026 SEVKİYAT'!$E$2:$E$501,A347,'23 2026 SEVKİYAT'!$H$2:$H$501))</f>
        <v/>
      </c>
      <c r="J347" s="81">
        <f>IF(A347="","",E347+F347-I347)</f>
        <v/>
      </c>
      <c r="K347" s="81">
        <f>IF(A347="","",D347-E347-F347-G347-H347)</f>
        <v/>
      </c>
      <c r="L347" s="58">
        <f>IF(A347="","",IF(ABS(K347)&lt;0.001,"KAPALI","KONTROL"))</f>
        <v/>
      </c>
      <c r="M347" s="56">
        <f>IF(A347="","",IF(J347&lt;0,"SEVK PAKETLEMEYİ AŞIYOR",IF(H347&lt;&gt;0,"PAKETLEME BAKİYESİ VAR","DENKLİK KAPALI")))</f>
        <v/>
      </c>
    </row>
    <row r="348" ht="15" customHeight="1">
      <c r="A348" s="60">
        <f>'21 2026 ÜRETİM'!A348</f>
        <v/>
      </c>
      <c r="B348" s="81">
        <f>IF(A348="","",'21 2026 ÜRETİM'!D348)</f>
        <v/>
      </c>
      <c r="C348" s="81">
        <f>IF(A348="","",'21 2026 ÜRETİM'!E348)</f>
        <v/>
      </c>
      <c r="D348" s="82">
        <f>IF(A348="","",'21 2026 ÜRETİM'!F348)</f>
        <v/>
      </c>
      <c r="E348" s="81">
        <f>IF(A348="","",SUMIF('22 2026 PAKETLEME'!$B$2:$B$501,A348,'22 2026 PAKETLEME'!$E$2:$E$501))</f>
        <v/>
      </c>
      <c r="F348" s="82">
        <f>IF(A348="","",SUMIF('22 2026 PAKETLEME'!$B$2:$B$501,A348,'22 2026 PAKETLEME'!$G$2:$G$501))</f>
        <v/>
      </c>
      <c r="G348" s="81">
        <f>IF(A348="","",SUMIF('22 2026 PAKETLEME'!$B$2:$B$501,A348,'22 2026 PAKETLEME'!$H$2:$H$501))</f>
        <v/>
      </c>
      <c r="H348" s="81">
        <f>IF(A348="","",D348-E348-F348-G348)</f>
        <v/>
      </c>
      <c r="I348" s="82">
        <f>IF(A348="","",SUMIF('23 2026 SEVKİYAT'!$E$2:$E$501,A348,'23 2026 SEVKİYAT'!$H$2:$H$501))</f>
        <v/>
      </c>
      <c r="J348" s="81">
        <f>IF(A348="","",E348+F348-I348)</f>
        <v/>
      </c>
      <c r="K348" s="81">
        <f>IF(A348="","",D348-E348-F348-G348-H348)</f>
        <v/>
      </c>
      <c r="L348" s="58">
        <f>IF(A348="","",IF(ABS(K348)&lt;0.001,"KAPALI","KONTROL"))</f>
        <v/>
      </c>
      <c r="M348" s="56">
        <f>IF(A348="","",IF(J348&lt;0,"SEVK PAKETLEMEYİ AŞIYOR",IF(H348&lt;&gt;0,"PAKETLEME BAKİYESİ VAR","DENKLİK KAPALI")))</f>
        <v/>
      </c>
    </row>
    <row r="349" ht="15" customHeight="1">
      <c r="A349" s="60">
        <f>'21 2026 ÜRETİM'!A349</f>
        <v/>
      </c>
      <c r="B349" s="81">
        <f>IF(A349="","",'21 2026 ÜRETİM'!D349)</f>
        <v/>
      </c>
      <c r="C349" s="81">
        <f>IF(A349="","",'21 2026 ÜRETİM'!E349)</f>
        <v/>
      </c>
      <c r="D349" s="82">
        <f>IF(A349="","",'21 2026 ÜRETİM'!F349)</f>
        <v/>
      </c>
      <c r="E349" s="81">
        <f>IF(A349="","",SUMIF('22 2026 PAKETLEME'!$B$2:$B$501,A349,'22 2026 PAKETLEME'!$E$2:$E$501))</f>
        <v/>
      </c>
      <c r="F349" s="82">
        <f>IF(A349="","",SUMIF('22 2026 PAKETLEME'!$B$2:$B$501,A349,'22 2026 PAKETLEME'!$G$2:$G$501))</f>
        <v/>
      </c>
      <c r="G349" s="81">
        <f>IF(A349="","",SUMIF('22 2026 PAKETLEME'!$B$2:$B$501,A349,'22 2026 PAKETLEME'!$H$2:$H$501))</f>
        <v/>
      </c>
      <c r="H349" s="81">
        <f>IF(A349="","",D349-E349-F349-G349)</f>
        <v/>
      </c>
      <c r="I349" s="82">
        <f>IF(A349="","",SUMIF('23 2026 SEVKİYAT'!$E$2:$E$501,A349,'23 2026 SEVKİYAT'!$H$2:$H$501))</f>
        <v/>
      </c>
      <c r="J349" s="81">
        <f>IF(A349="","",E349+F349-I349)</f>
        <v/>
      </c>
      <c r="K349" s="81">
        <f>IF(A349="","",D349-E349-F349-G349-H349)</f>
        <v/>
      </c>
      <c r="L349" s="58">
        <f>IF(A349="","",IF(ABS(K349)&lt;0.001,"KAPALI","KONTROL"))</f>
        <v/>
      </c>
      <c r="M349" s="56">
        <f>IF(A349="","",IF(J349&lt;0,"SEVK PAKETLEMEYİ AŞIYOR",IF(H349&lt;&gt;0,"PAKETLEME BAKİYESİ VAR","DENKLİK KAPALI")))</f>
        <v/>
      </c>
    </row>
    <row r="350" ht="15" customHeight="1">
      <c r="A350" s="60">
        <f>'21 2026 ÜRETİM'!A350</f>
        <v/>
      </c>
      <c r="B350" s="81">
        <f>IF(A350="","",'21 2026 ÜRETİM'!D350)</f>
        <v/>
      </c>
      <c r="C350" s="81">
        <f>IF(A350="","",'21 2026 ÜRETİM'!E350)</f>
        <v/>
      </c>
      <c r="D350" s="82">
        <f>IF(A350="","",'21 2026 ÜRETİM'!F350)</f>
        <v/>
      </c>
      <c r="E350" s="81">
        <f>IF(A350="","",SUMIF('22 2026 PAKETLEME'!$B$2:$B$501,A350,'22 2026 PAKETLEME'!$E$2:$E$501))</f>
        <v/>
      </c>
      <c r="F350" s="82">
        <f>IF(A350="","",SUMIF('22 2026 PAKETLEME'!$B$2:$B$501,A350,'22 2026 PAKETLEME'!$G$2:$G$501))</f>
        <v/>
      </c>
      <c r="G350" s="81">
        <f>IF(A350="","",SUMIF('22 2026 PAKETLEME'!$B$2:$B$501,A350,'22 2026 PAKETLEME'!$H$2:$H$501))</f>
        <v/>
      </c>
      <c r="H350" s="81">
        <f>IF(A350="","",D350-E350-F350-G350)</f>
        <v/>
      </c>
      <c r="I350" s="82">
        <f>IF(A350="","",SUMIF('23 2026 SEVKİYAT'!$E$2:$E$501,A350,'23 2026 SEVKİYAT'!$H$2:$H$501))</f>
        <v/>
      </c>
      <c r="J350" s="81">
        <f>IF(A350="","",E350+F350-I350)</f>
        <v/>
      </c>
      <c r="K350" s="81">
        <f>IF(A350="","",D350-E350-F350-G350-H350)</f>
        <v/>
      </c>
      <c r="L350" s="58">
        <f>IF(A350="","",IF(ABS(K350)&lt;0.001,"KAPALI","KONTROL"))</f>
        <v/>
      </c>
      <c r="M350" s="56">
        <f>IF(A350="","",IF(J350&lt;0,"SEVK PAKETLEMEYİ AŞIYOR",IF(H350&lt;&gt;0,"PAKETLEME BAKİYESİ VAR","DENKLİK KAPALI")))</f>
        <v/>
      </c>
    </row>
    <row r="351" ht="15" customHeight="1">
      <c r="A351" s="60">
        <f>'21 2026 ÜRETİM'!A351</f>
        <v/>
      </c>
      <c r="B351" s="81">
        <f>IF(A351="","",'21 2026 ÜRETİM'!D351)</f>
        <v/>
      </c>
      <c r="C351" s="81">
        <f>IF(A351="","",'21 2026 ÜRETİM'!E351)</f>
        <v/>
      </c>
      <c r="D351" s="82">
        <f>IF(A351="","",'21 2026 ÜRETİM'!F351)</f>
        <v/>
      </c>
      <c r="E351" s="81">
        <f>IF(A351="","",SUMIF('22 2026 PAKETLEME'!$B$2:$B$501,A351,'22 2026 PAKETLEME'!$E$2:$E$501))</f>
        <v/>
      </c>
      <c r="F351" s="82">
        <f>IF(A351="","",SUMIF('22 2026 PAKETLEME'!$B$2:$B$501,A351,'22 2026 PAKETLEME'!$G$2:$G$501))</f>
        <v/>
      </c>
      <c r="G351" s="81">
        <f>IF(A351="","",SUMIF('22 2026 PAKETLEME'!$B$2:$B$501,A351,'22 2026 PAKETLEME'!$H$2:$H$501))</f>
        <v/>
      </c>
      <c r="H351" s="81">
        <f>IF(A351="","",D351-E351-F351-G351)</f>
        <v/>
      </c>
      <c r="I351" s="82">
        <f>IF(A351="","",SUMIF('23 2026 SEVKİYAT'!$E$2:$E$501,A351,'23 2026 SEVKİYAT'!$H$2:$H$501))</f>
        <v/>
      </c>
      <c r="J351" s="81">
        <f>IF(A351="","",E351+F351-I351)</f>
        <v/>
      </c>
      <c r="K351" s="81">
        <f>IF(A351="","",D351-E351-F351-G351-H351)</f>
        <v/>
      </c>
      <c r="L351" s="58">
        <f>IF(A351="","",IF(ABS(K351)&lt;0.001,"KAPALI","KONTROL"))</f>
        <v/>
      </c>
      <c r="M351" s="56">
        <f>IF(A351="","",IF(J351&lt;0,"SEVK PAKETLEMEYİ AŞIYOR",IF(H351&lt;&gt;0,"PAKETLEME BAKİYESİ VAR","DENKLİK KAPALI")))</f>
        <v/>
      </c>
    </row>
    <row r="352" ht="15" customHeight="1">
      <c r="A352" s="60">
        <f>'21 2026 ÜRETİM'!A352</f>
        <v/>
      </c>
      <c r="B352" s="81">
        <f>IF(A352="","",'21 2026 ÜRETİM'!D352)</f>
        <v/>
      </c>
      <c r="C352" s="81">
        <f>IF(A352="","",'21 2026 ÜRETİM'!E352)</f>
        <v/>
      </c>
      <c r="D352" s="82">
        <f>IF(A352="","",'21 2026 ÜRETİM'!F352)</f>
        <v/>
      </c>
      <c r="E352" s="81">
        <f>IF(A352="","",SUMIF('22 2026 PAKETLEME'!$B$2:$B$501,A352,'22 2026 PAKETLEME'!$E$2:$E$501))</f>
        <v/>
      </c>
      <c r="F352" s="82">
        <f>IF(A352="","",SUMIF('22 2026 PAKETLEME'!$B$2:$B$501,A352,'22 2026 PAKETLEME'!$G$2:$G$501))</f>
        <v/>
      </c>
      <c r="G352" s="81">
        <f>IF(A352="","",SUMIF('22 2026 PAKETLEME'!$B$2:$B$501,A352,'22 2026 PAKETLEME'!$H$2:$H$501))</f>
        <v/>
      </c>
      <c r="H352" s="81">
        <f>IF(A352="","",D352-E352-F352-G352)</f>
        <v/>
      </c>
      <c r="I352" s="82">
        <f>IF(A352="","",SUMIF('23 2026 SEVKİYAT'!$E$2:$E$501,A352,'23 2026 SEVKİYAT'!$H$2:$H$501))</f>
        <v/>
      </c>
      <c r="J352" s="81">
        <f>IF(A352="","",E352+F352-I352)</f>
        <v/>
      </c>
      <c r="K352" s="81">
        <f>IF(A352="","",D352-E352-F352-G352-H352)</f>
        <v/>
      </c>
      <c r="L352" s="58">
        <f>IF(A352="","",IF(ABS(K352)&lt;0.001,"KAPALI","KONTROL"))</f>
        <v/>
      </c>
      <c r="M352" s="56">
        <f>IF(A352="","",IF(J352&lt;0,"SEVK PAKETLEMEYİ AŞIYOR",IF(H352&lt;&gt;0,"PAKETLEME BAKİYESİ VAR","DENKLİK KAPALI")))</f>
        <v/>
      </c>
    </row>
    <row r="353" ht="15" customHeight="1">
      <c r="A353" s="60">
        <f>'21 2026 ÜRETİM'!A353</f>
        <v/>
      </c>
      <c r="B353" s="81">
        <f>IF(A353="","",'21 2026 ÜRETİM'!D353)</f>
        <v/>
      </c>
      <c r="C353" s="81">
        <f>IF(A353="","",'21 2026 ÜRETİM'!E353)</f>
        <v/>
      </c>
      <c r="D353" s="82">
        <f>IF(A353="","",'21 2026 ÜRETİM'!F353)</f>
        <v/>
      </c>
      <c r="E353" s="81">
        <f>IF(A353="","",SUMIF('22 2026 PAKETLEME'!$B$2:$B$501,A353,'22 2026 PAKETLEME'!$E$2:$E$501))</f>
        <v/>
      </c>
      <c r="F353" s="82">
        <f>IF(A353="","",SUMIF('22 2026 PAKETLEME'!$B$2:$B$501,A353,'22 2026 PAKETLEME'!$G$2:$G$501))</f>
        <v/>
      </c>
      <c r="G353" s="81">
        <f>IF(A353="","",SUMIF('22 2026 PAKETLEME'!$B$2:$B$501,A353,'22 2026 PAKETLEME'!$H$2:$H$501))</f>
        <v/>
      </c>
      <c r="H353" s="81">
        <f>IF(A353="","",D353-E353-F353-G353)</f>
        <v/>
      </c>
      <c r="I353" s="82">
        <f>IF(A353="","",SUMIF('23 2026 SEVKİYAT'!$E$2:$E$501,A353,'23 2026 SEVKİYAT'!$H$2:$H$501))</f>
        <v/>
      </c>
      <c r="J353" s="81">
        <f>IF(A353="","",E353+F353-I353)</f>
        <v/>
      </c>
      <c r="K353" s="81">
        <f>IF(A353="","",D353-E353-F353-G353-H353)</f>
        <v/>
      </c>
      <c r="L353" s="58">
        <f>IF(A353="","",IF(ABS(K353)&lt;0.001,"KAPALI","KONTROL"))</f>
        <v/>
      </c>
      <c r="M353" s="56">
        <f>IF(A353="","",IF(J353&lt;0,"SEVK PAKETLEMEYİ AŞIYOR",IF(H353&lt;&gt;0,"PAKETLEME BAKİYESİ VAR","DENKLİK KAPALI")))</f>
        <v/>
      </c>
    </row>
    <row r="354" ht="15" customHeight="1">
      <c r="A354" s="60">
        <f>'21 2026 ÜRETİM'!A354</f>
        <v/>
      </c>
      <c r="B354" s="81">
        <f>IF(A354="","",'21 2026 ÜRETİM'!D354)</f>
        <v/>
      </c>
      <c r="C354" s="81">
        <f>IF(A354="","",'21 2026 ÜRETİM'!E354)</f>
        <v/>
      </c>
      <c r="D354" s="82">
        <f>IF(A354="","",'21 2026 ÜRETİM'!F354)</f>
        <v/>
      </c>
      <c r="E354" s="81">
        <f>IF(A354="","",SUMIF('22 2026 PAKETLEME'!$B$2:$B$501,A354,'22 2026 PAKETLEME'!$E$2:$E$501))</f>
        <v/>
      </c>
      <c r="F354" s="82">
        <f>IF(A354="","",SUMIF('22 2026 PAKETLEME'!$B$2:$B$501,A354,'22 2026 PAKETLEME'!$G$2:$G$501))</f>
        <v/>
      </c>
      <c r="G354" s="81">
        <f>IF(A354="","",SUMIF('22 2026 PAKETLEME'!$B$2:$B$501,A354,'22 2026 PAKETLEME'!$H$2:$H$501))</f>
        <v/>
      </c>
      <c r="H354" s="81">
        <f>IF(A354="","",D354-E354-F354-G354)</f>
        <v/>
      </c>
      <c r="I354" s="82">
        <f>IF(A354="","",SUMIF('23 2026 SEVKİYAT'!$E$2:$E$501,A354,'23 2026 SEVKİYAT'!$H$2:$H$501))</f>
        <v/>
      </c>
      <c r="J354" s="81">
        <f>IF(A354="","",E354+F354-I354)</f>
        <v/>
      </c>
      <c r="K354" s="81">
        <f>IF(A354="","",D354-E354-F354-G354-H354)</f>
        <v/>
      </c>
      <c r="L354" s="58">
        <f>IF(A354="","",IF(ABS(K354)&lt;0.001,"KAPALI","KONTROL"))</f>
        <v/>
      </c>
      <c r="M354" s="56">
        <f>IF(A354="","",IF(J354&lt;0,"SEVK PAKETLEMEYİ AŞIYOR",IF(H354&lt;&gt;0,"PAKETLEME BAKİYESİ VAR","DENKLİK KAPALI")))</f>
        <v/>
      </c>
    </row>
    <row r="355" ht="15" customHeight="1">
      <c r="A355" s="60">
        <f>'21 2026 ÜRETİM'!A355</f>
        <v/>
      </c>
      <c r="B355" s="81">
        <f>IF(A355="","",'21 2026 ÜRETİM'!D355)</f>
        <v/>
      </c>
      <c r="C355" s="81">
        <f>IF(A355="","",'21 2026 ÜRETİM'!E355)</f>
        <v/>
      </c>
      <c r="D355" s="82">
        <f>IF(A355="","",'21 2026 ÜRETİM'!F355)</f>
        <v/>
      </c>
      <c r="E355" s="81">
        <f>IF(A355="","",SUMIF('22 2026 PAKETLEME'!$B$2:$B$501,A355,'22 2026 PAKETLEME'!$E$2:$E$501))</f>
        <v/>
      </c>
      <c r="F355" s="82">
        <f>IF(A355="","",SUMIF('22 2026 PAKETLEME'!$B$2:$B$501,A355,'22 2026 PAKETLEME'!$G$2:$G$501))</f>
        <v/>
      </c>
      <c r="G355" s="81">
        <f>IF(A355="","",SUMIF('22 2026 PAKETLEME'!$B$2:$B$501,A355,'22 2026 PAKETLEME'!$H$2:$H$501))</f>
        <v/>
      </c>
      <c r="H355" s="81">
        <f>IF(A355="","",D355-E355-F355-G355)</f>
        <v/>
      </c>
      <c r="I355" s="82">
        <f>IF(A355="","",SUMIF('23 2026 SEVKİYAT'!$E$2:$E$501,A355,'23 2026 SEVKİYAT'!$H$2:$H$501))</f>
        <v/>
      </c>
      <c r="J355" s="81">
        <f>IF(A355="","",E355+F355-I355)</f>
        <v/>
      </c>
      <c r="K355" s="81">
        <f>IF(A355="","",D355-E355-F355-G355-H355)</f>
        <v/>
      </c>
      <c r="L355" s="58">
        <f>IF(A355="","",IF(ABS(K355)&lt;0.001,"KAPALI","KONTROL"))</f>
        <v/>
      </c>
      <c r="M355" s="56">
        <f>IF(A355="","",IF(J355&lt;0,"SEVK PAKETLEMEYİ AŞIYOR",IF(H355&lt;&gt;0,"PAKETLEME BAKİYESİ VAR","DENKLİK KAPALI")))</f>
        <v/>
      </c>
    </row>
    <row r="356" ht="15" customHeight="1">
      <c r="A356" s="60">
        <f>'21 2026 ÜRETİM'!A356</f>
        <v/>
      </c>
      <c r="B356" s="81">
        <f>IF(A356="","",'21 2026 ÜRETİM'!D356)</f>
        <v/>
      </c>
      <c r="C356" s="81">
        <f>IF(A356="","",'21 2026 ÜRETİM'!E356)</f>
        <v/>
      </c>
      <c r="D356" s="82">
        <f>IF(A356="","",'21 2026 ÜRETİM'!F356)</f>
        <v/>
      </c>
      <c r="E356" s="81">
        <f>IF(A356="","",SUMIF('22 2026 PAKETLEME'!$B$2:$B$501,A356,'22 2026 PAKETLEME'!$E$2:$E$501))</f>
        <v/>
      </c>
      <c r="F356" s="82">
        <f>IF(A356="","",SUMIF('22 2026 PAKETLEME'!$B$2:$B$501,A356,'22 2026 PAKETLEME'!$G$2:$G$501))</f>
        <v/>
      </c>
      <c r="G356" s="81">
        <f>IF(A356="","",SUMIF('22 2026 PAKETLEME'!$B$2:$B$501,A356,'22 2026 PAKETLEME'!$H$2:$H$501))</f>
        <v/>
      </c>
      <c r="H356" s="81">
        <f>IF(A356="","",D356-E356-F356-G356)</f>
        <v/>
      </c>
      <c r="I356" s="82">
        <f>IF(A356="","",SUMIF('23 2026 SEVKİYAT'!$E$2:$E$501,A356,'23 2026 SEVKİYAT'!$H$2:$H$501))</f>
        <v/>
      </c>
      <c r="J356" s="81">
        <f>IF(A356="","",E356+F356-I356)</f>
        <v/>
      </c>
      <c r="K356" s="81">
        <f>IF(A356="","",D356-E356-F356-G356-H356)</f>
        <v/>
      </c>
      <c r="L356" s="58">
        <f>IF(A356="","",IF(ABS(K356)&lt;0.001,"KAPALI","KONTROL"))</f>
        <v/>
      </c>
      <c r="M356" s="56">
        <f>IF(A356="","",IF(J356&lt;0,"SEVK PAKETLEMEYİ AŞIYOR",IF(H356&lt;&gt;0,"PAKETLEME BAKİYESİ VAR","DENKLİK KAPALI")))</f>
        <v/>
      </c>
    </row>
    <row r="357" ht="15" customHeight="1">
      <c r="A357" s="60">
        <f>'21 2026 ÜRETİM'!A357</f>
        <v/>
      </c>
      <c r="B357" s="81">
        <f>IF(A357="","",'21 2026 ÜRETİM'!D357)</f>
        <v/>
      </c>
      <c r="C357" s="81">
        <f>IF(A357="","",'21 2026 ÜRETİM'!E357)</f>
        <v/>
      </c>
      <c r="D357" s="82">
        <f>IF(A357="","",'21 2026 ÜRETİM'!F357)</f>
        <v/>
      </c>
      <c r="E357" s="81">
        <f>IF(A357="","",SUMIF('22 2026 PAKETLEME'!$B$2:$B$501,A357,'22 2026 PAKETLEME'!$E$2:$E$501))</f>
        <v/>
      </c>
      <c r="F357" s="82">
        <f>IF(A357="","",SUMIF('22 2026 PAKETLEME'!$B$2:$B$501,A357,'22 2026 PAKETLEME'!$G$2:$G$501))</f>
        <v/>
      </c>
      <c r="G357" s="81">
        <f>IF(A357="","",SUMIF('22 2026 PAKETLEME'!$B$2:$B$501,A357,'22 2026 PAKETLEME'!$H$2:$H$501))</f>
        <v/>
      </c>
      <c r="H357" s="81">
        <f>IF(A357="","",D357-E357-F357-G357)</f>
        <v/>
      </c>
      <c r="I357" s="82">
        <f>IF(A357="","",SUMIF('23 2026 SEVKİYAT'!$E$2:$E$501,A357,'23 2026 SEVKİYAT'!$H$2:$H$501))</f>
        <v/>
      </c>
      <c r="J357" s="81">
        <f>IF(A357="","",E357+F357-I357)</f>
        <v/>
      </c>
      <c r="K357" s="81">
        <f>IF(A357="","",D357-E357-F357-G357-H357)</f>
        <v/>
      </c>
      <c r="L357" s="58">
        <f>IF(A357="","",IF(ABS(K357)&lt;0.001,"KAPALI","KONTROL"))</f>
        <v/>
      </c>
      <c r="M357" s="56">
        <f>IF(A357="","",IF(J357&lt;0,"SEVK PAKETLEMEYİ AŞIYOR",IF(H357&lt;&gt;0,"PAKETLEME BAKİYESİ VAR","DENKLİK KAPALI")))</f>
        <v/>
      </c>
    </row>
    <row r="358" ht="15" customHeight="1">
      <c r="A358" s="60">
        <f>'21 2026 ÜRETİM'!A358</f>
        <v/>
      </c>
      <c r="B358" s="81">
        <f>IF(A358="","",'21 2026 ÜRETİM'!D358)</f>
        <v/>
      </c>
      <c r="C358" s="81">
        <f>IF(A358="","",'21 2026 ÜRETİM'!E358)</f>
        <v/>
      </c>
      <c r="D358" s="82">
        <f>IF(A358="","",'21 2026 ÜRETİM'!F358)</f>
        <v/>
      </c>
      <c r="E358" s="81">
        <f>IF(A358="","",SUMIF('22 2026 PAKETLEME'!$B$2:$B$501,A358,'22 2026 PAKETLEME'!$E$2:$E$501))</f>
        <v/>
      </c>
      <c r="F358" s="82">
        <f>IF(A358="","",SUMIF('22 2026 PAKETLEME'!$B$2:$B$501,A358,'22 2026 PAKETLEME'!$G$2:$G$501))</f>
        <v/>
      </c>
      <c r="G358" s="81">
        <f>IF(A358="","",SUMIF('22 2026 PAKETLEME'!$B$2:$B$501,A358,'22 2026 PAKETLEME'!$H$2:$H$501))</f>
        <v/>
      </c>
      <c r="H358" s="81">
        <f>IF(A358="","",D358-E358-F358-G358)</f>
        <v/>
      </c>
      <c r="I358" s="82">
        <f>IF(A358="","",SUMIF('23 2026 SEVKİYAT'!$E$2:$E$501,A358,'23 2026 SEVKİYAT'!$H$2:$H$501))</f>
        <v/>
      </c>
      <c r="J358" s="81">
        <f>IF(A358="","",E358+F358-I358)</f>
        <v/>
      </c>
      <c r="K358" s="81">
        <f>IF(A358="","",D358-E358-F358-G358-H358)</f>
        <v/>
      </c>
      <c r="L358" s="58">
        <f>IF(A358="","",IF(ABS(K358)&lt;0.001,"KAPALI","KONTROL"))</f>
        <v/>
      </c>
      <c r="M358" s="56">
        <f>IF(A358="","",IF(J358&lt;0,"SEVK PAKETLEMEYİ AŞIYOR",IF(H358&lt;&gt;0,"PAKETLEME BAKİYESİ VAR","DENKLİK KAPALI")))</f>
        <v/>
      </c>
    </row>
    <row r="359" ht="15" customHeight="1">
      <c r="A359" s="60">
        <f>'21 2026 ÜRETİM'!A359</f>
        <v/>
      </c>
      <c r="B359" s="81">
        <f>IF(A359="","",'21 2026 ÜRETİM'!D359)</f>
        <v/>
      </c>
      <c r="C359" s="81">
        <f>IF(A359="","",'21 2026 ÜRETİM'!E359)</f>
        <v/>
      </c>
      <c r="D359" s="82">
        <f>IF(A359="","",'21 2026 ÜRETİM'!F359)</f>
        <v/>
      </c>
      <c r="E359" s="81">
        <f>IF(A359="","",SUMIF('22 2026 PAKETLEME'!$B$2:$B$501,A359,'22 2026 PAKETLEME'!$E$2:$E$501))</f>
        <v/>
      </c>
      <c r="F359" s="82">
        <f>IF(A359="","",SUMIF('22 2026 PAKETLEME'!$B$2:$B$501,A359,'22 2026 PAKETLEME'!$G$2:$G$501))</f>
        <v/>
      </c>
      <c r="G359" s="81">
        <f>IF(A359="","",SUMIF('22 2026 PAKETLEME'!$B$2:$B$501,A359,'22 2026 PAKETLEME'!$H$2:$H$501))</f>
        <v/>
      </c>
      <c r="H359" s="81">
        <f>IF(A359="","",D359-E359-F359-G359)</f>
        <v/>
      </c>
      <c r="I359" s="82">
        <f>IF(A359="","",SUMIF('23 2026 SEVKİYAT'!$E$2:$E$501,A359,'23 2026 SEVKİYAT'!$H$2:$H$501))</f>
        <v/>
      </c>
      <c r="J359" s="81">
        <f>IF(A359="","",E359+F359-I359)</f>
        <v/>
      </c>
      <c r="K359" s="81">
        <f>IF(A359="","",D359-E359-F359-G359-H359)</f>
        <v/>
      </c>
      <c r="L359" s="58">
        <f>IF(A359="","",IF(ABS(K359)&lt;0.001,"KAPALI","KONTROL"))</f>
        <v/>
      </c>
      <c r="M359" s="56">
        <f>IF(A359="","",IF(J359&lt;0,"SEVK PAKETLEMEYİ AŞIYOR",IF(H359&lt;&gt;0,"PAKETLEME BAKİYESİ VAR","DENKLİK KAPALI")))</f>
        <v/>
      </c>
    </row>
    <row r="360" ht="15" customHeight="1">
      <c r="A360" s="60">
        <f>'21 2026 ÜRETİM'!A360</f>
        <v/>
      </c>
      <c r="B360" s="81">
        <f>IF(A360="","",'21 2026 ÜRETİM'!D360)</f>
        <v/>
      </c>
      <c r="C360" s="81">
        <f>IF(A360="","",'21 2026 ÜRETİM'!E360)</f>
        <v/>
      </c>
      <c r="D360" s="82">
        <f>IF(A360="","",'21 2026 ÜRETİM'!F360)</f>
        <v/>
      </c>
      <c r="E360" s="81">
        <f>IF(A360="","",SUMIF('22 2026 PAKETLEME'!$B$2:$B$501,A360,'22 2026 PAKETLEME'!$E$2:$E$501))</f>
        <v/>
      </c>
      <c r="F360" s="82">
        <f>IF(A360="","",SUMIF('22 2026 PAKETLEME'!$B$2:$B$501,A360,'22 2026 PAKETLEME'!$G$2:$G$501))</f>
        <v/>
      </c>
      <c r="G360" s="81">
        <f>IF(A360="","",SUMIF('22 2026 PAKETLEME'!$B$2:$B$501,A360,'22 2026 PAKETLEME'!$H$2:$H$501))</f>
        <v/>
      </c>
      <c r="H360" s="81">
        <f>IF(A360="","",D360-E360-F360-G360)</f>
        <v/>
      </c>
      <c r="I360" s="82">
        <f>IF(A360="","",SUMIF('23 2026 SEVKİYAT'!$E$2:$E$501,A360,'23 2026 SEVKİYAT'!$H$2:$H$501))</f>
        <v/>
      </c>
      <c r="J360" s="81">
        <f>IF(A360="","",E360+F360-I360)</f>
        <v/>
      </c>
      <c r="K360" s="81">
        <f>IF(A360="","",D360-E360-F360-G360-H360)</f>
        <v/>
      </c>
      <c r="L360" s="58">
        <f>IF(A360="","",IF(ABS(K360)&lt;0.001,"KAPALI","KONTROL"))</f>
        <v/>
      </c>
      <c r="M360" s="56">
        <f>IF(A360="","",IF(J360&lt;0,"SEVK PAKETLEMEYİ AŞIYOR",IF(H360&lt;&gt;0,"PAKETLEME BAKİYESİ VAR","DENKLİK KAPALI")))</f>
        <v/>
      </c>
    </row>
    <row r="361" ht="15" customHeight="1">
      <c r="A361" s="60">
        <f>'21 2026 ÜRETİM'!A361</f>
        <v/>
      </c>
      <c r="B361" s="81">
        <f>IF(A361="","",'21 2026 ÜRETİM'!D361)</f>
        <v/>
      </c>
      <c r="C361" s="81">
        <f>IF(A361="","",'21 2026 ÜRETİM'!E361)</f>
        <v/>
      </c>
      <c r="D361" s="82">
        <f>IF(A361="","",'21 2026 ÜRETİM'!F361)</f>
        <v/>
      </c>
      <c r="E361" s="81">
        <f>IF(A361="","",SUMIF('22 2026 PAKETLEME'!$B$2:$B$501,A361,'22 2026 PAKETLEME'!$E$2:$E$501))</f>
        <v/>
      </c>
      <c r="F361" s="82">
        <f>IF(A361="","",SUMIF('22 2026 PAKETLEME'!$B$2:$B$501,A361,'22 2026 PAKETLEME'!$G$2:$G$501))</f>
        <v/>
      </c>
      <c r="G361" s="81">
        <f>IF(A361="","",SUMIF('22 2026 PAKETLEME'!$B$2:$B$501,A361,'22 2026 PAKETLEME'!$H$2:$H$501))</f>
        <v/>
      </c>
      <c r="H361" s="81">
        <f>IF(A361="","",D361-E361-F361-G361)</f>
        <v/>
      </c>
      <c r="I361" s="82">
        <f>IF(A361="","",SUMIF('23 2026 SEVKİYAT'!$E$2:$E$501,A361,'23 2026 SEVKİYAT'!$H$2:$H$501))</f>
        <v/>
      </c>
      <c r="J361" s="81">
        <f>IF(A361="","",E361+F361-I361)</f>
        <v/>
      </c>
      <c r="K361" s="81">
        <f>IF(A361="","",D361-E361-F361-G361-H361)</f>
        <v/>
      </c>
      <c r="L361" s="58">
        <f>IF(A361="","",IF(ABS(K361)&lt;0.001,"KAPALI","KONTROL"))</f>
        <v/>
      </c>
      <c r="M361" s="56">
        <f>IF(A361="","",IF(J361&lt;0,"SEVK PAKETLEMEYİ AŞIYOR",IF(H361&lt;&gt;0,"PAKETLEME BAKİYESİ VAR","DENKLİK KAPALI")))</f>
        <v/>
      </c>
    </row>
    <row r="362" ht="15" customHeight="1">
      <c r="A362" s="60">
        <f>'21 2026 ÜRETİM'!A362</f>
        <v/>
      </c>
      <c r="B362" s="81">
        <f>IF(A362="","",'21 2026 ÜRETİM'!D362)</f>
        <v/>
      </c>
      <c r="C362" s="81">
        <f>IF(A362="","",'21 2026 ÜRETİM'!E362)</f>
        <v/>
      </c>
      <c r="D362" s="82">
        <f>IF(A362="","",'21 2026 ÜRETİM'!F362)</f>
        <v/>
      </c>
      <c r="E362" s="81">
        <f>IF(A362="","",SUMIF('22 2026 PAKETLEME'!$B$2:$B$501,A362,'22 2026 PAKETLEME'!$E$2:$E$501))</f>
        <v/>
      </c>
      <c r="F362" s="82">
        <f>IF(A362="","",SUMIF('22 2026 PAKETLEME'!$B$2:$B$501,A362,'22 2026 PAKETLEME'!$G$2:$G$501))</f>
        <v/>
      </c>
      <c r="G362" s="81">
        <f>IF(A362="","",SUMIF('22 2026 PAKETLEME'!$B$2:$B$501,A362,'22 2026 PAKETLEME'!$H$2:$H$501))</f>
        <v/>
      </c>
      <c r="H362" s="81">
        <f>IF(A362="","",D362-E362-F362-G362)</f>
        <v/>
      </c>
      <c r="I362" s="82">
        <f>IF(A362="","",SUMIF('23 2026 SEVKİYAT'!$E$2:$E$501,A362,'23 2026 SEVKİYAT'!$H$2:$H$501))</f>
        <v/>
      </c>
      <c r="J362" s="81">
        <f>IF(A362="","",E362+F362-I362)</f>
        <v/>
      </c>
      <c r="K362" s="81">
        <f>IF(A362="","",D362-E362-F362-G362-H362)</f>
        <v/>
      </c>
      <c r="L362" s="58">
        <f>IF(A362="","",IF(ABS(K362)&lt;0.001,"KAPALI","KONTROL"))</f>
        <v/>
      </c>
      <c r="M362" s="56">
        <f>IF(A362="","",IF(J362&lt;0,"SEVK PAKETLEMEYİ AŞIYOR",IF(H362&lt;&gt;0,"PAKETLEME BAKİYESİ VAR","DENKLİK KAPALI")))</f>
        <v/>
      </c>
    </row>
    <row r="363" ht="15" customHeight="1">
      <c r="A363" s="60">
        <f>'21 2026 ÜRETİM'!A363</f>
        <v/>
      </c>
      <c r="B363" s="81">
        <f>IF(A363="","",'21 2026 ÜRETİM'!D363)</f>
        <v/>
      </c>
      <c r="C363" s="81">
        <f>IF(A363="","",'21 2026 ÜRETİM'!E363)</f>
        <v/>
      </c>
      <c r="D363" s="82">
        <f>IF(A363="","",'21 2026 ÜRETİM'!F363)</f>
        <v/>
      </c>
      <c r="E363" s="81">
        <f>IF(A363="","",SUMIF('22 2026 PAKETLEME'!$B$2:$B$501,A363,'22 2026 PAKETLEME'!$E$2:$E$501))</f>
        <v/>
      </c>
      <c r="F363" s="82">
        <f>IF(A363="","",SUMIF('22 2026 PAKETLEME'!$B$2:$B$501,A363,'22 2026 PAKETLEME'!$G$2:$G$501))</f>
        <v/>
      </c>
      <c r="G363" s="81">
        <f>IF(A363="","",SUMIF('22 2026 PAKETLEME'!$B$2:$B$501,A363,'22 2026 PAKETLEME'!$H$2:$H$501))</f>
        <v/>
      </c>
      <c r="H363" s="81">
        <f>IF(A363="","",D363-E363-F363-G363)</f>
        <v/>
      </c>
      <c r="I363" s="82">
        <f>IF(A363="","",SUMIF('23 2026 SEVKİYAT'!$E$2:$E$501,A363,'23 2026 SEVKİYAT'!$H$2:$H$501))</f>
        <v/>
      </c>
      <c r="J363" s="81">
        <f>IF(A363="","",E363+F363-I363)</f>
        <v/>
      </c>
      <c r="K363" s="81">
        <f>IF(A363="","",D363-E363-F363-G363-H363)</f>
        <v/>
      </c>
      <c r="L363" s="58">
        <f>IF(A363="","",IF(ABS(K363)&lt;0.001,"KAPALI","KONTROL"))</f>
        <v/>
      </c>
      <c r="M363" s="56">
        <f>IF(A363="","",IF(J363&lt;0,"SEVK PAKETLEMEYİ AŞIYOR",IF(H363&lt;&gt;0,"PAKETLEME BAKİYESİ VAR","DENKLİK KAPALI")))</f>
        <v/>
      </c>
    </row>
    <row r="364" ht="15" customHeight="1">
      <c r="A364" s="60">
        <f>'21 2026 ÜRETİM'!A364</f>
        <v/>
      </c>
      <c r="B364" s="81">
        <f>IF(A364="","",'21 2026 ÜRETİM'!D364)</f>
        <v/>
      </c>
      <c r="C364" s="81">
        <f>IF(A364="","",'21 2026 ÜRETİM'!E364)</f>
        <v/>
      </c>
      <c r="D364" s="82">
        <f>IF(A364="","",'21 2026 ÜRETİM'!F364)</f>
        <v/>
      </c>
      <c r="E364" s="81">
        <f>IF(A364="","",SUMIF('22 2026 PAKETLEME'!$B$2:$B$501,A364,'22 2026 PAKETLEME'!$E$2:$E$501))</f>
        <v/>
      </c>
      <c r="F364" s="82">
        <f>IF(A364="","",SUMIF('22 2026 PAKETLEME'!$B$2:$B$501,A364,'22 2026 PAKETLEME'!$G$2:$G$501))</f>
        <v/>
      </c>
      <c r="G364" s="81">
        <f>IF(A364="","",SUMIF('22 2026 PAKETLEME'!$B$2:$B$501,A364,'22 2026 PAKETLEME'!$H$2:$H$501))</f>
        <v/>
      </c>
      <c r="H364" s="81">
        <f>IF(A364="","",D364-E364-F364-G364)</f>
        <v/>
      </c>
      <c r="I364" s="82">
        <f>IF(A364="","",SUMIF('23 2026 SEVKİYAT'!$E$2:$E$501,A364,'23 2026 SEVKİYAT'!$H$2:$H$501))</f>
        <v/>
      </c>
      <c r="J364" s="81">
        <f>IF(A364="","",E364+F364-I364)</f>
        <v/>
      </c>
      <c r="K364" s="81">
        <f>IF(A364="","",D364-E364-F364-G364-H364)</f>
        <v/>
      </c>
      <c r="L364" s="58">
        <f>IF(A364="","",IF(ABS(K364)&lt;0.001,"KAPALI","KONTROL"))</f>
        <v/>
      </c>
      <c r="M364" s="56">
        <f>IF(A364="","",IF(J364&lt;0,"SEVK PAKETLEMEYİ AŞIYOR",IF(H364&lt;&gt;0,"PAKETLEME BAKİYESİ VAR","DENKLİK KAPALI")))</f>
        <v/>
      </c>
    </row>
    <row r="365" ht="15" customHeight="1">
      <c r="A365" s="60">
        <f>'21 2026 ÜRETİM'!A365</f>
        <v/>
      </c>
      <c r="B365" s="81">
        <f>IF(A365="","",'21 2026 ÜRETİM'!D365)</f>
        <v/>
      </c>
      <c r="C365" s="81">
        <f>IF(A365="","",'21 2026 ÜRETİM'!E365)</f>
        <v/>
      </c>
      <c r="D365" s="82">
        <f>IF(A365="","",'21 2026 ÜRETİM'!F365)</f>
        <v/>
      </c>
      <c r="E365" s="81">
        <f>IF(A365="","",SUMIF('22 2026 PAKETLEME'!$B$2:$B$501,A365,'22 2026 PAKETLEME'!$E$2:$E$501))</f>
        <v/>
      </c>
      <c r="F365" s="82">
        <f>IF(A365="","",SUMIF('22 2026 PAKETLEME'!$B$2:$B$501,A365,'22 2026 PAKETLEME'!$G$2:$G$501))</f>
        <v/>
      </c>
      <c r="G365" s="81">
        <f>IF(A365="","",SUMIF('22 2026 PAKETLEME'!$B$2:$B$501,A365,'22 2026 PAKETLEME'!$H$2:$H$501))</f>
        <v/>
      </c>
      <c r="H365" s="81">
        <f>IF(A365="","",D365-E365-F365-G365)</f>
        <v/>
      </c>
      <c r="I365" s="82">
        <f>IF(A365="","",SUMIF('23 2026 SEVKİYAT'!$E$2:$E$501,A365,'23 2026 SEVKİYAT'!$H$2:$H$501))</f>
        <v/>
      </c>
      <c r="J365" s="81">
        <f>IF(A365="","",E365+F365-I365)</f>
        <v/>
      </c>
      <c r="K365" s="81">
        <f>IF(A365="","",D365-E365-F365-G365-H365)</f>
        <v/>
      </c>
      <c r="L365" s="58">
        <f>IF(A365="","",IF(ABS(K365)&lt;0.001,"KAPALI","KONTROL"))</f>
        <v/>
      </c>
      <c r="M365" s="56">
        <f>IF(A365="","",IF(J365&lt;0,"SEVK PAKETLEMEYİ AŞIYOR",IF(H365&lt;&gt;0,"PAKETLEME BAKİYESİ VAR","DENKLİK KAPALI")))</f>
        <v/>
      </c>
    </row>
    <row r="366" ht="15" customHeight="1">
      <c r="A366" s="60">
        <f>'21 2026 ÜRETİM'!A366</f>
        <v/>
      </c>
      <c r="B366" s="81">
        <f>IF(A366="","",'21 2026 ÜRETİM'!D366)</f>
        <v/>
      </c>
      <c r="C366" s="81">
        <f>IF(A366="","",'21 2026 ÜRETİM'!E366)</f>
        <v/>
      </c>
      <c r="D366" s="82">
        <f>IF(A366="","",'21 2026 ÜRETİM'!F366)</f>
        <v/>
      </c>
      <c r="E366" s="81">
        <f>IF(A366="","",SUMIF('22 2026 PAKETLEME'!$B$2:$B$501,A366,'22 2026 PAKETLEME'!$E$2:$E$501))</f>
        <v/>
      </c>
      <c r="F366" s="82">
        <f>IF(A366="","",SUMIF('22 2026 PAKETLEME'!$B$2:$B$501,A366,'22 2026 PAKETLEME'!$G$2:$G$501))</f>
        <v/>
      </c>
      <c r="G366" s="81">
        <f>IF(A366="","",SUMIF('22 2026 PAKETLEME'!$B$2:$B$501,A366,'22 2026 PAKETLEME'!$H$2:$H$501))</f>
        <v/>
      </c>
      <c r="H366" s="81">
        <f>IF(A366="","",D366-E366-F366-G366)</f>
        <v/>
      </c>
      <c r="I366" s="82">
        <f>IF(A366="","",SUMIF('23 2026 SEVKİYAT'!$E$2:$E$501,A366,'23 2026 SEVKİYAT'!$H$2:$H$501))</f>
        <v/>
      </c>
      <c r="J366" s="81">
        <f>IF(A366="","",E366+F366-I366)</f>
        <v/>
      </c>
      <c r="K366" s="81">
        <f>IF(A366="","",D366-E366-F366-G366-H366)</f>
        <v/>
      </c>
      <c r="L366" s="58">
        <f>IF(A366="","",IF(ABS(K366)&lt;0.001,"KAPALI","KONTROL"))</f>
        <v/>
      </c>
      <c r="M366" s="56">
        <f>IF(A366="","",IF(J366&lt;0,"SEVK PAKETLEMEYİ AŞIYOR",IF(H366&lt;&gt;0,"PAKETLEME BAKİYESİ VAR","DENKLİK KAPALI")))</f>
        <v/>
      </c>
    </row>
    <row r="367" ht="15" customHeight="1">
      <c r="A367" s="60">
        <f>'21 2026 ÜRETİM'!A367</f>
        <v/>
      </c>
      <c r="B367" s="81">
        <f>IF(A367="","",'21 2026 ÜRETİM'!D367)</f>
        <v/>
      </c>
      <c r="C367" s="81">
        <f>IF(A367="","",'21 2026 ÜRETİM'!E367)</f>
        <v/>
      </c>
      <c r="D367" s="82">
        <f>IF(A367="","",'21 2026 ÜRETİM'!F367)</f>
        <v/>
      </c>
      <c r="E367" s="81">
        <f>IF(A367="","",SUMIF('22 2026 PAKETLEME'!$B$2:$B$501,A367,'22 2026 PAKETLEME'!$E$2:$E$501))</f>
        <v/>
      </c>
      <c r="F367" s="82">
        <f>IF(A367="","",SUMIF('22 2026 PAKETLEME'!$B$2:$B$501,A367,'22 2026 PAKETLEME'!$G$2:$G$501))</f>
        <v/>
      </c>
      <c r="G367" s="81">
        <f>IF(A367="","",SUMIF('22 2026 PAKETLEME'!$B$2:$B$501,A367,'22 2026 PAKETLEME'!$H$2:$H$501))</f>
        <v/>
      </c>
      <c r="H367" s="81">
        <f>IF(A367="","",D367-E367-F367-G367)</f>
        <v/>
      </c>
      <c r="I367" s="82">
        <f>IF(A367="","",SUMIF('23 2026 SEVKİYAT'!$E$2:$E$501,A367,'23 2026 SEVKİYAT'!$H$2:$H$501))</f>
        <v/>
      </c>
      <c r="J367" s="81">
        <f>IF(A367="","",E367+F367-I367)</f>
        <v/>
      </c>
      <c r="K367" s="81">
        <f>IF(A367="","",D367-E367-F367-G367-H367)</f>
        <v/>
      </c>
      <c r="L367" s="58">
        <f>IF(A367="","",IF(ABS(K367)&lt;0.001,"KAPALI","KONTROL"))</f>
        <v/>
      </c>
      <c r="M367" s="56">
        <f>IF(A367="","",IF(J367&lt;0,"SEVK PAKETLEMEYİ AŞIYOR",IF(H367&lt;&gt;0,"PAKETLEME BAKİYESİ VAR","DENKLİK KAPALI")))</f>
        <v/>
      </c>
    </row>
    <row r="368" ht="15" customHeight="1">
      <c r="A368" s="60">
        <f>'21 2026 ÜRETİM'!A368</f>
        <v/>
      </c>
      <c r="B368" s="81">
        <f>IF(A368="","",'21 2026 ÜRETİM'!D368)</f>
        <v/>
      </c>
      <c r="C368" s="81">
        <f>IF(A368="","",'21 2026 ÜRETİM'!E368)</f>
        <v/>
      </c>
      <c r="D368" s="82">
        <f>IF(A368="","",'21 2026 ÜRETİM'!F368)</f>
        <v/>
      </c>
      <c r="E368" s="81">
        <f>IF(A368="","",SUMIF('22 2026 PAKETLEME'!$B$2:$B$501,A368,'22 2026 PAKETLEME'!$E$2:$E$501))</f>
        <v/>
      </c>
      <c r="F368" s="82">
        <f>IF(A368="","",SUMIF('22 2026 PAKETLEME'!$B$2:$B$501,A368,'22 2026 PAKETLEME'!$G$2:$G$501))</f>
        <v/>
      </c>
      <c r="G368" s="81">
        <f>IF(A368="","",SUMIF('22 2026 PAKETLEME'!$B$2:$B$501,A368,'22 2026 PAKETLEME'!$H$2:$H$501))</f>
        <v/>
      </c>
      <c r="H368" s="81">
        <f>IF(A368="","",D368-E368-F368-G368)</f>
        <v/>
      </c>
      <c r="I368" s="82">
        <f>IF(A368="","",SUMIF('23 2026 SEVKİYAT'!$E$2:$E$501,A368,'23 2026 SEVKİYAT'!$H$2:$H$501))</f>
        <v/>
      </c>
      <c r="J368" s="81">
        <f>IF(A368="","",E368+F368-I368)</f>
        <v/>
      </c>
      <c r="K368" s="81">
        <f>IF(A368="","",D368-E368-F368-G368-H368)</f>
        <v/>
      </c>
      <c r="L368" s="58">
        <f>IF(A368="","",IF(ABS(K368)&lt;0.001,"KAPALI","KONTROL"))</f>
        <v/>
      </c>
      <c r="M368" s="56">
        <f>IF(A368="","",IF(J368&lt;0,"SEVK PAKETLEMEYİ AŞIYOR",IF(H368&lt;&gt;0,"PAKETLEME BAKİYESİ VAR","DENKLİK KAPALI")))</f>
        <v/>
      </c>
    </row>
    <row r="369" ht="15" customHeight="1">
      <c r="A369" s="60">
        <f>'21 2026 ÜRETİM'!A369</f>
        <v/>
      </c>
      <c r="B369" s="81">
        <f>IF(A369="","",'21 2026 ÜRETİM'!D369)</f>
        <v/>
      </c>
      <c r="C369" s="81">
        <f>IF(A369="","",'21 2026 ÜRETİM'!E369)</f>
        <v/>
      </c>
      <c r="D369" s="82">
        <f>IF(A369="","",'21 2026 ÜRETİM'!F369)</f>
        <v/>
      </c>
      <c r="E369" s="81">
        <f>IF(A369="","",SUMIF('22 2026 PAKETLEME'!$B$2:$B$501,A369,'22 2026 PAKETLEME'!$E$2:$E$501))</f>
        <v/>
      </c>
      <c r="F369" s="82">
        <f>IF(A369="","",SUMIF('22 2026 PAKETLEME'!$B$2:$B$501,A369,'22 2026 PAKETLEME'!$G$2:$G$501))</f>
        <v/>
      </c>
      <c r="G369" s="81">
        <f>IF(A369="","",SUMIF('22 2026 PAKETLEME'!$B$2:$B$501,A369,'22 2026 PAKETLEME'!$H$2:$H$501))</f>
        <v/>
      </c>
      <c r="H369" s="81">
        <f>IF(A369="","",D369-E369-F369-G369)</f>
        <v/>
      </c>
      <c r="I369" s="82">
        <f>IF(A369="","",SUMIF('23 2026 SEVKİYAT'!$E$2:$E$501,A369,'23 2026 SEVKİYAT'!$H$2:$H$501))</f>
        <v/>
      </c>
      <c r="J369" s="81">
        <f>IF(A369="","",E369+F369-I369)</f>
        <v/>
      </c>
      <c r="K369" s="81">
        <f>IF(A369="","",D369-E369-F369-G369-H369)</f>
        <v/>
      </c>
      <c r="L369" s="58">
        <f>IF(A369="","",IF(ABS(K369)&lt;0.001,"KAPALI","KONTROL"))</f>
        <v/>
      </c>
      <c r="M369" s="56">
        <f>IF(A369="","",IF(J369&lt;0,"SEVK PAKETLEMEYİ AŞIYOR",IF(H369&lt;&gt;0,"PAKETLEME BAKİYESİ VAR","DENKLİK KAPALI")))</f>
        <v/>
      </c>
    </row>
    <row r="370" ht="15" customHeight="1">
      <c r="A370" s="60">
        <f>'21 2026 ÜRETİM'!A370</f>
        <v/>
      </c>
      <c r="B370" s="81">
        <f>IF(A370="","",'21 2026 ÜRETİM'!D370)</f>
        <v/>
      </c>
      <c r="C370" s="81">
        <f>IF(A370="","",'21 2026 ÜRETİM'!E370)</f>
        <v/>
      </c>
      <c r="D370" s="82">
        <f>IF(A370="","",'21 2026 ÜRETİM'!F370)</f>
        <v/>
      </c>
      <c r="E370" s="81">
        <f>IF(A370="","",SUMIF('22 2026 PAKETLEME'!$B$2:$B$501,A370,'22 2026 PAKETLEME'!$E$2:$E$501))</f>
        <v/>
      </c>
      <c r="F370" s="82">
        <f>IF(A370="","",SUMIF('22 2026 PAKETLEME'!$B$2:$B$501,A370,'22 2026 PAKETLEME'!$G$2:$G$501))</f>
        <v/>
      </c>
      <c r="G370" s="81">
        <f>IF(A370="","",SUMIF('22 2026 PAKETLEME'!$B$2:$B$501,A370,'22 2026 PAKETLEME'!$H$2:$H$501))</f>
        <v/>
      </c>
      <c r="H370" s="81">
        <f>IF(A370="","",D370-E370-F370-G370)</f>
        <v/>
      </c>
      <c r="I370" s="82">
        <f>IF(A370="","",SUMIF('23 2026 SEVKİYAT'!$E$2:$E$501,A370,'23 2026 SEVKİYAT'!$H$2:$H$501))</f>
        <v/>
      </c>
      <c r="J370" s="81">
        <f>IF(A370="","",E370+F370-I370)</f>
        <v/>
      </c>
      <c r="K370" s="81">
        <f>IF(A370="","",D370-E370-F370-G370-H370)</f>
        <v/>
      </c>
      <c r="L370" s="58">
        <f>IF(A370="","",IF(ABS(K370)&lt;0.001,"KAPALI","KONTROL"))</f>
        <v/>
      </c>
      <c r="M370" s="56">
        <f>IF(A370="","",IF(J370&lt;0,"SEVK PAKETLEMEYİ AŞIYOR",IF(H370&lt;&gt;0,"PAKETLEME BAKİYESİ VAR","DENKLİK KAPALI")))</f>
        <v/>
      </c>
    </row>
    <row r="371" ht="15" customHeight="1">
      <c r="A371" s="60">
        <f>'21 2026 ÜRETİM'!A371</f>
        <v/>
      </c>
      <c r="B371" s="81">
        <f>IF(A371="","",'21 2026 ÜRETİM'!D371)</f>
        <v/>
      </c>
      <c r="C371" s="81">
        <f>IF(A371="","",'21 2026 ÜRETİM'!E371)</f>
        <v/>
      </c>
      <c r="D371" s="82">
        <f>IF(A371="","",'21 2026 ÜRETİM'!F371)</f>
        <v/>
      </c>
      <c r="E371" s="81">
        <f>IF(A371="","",SUMIF('22 2026 PAKETLEME'!$B$2:$B$501,A371,'22 2026 PAKETLEME'!$E$2:$E$501))</f>
        <v/>
      </c>
      <c r="F371" s="82">
        <f>IF(A371="","",SUMIF('22 2026 PAKETLEME'!$B$2:$B$501,A371,'22 2026 PAKETLEME'!$G$2:$G$501))</f>
        <v/>
      </c>
      <c r="G371" s="81">
        <f>IF(A371="","",SUMIF('22 2026 PAKETLEME'!$B$2:$B$501,A371,'22 2026 PAKETLEME'!$H$2:$H$501))</f>
        <v/>
      </c>
      <c r="H371" s="81">
        <f>IF(A371="","",D371-E371-F371-G371)</f>
        <v/>
      </c>
      <c r="I371" s="82">
        <f>IF(A371="","",SUMIF('23 2026 SEVKİYAT'!$E$2:$E$501,A371,'23 2026 SEVKİYAT'!$H$2:$H$501))</f>
        <v/>
      </c>
      <c r="J371" s="81">
        <f>IF(A371="","",E371+F371-I371)</f>
        <v/>
      </c>
      <c r="K371" s="81">
        <f>IF(A371="","",D371-E371-F371-G371-H371)</f>
        <v/>
      </c>
      <c r="L371" s="58">
        <f>IF(A371="","",IF(ABS(K371)&lt;0.001,"KAPALI","KONTROL"))</f>
        <v/>
      </c>
      <c r="M371" s="56">
        <f>IF(A371="","",IF(J371&lt;0,"SEVK PAKETLEMEYİ AŞIYOR",IF(H371&lt;&gt;0,"PAKETLEME BAKİYESİ VAR","DENKLİK KAPALI")))</f>
        <v/>
      </c>
    </row>
    <row r="372" ht="15" customHeight="1">
      <c r="A372" s="60">
        <f>'21 2026 ÜRETİM'!A372</f>
        <v/>
      </c>
      <c r="B372" s="81">
        <f>IF(A372="","",'21 2026 ÜRETİM'!D372)</f>
        <v/>
      </c>
      <c r="C372" s="81">
        <f>IF(A372="","",'21 2026 ÜRETİM'!E372)</f>
        <v/>
      </c>
      <c r="D372" s="82">
        <f>IF(A372="","",'21 2026 ÜRETİM'!F372)</f>
        <v/>
      </c>
      <c r="E372" s="81">
        <f>IF(A372="","",SUMIF('22 2026 PAKETLEME'!$B$2:$B$501,A372,'22 2026 PAKETLEME'!$E$2:$E$501))</f>
        <v/>
      </c>
      <c r="F372" s="82">
        <f>IF(A372="","",SUMIF('22 2026 PAKETLEME'!$B$2:$B$501,A372,'22 2026 PAKETLEME'!$G$2:$G$501))</f>
        <v/>
      </c>
      <c r="G372" s="81">
        <f>IF(A372="","",SUMIF('22 2026 PAKETLEME'!$B$2:$B$501,A372,'22 2026 PAKETLEME'!$H$2:$H$501))</f>
        <v/>
      </c>
      <c r="H372" s="81">
        <f>IF(A372="","",D372-E372-F372-G372)</f>
        <v/>
      </c>
      <c r="I372" s="82">
        <f>IF(A372="","",SUMIF('23 2026 SEVKİYAT'!$E$2:$E$501,A372,'23 2026 SEVKİYAT'!$H$2:$H$501))</f>
        <v/>
      </c>
      <c r="J372" s="81">
        <f>IF(A372="","",E372+F372-I372)</f>
        <v/>
      </c>
      <c r="K372" s="81">
        <f>IF(A372="","",D372-E372-F372-G372-H372)</f>
        <v/>
      </c>
      <c r="L372" s="58">
        <f>IF(A372="","",IF(ABS(K372)&lt;0.001,"KAPALI","KONTROL"))</f>
        <v/>
      </c>
      <c r="M372" s="56">
        <f>IF(A372="","",IF(J372&lt;0,"SEVK PAKETLEMEYİ AŞIYOR",IF(H372&lt;&gt;0,"PAKETLEME BAKİYESİ VAR","DENKLİK KAPALI")))</f>
        <v/>
      </c>
    </row>
    <row r="373" ht="15" customHeight="1">
      <c r="A373" s="60">
        <f>'21 2026 ÜRETİM'!A373</f>
        <v/>
      </c>
      <c r="B373" s="81">
        <f>IF(A373="","",'21 2026 ÜRETİM'!D373)</f>
        <v/>
      </c>
      <c r="C373" s="81">
        <f>IF(A373="","",'21 2026 ÜRETİM'!E373)</f>
        <v/>
      </c>
      <c r="D373" s="82">
        <f>IF(A373="","",'21 2026 ÜRETİM'!F373)</f>
        <v/>
      </c>
      <c r="E373" s="81">
        <f>IF(A373="","",SUMIF('22 2026 PAKETLEME'!$B$2:$B$501,A373,'22 2026 PAKETLEME'!$E$2:$E$501))</f>
        <v/>
      </c>
      <c r="F373" s="82">
        <f>IF(A373="","",SUMIF('22 2026 PAKETLEME'!$B$2:$B$501,A373,'22 2026 PAKETLEME'!$G$2:$G$501))</f>
        <v/>
      </c>
      <c r="G373" s="81">
        <f>IF(A373="","",SUMIF('22 2026 PAKETLEME'!$B$2:$B$501,A373,'22 2026 PAKETLEME'!$H$2:$H$501))</f>
        <v/>
      </c>
      <c r="H373" s="81">
        <f>IF(A373="","",D373-E373-F373-G373)</f>
        <v/>
      </c>
      <c r="I373" s="82">
        <f>IF(A373="","",SUMIF('23 2026 SEVKİYAT'!$E$2:$E$501,A373,'23 2026 SEVKİYAT'!$H$2:$H$501))</f>
        <v/>
      </c>
      <c r="J373" s="81">
        <f>IF(A373="","",E373+F373-I373)</f>
        <v/>
      </c>
      <c r="K373" s="81">
        <f>IF(A373="","",D373-E373-F373-G373-H373)</f>
        <v/>
      </c>
      <c r="L373" s="58">
        <f>IF(A373="","",IF(ABS(K373)&lt;0.001,"KAPALI","KONTROL"))</f>
        <v/>
      </c>
      <c r="M373" s="56">
        <f>IF(A373="","",IF(J373&lt;0,"SEVK PAKETLEMEYİ AŞIYOR",IF(H373&lt;&gt;0,"PAKETLEME BAKİYESİ VAR","DENKLİK KAPALI")))</f>
        <v/>
      </c>
    </row>
    <row r="374" ht="15" customHeight="1">
      <c r="A374" s="60">
        <f>'21 2026 ÜRETİM'!A374</f>
        <v/>
      </c>
      <c r="B374" s="81">
        <f>IF(A374="","",'21 2026 ÜRETİM'!D374)</f>
        <v/>
      </c>
      <c r="C374" s="81">
        <f>IF(A374="","",'21 2026 ÜRETİM'!E374)</f>
        <v/>
      </c>
      <c r="D374" s="82">
        <f>IF(A374="","",'21 2026 ÜRETİM'!F374)</f>
        <v/>
      </c>
      <c r="E374" s="81">
        <f>IF(A374="","",SUMIF('22 2026 PAKETLEME'!$B$2:$B$501,A374,'22 2026 PAKETLEME'!$E$2:$E$501))</f>
        <v/>
      </c>
      <c r="F374" s="82">
        <f>IF(A374="","",SUMIF('22 2026 PAKETLEME'!$B$2:$B$501,A374,'22 2026 PAKETLEME'!$G$2:$G$501))</f>
        <v/>
      </c>
      <c r="G374" s="81">
        <f>IF(A374="","",SUMIF('22 2026 PAKETLEME'!$B$2:$B$501,A374,'22 2026 PAKETLEME'!$H$2:$H$501))</f>
        <v/>
      </c>
      <c r="H374" s="81">
        <f>IF(A374="","",D374-E374-F374-G374)</f>
        <v/>
      </c>
      <c r="I374" s="82">
        <f>IF(A374="","",SUMIF('23 2026 SEVKİYAT'!$E$2:$E$501,A374,'23 2026 SEVKİYAT'!$H$2:$H$501))</f>
        <v/>
      </c>
      <c r="J374" s="81">
        <f>IF(A374="","",E374+F374-I374)</f>
        <v/>
      </c>
      <c r="K374" s="81">
        <f>IF(A374="","",D374-E374-F374-G374-H374)</f>
        <v/>
      </c>
      <c r="L374" s="58">
        <f>IF(A374="","",IF(ABS(K374)&lt;0.001,"KAPALI","KONTROL"))</f>
        <v/>
      </c>
      <c r="M374" s="56">
        <f>IF(A374="","",IF(J374&lt;0,"SEVK PAKETLEMEYİ AŞIYOR",IF(H374&lt;&gt;0,"PAKETLEME BAKİYESİ VAR","DENKLİK KAPALI")))</f>
        <v/>
      </c>
    </row>
    <row r="375" ht="15" customHeight="1">
      <c r="A375" s="60">
        <f>'21 2026 ÜRETİM'!A375</f>
        <v/>
      </c>
      <c r="B375" s="81">
        <f>IF(A375="","",'21 2026 ÜRETİM'!D375)</f>
        <v/>
      </c>
      <c r="C375" s="81">
        <f>IF(A375="","",'21 2026 ÜRETİM'!E375)</f>
        <v/>
      </c>
      <c r="D375" s="82">
        <f>IF(A375="","",'21 2026 ÜRETİM'!F375)</f>
        <v/>
      </c>
      <c r="E375" s="81">
        <f>IF(A375="","",SUMIF('22 2026 PAKETLEME'!$B$2:$B$501,A375,'22 2026 PAKETLEME'!$E$2:$E$501))</f>
        <v/>
      </c>
      <c r="F375" s="82">
        <f>IF(A375="","",SUMIF('22 2026 PAKETLEME'!$B$2:$B$501,A375,'22 2026 PAKETLEME'!$G$2:$G$501))</f>
        <v/>
      </c>
      <c r="G375" s="81">
        <f>IF(A375="","",SUMIF('22 2026 PAKETLEME'!$B$2:$B$501,A375,'22 2026 PAKETLEME'!$H$2:$H$501))</f>
        <v/>
      </c>
      <c r="H375" s="81">
        <f>IF(A375="","",D375-E375-F375-G375)</f>
        <v/>
      </c>
      <c r="I375" s="82">
        <f>IF(A375="","",SUMIF('23 2026 SEVKİYAT'!$E$2:$E$501,A375,'23 2026 SEVKİYAT'!$H$2:$H$501))</f>
        <v/>
      </c>
      <c r="J375" s="81">
        <f>IF(A375="","",E375+F375-I375)</f>
        <v/>
      </c>
      <c r="K375" s="81">
        <f>IF(A375="","",D375-E375-F375-G375-H375)</f>
        <v/>
      </c>
      <c r="L375" s="58">
        <f>IF(A375="","",IF(ABS(K375)&lt;0.001,"KAPALI","KONTROL"))</f>
        <v/>
      </c>
      <c r="M375" s="56">
        <f>IF(A375="","",IF(J375&lt;0,"SEVK PAKETLEMEYİ AŞIYOR",IF(H375&lt;&gt;0,"PAKETLEME BAKİYESİ VAR","DENKLİK KAPALI")))</f>
        <v/>
      </c>
    </row>
    <row r="376" ht="15" customHeight="1">
      <c r="A376" s="60">
        <f>'21 2026 ÜRETİM'!A376</f>
        <v/>
      </c>
      <c r="B376" s="81">
        <f>IF(A376="","",'21 2026 ÜRETİM'!D376)</f>
        <v/>
      </c>
      <c r="C376" s="81">
        <f>IF(A376="","",'21 2026 ÜRETİM'!E376)</f>
        <v/>
      </c>
      <c r="D376" s="82">
        <f>IF(A376="","",'21 2026 ÜRETİM'!F376)</f>
        <v/>
      </c>
      <c r="E376" s="81">
        <f>IF(A376="","",SUMIF('22 2026 PAKETLEME'!$B$2:$B$501,A376,'22 2026 PAKETLEME'!$E$2:$E$501))</f>
        <v/>
      </c>
      <c r="F376" s="82">
        <f>IF(A376="","",SUMIF('22 2026 PAKETLEME'!$B$2:$B$501,A376,'22 2026 PAKETLEME'!$G$2:$G$501))</f>
        <v/>
      </c>
      <c r="G376" s="81">
        <f>IF(A376="","",SUMIF('22 2026 PAKETLEME'!$B$2:$B$501,A376,'22 2026 PAKETLEME'!$H$2:$H$501))</f>
        <v/>
      </c>
      <c r="H376" s="81">
        <f>IF(A376="","",D376-E376-F376-G376)</f>
        <v/>
      </c>
      <c r="I376" s="82">
        <f>IF(A376="","",SUMIF('23 2026 SEVKİYAT'!$E$2:$E$501,A376,'23 2026 SEVKİYAT'!$H$2:$H$501))</f>
        <v/>
      </c>
      <c r="J376" s="81">
        <f>IF(A376="","",E376+F376-I376)</f>
        <v/>
      </c>
      <c r="K376" s="81">
        <f>IF(A376="","",D376-E376-F376-G376-H376)</f>
        <v/>
      </c>
      <c r="L376" s="58">
        <f>IF(A376="","",IF(ABS(K376)&lt;0.001,"KAPALI","KONTROL"))</f>
        <v/>
      </c>
      <c r="M376" s="56">
        <f>IF(A376="","",IF(J376&lt;0,"SEVK PAKETLEMEYİ AŞIYOR",IF(H376&lt;&gt;0,"PAKETLEME BAKİYESİ VAR","DENKLİK KAPALI")))</f>
        <v/>
      </c>
    </row>
    <row r="377" ht="15" customHeight="1">
      <c r="A377" s="60">
        <f>'21 2026 ÜRETİM'!A377</f>
        <v/>
      </c>
      <c r="B377" s="81">
        <f>IF(A377="","",'21 2026 ÜRETİM'!D377)</f>
        <v/>
      </c>
      <c r="C377" s="81">
        <f>IF(A377="","",'21 2026 ÜRETİM'!E377)</f>
        <v/>
      </c>
      <c r="D377" s="82">
        <f>IF(A377="","",'21 2026 ÜRETİM'!F377)</f>
        <v/>
      </c>
      <c r="E377" s="81">
        <f>IF(A377="","",SUMIF('22 2026 PAKETLEME'!$B$2:$B$501,A377,'22 2026 PAKETLEME'!$E$2:$E$501))</f>
        <v/>
      </c>
      <c r="F377" s="82">
        <f>IF(A377="","",SUMIF('22 2026 PAKETLEME'!$B$2:$B$501,A377,'22 2026 PAKETLEME'!$G$2:$G$501))</f>
        <v/>
      </c>
      <c r="G377" s="81">
        <f>IF(A377="","",SUMIF('22 2026 PAKETLEME'!$B$2:$B$501,A377,'22 2026 PAKETLEME'!$H$2:$H$501))</f>
        <v/>
      </c>
      <c r="H377" s="81">
        <f>IF(A377="","",D377-E377-F377-G377)</f>
        <v/>
      </c>
      <c r="I377" s="82">
        <f>IF(A377="","",SUMIF('23 2026 SEVKİYAT'!$E$2:$E$501,A377,'23 2026 SEVKİYAT'!$H$2:$H$501))</f>
        <v/>
      </c>
      <c r="J377" s="81">
        <f>IF(A377="","",E377+F377-I377)</f>
        <v/>
      </c>
      <c r="K377" s="81">
        <f>IF(A377="","",D377-E377-F377-G377-H377)</f>
        <v/>
      </c>
      <c r="L377" s="58">
        <f>IF(A377="","",IF(ABS(K377)&lt;0.001,"KAPALI","KONTROL"))</f>
        <v/>
      </c>
      <c r="M377" s="56">
        <f>IF(A377="","",IF(J377&lt;0,"SEVK PAKETLEMEYİ AŞIYOR",IF(H377&lt;&gt;0,"PAKETLEME BAKİYESİ VAR","DENKLİK KAPALI")))</f>
        <v/>
      </c>
    </row>
    <row r="378" ht="15" customHeight="1">
      <c r="A378" s="60">
        <f>'21 2026 ÜRETİM'!A378</f>
        <v/>
      </c>
      <c r="B378" s="81">
        <f>IF(A378="","",'21 2026 ÜRETİM'!D378)</f>
        <v/>
      </c>
      <c r="C378" s="81">
        <f>IF(A378="","",'21 2026 ÜRETİM'!E378)</f>
        <v/>
      </c>
      <c r="D378" s="82">
        <f>IF(A378="","",'21 2026 ÜRETİM'!F378)</f>
        <v/>
      </c>
      <c r="E378" s="81">
        <f>IF(A378="","",SUMIF('22 2026 PAKETLEME'!$B$2:$B$501,A378,'22 2026 PAKETLEME'!$E$2:$E$501))</f>
        <v/>
      </c>
      <c r="F378" s="82">
        <f>IF(A378="","",SUMIF('22 2026 PAKETLEME'!$B$2:$B$501,A378,'22 2026 PAKETLEME'!$G$2:$G$501))</f>
        <v/>
      </c>
      <c r="G378" s="81">
        <f>IF(A378="","",SUMIF('22 2026 PAKETLEME'!$B$2:$B$501,A378,'22 2026 PAKETLEME'!$H$2:$H$501))</f>
        <v/>
      </c>
      <c r="H378" s="81">
        <f>IF(A378="","",D378-E378-F378-G378)</f>
        <v/>
      </c>
      <c r="I378" s="82">
        <f>IF(A378="","",SUMIF('23 2026 SEVKİYAT'!$E$2:$E$501,A378,'23 2026 SEVKİYAT'!$H$2:$H$501))</f>
        <v/>
      </c>
      <c r="J378" s="81">
        <f>IF(A378="","",E378+F378-I378)</f>
        <v/>
      </c>
      <c r="K378" s="81">
        <f>IF(A378="","",D378-E378-F378-G378-H378)</f>
        <v/>
      </c>
      <c r="L378" s="58">
        <f>IF(A378="","",IF(ABS(K378)&lt;0.001,"KAPALI","KONTROL"))</f>
        <v/>
      </c>
      <c r="M378" s="56">
        <f>IF(A378="","",IF(J378&lt;0,"SEVK PAKETLEMEYİ AŞIYOR",IF(H378&lt;&gt;0,"PAKETLEME BAKİYESİ VAR","DENKLİK KAPALI")))</f>
        <v/>
      </c>
    </row>
    <row r="379" ht="15" customHeight="1">
      <c r="A379" s="60">
        <f>'21 2026 ÜRETİM'!A379</f>
        <v/>
      </c>
      <c r="B379" s="81">
        <f>IF(A379="","",'21 2026 ÜRETİM'!D379)</f>
        <v/>
      </c>
      <c r="C379" s="81">
        <f>IF(A379="","",'21 2026 ÜRETİM'!E379)</f>
        <v/>
      </c>
      <c r="D379" s="82">
        <f>IF(A379="","",'21 2026 ÜRETİM'!F379)</f>
        <v/>
      </c>
      <c r="E379" s="81">
        <f>IF(A379="","",SUMIF('22 2026 PAKETLEME'!$B$2:$B$501,A379,'22 2026 PAKETLEME'!$E$2:$E$501))</f>
        <v/>
      </c>
      <c r="F379" s="82">
        <f>IF(A379="","",SUMIF('22 2026 PAKETLEME'!$B$2:$B$501,A379,'22 2026 PAKETLEME'!$G$2:$G$501))</f>
        <v/>
      </c>
      <c r="G379" s="81">
        <f>IF(A379="","",SUMIF('22 2026 PAKETLEME'!$B$2:$B$501,A379,'22 2026 PAKETLEME'!$H$2:$H$501))</f>
        <v/>
      </c>
      <c r="H379" s="81">
        <f>IF(A379="","",D379-E379-F379-G379)</f>
        <v/>
      </c>
      <c r="I379" s="82">
        <f>IF(A379="","",SUMIF('23 2026 SEVKİYAT'!$E$2:$E$501,A379,'23 2026 SEVKİYAT'!$H$2:$H$501))</f>
        <v/>
      </c>
      <c r="J379" s="81">
        <f>IF(A379="","",E379+F379-I379)</f>
        <v/>
      </c>
      <c r="K379" s="81">
        <f>IF(A379="","",D379-E379-F379-G379-H379)</f>
        <v/>
      </c>
      <c r="L379" s="58">
        <f>IF(A379="","",IF(ABS(K379)&lt;0.001,"KAPALI","KONTROL"))</f>
        <v/>
      </c>
      <c r="M379" s="56">
        <f>IF(A379="","",IF(J379&lt;0,"SEVK PAKETLEMEYİ AŞIYOR",IF(H379&lt;&gt;0,"PAKETLEME BAKİYESİ VAR","DENKLİK KAPALI")))</f>
        <v/>
      </c>
    </row>
    <row r="380" ht="15" customHeight="1">
      <c r="A380" s="60">
        <f>'21 2026 ÜRETİM'!A380</f>
        <v/>
      </c>
      <c r="B380" s="81">
        <f>IF(A380="","",'21 2026 ÜRETİM'!D380)</f>
        <v/>
      </c>
      <c r="C380" s="81">
        <f>IF(A380="","",'21 2026 ÜRETİM'!E380)</f>
        <v/>
      </c>
      <c r="D380" s="82">
        <f>IF(A380="","",'21 2026 ÜRETİM'!F380)</f>
        <v/>
      </c>
      <c r="E380" s="81">
        <f>IF(A380="","",SUMIF('22 2026 PAKETLEME'!$B$2:$B$501,A380,'22 2026 PAKETLEME'!$E$2:$E$501))</f>
        <v/>
      </c>
      <c r="F380" s="82">
        <f>IF(A380="","",SUMIF('22 2026 PAKETLEME'!$B$2:$B$501,A380,'22 2026 PAKETLEME'!$G$2:$G$501))</f>
        <v/>
      </c>
      <c r="G380" s="81">
        <f>IF(A380="","",SUMIF('22 2026 PAKETLEME'!$B$2:$B$501,A380,'22 2026 PAKETLEME'!$H$2:$H$501))</f>
        <v/>
      </c>
      <c r="H380" s="81">
        <f>IF(A380="","",D380-E380-F380-G380)</f>
        <v/>
      </c>
      <c r="I380" s="82">
        <f>IF(A380="","",SUMIF('23 2026 SEVKİYAT'!$E$2:$E$501,A380,'23 2026 SEVKİYAT'!$H$2:$H$501))</f>
        <v/>
      </c>
      <c r="J380" s="81">
        <f>IF(A380="","",E380+F380-I380)</f>
        <v/>
      </c>
      <c r="K380" s="81">
        <f>IF(A380="","",D380-E380-F380-G380-H380)</f>
        <v/>
      </c>
      <c r="L380" s="58">
        <f>IF(A380="","",IF(ABS(K380)&lt;0.001,"KAPALI","KONTROL"))</f>
        <v/>
      </c>
      <c r="M380" s="56">
        <f>IF(A380="","",IF(J380&lt;0,"SEVK PAKETLEMEYİ AŞIYOR",IF(H380&lt;&gt;0,"PAKETLEME BAKİYESİ VAR","DENKLİK KAPALI")))</f>
        <v/>
      </c>
    </row>
    <row r="381" ht="15" customHeight="1">
      <c r="A381" s="60">
        <f>'21 2026 ÜRETİM'!A381</f>
        <v/>
      </c>
      <c r="B381" s="81">
        <f>IF(A381="","",'21 2026 ÜRETİM'!D381)</f>
        <v/>
      </c>
      <c r="C381" s="81">
        <f>IF(A381="","",'21 2026 ÜRETİM'!E381)</f>
        <v/>
      </c>
      <c r="D381" s="82">
        <f>IF(A381="","",'21 2026 ÜRETİM'!F381)</f>
        <v/>
      </c>
      <c r="E381" s="81">
        <f>IF(A381="","",SUMIF('22 2026 PAKETLEME'!$B$2:$B$501,A381,'22 2026 PAKETLEME'!$E$2:$E$501))</f>
        <v/>
      </c>
      <c r="F381" s="82">
        <f>IF(A381="","",SUMIF('22 2026 PAKETLEME'!$B$2:$B$501,A381,'22 2026 PAKETLEME'!$G$2:$G$501))</f>
        <v/>
      </c>
      <c r="G381" s="81">
        <f>IF(A381="","",SUMIF('22 2026 PAKETLEME'!$B$2:$B$501,A381,'22 2026 PAKETLEME'!$H$2:$H$501))</f>
        <v/>
      </c>
      <c r="H381" s="81">
        <f>IF(A381="","",D381-E381-F381-G381)</f>
        <v/>
      </c>
      <c r="I381" s="82">
        <f>IF(A381="","",SUMIF('23 2026 SEVKİYAT'!$E$2:$E$501,A381,'23 2026 SEVKİYAT'!$H$2:$H$501))</f>
        <v/>
      </c>
      <c r="J381" s="81">
        <f>IF(A381="","",E381+F381-I381)</f>
        <v/>
      </c>
      <c r="K381" s="81">
        <f>IF(A381="","",D381-E381-F381-G381-H381)</f>
        <v/>
      </c>
      <c r="L381" s="58">
        <f>IF(A381="","",IF(ABS(K381)&lt;0.001,"KAPALI","KONTROL"))</f>
        <v/>
      </c>
      <c r="M381" s="56">
        <f>IF(A381="","",IF(J381&lt;0,"SEVK PAKETLEMEYİ AŞIYOR",IF(H381&lt;&gt;0,"PAKETLEME BAKİYESİ VAR","DENKLİK KAPALI")))</f>
        <v/>
      </c>
    </row>
    <row r="382" ht="15" customHeight="1">
      <c r="A382" s="60">
        <f>'21 2026 ÜRETİM'!A382</f>
        <v/>
      </c>
      <c r="B382" s="81">
        <f>IF(A382="","",'21 2026 ÜRETİM'!D382)</f>
        <v/>
      </c>
      <c r="C382" s="81">
        <f>IF(A382="","",'21 2026 ÜRETİM'!E382)</f>
        <v/>
      </c>
      <c r="D382" s="82">
        <f>IF(A382="","",'21 2026 ÜRETİM'!F382)</f>
        <v/>
      </c>
      <c r="E382" s="81">
        <f>IF(A382="","",SUMIF('22 2026 PAKETLEME'!$B$2:$B$501,A382,'22 2026 PAKETLEME'!$E$2:$E$501))</f>
        <v/>
      </c>
      <c r="F382" s="82">
        <f>IF(A382="","",SUMIF('22 2026 PAKETLEME'!$B$2:$B$501,A382,'22 2026 PAKETLEME'!$G$2:$G$501))</f>
        <v/>
      </c>
      <c r="G382" s="81">
        <f>IF(A382="","",SUMIF('22 2026 PAKETLEME'!$B$2:$B$501,A382,'22 2026 PAKETLEME'!$H$2:$H$501))</f>
        <v/>
      </c>
      <c r="H382" s="81">
        <f>IF(A382="","",D382-E382-F382-G382)</f>
        <v/>
      </c>
      <c r="I382" s="82">
        <f>IF(A382="","",SUMIF('23 2026 SEVKİYAT'!$E$2:$E$501,A382,'23 2026 SEVKİYAT'!$H$2:$H$501))</f>
        <v/>
      </c>
      <c r="J382" s="81">
        <f>IF(A382="","",E382+F382-I382)</f>
        <v/>
      </c>
      <c r="K382" s="81">
        <f>IF(A382="","",D382-E382-F382-G382-H382)</f>
        <v/>
      </c>
      <c r="L382" s="58">
        <f>IF(A382="","",IF(ABS(K382)&lt;0.001,"KAPALI","KONTROL"))</f>
        <v/>
      </c>
      <c r="M382" s="56">
        <f>IF(A382="","",IF(J382&lt;0,"SEVK PAKETLEMEYİ AŞIYOR",IF(H382&lt;&gt;0,"PAKETLEME BAKİYESİ VAR","DENKLİK KAPALI")))</f>
        <v/>
      </c>
    </row>
    <row r="383" ht="15" customHeight="1">
      <c r="A383" s="60">
        <f>'21 2026 ÜRETİM'!A383</f>
        <v/>
      </c>
      <c r="B383" s="81">
        <f>IF(A383="","",'21 2026 ÜRETİM'!D383)</f>
        <v/>
      </c>
      <c r="C383" s="81">
        <f>IF(A383="","",'21 2026 ÜRETİM'!E383)</f>
        <v/>
      </c>
      <c r="D383" s="82">
        <f>IF(A383="","",'21 2026 ÜRETİM'!F383)</f>
        <v/>
      </c>
      <c r="E383" s="81">
        <f>IF(A383="","",SUMIF('22 2026 PAKETLEME'!$B$2:$B$501,A383,'22 2026 PAKETLEME'!$E$2:$E$501))</f>
        <v/>
      </c>
      <c r="F383" s="82">
        <f>IF(A383="","",SUMIF('22 2026 PAKETLEME'!$B$2:$B$501,A383,'22 2026 PAKETLEME'!$G$2:$G$501))</f>
        <v/>
      </c>
      <c r="G383" s="81">
        <f>IF(A383="","",SUMIF('22 2026 PAKETLEME'!$B$2:$B$501,A383,'22 2026 PAKETLEME'!$H$2:$H$501))</f>
        <v/>
      </c>
      <c r="H383" s="81">
        <f>IF(A383="","",D383-E383-F383-G383)</f>
        <v/>
      </c>
      <c r="I383" s="82">
        <f>IF(A383="","",SUMIF('23 2026 SEVKİYAT'!$E$2:$E$501,A383,'23 2026 SEVKİYAT'!$H$2:$H$501))</f>
        <v/>
      </c>
      <c r="J383" s="81">
        <f>IF(A383="","",E383+F383-I383)</f>
        <v/>
      </c>
      <c r="K383" s="81">
        <f>IF(A383="","",D383-E383-F383-G383-H383)</f>
        <v/>
      </c>
      <c r="L383" s="58">
        <f>IF(A383="","",IF(ABS(K383)&lt;0.001,"KAPALI","KONTROL"))</f>
        <v/>
      </c>
      <c r="M383" s="56">
        <f>IF(A383="","",IF(J383&lt;0,"SEVK PAKETLEMEYİ AŞIYOR",IF(H383&lt;&gt;0,"PAKETLEME BAKİYESİ VAR","DENKLİK KAPALI")))</f>
        <v/>
      </c>
    </row>
    <row r="384" ht="15" customHeight="1">
      <c r="A384" s="60">
        <f>'21 2026 ÜRETİM'!A384</f>
        <v/>
      </c>
      <c r="B384" s="81">
        <f>IF(A384="","",'21 2026 ÜRETİM'!D384)</f>
        <v/>
      </c>
      <c r="C384" s="81">
        <f>IF(A384="","",'21 2026 ÜRETİM'!E384)</f>
        <v/>
      </c>
      <c r="D384" s="82">
        <f>IF(A384="","",'21 2026 ÜRETİM'!F384)</f>
        <v/>
      </c>
      <c r="E384" s="81">
        <f>IF(A384="","",SUMIF('22 2026 PAKETLEME'!$B$2:$B$501,A384,'22 2026 PAKETLEME'!$E$2:$E$501))</f>
        <v/>
      </c>
      <c r="F384" s="82">
        <f>IF(A384="","",SUMIF('22 2026 PAKETLEME'!$B$2:$B$501,A384,'22 2026 PAKETLEME'!$G$2:$G$501))</f>
        <v/>
      </c>
      <c r="G384" s="81">
        <f>IF(A384="","",SUMIF('22 2026 PAKETLEME'!$B$2:$B$501,A384,'22 2026 PAKETLEME'!$H$2:$H$501))</f>
        <v/>
      </c>
      <c r="H384" s="81">
        <f>IF(A384="","",D384-E384-F384-G384)</f>
        <v/>
      </c>
      <c r="I384" s="82">
        <f>IF(A384="","",SUMIF('23 2026 SEVKİYAT'!$E$2:$E$501,A384,'23 2026 SEVKİYAT'!$H$2:$H$501))</f>
        <v/>
      </c>
      <c r="J384" s="81">
        <f>IF(A384="","",E384+F384-I384)</f>
        <v/>
      </c>
      <c r="K384" s="81">
        <f>IF(A384="","",D384-E384-F384-G384-H384)</f>
        <v/>
      </c>
      <c r="L384" s="58">
        <f>IF(A384="","",IF(ABS(K384)&lt;0.001,"KAPALI","KONTROL"))</f>
        <v/>
      </c>
      <c r="M384" s="56">
        <f>IF(A384="","",IF(J384&lt;0,"SEVK PAKETLEMEYİ AŞIYOR",IF(H384&lt;&gt;0,"PAKETLEME BAKİYESİ VAR","DENKLİK KAPALI")))</f>
        <v/>
      </c>
    </row>
    <row r="385" ht="15" customHeight="1">
      <c r="A385" s="60">
        <f>'21 2026 ÜRETİM'!A385</f>
        <v/>
      </c>
      <c r="B385" s="81">
        <f>IF(A385="","",'21 2026 ÜRETİM'!D385)</f>
        <v/>
      </c>
      <c r="C385" s="81">
        <f>IF(A385="","",'21 2026 ÜRETİM'!E385)</f>
        <v/>
      </c>
      <c r="D385" s="82">
        <f>IF(A385="","",'21 2026 ÜRETİM'!F385)</f>
        <v/>
      </c>
      <c r="E385" s="81">
        <f>IF(A385="","",SUMIF('22 2026 PAKETLEME'!$B$2:$B$501,A385,'22 2026 PAKETLEME'!$E$2:$E$501))</f>
        <v/>
      </c>
      <c r="F385" s="82">
        <f>IF(A385="","",SUMIF('22 2026 PAKETLEME'!$B$2:$B$501,A385,'22 2026 PAKETLEME'!$G$2:$G$501))</f>
        <v/>
      </c>
      <c r="G385" s="81">
        <f>IF(A385="","",SUMIF('22 2026 PAKETLEME'!$B$2:$B$501,A385,'22 2026 PAKETLEME'!$H$2:$H$501))</f>
        <v/>
      </c>
      <c r="H385" s="81">
        <f>IF(A385="","",D385-E385-F385-G385)</f>
        <v/>
      </c>
      <c r="I385" s="82">
        <f>IF(A385="","",SUMIF('23 2026 SEVKİYAT'!$E$2:$E$501,A385,'23 2026 SEVKİYAT'!$H$2:$H$501))</f>
        <v/>
      </c>
      <c r="J385" s="81">
        <f>IF(A385="","",E385+F385-I385)</f>
        <v/>
      </c>
      <c r="K385" s="81">
        <f>IF(A385="","",D385-E385-F385-G385-H385)</f>
        <v/>
      </c>
      <c r="L385" s="58">
        <f>IF(A385="","",IF(ABS(K385)&lt;0.001,"KAPALI","KONTROL"))</f>
        <v/>
      </c>
      <c r="M385" s="56">
        <f>IF(A385="","",IF(J385&lt;0,"SEVK PAKETLEMEYİ AŞIYOR",IF(H385&lt;&gt;0,"PAKETLEME BAKİYESİ VAR","DENKLİK KAPALI")))</f>
        <v/>
      </c>
    </row>
    <row r="386" ht="15" customHeight="1">
      <c r="A386" s="60">
        <f>'21 2026 ÜRETİM'!A386</f>
        <v/>
      </c>
      <c r="B386" s="81">
        <f>IF(A386="","",'21 2026 ÜRETİM'!D386)</f>
        <v/>
      </c>
      <c r="C386" s="81">
        <f>IF(A386="","",'21 2026 ÜRETİM'!E386)</f>
        <v/>
      </c>
      <c r="D386" s="82">
        <f>IF(A386="","",'21 2026 ÜRETİM'!F386)</f>
        <v/>
      </c>
      <c r="E386" s="81">
        <f>IF(A386="","",SUMIF('22 2026 PAKETLEME'!$B$2:$B$501,A386,'22 2026 PAKETLEME'!$E$2:$E$501))</f>
        <v/>
      </c>
      <c r="F386" s="82">
        <f>IF(A386="","",SUMIF('22 2026 PAKETLEME'!$B$2:$B$501,A386,'22 2026 PAKETLEME'!$G$2:$G$501))</f>
        <v/>
      </c>
      <c r="G386" s="81">
        <f>IF(A386="","",SUMIF('22 2026 PAKETLEME'!$B$2:$B$501,A386,'22 2026 PAKETLEME'!$H$2:$H$501))</f>
        <v/>
      </c>
      <c r="H386" s="81">
        <f>IF(A386="","",D386-E386-F386-G386)</f>
        <v/>
      </c>
      <c r="I386" s="82">
        <f>IF(A386="","",SUMIF('23 2026 SEVKİYAT'!$E$2:$E$501,A386,'23 2026 SEVKİYAT'!$H$2:$H$501))</f>
        <v/>
      </c>
      <c r="J386" s="81">
        <f>IF(A386="","",E386+F386-I386)</f>
        <v/>
      </c>
      <c r="K386" s="81">
        <f>IF(A386="","",D386-E386-F386-G386-H386)</f>
        <v/>
      </c>
      <c r="L386" s="58">
        <f>IF(A386="","",IF(ABS(K386)&lt;0.001,"KAPALI","KONTROL"))</f>
        <v/>
      </c>
      <c r="M386" s="56">
        <f>IF(A386="","",IF(J386&lt;0,"SEVK PAKETLEMEYİ AŞIYOR",IF(H386&lt;&gt;0,"PAKETLEME BAKİYESİ VAR","DENKLİK KAPALI")))</f>
        <v/>
      </c>
    </row>
    <row r="387" ht="15" customHeight="1">
      <c r="A387" s="60">
        <f>'21 2026 ÜRETİM'!A387</f>
        <v/>
      </c>
      <c r="B387" s="81">
        <f>IF(A387="","",'21 2026 ÜRETİM'!D387)</f>
        <v/>
      </c>
      <c r="C387" s="81">
        <f>IF(A387="","",'21 2026 ÜRETİM'!E387)</f>
        <v/>
      </c>
      <c r="D387" s="82">
        <f>IF(A387="","",'21 2026 ÜRETİM'!F387)</f>
        <v/>
      </c>
      <c r="E387" s="81">
        <f>IF(A387="","",SUMIF('22 2026 PAKETLEME'!$B$2:$B$501,A387,'22 2026 PAKETLEME'!$E$2:$E$501))</f>
        <v/>
      </c>
      <c r="F387" s="82">
        <f>IF(A387="","",SUMIF('22 2026 PAKETLEME'!$B$2:$B$501,A387,'22 2026 PAKETLEME'!$G$2:$G$501))</f>
        <v/>
      </c>
      <c r="G387" s="81">
        <f>IF(A387="","",SUMIF('22 2026 PAKETLEME'!$B$2:$B$501,A387,'22 2026 PAKETLEME'!$H$2:$H$501))</f>
        <v/>
      </c>
      <c r="H387" s="81">
        <f>IF(A387="","",D387-E387-F387-G387)</f>
        <v/>
      </c>
      <c r="I387" s="82">
        <f>IF(A387="","",SUMIF('23 2026 SEVKİYAT'!$E$2:$E$501,A387,'23 2026 SEVKİYAT'!$H$2:$H$501))</f>
        <v/>
      </c>
      <c r="J387" s="81">
        <f>IF(A387="","",E387+F387-I387)</f>
        <v/>
      </c>
      <c r="K387" s="81">
        <f>IF(A387="","",D387-E387-F387-G387-H387)</f>
        <v/>
      </c>
      <c r="L387" s="58">
        <f>IF(A387="","",IF(ABS(K387)&lt;0.001,"KAPALI","KONTROL"))</f>
        <v/>
      </c>
      <c r="M387" s="56">
        <f>IF(A387="","",IF(J387&lt;0,"SEVK PAKETLEMEYİ AŞIYOR",IF(H387&lt;&gt;0,"PAKETLEME BAKİYESİ VAR","DENKLİK KAPALI")))</f>
        <v/>
      </c>
    </row>
    <row r="388" ht="15" customHeight="1">
      <c r="A388" s="60">
        <f>'21 2026 ÜRETİM'!A388</f>
        <v/>
      </c>
      <c r="B388" s="81">
        <f>IF(A388="","",'21 2026 ÜRETİM'!D388)</f>
        <v/>
      </c>
      <c r="C388" s="81">
        <f>IF(A388="","",'21 2026 ÜRETİM'!E388)</f>
        <v/>
      </c>
      <c r="D388" s="82">
        <f>IF(A388="","",'21 2026 ÜRETİM'!F388)</f>
        <v/>
      </c>
      <c r="E388" s="81">
        <f>IF(A388="","",SUMIF('22 2026 PAKETLEME'!$B$2:$B$501,A388,'22 2026 PAKETLEME'!$E$2:$E$501))</f>
        <v/>
      </c>
      <c r="F388" s="82">
        <f>IF(A388="","",SUMIF('22 2026 PAKETLEME'!$B$2:$B$501,A388,'22 2026 PAKETLEME'!$G$2:$G$501))</f>
        <v/>
      </c>
      <c r="G388" s="81">
        <f>IF(A388="","",SUMIF('22 2026 PAKETLEME'!$B$2:$B$501,A388,'22 2026 PAKETLEME'!$H$2:$H$501))</f>
        <v/>
      </c>
      <c r="H388" s="81">
        <f>IF(A388="","",D388-E388-F388-G388)</f>
        <v/>
      </c>
      <c r="I388" s="82">
        <f>IF(A388="","",SUMIF('23 2026 SEVKİYAT'!$E$2:$E$501,A388,'23 2026 SEVKİYAT'!$H$2:$H$501))</f>
        <v/>
      </c>
      <c r="J388" s="81">
        <f>IF(A388="","",E388+F388-I388)</f>
        <v/>
      </c>
      <c r="K388" s="81">
        <f>IF(A388="","",D388-E388-F388-G388-H388)</f>
        <v/>
      </c>
      <c r="L388" s="58">
        <f>IF(A388="","",IF(ABS(K388)&lt;0.001,"KAPALI","KONTROL"))</f>
        <v/>
      </c>
      <c r="M388" s="56">
        <f>IF(A388="","",IF(J388&lt;0,"SEVK PAKETLEMEYİ AŞIYOR",IF(H388&lt;&gt;0,"PAKETLEME BAKİYESİ VAR","DENKLİK KAPALI")))</f>
        <v/>
      </c>
    </row>
    <row r="389" ht="15" customHeight="1">
      <c r="A389" s="60">
        <f>'21 2026 ÜRETİM'!A389</f>
        <v/>
      </c>
      <c r="B389" s="81">
        <f>IF(A389="","",'21 2026 ÜRETİM'!D389)</f>
        <v/>
      </c>
      <c r="C389" s="81">
        <f>IF(A389="","",'21 2026 ÜRETİM'!E389)</f>
        <v/>
      </c>
      <c r="D389" s="82">
        <f>IF(A389="","",'21 2026 ÜRETİM'!F389)</f>
        <v/>
      </c>
      <c r="E389" s="81">
        <f>IF(A389="","",SUMIF('22 2026 PAKETLEME'!$B$2:$B$501,A389,'22 2026 PAKETLEME'!$E$2:$E$501))</f>
        <v/>
      </c>
      <c r="F389" s="82">
        <f>IF(A389="","",SUMIF('22 2026 PAKETLEME'!$B$2:$B$501,A389,'22 2026 PAKETLEME'!$G$2:$G$501))</f>
        <v/>
      </c>
      <c r="G389" s="81">
        <f>IF(A389="","",SUMIF('22 2026 PAKETLEME'!$B$2:$B$501,A389,'22 2026 PAKETLEME'!$H$2:$H$501))</f>
        <v/>
      </c>
      <c r="H389" s="81">
        <f>IF(A389="","",D389-E389-F389-G389)</f>
        <v/>
      </c>
      <c r="I389" s="82">
        <f>IF(A389="","",SUMIF('23 2026 SEVKİYAT'!$E$2:$E$501,A389,'23 2026 SEVKİYAT'!$H$2:$H$501))</f>
        <v/>
      </c>
      <c r="J389" s="81">
        <f>IF(A389="","",E389+F389-I389)</f>
        <v/>
      </c>
      <c r="K389" s="81">
        <f>IF(A389="","",D389-E389-F389-G389-H389)</f>
        <v/>
      </c>
      <c r="L389" s="58">
        <f>IF(A389="","",IF(ABS(K389)&lt;0.001,"KAPALI","KONTROL"))</f>
        <v/>
      </c>
      <c r="M389" s="56">
        <f>IF(A389="","",IF(J389&lt;0,"SEVK PAKETLEMEYİ AŞIYOR",IF(H389&lt;&gt;0,"PAKETLEME BAKİYESİ VAR","DENKLİK KAPALI")))</f>
        <v/>
      </c>
    </row>
    <row r="390" ht="15" customHeight="1">
      <c r="A390" s="60">
        <f>'21 2026 ÜRETİM'!A390</f>
        <v/>
      </c>
      <c r="B390" s="81">
        <f>IF(A390="","",'21 2026 ÜRETİM'!D390)</f>
        <v/>
      </c>
      <c r="C390" s="81">
        <f>IF(A390="","",'21 2026 ÜRETİM'!E390)</f>
        <v/>
      </c>
      <c r="D390" s="82">
        <f>IF(A390="","",'21 2026 ÜRETİM'!F390)</f>
        <v/>
      </c>
      <c r="E390" s="81">
        <f>IF(A390="","",SUMIF('22 2026 PAKETLEME'!$B$2:$B$501,A390,'22 2026 PAKETLEME'!$E$2:$E$501))</f>
        <v/>
      </c>
      <c r="F390" s="82">
        <f>IF(A390="","",SUMIF('22 2026 PAKETLEME'!$B$2:$B$501,A390,'22 2026 PAKETLEME'!$G$2:$G$501))</f>
        <v/>
      </c>
      <c r="G390" s="81">
        <f>IF(A390="","",SUMIF('22 2026 PAKETLEME'!$B$2:$B$501,A390,'22 2026 PAKETLEME'!$H$2:$H$501))</f>
        <v/>
      </c>
      <c r="H390" s="81">
        <f>IF(A390="","",D390-E390-F390-G390)</f>
        <v/>
      </c>
      <c r="I390" s="82">
        <f>IF(A390="","",SUMIF('23 2026 SEVKİYAT'!$E$2:$E$501,A390,'23 2026 SEVKİYAT'!$H$2:$H$501))</f>
        <v/>
      </c>
      <c r="J390" s="81">
        <f>IF(A390="","",E390+F390-I390)</f>
        <v/>
      </c>
      <c r="K390" s="81">
        <f>IF(A390="","",D390-E390-F390-G390-H390)</f>
        <v/>
      </c>
      <c r="L390" s="58">
        <f>IF(A390="","",IF(ABS(K390)&lt;0.001,"KAPALI","KONTROL"))</f>
        <v/>
      </c>
      <c r="M390" s="56">
        <f>IF(A390="","",IF(J390&lt;0,"SEVK PAKETLEMEYİ AŞIYOR",IF(H390&lt;&gt;0,"PAKETLEME BAKİYESİ VAR","DENKLİK KAPALI")))</f>
        <v/>
      </c>
    </row>
    <row r="391" ht="15" customHeight="1">
      <c r="A391" s="60">
        <f>'21 2026 ÜRETİM'!A391</f>
        <v/>
      </c>
      <c r="B391" s="81">
        <f>IF(A391="","",'21 2026 ÜRETİM'!D391)</f>
        <v/>
      </c>
      <c r="C391" s="81">
        <f>IF(A391="","",'21 2026 ÜRETİM'!E391)</f>
        <v/>
      </c>
      <c r="D391" s="82">
        <f>IF(A391="","",'21 2026 ÜRETİM'!F391)</f>
        <v/>
      </c>
      <c r="E391" s="81">
        <f>IF(A391="","",SUMIF('22 2026 PAKETLEME'!$B$2:$B$501,A391,'22 2026 PAKETLEME'!$E$2:$E$501))</f>
        <v/>
      </c>
      <c r="F391" s="82">
        <f>IF(A391="","",SUMIF('22 2026 PAKETLEME'!$B$2:$B$501,A391,'22 2026 PAKETLEME'!$G$2:$G$501))</f>
        <v/>
      </c>
      <c r="G391" s="81">
        <f>IF(A391="","",SUMIF('22 2026 PAKETLEME'!$B$2:$B$501,A391,'22 2026 PAKETLEME'!$H$2:$H$501))</f>
        <v/>
      </c>
      <c r="H391" s="81">
        <f>IF(A391="","",D391-E391-F391-G391)</f>
        <v/>
      </c>
      <c r="I391" s="82">
        <f>IF(A391="","",SUMIF('23 2026 SEVKİYAT'!$E$2:$E$501,A391,'23 2026 SEVKİYAT'!$H$2:$H$501))</f>
        <v/>
      </c>
      <c r="J391" s="81">
        <f>IF(A391="","",E391+F391-I391)</f>
        <v/>
      </c>
      <c r="K391" s="81">
        <f>IF(A391="","",D391-E391-F391-G391-H391)</f>
        <v/>
      </c>
      <c r="L391" s="58">
        <f>IF(A391="","",IF(ABS(K391)&lt;0.001,"KAPALI","KONTROL"))</f>
        <v/>
      </c>
      <c r="M391" s="56">
        <f>IF(A391="","",IF(J391&lt;0,"SEVK PAKETLEMEYİ AŞIYOR",IF(H391&lt;&gt;0,"PAKETLEME BAKİYESİ VAR","DENKLİK KAPALI")))</f>
        <v/>
      </c>
    </row>
    <row r="392" ht="15" customHeight="1">
      <c r="A392" s="60">
        <f>'21 2026 ÜRETİM'!A392</f>
        <v/>
      </c>
      <c r="B392" s="81">
        <f>IF(A392="","",'21 2026 ÜRETİM'!D392)</f>
        <v/>
      </c>
      <c r="C392" s="81">
        <f>IF(A392="","",'21 2026 ÜRETİM'!E392)</f>
        <v/>
      </c>
      <c r="D392" s="82">
        <f>IF(A392="","",'21 2026 ÜRETİM'!F392)</f>
        <v/>
      </c>
      <c r="E392" s="81">
        <f>IF(A392="","",SUMIF('22 2026 PAKETLEME'!$B$2:$B$501,A392,'22 2026 PAKETLEME'!$E$2:$E$501))</f>
        <v/>
      </c>
      <c r="F392" s="82">
        <f>IF(A392="","",SUMIF('22 2026 PAKETLEME'!$B$2:$B$501,A392,'22 2026 PAKETLEME'!$G$2:$G$501))</f>
        <v/>
      </c>
      <c r="G392" s="81">
        <f>IF(A392="","",SUMIF('22 2026 PAKETLEME'!$B$2:$B$501,A392,'22 2026 PAKETLEME'!$H$2:$H$501))</f>
        <v/>
      </c>
      <c r="H392" s="81">
        <f>IF(A392="","",D392-E392-F392-G392)</f>
        <v/>
      </c>
      <c r="I392" s="82">
        <f>IF(A392="","",SUMIF('23 2026 SEVKİYAT'!$E$2:$E$501,A392,'23 2026 SEVKİYAT'!$H$2:$H$501))</f>
        <v/>
      </c>
      <c r="J392" s="81">
        <f>IF(A392="","",E392+F392-I392)</f>
        <v/>
      </c>
      <c r="K392" s="81">
        <f>IF(A392="","",D392-E392-F392-G392-H392)</f>
        <v/>
      </c>
      <c r="L392" s="58">
        <f>IF(A392="","",IF(ABS(K392)&lt;0.001,"KAPALI","KONTROL"))</f>
        <v/>
      </c>
      <c r="M392" s="56">
        <f>IF(A392="","",IF(J392&lt;0,"SEVK PAKETLEMEYİ AŞIYOR",IF(H392&lt;&gt;0,"PAKETLEME BAKİYESİ VAR","DENKLİK KAPALI")))</f>
        <v/>
      </c>
    </row>
    <row r="393" ht="15" customHeight="1">
      <c r="A393" s="60">
        <f>'21 2026 ÜRETİM'!A393</f>
        <v/>
      </c>
      <c r="B393" s="81">
        <f>IF(A393="","",'21 2026 ÜRETİM'!D393)</f>
        <v/>
      </c>
      <c r="C393" s="81">
        <f>IF(A393="","",'21 2026 ÜRETİM'!E393)</f>
        <v/>
      </c>
      <c r="D393" s="82">
        <f>IF(A393="","",'21 2026 ÜRETİM'!F393)</f>
        <v/>
      </c>
      <c r="E393" s="81">
        <f>IF(A393="","",SUMIF('22 2026 PAKETLEME'!$B$2:$B$501,A393,'22 2026 PAKETLEME'!$E$2:$E$501))</f>
        <v/>
      </c>
      <c r="F393" s="82">
        <f>IF(A393="","",SUMIF('22 2026 PAKETLEME'!$B$2:$B$501,A393,'22 2026 PAKETLEME'!$G$2:$G$501))</f>
        <v/>
      </c>
      <c r="G393" s="81">
        <f>IF(A393="","",SUMIF('22 2026 PAKETLEME'!$B$2:$B$501,A393,'22 2026 PAKETLEME'!$H$2:$H$501))</f>
        <v/>
      </c>
      <c r="H393" s="81">
        <f>IF(A393="","",D393-E393-F393-G393)</f>
        <v/>
      </c>
      <c r="I393" s="82">
        <f>IF(A393="","",SUMIF('23 2026 SEVKİYAT'!$E$2:$E$501,A393,'23 2026 SEVKİYAT'!$H$2:$H$501))</f>
        <v/>
      </c>
      <c r="J393" s="81">
        <f>IF(A393="","",E393+F393-I393)</f>
        <v/>
      </c>
      <c r="K393" s="81">
        <f>IF(A393="","",D393-E393-F393-G393-H393)</f>
        <v/>
      </c>
      <c r="L393" s="58">
        <f>IF(A393="","",IF(ABS(K393)&lt;0.001,"KAPALI","KONTROL"))</f>
        <v/>
      </c>
      <c r="M393" s="56">
        <f>IF(A393="","",IF(J393&lt;0,"SEVK PAKETLEMEYİ AŞIYOR",IF(H393&lt;&gt;0,"PAKETLEME BAKİYESİ VAR","DENKLİK KAPALI")))</f>
        <v/>
      </c>
    </row>
    <row r="394" ht="15" customHeight="1">
      <c r="A394" s="60">
        <f>'21 2026 ÜRETİM'!A394</f>
        <v/>
      </c>
      <c r="B394" s="81">
        <f>IF(A394="","",'21 2026 ÜRETİM'!D394)</f>
        <v/>
      </c>
      <c r="C394" s="81">
        <f>IF(A394="","",'21 2026 ÜRETİM'!E394)</f>
        <v/>
      </c>
      <c r="D394" s="82">
        <f>IF(A394="","",'21 2026 ÜRETİM'!F394)</f>
        <v/>
      </c>
      <c r="E394" s="81">
        <f>IF(A394="","",SUMIF('22 2026 PAKETLEME'!$B$2:$B$501,A394,'22 2026 PAKETLEME'!$E$2:$E$501))</f>
        <v/>
      </c>
      <c r="F394" s="82">
        <f>IF(A394="","",SUMIF('22 2026 PAKETLEME'!$B$2:$B$501,A394,'22 2026 PAKETLEME'!$G$2:$G$501))</f>
        <v/>
      </c>
      <c r="G394" s="81">
        <f>IF(A394="","",SUMIF('22 2026 PAKETLEME'!$B$2:$B$501,A394,'22 2026 PAKETLEME'!$H$2:$H$501))</f>
        <v/>
      </c>
      <c r="H394" s="81">
        <f>IF(A394="","",D394-E394-F394-G394)</f>
        <v/>
      </c>
      <c r="I394" s="82">
        <f>IF(A394="","",SUMIF('23 2026 SEVKİYAT'!$E$2:$E$501,A394,'23 2026 SEVKİYAT'!$H$2:$H$501))</f>
        <v/>
      </c>
      <c r="J394" s="81">
        <f>IF(A394="","",E394+F394-I394)</f>
        <v/>
      </c>
      <c r="K394" s="81">
        <f>IF(A394="","",D394-E394-F394-G394-H394)</f>
        <v/>
      </c>
      <c r="L394" s="58">
        <f>IF(A394="","",IF(ABS(K394)&lt;0.001,"KAPALI","KONTROL"))</f>
        <v/>
      </c>
      <c r="M394" s="56">
        <f>IF(A394="","",IF(J394&lt;0,"SEVK PAKETLEMEYİ AŞIYOR",IF(H394&lt;&gt;0,"PAKETLEME BAKİYESİ VAR","DENKLİK KAPALI")))</f>
        <v/>
      </c>
    </row>
    <row r="395" ht="15" customHeight="1">
      <c r="A395" s="60">
        <f>'21 2026 ÜRETİM'!A395</f>
        <v/>
      </c>
      <c r="B395" s="81">
        <f>IF(A395="","",'21 2026 ÜRETİM'!D395)</f>
        <v/>
      </c>
      <c r="C395" s="81">
        <f>IF(A395="","",'21 2026 ÜRETİM'!E395)</f>
        <v/>
      </c>
      <c r="D395" s="82">
        <f>IF(A395="","",'21 2026 ÜRETİM'!F395)</f>
        <v/>
      </c>
      <c r="E395" s="81">
        <f>IF(A395="","",SUMIF('22 2026 PAKETLEME'!$B$2:$B$501,A395,'22 2026 PAKETLEME'!$E$2:$E$501))</f>
        <v/>
      </c>
      <c r="F395" s="82">
        <f>IF(A395="","",SUMIF('22 2026 PAKETLEME'!$B$2:$B$501,A395,'22 2026 PAKETLEME'!$G$2:$G$501))</f>
        <v/>
      </c>
      <c r="G395" s="81">
        <f>IF(A395="","",SUMIF('22 2026 PAKETLEME'!$B$2:$B$501,A395,'22 2026 PAKETLEME'!$H$2:$H$501))</f>
        <v/>
      </c>
      <c r="H395" s="81">
        <f>IF(A395="","",D395-E395-F395-G395)</f>
        <v/>
      </c>
      <c r="I395" s="82">
        <f>IF(A395="","",SUMIF('23 2026 SEVKİYAT'!$E$2:$E$501,A395,'23 2026 SEVKİYAT'!$H$2:$H$501))</f>
        <v/>
      </c>
      <c r="J395" s="81">
        <f>IF(A395="","",E395+F395-I395)</f>
        <v/>
      </c>
      <c r="K395" s="81">
        <f>IF(A395="","",D395-E395-F395-G395-H395)</f>
        <v/>
      </c>
      <c r="L395" s="58">
        <f>IF(A395="","",IF(ABS(K395)&lt;0.001,"KAPALI","KONTROL"))</f>
        <v/>
      </c>
      <c r="M395" s="56">
        <f>IF(A395="","",IF(J395&lt;0,"SEVK PAKETLEMEYİ AŞIYOR",IF(H395&lt;&gt;0,"PAKETLEME BAKİYESİ VAR","DENKLİK KAPALI")))</f>
        <v/>
      </c>
    </row>
    <row r="396" ht="15" customHeight="1">
      <c r="A396" s="60">
        <f>'21 2026 ÜRETİM'!A396</f>
        <v/>
      </c>
      <c r="B396" s="81">
        <f>IF(A396="","",'21 2026 ÜRETİM'!D396)</f>
        <v/>
      </c>
      <c r="C396" s="81">
        <f>IF(A396="","",'21 2026 ÜRETİM'!E396)</f>
        <v/>
      </c>
      <c r="D396" s="82">
        <f>IF(A396="","",'21 2026 ÜRETİM'!F396)</f>
        <v/>
      </c>
      <c r="E396" s="81">
        <f>IF(A396="","",SUMIF('22 2026 PAKETLEME'!$B$2:$B$501,A396,'22 2026 PAKETLEME'!$E$2:$E$501))</f>
        <v/>
      </c>
      <c r="F396" s="82">
        <f>IF(A396="","",SUMIF('22 2026 PAKETLEME'!$B$2:$B$501,A396,'22 2026 PAKETLEME'!$G$2:$G$501))</f>
        <v/>
      </c>
      <c r="G396" s="81">
        <f>IF(A396="","",SUMIF('22 2026 PAKETLEME'!$B$2:$B$501,A396,'22 2026 PAKETLEME'!$H$2:$H$501))</f>
        <v/>
      </c>
      <c r="H396" s="81">
        <f>IF(A396="","",D396-E396-F396-G396)</f>
        <v/>
      </c>
      <c r="I396" s="82">
        <f>IF(A396="","",SUMIF('23 2026 SEVKİYAT'!$E$2:$E$501,A396,'23 2026 SEVKİYAT'!$H$2:$H$501))</f>
        <v/>
      </c>
      <c r="J396" s="81">
        <f>IF(A396="","",E396+F396-I396)</f>
        <v/>
      </c>
      <c r="K396" s="81">
        <f>IF(A396="","",D396-E396-F396-G396-H396)</f>
        <v/>
      </c>
      <c r="L396" s="58">
        <f>IF(A396="","",IF(ABS(K396)&lt;0.001,"KAPALI","KONTROL"))</f>
        <v/>
      </c>
      <c r="M396" s="56">
        <f>IF(A396="","",IF(J396&lt;0,"SEVK PAKETLEMEYİ AŞIYOR",IF(H396&lt;&gt;0,"PAKETLEME BAKİYESİ VAR","DENKLİK KAPALI")))</f>
        <v/>
      </c>
    </row>
    <row r="397" ht="15" customHeight="1">
      <c r="A397" s="60">
        <f>'21 2026 ÜRETİM'!A397</f>
        <v/>
      </c>
      <c r="B397" s="81">
        <f>IF(A397="","",'21 2026 ÜRETİM'!D397)</f>
        <v/>
      </c>
      <c r="C397" s="81">
        <f>IF(A397="","",'21 2026 ÜRETİM'!E397)</f>
        <v/>
      </c>
      <c r="D397" s="82">
        <f>IF(A397="","",'21 2026 ÜRETİM'!F397)</f>
        <v/>
      </c>
      <c r="E397" s="81">
        <f>IF(A397="","",SUMIF('22 2026 PAKETLEME'!$B$2:$B$501,A397,'22 2026 PAKETLEME'!$E$2:$E$501))</f>
        <v/>
      </c>
      <c r="F397" s="82">
        <f>IF(A397="","",SUMIF('22 2026 PAKETLEME'!$B$2:$B$501,A397,'22 2026 PAKETLEME'!$G$2:$G$501))</f>
        <v/>
      </c>
      <c r="G397" s="81">
        <f>IF(A397="","",SUMIF('22 2026 PAKETLEME'!$B$2:$B$501,A397,'22 2026 PAKETLEME'!$H$2:$H$501))</f>
        <v/>
      </c>
      <c r="H397" s="81">
        <f>IF(A397="","",D397-E397-F397-G397)</f>
        <v/>
      </c>
      <c r="I397" s="82">
        <f>IF(A397="","",SUMIF('23 2026 SEVKİYAT'!$E$2:$E$501,A397,'23 2026 SEVKİYAT'!$H$2:$H$501))</f>
        <v/>
      </c>
      <c r="J397" s="81">
        <f>IF(A397="","",E397+F397-I397)</f>
        <v/>
      </c>
      <c r="K397" s="81">
        <f>IF(A397="","",D397-E397-F397-G397-H397)</f>
        <v/>
      </c>
      <c r="L397" s="58">
        <f>IF(A397="","",IF(ABS(K397)&lt;0.001,"KAPALI","KONTROL"))</f>
        <v/>
      </c>
      <c r="M397" s="56">
        <f>IF(A397="","",IF(J397&lt;0,"SEVK PAKETLEMEYİ AŞIYOR",IF(H397&lt;&gt;0,"PAKETLEME BAKİYESİ VAR","DENKLİK KAPALI")))</f>
        <v/>
      </c>
    </row>
    <row r="398" ht="15" customHeight="1">
      <c r="A398" s="60">
        <f>'21 2026 ÜRETİM'!A398</f>
        <v/>
      </c>
      <c r="B398" s="81">
        <f>IF(A398="","",'21 2026 ÜRETİM'!D398)</f>
        <v/>
      </c>
      <c r="C398" s="81">
        <f>IF(A398="","",'21 2026 ÜRETİM'!E398)</f>
        <v/>
      </c>
      <c r="D398" s="82">
        <f>IF(A398="","",'21 2026 ÜRETİM'!F398)</f>
        <v/>
      </c>
      <c r="E398" s="81">
        <f>IF(A398="","",SUMIF('22 2026 PAKETLEME'!$B$2:$B$501,A398,'22 2026 PAKETLEME'!$E$2:$E$501))</f>
        <v/>
      </c>
      <c r="F398" s="82">
        <f>IF(A398="","",SUMIF('22 2026 PAKETLEME'!$B$2:$B$501,A398,'22 2026 PAKETLEME'!$G$2:$G$501))</f>
        <v/>
      </c>
      <c r="G398" s="81">
        <f>IF(A398="","",SUMIF('22 2026 PAKETLEME'!$B$2:$B$501,A398,'22 2026 PAKETLEME'!$H$2:$H$501))</f>
        <v/>
      </c>
      <c r="H398" s="81">
        <f>IF(A398="","",D398-E398-F398-G398)</f>
        <v/>
      </c>
      <c r="I398" s="82">
        <f>IF(A398="","",SUMIF('23 2026 SEVKİYAT'!$E$2:$E$501,A398,'23 2026 SEVKİYAT'!$H$2:$H$501))</f>
        <v/>
      </c>
      <c r="J398" s="81">
        <f>IF(A398="","",E398+F398-I398)</f>
        <v/>
      </c>
      <c r="K398" s="81">
        <f>IF(A398="","",D398-E398-F398-G398-H398)</f>
        <v/>
      </c>
      <c r="L398" s="58">
        <f>IF(A398="","",IF(ABS(K398)&lt;0.001,"KAPALI","KONTROL"))</f>
        <v/>
      </c>
      <c r="M398" s="56">
        <f>IF(A398="","",IF(J398&lt;0,"SEVK PAKETLEMEYİ AŞIYOR",IF(H398&lt;&gt;0,"PAKETLEME BAKİYESİ VAR","DENKLİK KAPALI")))</f>
        <v/>
      </c>
    </row>
    <row r="399" ht="15" customHeight="1">
      <c r="A399" s="60">
        <f>'21 2026 ÜRETİM'!A399</f>
        <v/>
      </c>
      <c r="B399" s="81">
        <f>IF(A399="","",'21 2026 ÜRETİM'!D399)</f>
        <v/>
      </c>
      <c r="C399" s="81">
        <f>IF(A399="","",'21 2026 ÜRETİM'!E399)</f>
        <v/>
      </c>
      <c r="D399" s="82">
        <f>IF(A399="","",'21 2026 ÜRETİM'!F399)</f>
        <v/>
      </c>
      <c r="E399" s="81">
        <f>IF(A399="","",SUMIF('22 2026 PAKETLEME'!$B$2:$B$501,A399,'22 2026 PAKETLEME'!$E$2:$E$501))</f>
        <v/>
      </c>
      <c r="F399" s="82">
        <f>IF(A399="","",SUMIF('22 2026 PAKETLEME'!$B$2:$B$501,A399,'22 2026 PAKETLEME'!$G$2:$G$501))</f>
        <v/>
      </c>
      <c r="G399" s="81">
        <f>IF(A399="","",SUMIF('22 2026 PAKETLEME'!$B$2:$B$501,A399,'22 2026 PAKETLEME'!$H$2:$H$501))</f>
        <v/>
      </c>
      <c r="H399" s="81">
        <f>IF(A399="","",D399-E399-F399-G399)</f>
        <v/>
      </c>
      <c r="I399" s="82">
        <f>IF(A399="","",SUMIF('23 2026 SEVKİYAT'!$E$2:$E$501,A399,'23 2026 SEVKİYAT'!$H$2:$H$501))</f>
        <v/>
      </c>
      <c r="J399" s="81">
        <f>IF(A399="","",E399+F399-I399)</f>
        <v/>
      </c>
      <c r="K399" s="81">
        <f>IF(A399="","",D399-E399-F399-G399-H399)</f>
        <v/>
      </c>
      <c r="L399" s="58">
        <f>IF(A399="","",IF(ABS(K399)&lt;0.001,"KAPALI","KONTROL"))</f>
        <v/>
      </c>
      <c r="M399" s="56">
        <f>IF(A399="","",IF(J399&lt;0,"SEVK PAKETLEMEYİ AŞIYOR",IF(H399&lt;&gt;0,"PAKETLEME BAKİYESİ VAR","DENKLİK KAPALI")))</f>
        <v/>
      </c>
    </row>
    <row r="400" ht="15" customHeight="1">
      <c r="A400" s="60">
        <f>'21 2026 ÜRETİM'!A400</f>
        <v/>
      </c>
      <c r="B400" s="81">
        <f>IF(A400="","",'21 2026 ÜRETİM'!D400)</f>
        <v/>
      </c>
      <c r="C400" s="81">
        <f>IF(A400="","",'21 2026 ÜRETİM'!E400)</f>
        <v/>
      </c>
      <c r="D400" s="82">
        <f>IF(A400="","",'21 2026 ÜRETİM'!F400)</f>
        <v/>
      </c>
      <c r="E400" s="81">
        <f>IF(A400="","",SUMIF('22 2026 PAKETLEME'!$B$2:$B$501,A400,'22 2026 PAKETLEME'!$E$2:$E$501))</f>
        <v/>
      </c>
      <c r="F400" s="82">
        <f>IF(A400="","",SUMIF('22 2026 PAKETLEME'!$B$2:$B$501,A400,'22 2026 PAKETLEME'!$G$2:$G$501))</f>
        <v/>
      </c>
      <c r="G400" s="81">
        <f>IF(A400="","",SUMIF('22 2026 PAKETLEME'!$B$2:$B$501,A400,'22 2026 PAKETLEME'!$H$2:$H$501))</f>
        <v/>
      </c>
      <c r="H400" s="81">
        <f>IF(A400="","",D400-E400-F400-G400)</f>
        <v/>
      </c>
      <c r="I400" s="82">
        <f>IF(A400="","",SUMIF('23 2026 SEVKİYAT'!$E$2:$E$501,A400,'23 2026 SEVKİYAT'!$H$2:$H$501))</f>
        <v/>
      </c>
      <c r="J400" s="81">
        <f>IF(A400="","",E400+F400-I400)</f>
        <v/>
      </c>
      <c r="K400" s="81">
        <f>IF(A400="","",D400-E400-F400-G400-H400)</f>
        <v/>
      </c>
      <c r="L400" s="58">
        <f>IF(A400="","",IF(ABS(K400)&lt;0.001,"KAPALI","KONTROL"))</f>
        <v/>
      </c>
      <c r="M400" s="56">
        <f>IF(A400="","",IF(J400&lt;0,"SEVK PAKETLEMEYİ AŞIYOR",IF(H400&lt;&gt;0,"PAKETLEME BAKİYESİ VAR","DENKLİK KAPALI")))</f>
        <v/>
      </c>
    </row>
    <row r="401" ht="15" customHeight="1">
      <c r="A401" s="60">
        <f>'21 2026 ÜRETİM'!A401</f>
        <v/>
      </c>
      <c r="B401" s="81">
        <f>IF(A401="","",'21 2026 ÜRETİM'!D401)</f>
        <v/>
      </c>
      <c r="C401" s="81">
        <f>IF(A401="","",'21 2026 ÜRETİM'!E401)</f>
        <v/>
      </c>
      <c r="D401" s="82">
        <f>IF(A401="","",'21 2026 ÜRETİM'!F401)</f>
        <v/>
      </c>
      <c r="E401" s="81">
        <f>IF(A401="","",SUMIF('22 2026 PAKETLEME'!$B$2:$B$501,A401,'22 2026 PAKETLEME'!$E$2:$E$501))</f>
        <v/>
      </c>
      <c r="F401" s="82">
        <f>IF(A401="","",SUMIF('22 2026 PAKETLEME'!$B$2:$B$501,A401,'22 2026 PAKETLEME'!$G$2:$G$501))</f>
        <v/>
      </c>
      <c r="G401" s="81">
        <f>IF(A401="","",SUMIF('22 2026 PAKETLEME'!$B$2:$B$501,A401,'22 2026 PAKETLEME'!$H$2:$H$501))</f>
        <v/>
      </c>
      <c r="H401" s="81">
        <f>IF(A401="","",D401-E401-F401-G401)</f>
        <v/>
      </c>
      <c r="I401" s="82">
        <f>IF(A401="","",SUMIF('23 2026 SEVKİYAT'!$E$2:$E$501,A401,'23 2026 SEVKİYAT'!$H$2:$H$501))</f>
        <v/>
      </c>
      <c r="J401" s="81">
        <f>IF(A401="","",E401+F401-I401)</f>
        <v/>
      </c>
      <c r="K401" s="81">
        <f>IF(A401="","",D401-E401-F401-G401-H401)</f>
        <v/>
      </c>
      <c r="L401" s="58">
        <f>IF(A401="","",IF(ABS(K401)&lt;0.001,"KAPALI","KONTROL"))</f>
        <v/>
      </c>
      <c r="M401" s="56">
        <f>IF(A401="","",IF(J401&lt;0,"SEVK PAKETLEMEYİ AŞIYOR",IF(H401&lt;&gt;0,"PAKETLEME BAKİYESİ VAR","DENKLİK KAPALI")))</f>
        <v/>
      </c>
    </row>
    <row r="402" ht="15" customHeight="1">
      <c r="A402" s="60">
        <f>'21 2026 ÜRETİM'!A402</f>
        <v/>
      </c>
      <c r="B402" s="81">
        <f>IF(A402="","",'21 2026 ÜRETİM'!D402)</f>
        <v/>
      </c>
      <c r="C402" s="81">
        <f>IF(A402="","",'21 2026 ÜRETİM'!E402)</f>
        <v/>
      </c>
      <c r="D402" s="82">
        <f>IF(A402="","",'21 2026 ÜRETİM'!F402)</f>
        <v/>
      </c>
      <c r="E402" s="81">
        <f>IF(A402="","",SUMIF('22 2026 PAKETLEME'!$B$2:$B$501,A402,'22 2026 PAKETLEME'!$E$2:$E$501))</f>
        <v/>
      </c>
      <c r="F402" s="82">
        <f>IF(A402="","",SUMIF('22 2026 PAKETLEME'!$B$2:$B$501,A402,'22 2026 PAKETLEME'!$G$2:$G$501))</f>
        <v/>
      </c>
      <c r="G402" s="81">
        <f>IF(A402="","",SUMIF('22 2026 PAKETLEME'!$B$2:$B$501,A402,'22 2026 PAKETLEME'!$H$2:$H$501))</f>
        <v/>
      </c>
      <c r="H402" s="81">
        <f>IF(A402="","",D402-E402-F402-G402)</f>
        <v/>
      </c>
      <c r="I402" s="82">
        <f>IF(A402="","",SUMIF('23 2026 SEVKİYAT'!$E$2:$E$501,A402,'23 2026 SEVKİYAT'!$H$2:$H$501))</f>
        <v/>
      </c>
      <c r="J402" s="81">
        <f>IF(A402="","",E402+F402-I402)</f>
        <v/>
      </c>
      <c r="K402" s="81">
        <f>IF(A402="","",D402-E402-F402-G402-H402)</f>
        <v/>
      </c>
      <c r="L402" s="58">
        <f>IF(A402="","",IF(ABS(K402)&lt;0.001,"KAPALI","KONTROL"))</f>
        <v/>
      </c>
      <c r="M402" s="56">
        <f>IF(A402="","",IF(J402&lt;0,"SEVK PAKETLEMEYİ AŞIYOR",IF(H402&lt;&gt;0,"PAKETLEME BAKİYESİ VAR","DENKLİK KAPALI")))</f>
        <v/>
      </c>
    </row>
    <row r="403" ht="15" customHeight="1">
      <c r="A403" s="60">
        <f>'21 2026 ÜRETİM'!A403</f>
        <v/>
      </c>
      <c r="B403" s="81">
        <f>IF(A403="","",'21 2026 ÜRETİM'!D403)</f>
        <v/>
      </c>
      <c r="C403" s="81">
        <f>IF(A403="","",'21 2026 ÜRETİM'!E403)</f>
        <v/>
      </c>
      <c r="D403" s="82">
        <f>IF(A403="","",'21 2026 ÜRETİM'!F403)</f>
        <v/>
      </c>
      <c r="E403" s="81">
        <f>IF(A403="","",SUMIF('22 2026 PAKETLEME'!$B$2:$B$501,A403,'22 2026 PAKETLEME'!$E$2:$E$501))</f>
        <v/>
      </c>
      <c r="F403" s="82">
        <f>IF(A403="","",SUMIF('22 2026 PAKETLEME'!$B$2:$B$501,A403,'22 2026 PAKETLEME'!$G$2:$G$501))</f>
        <v/>
      </c>
      <c r="G403" s="81">
        <f>IF(A403="","",SUMIF('22 2026 PAKETLEME'!$B$2:$B$501,A403,'22 2026 PAKETLEME'!$H$2:$H$501))</f>
        <v/>
      </c>
      <c r="H403" s="81">
        <f>IF(A403="","",D403-E403-F403-G403)</f>
        <v/>
      </c>
      <c r="I403" s="82">
        <f>IF(A403="","",SUMIF('23 2026 SEVKİYAT'!$E$2:$E$501,A403,'23 2026 SEVKİYAT'!$H$2:$H$501))</f>
        <v/>
      </c>
      <c r="J403" s="81">
        <f>IF(A403="","",E403+F403-I403)</f>
        <v/>
      </c>
      <c r="K403" s="81">
        <f>IF(A403="","",D403-E403-F403-G403-H403)</f>
        <v/>
      </c>
      <c r="L403" s="58">
        <f>IF(A403="","",IF(ABS(K403)&lt;0.001,"KAPALI","KONTROL"))</f>
        <v/>
      </c>
      <c r="M403" s="56">
        <f>IF(A403="","",IF(J403&lt;0,"SEVK PAKETLEMEYİ AŞIYOR",IF(H403&lt;&gt;0,"PAKETLEME BAKİYESİ VAR","DENKLİK KAPALI")))</f>
        <v/>
      </c>
    </row>
    <row r="404" ht="15" customHeight="1">
      <c r="A404" s="60">
        <f>'21 2026 ÜRETİM'!A404</f>
        <v/>
      </c>
      <c r="B404" s="81">
        <f>IF(A404="","",'21 2026 ÜRETİM'!D404)</f>
        <v/>
      </c>
      <c r="C404" s="81">
        <f>IF(A404="","",'21 2026 ÜRETİM'!E404)</f>
        <v/>
      </c>
      <c r="D404" s="82">
        <f>IF(A404="","",'21 2026 ÜRETİM'!F404)</f>
        <v/>
      </c>
      <c r="E404" s="81">
        <f>IF(A404="","",SUMIF('22 2026 PAKETLEME'!$B$2:$B$501,A404,'22 2026 PAKETLEME'!$E$2:$E$501))</f>
        <v/>
      </c>
      <c r="F404" s="82">
        <f>IF(A404="","",SUMIF('22 2026 PAKETLEME'!$B$2:$B$501,A404,'22 2026 PAKETLEME'!$G$2:$G$501))</f>
        <v/>
      </c>
      <c r="G404" s="81">
        <f>IF(A404="","",SUMIF('22 2026 PAKETLEME'!$B$2:$B$501,A404,'22 2026 PAKETLEME'!$H$2:$H$501))</f>
        <v/>
      </c>
      <c r="H404" s="81">
        <f>IF(A404="","",D404-E404-F404-G404)</f>
        <v/>
      </c>
      <c r="I404" s="82">
        <f>IF(A404="","",SUMIF('23 2026 SEVKİYAT'!$E$2:$E$501,A404,'23 2026 SEVKİYAT'!$H$2:$H$501))</f>
        <v/>
      </c>
      <c r="J404" s="81">
        <f>IF(A404="","",E404+F404-I404)</f>
        <v/>
      </c>
      <c r="K404" s="81">
        <f>IF(A404="","",D404-E404-F404-G404-H404)</f>
        <v/>
      </c>
      <c r="L404" s="58">
        <f>IF(A404="","",IF(ABS(K404)&lt;0.001,"KAPALI","KONTROL"))</f>
        <v/>
      </c>
      <c r="M404" s="56">
        <f>IF(A404="","",IF(J404&lt;0,"SEVK PAKETLEMEYİ AŞIYOR",IF(H404&lt;&gt;0,"PAKETLEME BAKİYESİ VAR","DENKLİK KAPALI")))</f>
        <v/>
      </c>
    </row>
    <row r="405" ht="15" customHeight="1">
      <c r="A405" s="60">
        <f>'21 2026 ÜRETİM'!A405</f>
        <v/>
      </c>
      <c r="B405" s="81">
        <f>IF(A405="","",'21 2026 ÜRETİM'!D405)</f>
        <v/>
      </c>
      <c r="C405" s="81">
        <f>IF(A405="","",'21 2026 ÜRETİM'!E405)</f>
        <v/>
      </c>
      <c r="D405" s="82">
        <f>IF(A405="","",'21 2026 ÜRETİM'!F405)</f>
        <v/>
      </c>
      <c r="E405" s="81">
        <f>IF(A405="","",SUMIF('22 2026 PAKETLEME'!$B$2:$B$501,A405,'22 2026 PAKETLEME'!$E$2:$E$501))</f>
        <v/>
      </c>
      <c r="F405" s="82">
        <f>IF(A405="","",SUMIF('22 2026 PAKETLEME'!$B$2:$B$501,A405,'22 2026 PAKETLEME'!$G$2:$G$501))</f>
        <v/>
      </c>
      <c r="G405" s="81">
        <f>IF(A405="","",SUMIF('22 2026 PAKETLEME'!$B$2:$B$501,A405,'22 2026 PAKETLEME'!$H$2:$H$501))</f>
        <v/>
      </c>
      <c r="H405" s="81">
        <f>IF(A405="","",D405-E405-F405-G405)</f>
        <v/>
      </c>
      <c r="I405" s="82">
        <f>IF(A405="","",SUMIF('23 2026 SEVKİYAT'!$E$2:$E$501,A405,'23 2026 SEVKİYAT'!$H$2:$H$501))</f>
        <v/>
      </c>
      <c r="J405" s="81">
        <f>IF(A405="","",E405+F405-I405)</f>
        <v/>
      </c>
      <c r="K405" s="81">
        <f>IF(A405="","",D405-E405-F405-G405-H405)</f>
        <v/>
      </c>
      <c r="L405" s="58">
        <f>IF(A405="","",IF(ABS(K405)&lt;0.001,"KAPALI","KONTROL"))</f>
        <v/>
      </c>
      <c r="M405" s="56">
        <f>IF(A405="","",IF(J405&lt;0,"SEVK PAKETLEMEYİ AŞIYOR",IF(H405&lt;&gt;0,"PAKETLEME BAKİYESİ VAR","DENKLİK KAPALI")))</f>
        <v/>
      </c>
    </row>
    <row r="406" ht="15" customHeight="1">
      <c r="A406" s="60">
        <f>'21 2026 ÜRETİM'!A406</f>
        <v/>
      </c>
      <c r="B406" s="81">
        <f>IF(A406="","",'21 2026 ÜRETİM'!D406)</f>
        <v/>
      </c>
      <c r="C406" s="81">
        <f>IF(A406="","",'21 2026 ÜRETİM'!E406)</f>
        <v/>
      </c>
      <c r="D406" s="82">
        <f>IF(A406="","",'21 2026 ÜRETİM'!F406)</f>
        <v/>
      </c>
      <c r="E406" s="81">
        <f>IF(A406="","",SUMIF('22 2026 PAKETLEME'!$B$2:$B$501,A406,'22 2026 PAKETLEME'!$E$2:$E$501))</f>
        <v/>
      </c>
      <c r="F406" s="82">
        <f>IF(A406="","",SUMIF('22 2026 PAKETLEME'!$B$2:$B$501,A406,'22 2026 PAKETLEME'!$G$2:$G$501))</f>
        <v/>
      </c>
      <c r="G406" s="81">
        <f>IF(A406="","",SUMIF('22 2026 PAKETLEME'!$B$2:$B$501,A406,'22 2026 PAKETLEME'!$H$2:$H$501))</f>
        <v/>
      </c>
      <c r="H406" s="81">
        <f>IF(A406="","",D406-E406-F406-G406)</f>
        <v/>
      </c>
      <c r="I406" s="82">
        <f>IF(A406="","",SUMIF('23 2026 SEVKİYAT'!$E$2:$E$501,A406,'23 2026 SEVKİYAT'!$H$2:$H$501))</f>
        <v/>
      </c>
      <c r="J406" s="81">
        <f>IF(A406="","",E406+F406-I406)</f>
        <v/>
      </c>
      <c r="K406" s="81">
        <f>IF(A406="","",D406-E406-F406-G406-H406)</f>
        <v/>
      </c>
      <c r="L406" s="58">
        <f>IF(A406="","",IF(ABS(K406)&lt;0.001,"KAPALI","KONTROL"))</f>
        <v/>
      </c>
      <c r="M406" s="56">
        <f>IF(A406="","",IF(J406&lt;0,"SEVK PAKETLEMEYİ AŞIYOR",IF(H406&lt;&gt;0,"PAKETLEME BAKİYESİ VAR","DENKLİK KAPALI")))</f>
        <v/>
      </c>
    </row>
    <row r="407" ht="15" customHeight="1">
      <c r="A407" s="60">
        <f>'21 2026 ÜRETİM'!A407</f>
        <v/>
      </c>
      <c r="B407" s="81">
        <f>IF(A407="","",'21 2026 ÜRETİM'!D407)</f>
        <v/>
      </c>
      <c r="C407" s="81">
        <f>IF(A407="","",'21 2026 ÜRETİM'!E407)</f>
        <v/>
      </c>
      <c r="D407" s="82">
        <f>IF(A407="","",'21 2026 ÜRETİM'!F407)</f>
        <v/>
      </c>
      <c r="E407" s="81">
        <f>IF(A407="","",SUMIF('22 2026 PAKETLEME'!$B$2:$B$501,A407,'22 2026 PAKETLEME'!$E$2:$E$501))</f>
        <v/>
      </c>
      <c r="F407" s="82">
        <f>IF(A407="","",SUMIF('22 2026 PAKETLEME'!$B$2:$B$501,A407,'22 2026 PAKETLEME'!$G$2:$G$501))</f>
        <v/>
      </c>
      <c r="G407" s="81">
        <f>IF(A407="","",SUMIF('22 2026 PAKETLEME'!$B$2:$B$501,A407,'22 2026 PAKETLEME'!$H$2:$H$501))</f>
        <v/>
      </c>
      <c r="H407" s="81">
        <f>IF(A407="","",D407-E407-F407-G407)</f>
        <v/>
      </c>
      <c r="I407" s="82">
        <f>IF(A407="","",SUMIF('23 2026 SEVKİYAT'!$E$2:$E$501,A407,'23 2026 SEVKİYAT'!$H$2:$H$501))</f>
        <v/>
      </c>
      <c r="J407" s="81">
        <f>IF(A407="","",E407+F407-I407)</f>
        <v/>
      </c>
      <c r="K407" s="81">
        <f>IF(A407="","",D407-E407-F407-G407-H407)</f>
        <v/>
      </c>
      <c r="L407" s="58">
        <f>IF(A407="","",IF(ABS(K407)&lt;0.001,"KAPALI","KONTROL"))</f>
        <v/>
      </c>
      <c r="M407" s="56">
        <f>IF(A407="","",IF(J407&lt;0,"SEVK PAKETLEMEYİ AŞIYOR",IF(H407&lt;&gt;0,"PAKETLEME BAKİYESİ VAR","DENKLİK KAPALI")))</f>
        <v/>
      </c>
    </row>
    <row r="408" ht="15" customHeight="1">
      <c r="A408" s="60">
        <f>'21 2026 ÜRETİM'!A408</f>
        <v/>
      </c>
      <c r="B408" s="81">
        <f>IF(A408="","",'21 2026 ÜRETİM'!D408)</f>
        <v/>
      </c>
      <c r="C408" s="81">
        <f>IF(A408="","",'21 2026 ÜRETİM'!E408)</f>
        <v/>
      </c>
      <c r="D408" s="82">
        <f>IF(A408="","",'21 2026 ÜRETİM'!F408)</f>
        <v/>
      </c>
      <c r="E408" s="81">
        <f>IF(A408="","",SUMIF('22 2026 PAKETLEME'!$B$2:$B$501,A408,'22 2026 PAKETLEME'!$E$2:$E$501))</f>
        <v/>
      </c>
      <c r="F408" s="82">
        <f>IF(A408="","",SUMIF('22 2026 PAKETLEME'!$B$2:$B$501,A408,'22 2026 PAKETLEME'!$G$2:$G$501))</f>
        <v/>
      </c>
      <c r="G408" s="81">
        <f>IF(A408="","",SUMIF('22 2026 PAKETLEME'!$B$2:$B$501,A408,'22 2026 PAKETLEME'!$H$2:$H$501))</f>
        <v/>
      </c>
      <c r="H408" s="81">
        <f>IF(A408="","",D408-E408-F408-G408)</f>
        <v/>
      </c>
      <c r="I408" s="82">
        <f>IF(A408="","",SUMIF('23 2026 SEVKİYAT'!$E$2:$E$501,A408,'23 2026 SEVKİYAT'!$H$2:$H$501))</f>
        <v/>
      </c>
      <c r="J408" s="81">
        <f>IF(A408="","",E408+F408-I408)</f>
        <v/>
      </c>
      <c r="K408" s="81">
        <f>IF(A408="","",D408-E408-F408-G408-H408)</f>
        <v/>
      </c>
      <c r="L408" s="58">
        <f>IF(A408="","",IF(ABS(K408)&lt;0.001,"KAPALI","KONTROL"))</f>
        <v/>
      </c>
      <c r="M408" s="56">
        <f>IF(A408="","",IF(J408&lt;0,"SEVK PAKETLEMEYİ AŞIYOR",IF(H408&lt;&gt;0,"PAKETLEME BAKİYESİ VAR","DENKLİK KAPALI")))</f>
        <v/>
      </c>
    </row>
    <row r="409" ht="15" customHeight="1">
      <c r="A409" s="60">
        <f>'21 2026 ÜRETİM'!A409</f>
        <v/>
      </c>
      <c r="B409" s="81">
        <f>IF(A409="","",'21 2026 ÜRETİM'!D409)</f>
        <v/>
      </c>
      <c r="C409" s="81">
        <f>IF(A409="","",'21 2026 ÜRETİM'!E409)</f>
        <v/>
      </c>
      <c r="D409" s="82">
        <f>IF(A409="","",'21 2026 ÜRETİM'!F409)</f>
        <v/>
      </c>
      <c r="E409" s="81">
        <f>IF(A409="","",SUMIF('22 2026 PAKETLEME'!$B$2:$B$501,A409,'22 2026 PAKETLEME'!$E$2:$E$501))</f>
        <v/>
      </c>
      <c r="F409" s="82">
        <f>IF(A409="","",SUMIF('22 2026 PAKETLEME'!$B$2:$B$501,A409,'22 2026 PAKETLEME'!$G$2:$G$501))</f>
        <v/>
      </c>
      <c r="G409" s="81">
        <f>IF(A409="","",SUMIF('22 2026 PAKETLEME'!$B$2:$B$501,A409,'22 2026 PAKETLEME'!$H$2:$H$501))</f>
        <v/>
      </c>
      <c r="H409" s="81">
        <f>IF(A409="","",D409-E409-F409-G409)</f>
        <v/>
      </c>
      <c r="I409" s="82">
        <f>IF(A409="","",SUMIF('23 2026 SEVKİYAT'!$E$2:$E$501,A409,'23 2026 SEVKİYAT'!$H$2:$H$501))</f>
        <v/>
      </c>
      <c r="J409" s="81">
        <f>IF(A409="","",E409+F409-I409)</f>
        <v/>
      </c>
      <c r="K409" s="81">
        <f>IF(A409="","",D409-E409-F409-G409-H409)</f>
        <v/>
      </c>
      <c r="L409" s="58">
        <f>IF(A409="","",IF(ABS(K409)&lt;0.001,"KAPALI","KONTROL"))</f>
        <v/>
      </c>
      <c r="M409" s="56">
        <f>IF(A409="","",IF(J409&lt;0,"SEVK PAKETLEMEYİ AŞIYOR",IF(H409&lt;&gt;0,"PAKETLEME BAKİYESİ VAR","DENKLİK KAPALI")))</f>
        <v/>
      </c>
    </row>
    <row r="410" ht="15" customHeight="1">
      <c r="A410" s="60">
        <f>'21 2026 ÜRETİM'!A410</f>
        <v/>
      </c>
      <c r="B410" s="81">
        <f>IF(A410="","",'21 2026 ÜRETİM'!D410)</f>
        <v/>
      </c>
      <c r="C410" s="81">
        <f>IF(A410="","",'21 2026 ÜRETİM'!E410)</f>
        <v/>
      </c>
      <c r="D410" s="82">
        <f>IF(A410="","",'21 2026 ÜRETİM'!F410)</f>
        <v/>
      </c>
      <c r="E410" s="81">
        <f>IF(A410="","",SUMIF('22 2026 PAKETLEME'!$B$2:$B$501,A410,'22 2026 PAKETLEME'!$E$2:$E$501))</f>
        <v/>
      </c>
      <c r="F410" s="82">
        <f>IF(A410="","",SUMIF('22 2026 PAKETLEME'!$B$2:$B$501,A410,'22 2026 PAKETLEME'!$G$2:$G$501))</f>
        <v/>
      </c>
      <c r="G410" s="81">
        <f>IF(A410="","",SUMIF('22 2026 PAKETLEME'!$B$2:$B$501,A410,'22 2026 PAKETLEME'!$H$2:$H$501))</f>
        <v/>
      </c>
      <c r="H410" s="81">
        <f>IF(A410="","",D410-E410-F410-G410)</f>
        <v/>
      </c>
      <c r="I410" s="82">
        <f>IF(A410="","",SUMIF('23 2026 SEVKİYAT'!$E$2:$E$501,A410,'23 2026 SEVKİYAT'!$H$2:$H$501))</f>
        <v/>
      </c>
      <c r="J410" s="81">
        <f>IF(A410="","",E410+F410-I410)</f>
        <v/>
      </c>
      <c r="K410" s="81">
        <f>IF(A410="","",D410-E410-F410-G410-H410)</f>
        <v/>
      </c>
      <c r="L410" s="58">
        <f>IF(A410="","",IF(ABS(K410)&lt;0.001,"KAPALI","KONTROL"))</f>
        <v/>
      </c>
      <c r="M410" s="56">
        <f>IF(A410="","",IF(J410&lt;0,"SEVK PAKETLEMEYİ AŞIYOR",IF(H410&lt;&gt;0,"PAKETLEME BAKİYESİ VAR","DENKLİK KAPALI")))</f>
        <v/>
      </c>
    </row>
    <row r="411" ht="15" customHeight="1">
      <c r="A411" s="60">
        <f>'21 2026 ÜRETİM'!A411</f>
        <v/>
      </c>
      <c r="B411" s="81">
        <f>IF(A411="","",'21 2026 ÜRETİM'!D411)</f>
        <v/>
      </c>
      <c r="C411" s="81">
        <f>IF(A411="","",'21 2026 ÜRETİM'!E411)</f>
        <v/>
      </c>
      <c r="D411" s="82">
        <f>IF(A411="","",'21 2026 ÜRETİM'!F411)</f>
        <v/>
      </c>
      <c r="E411" s="81">
        <f>IF(A411="","",SUMIF('22 2026 PAKETLEME'!$B$2:$B$501,A411,'22 2026 PAKETLEME'!$E$2:$E$501))</f>
        <v/>
      </c>
      <c r="F411" s="82">
        <f>IF(A411="","",SUMIF('22 2026 PAKETLEME'!$B$2:$B$501,A411,'22 2026 PAKETLEME'!$G$2:$G$501))</f>
        <v/>
      </c>
      <c r="G411" s="81">
        <f>IF(A411="","",SUMIF('22 2026 PAKETLEME'!$B$2:$B$501,A411,'22 2026 PAKETLEME'!$H$2:$H$501))</f>
        <v/>
      </c>
      <c r="H411" s="81">
        <f>IF(A411="","",D411-E411-F411-G411)</f>
        <v/>
      </c>
      <c r="I411" s="82">
        <f>IF(A411="","",SUMIF('23 2026 SEVKİYAT'!$E$2:$E$501,A411,'23 2026 SEVKİYAT'!$H$2:$H$501))</f>
        <v/>
      </c>
      <c r="J411" s="81">
        <f>IF(A411="","",E411+F411-I411)</f>
        <v/>
      </c>
      <c r="K411" s="81">
        <f>IF(A411="","",D411-E411-F411-G411-H411)</f>
        <v/>
      </c>
      <c r="L411" s="58">
        <f>IF(A411="","",IF(ABS(K411)&lt;0.001,"KAPALI","KONTROL"))</f>
        <v/>
      </c>
      <c r="M411" s="56">
        <f>IF(A411="","",IF(J411&lt;0,"SEVK PAKETLEMEYİ AŞIYOR",IF(H411&lt;&gt;0,"PAKETLEME BAKİYESİ VAR","DENKLİK KAPALI")))</f>
        <v/>
      </c>
    </row>
    <row r="412" ht="15" customHeight="1">
      <c r="A412" s="60">
        <f>'21 2026 ÜRETİM'!A412</f>
        <v/>
      </c>
      <c r="B412" s="81">
        <f>IF(A412="","",'21 2026 ÜRETİM'!D412)</f>
        <v/>
      </c>
      <c r="C412" s="81">
        <f>IF(A412="","",'21 2026 ÜRETİM'!E412)</f>
        <v/>
      </c>
      <c r="D412" s="82">
        <f>IF(A412="","",'21 2026 ÜRETİM'!F412)</f>
        <v/>
      </c>
      <c r="E412" s="81">
        <f>IF(A412="","",SUMIF('22 2026 PAKETLEME'!$B$2:$B$501,A412,'22 2026 PAKETLEME'!$E$2:$E$501))</f>
        <v/>
      </c>
      <c r="F412" s="82">
        <f>IF(A412="","",SUMIF('22 2026 PAKETLEME'!$B$2:$B$501,A412,'22 2026 PAKETLEME'!$G$2:$G$501))</f>
        <v/>
      </c>
      <c r="G412" s="81">
        <f>IF(A412="","",SUMIF('22 2026 PAKETLEME'!$B$2:$B$501,A412,'22 2026 PAKETLEME'!$H$2:$H$501))</f>
        <v/>
      </c>
      <c r="H412" s="81">
        <f>IF(A412="","",D412-E412-F412-G412)</f>
        <v/>
      </c>
      <c r="I412" s="82">
        <f>IF(A412="","",SUMIF('23 2026 SEVKİYAT'!$E$2:$E$501,A412,'23 2026 SEVKİYAT'!$H$2:$H$501))</f>
        <v/>
      </c>
      <c r="J412" s="81">
        <f>IF(A412="","",E412+F412-I412)</f>
        <v/>
      </c>
      <c r="K412" s="81">
        <f>IF(A412="","",D412-E412-F412-G412-H412)</f>
        <v/>
      </c>
      <c r="L412" s="58">
        <f>IF(A412="","",IF(ABS(K412)&lt;0.001,"KAPALI","KONTROL"))</f>
        <v/>
      </c>
      <c r="M412" s="56">
        <f>IF(A412="","",IF(J412&lt;0,"SEVK PAKETLEMEYİ AŞIYOR",IF(H412&lt;&gt;0,"PAKETLEME BAKİYESİ VAR","DENKLİK KAPALI")))</f>
        <v/>
      </c>
    </row>
    <row r="413" ht="15" customHeight="1">
      <c r="A413" s="60">
        <f>'21 2026 ÜRETİM'!A413</f>
        <v/>
      </c>
      <c r="B413" s="81">
        <f>IF(A413="","",'21 2026 ÜRETİM'!D413)</f>
        <v/>
      </c>
      <c r="C413" s="81">
        <f>IF(A413="","",'21 2026 ÜRETİM'!E413)</f>
        <v/>
      </c>
      <c r="D413" s="82">
        <f>IF(A413="","",'21 2026 ÜRETİM'!F413)</f>
        <v/>
      </c>
      <c r="E413" s="81">
        <f>IF(A413="","",SUMIF('22 2026 PAKETLEME'!$B$2:$B$501,A413,'22 2026 PAKETLEME'!$E$2:$E$501))</f>
        <v/>
      </c>
      <c r="F413" s="82">
        <f>IF(A413="","",SUMIF('22 2026 PAKETLEME'!$B$2:$B$501,A413,'22 2026 PAKETLEME'!$G$2:$G$501))</f>
        <v/>
      </c>
      <c r="G413" s="81">
        <f>IF(A413="","",SUMIF('22 2026 PAKETLEME'!$B$2:$B$501,A413,'22 2026 PAKETLEME'!$H$2:$H$501))</f>
        <v/>
      </c>
      <c r="H413" s="81">
        <f>IF(A413="","",D413-E413-F413-G413)</f>
        <v/>
      </c>
      <c r="I413" s="82">
        <f>IF(A413="","",SUMIF('23 2026 SEVKİYAT'!$E$2:$E$501,A413,'23 2026 SEVKİYAT'!$H$2:$H$501))</f>
        <v/>
      </c>
      <c r="J413" s="81">
        <f>IF(A413="","",E413+F413-I413)</f>
        <v/>
      </c>
      <c r="K413" s="81">
        <f>IF(A413="","",D413-E413-F413-G413-H413)</f>
        <v/>
      </c>
      <c r="L413" s="58">
        <f>IF(A413="","",IF(ABS(K413)&lt;0.001,"KAPALI","KONTROL"))</f>
        <v/>
      </c>
      <c r="M413" s="56">
        <f>IF(A413="","",IF(J413&lt;0,"SEVK PAKETLEMEYİ AŞIYOR",IF(H413&lt;&gt;0,"PAKETLEME BAKİYESİ VAR","DENKLİK KAPALI")))</f>
        <v/>
      </c>
    </row>
    <row r="414" ht="15" customHeight="1">
      <c r="A414" s="60">
        <f>'21 2026 ÜRETİM'!A414</f>
        <v/>
      </c>
      <c r="B414" s="81">
        <f>IF(A414="","",'21 2026 ÜRETİM'!D414)</f>
        <v/>
      </c>
      <c r="C414" s="81">
        <f>IF(A414="","",'21 2026 ÜRETİM'!E414)</f>
        <v/>
      </c>
      <c r="D414" s="82">
        <f>IF(A414="","",'21 2026 ÜRETİM'!F414)</f>
        <v/>
      </c>
      <c r="E414" s="81">
        <f>IF(A414="","",SUMIF('22 2026 PAKETLEME'!$B$2:$B$501,A414,'22 2026 PAKETLEME'!$E$2:$E$501))</f>
        <v/>
      </c>
      <c r="F414" s="82">
        <f>IF(A414="","",SUMIF('22 2026 PAKETLEME'!$B$2:$B$501,A414,'22 2026 PAKETLEME'!$G$2:$G$501))</f>
        <v/>
      </c>
      <c r="G414" s="81">
        <f>IF(A414="","",SUMIF('22 2026 PAKETLEME'!$B$2:$B$501,A414,'22 2026 PAKETLEME'!$H$2:$H$501))</f>
        <v/>
      </c>
      <c r="H414" s="81">
        <f>IF(A414="","",D414-E414-F414-G414)</f>
        <v/>
      </c>
      <c r="I414" s="82">
        <f>IF(A414="","",SUMIF('23 2026 SEVKİYAT'!$E$2:$E$501,A414,'23 2026 SEVKİYAT'!$H$2:$H$501))</f>
        <v/>
      </c>
      <c r="J414" s="81">
        <f>IF(A414="","",E414+F414-I414)</f>
        <v/>
      </c>
      <c r="K414" s="81">
        <f>IF(A414="","",D414-E414-F414-G414-H414)</f>
        <v/>
      </c>
      <c r="L414" s="58">
        <f>IF(A414="","",IF(ABS(K414)&lt;0.001,"KAPALI","KONTROL"))</f>
        <v/>
      </c>
      <c r="M414" s="56">
        <f>IF(A414="","",IF(J414&lt;0,"SEVK PAKETLEMEYİ AŞIYOR",IF(H414&lt;&gt;0,"PAKETLEME BAKİYESİ VAR","DENKLİK KAPALI")))</f>
        <v/>
      </c>
    </row>
    <row r="415" ht="15" customHeight="1">
      <c r="A415" s="60">
        <f>'21 2026 ÜRETİM'!A415</f>
        <v/>
      </c>
      <c r="B415" s="81">
        <f>IF(A415="","",'21 2026 ÜRETİM'!D415)</f>
        <v/>
      </c>
      <c r="C415" s="81">
        <f>IF(A415="","",'21 2026 ÜRETİM'!E415)</f>
        <v/>
      </c>
      <c r="D415" s="82">
        <f>IF(A415="","",'21 2026 ÜRETİM'!F415)</f>
        <v/>
      </c>
      <c r="E415" s="81">
        <f>IF(A415="","",SUMIF('22 2026 PAKETLEME'!$B$2:$B$501,A415,'22 2026 PAKETLEME'!$E$2:$E$501))</f>
        <v/>
      </c>
      <c r="F415" s="82">
        <f>IF(A415="","",SUMIF('22 2026 PAKETLEME'!$B$2:$B$501,A415,'22 2026 PAKETLEME'!$G$2:$G$501))</f>
        <v/>
      </c>
      <c r="G415" s="81">
        <f>IF(A415="","",SUMIF('22 2026 PAKETLEME'!$B$2:$B$501,A415,'22 2026 PAKETLEME'!$H$2:$H$501))</f>
        <v/>
      </c>
      <c r="H415" s="81">
        <f>IF(A415="","",D415-E415-F415-G415)</f>
        <v/>
      </c>
      <c r="I415" s="82">
        <f>IF(A415="","",SUMIF('23 2026 SEVKİYAT'!$E$2:$E$501,A415,'23 2026 SEVKİYAT'!$H$2:$H$501))</f>
        <v/>
      </c>
      <c r="J415" s="81">
        <f>IF(A415="","",E415+F415-I415)</f>
        <v/>
      </c>
      <c r="K415" s="81">
        <f>IF(A415="","",D415-E415-F415-G415-H415)</f>
        <v/>
      </c>
      <c r="L415" s="58">
        <f>IF(A415="","",IF(ABS(K415)&lt;0.001,"KAPALI","KONTROL"))</f>
        <v/>
      </c>
      <c r="M415" s="56">
        <f>IF(A415="","",IF(J415&lt;0,"SEVK PAKETLEMEYİ AŞIYOR",IF(H415&lt;&gt;0,"PAKETLEME BAKİYESİ VAR","DENKLİK KAPALI")))</f>
        <v/>
      </c>
    </row>
    <row r="416" ht="15" customHeight="1">
      <c r="A416" s="60">
        <f>'21 2026 ÜRETİM'!A416</f>
        <v/>
      </c>
      <c r="B416" s="81">
        <f>IF(A416="","",'21 2026 ÜRETİM'!D416)</f>
        <v/>
      </c>
      <c r="C416" s="81">
        <f>IF(A416="","",'21 2026 ÜRETİM'!E416)</f>
        <v/>
      </c>
      <c r="D416" s="82">
        <f>IF(A416="","",'21 2026 ÜRETİM'!F416)</f>
        <v/>
      </c>
      <c r="E416" s="81">
        <f>IF(A416="","",SUMIF('22 2026 PAKETLEME'!$B$2:$B$501,A416,'22 2026 PAKETLEME'!$E$2:$E$501))</f>
        <v/>
      </c>
      <c r="F416" s="82">
        <f>IF(A416="","",SUMIF('22 2026 PAKETLEME'!$B$2:$B$501,A416,'22 2026 PAKETLEME'!$G$2:$G$501))</f>
        <v/>
      </c>
      <c r="G416" s="81">
        <f>IF(A416="","",SUMIF('22 2026 PAKETLEME'!$B$2:$B$501,A416,'22 2026 PAKETLEME'!$H$2:$H$501))</f>
        <v/>
      </c>
      <c r="H416" s="81">
        <f>IF(A416="","",D416-E416-F416-G416)</f>
        <v/>
      </c>
      <c r="I416" s="82">
        <f>IF(A416="","",SUMIF('23 2026 SEVKİYAT'!$E$2:$E$501,A416,'23 2026 SEVKİYAT'!$H$2:$H$501))</f>
        <v/>
      </c>
      <c r="J416" s="81">
        <f>IF(A416="","",E416+F416-I416)</f>
        <v/>
      </c>
      <c r="K416" s="81">
        <f>IF(A416="","",D416-E416-F416-G416-H416)</f>
        <v/>
      </c>
      <c r="L416" s="58">
        <f>IF(A416="","",IF(ABS(K416)&lt;0.001,"KAPALI","KONTROL"))</f>
        <v/>
      </c>
      <c r="M416" s="56">
        <f>IF(A416="","",IF(J416&lt;0,"SEVK PAKETLEMEYİ AŞIYOR",IF(H416&lt;&gt;0,"PAKETLEME BAKİYESİ VAR","DENKLİK KAPALI")))</f>
        <v/>
      </c>
    </row>
    <row r="417" ht="15" customHeight="1">
      <c r="A417" s="60">
        <f>'21 2026 ÜRETİM'!A417</f>
        <v/>
      </c>
      <c r="B417" s="81">
        <f>IF(A417="","",'21 2026 ÜRETİM'!D417)</f>
        <v/>
      </c>
      <c r="C417" s="81">
        <f>IF(A417="","",'21 2026 ÜRETİM'!E417)</f>
        <v/>
      </c>
      <c r="D417" s="82">
        <f>IF(A417="","",'21 2026 ÜRETİM'!F417)</f>
        <v/>
      </c>
      <c r="E417" s="81">
        <f>IF(A417="","",SUMIF('22 2026 PAKETLEME'!$B$2:$B$501,A417,'22 2026 PAKETLEME'!$E$2:$E$501))</f>
        <v/>
      </c>
      <c r="F417" s="82">
        <f>IF(A417="","",SUMIF('22 2026 PAKETLEME'!$B$2:$B$501,A417,'22 2026 PAKETLEME'!$G$2:$G$501))</f>
        <v/>
      </c>
      <c r="G417" s="81">
        <f>IF(A417="","",SUMIF('22 2026 PAKETLEME'!$B$2:$B$501,A417,'22 2026 PAKETLEME'!$H$2:$H$501))</f>
        <v/>
      </c>
      <c r="H417" s="81">
        <f>IF(A417="","",D417-E417-F417-G417)</f>
        <v/>
      </c>
      <c r="I417" s="82">
        <f>IF(A417="","",SUMIF('23 2026 SEVKİYAT'!$E$2:$E$501,A417,'23 2026 SEVKİYAT'!$H$2:$H$501))</f>
        <v/>
      </c>
      <c r="J417" s="81">
        <f>IF(A417="","",E417+F417-I417)</f>
        <v/>
      </c>
      <c r="K417" s="81">
        <f>IF(A417="","",D417-E417-F417-G417-H417)</f>
        <v/>
      </c>
      <c r="L417" s="58">
        <f>IF(A417="","",IF(ABS(K417)&lt;0.001,"KAPALI","KONTROL"))</f>
        <v/>
      </c>
      <c r="M417" s="56">
        <f>IF(A417="","",IF(J417&lt;0,"SEVK PAKETLEMEYİ AŞIYOR",IF(H417&lt;&gt;0,"PAKETLEME BAKİYESİ VAR","DENKLİK KAPALI")))</f>
        <v/>
      </c>
    </row>
    <row r="418" ht="15" customHeight="1">
      <c r="A418" s="60">
        <f>'21 2026 ÜRETİM'!A418</f>
        <v/>
      </c>
      <c r="B418" s="81">
        <f>IF(A418="","",'21 2026 ÜRETİM'!D418)</f>
        <v/>
      </c>
      <c r="C418" s="81">
        <f>IF(A418="","",'21 2026 ÜRETİM'!E418)</f>
        <v/>
      </c>
      <c r="D418" s="82">
        <f>IF(A418="","",'21 2026 ÜRETİM'!F418)</f>
        <v/>
      </c>
      <c r="E418" s="81">
        <f>IF(A418="","",SUMIF('22 2026 PAKETLEME'!$B$2:$B$501,A418,'22 2026 PAKETLEME'!$E$2:$E$501))</f>
        <v/>
      </c>
      <c r="F418" s="82">
        <f>IF(A418="","",SUMIF('22 2026 PAKETLEME'!$B$2:$B$501,A418,'22 2026 PAKETLEME'!$G$2:$G$501))</f>
        <v/>
      </c>
      <c r="G418" s="81">
        <f>IF(A418="","",SUMIF('22 2026 PAKETLEME'!$B$2:$B$501,A418,'22 2026 PAKETLEME'!$H$2:$H$501))</f>
        <v/>
      </c>
      <c r="H418" s="81">
        <f>IF(A418="","",D418-E418-F418-G418)</f>
        <v/>
      </c>
      <c r="I418" s="82">
        <f>IF(A418="","",SUMIF('23 2026 SEVKİYAT'!$E$2:$E$501,A418,'23 2026 SEVKİYAT'!$H$2:$H$501))</f>
        <v/>
      </c>
      <c r="J418" s="81">
        <f>IF(A418="","",E418+F418-I418)</f>
        <v/>
      </c>
      <c r="K418" s="81">
        <f>IF(A418="","",D418-E418-F418-G418-H418)</f>
        <v/>
      </c>
      <c r="L418" s="58">
        <f>IF(A418="","",IF(ABS(K418)&lt;0.001,"KAPALI","KONTROL"))</f>
        <v/>
      </c>
      <c r="M418" s="56">
        <f>IF(A418="","",IF(J418&lt;0,"SEVK PAKETLEMEYİ AŞIYOR",IF(H418&lt;&gt;0,"PAKETLEME BAKİYESİ VAR","DENKLİK KAPALI")))</f>
        <v/>
      </c>
    </row>
    <row r="419" ht="15" customHeight="1">
      <c r="A419" s="60">
        <f>'21 2026 ÜRETİM'!A419</f>
        <v/>
      </c>
      <c r="B419" s="81">
        <f>IF(A419="","",'21 2026 ÜRETİM'!D419)</f>
        <v/>
      </c>
      <c r="C419" s="81">
        <f>IF(A419="","",'21 2026 ÜRETİM'!E419)</f>
        <v/>
      </c>
      <c r="D419" s="82">
        <f>IF(A419="","",'21 2026 ÜRETİM'!F419)</f>
        <v/>
      </c>
      <c r="E419" s="81">
        <f>IF(A419="","",SUMIF('22 2026 PAKETLEME'!$B$2:$B$501,A419,'22 2026 PAKETLEME'!$E$2:$E$501))</f>
        <v/>
      </c>
      <c r="F419" s="82">
        <f>IF(A419="","",SUMIF('22 2026 PAKETLEME'!$B$2:$B$501,A419,'22 2026 PAKETLEME'!$G$2:$G$501))</f>
        <v/>
      </c>
      <c r="G419" s="81">
        <f>IF(A419="","",SUMIF('22 2026 PAKETLEME'!$B$2:$B$501,A419,'22 2026 PAKETLEME'!$H$2:$H$501))</f>
        <v/>
      </c>
      <c r="H419" s="81">
        <f>IF(A419="","",D419-E419-F419-G419)</f>
        <v/>
      </c>
      <c r="I419" s="82">
        <f>IF(A419="","",SUMIF('23 2026 SEVKİYAT'!$E$2:$E$501,A419,'23 2026 SEVKİYAT'!$H$2:$H$501))</f>
        <v/>
      </c>
      <c r="J419" s="81">
        <f>IF(A419="","",E419+F419-I419)</f>
        <v/>
      </c>
      <c r="K419" s="81">
        <f>IF(A419="","",D419-E419-F419-G419-H419)</f>
        <v/>
      </c>
      <c r="L419" s="58">
        <f>IF(A419="","",IF(ABS(K419)&lt;0.001,"KAPALI","KONTROL"))</f>
        <v/>
      </c>
      <c r="M419" s="56">
        <f>IF(A419="","",IF(J419&lt;0,"SEVK PAKETLEMEYİ AŞIYOR",IF(H419&lt;&gt;0,"PAKETLEME BAKİYESİ VAR","DENKLİK KAPALI")))</f>
        <v/>
      </c>
    </row>
    <row r="420" ht="15" customHeight="1">
      <c r="A420" s="60">
        <f>'21 2026 ÜRETİM'!A420</f>
        <v/>
      </c>
      <c r="B420" s="81">
        <f>IF(A420="","",'21 2026 ÜRETİM'!D420)</f>
        <v/>
      </c>
      <c r="C420" s="81">
        <f>IF(A420="","",'21 2026 ÜRETİM'!E420)</f>
        <v/>
      </c>
      <c r="D420" s="82">
        <f>IF(A420="","",'21 2026 ÜRETİM'!F420)</f>
        <v/>
      </c>
      <c r="E420" s="81">
        <f>IF(A420="","",SUMIF('22 2026 PAKETLEME'!$B$2:$B$501,A420,'22 2026 PAKETLEME'!$E$2:$E$501))</f>
        <v/>
      </c>
      <c r="F420" s="82">
        <f>IF(A420="","",SUMIF('22 2026 PAKETLEME'!$B$2:$B$501,A420,'22 2026 PAKETLEME'!$G$2:$G$501))</f>
        <v/>
      </c>
      <c r="G420" s="81">
        <f>IF(A420="","",SUMIF('22 2026 PAKETLEME'!$B$2:$B$501,A420,'22 2026 PAKETLEME'!$H$2:$H$501))</f>
        <v/>
      </c>
      <c r="H420" s="81">
        <f>IF(A420="","",D420-E420-F420-G420)</f>
        <v/>
      </c>
      <c r="I420" s="82">
        <f>IF(A420="","",SUMIF('23 2026 SEVKİYAT'!$E$2:$E$501,A420,'23 2026 SEVKİYAT'!$H$2:$H$501))</f>
        <v/>
      </c>
      <c r="J420" s="81">
        <f>IF(A420="","",E420+F420-I420)</f>
        <v/>
      </c>
      <c r="K420" s="81">
        <f>IF(A420="","",D420-E420-F420-G420-H420)</f>
        <v/>
      </c>
      <c r="L420" s="58">
        <f>IF(A420="","",IF(ABS(K420)&lt;0.001,"KAPALI","KONTROL"))</f>
        <v/>
      </c>
      <c r="M420" s="56">
        <f>IF(A420="","",IF(J420&lt;0,"SEVK PAKETLEMEYİ AŞIYOR",IF(H420&lt;&gt;0,"PAKETLEME BAKİYESİ VAR","DENKLİK KAPALI")))</f>
        <v/>
      </c>
    </row>
    <row r="421" ht="15" customHeight="1">
      <c r="A421" s="60">
        <f>'21 2026 ÜRETİM'!A421</f>
        <v/>
      </c>
      <c r="B421" s="81">
        <f>IF(A421="","",'21 2026 ÜRETİM'!D421)</f>
        <v/>
      </c>
      <c r="C421" s="81">
        <f>IF(A421="","",'21 2026 ÜRETİM'!E421)</f>
        <v/>
      </c>
      <c r="D421" s="82">
        <f>IF(A421="","",'21 2026 ÜRETİM'!F421)</f>
        <v/>
      </c>
      <c r="E421" s="81">
        <f>IF(A421="","",SUMIF('22 2026 PAKETLEME'!$B$2:$B$501,A421,'22 2026 PAKETLEME'!$E$2:$E$501))</f>
        <v/>
      </c>
      <c r="F421" s="82">
        <f>IF(A421="","",SUMIF('22 2026 PAKETLEME'!$B$2:$B$501,A421,'22 2026 PAKETLEME'!$G$2:$G$501))</f>
        <v/>
      </c>
      <c r="G421" s="81">
        <f>IF(A421="","",SUMIF('22 2026 PAKETLEME'!$B$2:$B$501,A421,'22 2026 PAKETLEME'!$H$2:$H$501))</f>
        <v/>
      </c>
      <c r="H421" s="81">
        <f>IF(A421="","",D421-E421-F421-G421)</f>
        <v/>
      </c>
      <c r="I421" s="82">
        <f>IF(A421="","",SUMIF('23 2026 SEVKİYAT'!$E$2:$E$501,A421,'23 2026 SEVKİYAT'!$H$2:$H$501))</f>
        <v/>
      </c>
      <c r="J421" s="81">
        <f>IF(A421="","",E421+F421-I421)</f>
        <v/>
      </c>
      <c r="K421" s="81">
        <f>IF(A421="","",D421-E421-F421-G421-H421)</f>
        <v/>
      </c>
      <c r="L421" s="58">
        <f>IF(A421="","",IF(ABS(K421)&lt;0.001,"KAPALI","KONTROL"))</f>
        <v/>
      </c>
      <c r="M421" s="56">
        <f>IF(A421="","",IF(J421&lt;0,"SEVK PAKETLEMEYİ AŞIYOR",IF(H421&lt;&gt;0,"PAKETLEME BAKİYESİ VAR","DENKLİK KAPALI")))</f>
        <v/>
      </c>
    </row>
    <row r="422" ht="15" customHeight="1">
      <c r="A422" s="60">
        <f>'21 2026 ÜRETİM'!A422</f>
        <v/>
      </c>
      <c r="B422" s="81">
        <f>IF(A422="","",'21 2026 ÜRETİM'!D422)</f>
        <v/>
      </c>
      <c r="C422" s="81">
        <f>IF(A422="","",'21 2026 ÜRETİM'!E422)</f>
        <v/>
      </c>
      <c r="D422" s="82">
        <f>IF(A422="","",'21 2026 ÜRETİM'!F422)</f>
        <v/>
      </c>
      <c r="E422" s="81">
        <f>IF(A422="","",SUMIF('22 2026 PAKETLEME'!$B$2:$B$501,A422,'22 2026 PAKETLEME'!$E$2:$E$501))</f>
        <v/>
      </c>
      <c r="F422" s="82">
        <f>IF(A422="","",SUMIF('22 2026 PAKETLEME'!$B$2:$B$501,A422,'22 2026 PAKETLEME'!$G$2:$G$501))</f>
        <v/>
      </c>
      <c r="G422" s="81">
        <f>IF(A422="","",SUMIF('22 2026 PAKETLEME'!$B$2:$B$501,A422,'22 2026 PAKETLEME'!$H$2:$H$501))</f>
        <v/>
      </c>
      <c r="H422" s="81">
        <f>IF(A422="","",D422-E422-F422-G422)</f>
        <v/>
      </c>
      <c r="I422" s="82">
        <f>IF(A422="","",SUMIF('23 2026 SEVKİYAT'!$E$2:$E$501,A422,'23 2026 SEVKİYAT'!$H$2:$H$501))</f>
        <v/>
      </c>
      <c r="J422" s="81">
        <f>IF(A422="","",E422+F422-I422)</f>
        <v/>
      </c>
      <c r="K422" s="81">
        <f>IF(A422="","",D422-E422-F422-G422-H422)</f>
        <v/>
      </c>
      <c r="L422" s="58">
        <f>IF(A422="","",IF(ABS(K422)&lt;0.001,"KAPALI","KONTROL"))</f>
        <v/>
      </c>
      <c r="M422" s="56">
        <f>IF(A422="","",IF(J422&lt;0,"SEVK PAKETLEMEYİ AŞIYOR",IF(H422&lt;&gt;0,"PAKETLEME BAKİYESİ VAR","DENKLİK KAPALI")))</f>
        <v/>
      </c>
    </row>
    <row r="423" ht="15" customHeight="1">
      <c r="A423" s="60">
        <f>'21 2026 ÜRETİM'!A423</f>
        <v/>
      </c>
      <c r="B423" s="81">
        <f>IF(A423="","",'21 2026 ÜRETİM'!D423)</f>
        <v/>
      </c>
      <c r="C423" s="81">
        <f>IF(A423="","",'21 2026 ÜRETİM'!E423)</f>
        <v/>
      </c>
      <c r="D423" s="82">
        <f>IF(A423="","",'21 2026 ÜRETİM'!F423)</f>
        <v/>
      </c>
      <c r="E423" s="81">
        <f>IF(A423="","",SUMIF('22 2026 PAKETLEME'!$B$2:$B$501,A423,'22 2026 PAKETLEME'!$E$2:$E$501))</f>
        <v/>
      </c>
      <c r="F423" s="82">
        <f>IF(A423="","",SUMIF('22 2026 PAKETLEME'!$B$2:$B$501,A423,'22 2026 PAKETLEME'!$G$2:$G$501))</f>
        <v/>
      </c>
      <c r="G423" s="81">
        <f>IF(A423="","",SUMIF('22 2026 PAKETLEME'!$B$2:$B$501,A423,'22 2026 PAKETLEME'!$H$2:$H$501))</f>
        <v/>
      </c>
      <c r="H423" s="81">
        <f>IF(A423="","",D423-E423-F423-G423)</f>
        <v/>
      </c>
      <c r="I423" s="82">
        <f>IF(A423="","",SUMIF('23 2026 SEVKİYAT'!$E$2:$E$501,A423,'23 2026 SEVKİYAT'!$H$2:$H$501))</f>
        <v/>
      </c>
      <c r="J423" s="81">
        <f>IF(A423="","",E423+F423-I423)</f>
        <v/>
      </c>
      <c r="K423" s="81">
        <f>IF(A423="","",D423-E423-F423-G423-H423)</f>
        <v/>
      </c>
      <c r="L423" s="58">
        <f>IF(A423="","",IF(ABS(K423)&lt;0.001,"KAPALI","KONTROL"))</f>
        <v/>
      </c>
      <c r="M423" s="56">
        <f>IF(A423="","",IF(J423&lt;0,"SEVK PAKETLEMEYİ AŞIYOR",IF(H423&lt;&gt;0,"PAKETLEME BAKİYESİ VAR","DENKLİK KAPALI")))</f>
        <v/>
      </c>
    </row>
    <row r="424" ht="15" customHeight="1">
      <c r="A424" s="60">
        <f>'21 2026 ÜRETİM'!A424</f>
        <v/>
      </c>
      <c r="B424" s="81">
        <f>IF(A424="","",'21 2026 ÜRETİM'!D424)</f>
        <v/>
      </c>
      <c r="C424" s="81">
        <f>IF(A424="","",'21 2026 ÜRETİM'!E424)</f>
        <v/>
      </c>
      <c r="D424" s="82">
        <f>IF(A424="","",'21 2026 ÜRETİM'!F424)</f>
        <v/>
      </c>
      <c r="E424" s="81">
        <f>IF(A424="","",SUMIF('22 2026 PAKETLEME'!$B$2:$B$501,A424,'22 2026 PAKETLEME'!$E$2:$E$501))</f>
        <v/>
      </c>
      <c r="F424" s="82">
        <f>IF(A424="","",SUMIF('22 2026 PAKETLEME'!$B$2:$B$501,A424,'22 2026 PAKETLEME'!$G$2:$G$501))</f>
        <v/>
      </c>
      <c r="G424" s="81">
        <f>IF(A424="","",SUMIF('22 2026 PAKETLEME'!$B$2:$B$501,A424,'22 2026 PAKETLEME'!$H$2:$H$501))</f>
        <v/>
      </c>
      <c r="H424" s="81">
        <f>IF(A424="","",D424-E424-F424-G424)</f>
        <v/>
      </c>
      <c r="I424" s="82">
        <f>IF(A424="","",SUMIF('23 2026 SEVKİYAT'!$E$2:$E$501,A424,'23 2026 SEVKİYAT'!$H$2:$H$501))</f>
        <v/>
      </c>
      <c r="J424" s="81">
        <f>IF(A424="","",E424+F424-I424)</f>
        <v/>
      </c>
      <c r="K424" s="81">
        <f>IF(A424="","",D424-E424-F424-G424-H424)</f>
        <v/>
      </c>
      <c r="L424" s="58">
        <f>IF(A424="","",IF(ABS(K424)&lt;0.001,"KAPALI","KONTROL"))</f>
        <v/>
      </c>
      <c r="M424" s="56">
        <f>IF(A424="","",IF(J424&lt;0,"SEVK PAKETLEMEYİ AŞIYOR",IF(H424&lt;&gt;0,"PAKETLEME BAKİYESİ VAR","DENKLİK KAPALI")))</f>
        <v/>
      </c>
    </row>
    <row r="425" ht="15" customHeight="1">
      <c r="A425" s="60">
        <f>'21 2026 ÜRETİM'!A425</f>
        <v/>
      </c>
      <c r="B425" s="81">
        <f>IF(A425="","",'21 2026 ÜRETİM'!D425)</f>
        <v/>
      </c>
      <c r="C425" s="81">
        <f>IF(A425="","",'21 2026 ÜRETİM'!E425)</f>
        <v/>
      </c>
      <c r="D425" s="82">
        <f>IF(A425="","",'21 2026 ÜRETİM'!F425)</f>
        <v/>
      </c>
      <c r="E425" s="81">
        <f>IF(A425="","",SUMIF('22 2026 PAKETLEME'!$B$2:$B$501,A425,'22 2026 PAKETLEME'!$E$2:$E$501))</f>
        <v/>
      </c>
      <c r="F425" s="82">
        <f>IF(A425="","",SUMIF('22 2026 PAKETLEME'!$B$2:$B$501,A425,'22 2026 PAKETLEME'!$G$2:$G$501))</f>
        <v/>
      </c>
      <c r="G425" s="81">
        <f>IF(A425="","",SUMIF('22 2026 PAKETLEME'!$B$2:$B$501,A425,'22 2026 PAKETLEME'!$H$2:$H$501))</f>
        <v/>
      </c>
      <c r="H425" s="81">
        <f>IF(A425="","",D425-E425-F425-G425)</f>
        <v/>
      </c>
      <c r="I425" s="82">
        <f>IF(A425="","",SUMIF('23 2026 SEVKİYAT'!$E$2:$E$501,A425,'23 2026 SEVKİYAT'!$H$2:$H$501))</f>
        <v/>
      </c>
      <c r="J425" s="81">
        <f>IF(A425="","",E425+F425-I425)</f>
        <v/>
      </c>
      <c r="K425" s="81">
        <f>IF(A425="","",D425-E425-F425-G425-H425)</f>
        <v/>
      </c>
      <c r="L425" s="58">
        <f>IF(A425="","",IF(ABS(K425)&lt;0.001,"KAPALI","KONTROL"))</f>
        <v/>
      </c>
      <c r="M425" s="56">
        <f>IF(A425="","",IF(J425&lt;0,"SEVK PAKETLEMEYİ AŞIYOR",IF(H425&lt;&gt;0,"PAKETLEME BAKİYESİ VAR","DENKLİK KAPALI")))</f>
        <v/>
      </c>
    </row>
    <row r="426" ht="15" customHeight="1">
      <c r="A426" s="60">
        <f>'21 2026 ÜRETİM'!A426</f>
        <v/>
      </c>
      <c r="B426" s="81">
        <f>IF(A426="","",'21 2026 ÜRETİM'!D426)</f>
        <v/>
      </c>
      <c r="C426" s="81">
        <f>IF(A426="","",'21 2026 ÜRETİM'!E426)</f>
        <v/>
      </c>
      <c r="D426" s="82">
        <f>IF(A426="","",'21 2026 ÜRETİM'!F426)</f>
        <v/>
      </c>
      <c r="E426" s="81">
        <f>IF(A426="","",SUMIF('22 2026 PAKETLEME'!$B$2:$B$501,A426,'22 2026 PAKETLEME'!$E$2:$E$501))</f>
        <v/>
      </c>
      <c r="F426" s="82">
        <f>IF(A426="","",SUMIF('22 2026 PAKETLEME'!$B$2:$B$501,A426,'22 2026 PAKETLEME'!$G$2:$G$501))</f>
        <v/>
      </c>
      <c r="G426" s="81">
        <f>IF(A426="","",SUMIF('22 2026 PAKETLEME'!$B$2:$B$501,A426,'22 2026 PAKETLEME'!$H$2:$H$501))</f>
        <v/>
      </c>
      <c r="H426" s="81">
        <f>IF(A426="","",D426-E426-F426-G426)</f>
        <v/>
      </c>
      <c r="I426" s="82">
        <f>IF(A426="","",SUMIF('23 2026 SEVKİYAT'!$E$2:$E$501,A426,'23 2026 SEVKİYAT'!$H$2:$H$501))</f>
        <v/>
      </c>
      <c r="J426" s="81">
        <f>IF(A426="","",E426+F426-I426)</f>
        <v/>
      </c>
      <c r="K426" s="81">
        <f>IF(A426="","",D426-E426-F426-G426-H426)</f>
        <v/>
      </c>
      <c r="L426" s="58">
        <f>IF(A426="","",IF(ABS(K426)&lt;0.001,"KAPALI","KONTROL"))</f>
        <v/>
      </c>
      <c r="M426" s="56">
        <f>IF(A426="","",IF(J426&lt;0,"SEVK PAKETLEMEYİ AŞIYOR",IF(H426&lt;&gt;0,"PAKETLEME BAKİYESİ VAR","DENKLİK KAPALI")))</f>
        <v/>
      </c>
    </row>
    <row r="427" ht="15" customHeight="1">
      <c r="A427" s="60">
        <f>'21 2026 ÜRETİM'!A427</f>
        <v/>
      </c>
      <c r="B427" s="81">
        <f>IF(A427="","",'21 2026 ÜRETİM'!D427)</f>
        <v/>
      </c>
      <c r="C427" s="81">
        <f>IF(A427="","",'21 2026 ÜRETİM'!E427)</f>
        <v/>
      </c>
      <c r="D427" s="82">
        <f>IF(A427="","",'21 2026 ÜRETİM'!F427)</f>
        <v/>
      </c>
      <c r="E427" s="81">
        <f>IF(A427="","",SUMIF('22 2026 PAKETLEME'!$B$2:$B$501,A427,'22 2026 PAKETLEME'!$E$2:$E$501))</f>
        <v/>
      </c>
      <c r="F427" s="82">
        <f>IF(A427="","",SUMIF('22 2026 PAKETLEME'!$B$2:$B$501,A427,'22 2026 PAKETLEME'!$G$2:$G$501))</f>
        <v/>
      </c>
      <c r="G427" s="81">
        <f>IF(A427="","",SUMIF('22 2026 PAKETLEME'!$B$2:$B$501,A427,'22 2026 PAKETLEME'!$H$2:$H$501))</f>
        <v/>
      </c>
      <c r="H427" s="81">
        <f>IF(A427="","",D427-E427-F427-G427)</f>
        <v/>
      </c>
      <c r="I427" s="82">
        <f>IF(A427="","",SUMIF('23 2026 SEVKİYAT'!$E$2:$E$501,A427,'23 2026 SEVKİYAT'!$H$2:$H$501))</f>
        <v/>
      </c>
      <c r="J427" s="81">
        <f>IF(A427="","",E427+F427-I427)</f>
        <v/>
      </c>
      <c r="K427" s="81">
        <f>IF(A427="","",D427-E427-F427-G427-H427)</f>
        <v/>
      </c>
      <c r="L427" s="58">
        <f>IF(A427="","",IF(ABS(K427)&lt;0.001,"KAPALI","KONTROL"))</f>
        <v/>
      </c>
      <c r="M427" s="56">
        <f>IF(A427="","",IF(J427&lt;0,"SEVK PAKETLEMEYİ AŞIYOR",IF(H427&lt;&gt;0,"PAKETLEME BAKİYESİ VAR","DENKLİK KAPALI")))</f>
        <v/>
      </c>
    </row>
    <row r="428" ht="15" customHeight="1">
      <c r="A428" s="60">
        <f>'21 2026 ÜRETİM'!A428</f>
        <v/>
      </c>
      <c r="B428" s="81">
        <f>IF(A428="","",'21 2026 ÜRETİM'!D428)</f>
        <v/>
      </c>
      <c r="C428" s="81">
        <f>IF(A428="","",'21 2026 ÜRETİM'!E428)</f>
        <v/>
      </c>
      <c r="D428" s="82">
        <f>IF(A428="","",'21 2026 ÜRETİM'!F428)</f>
        <v/>
      </c>
      <c r="E428" s="81">
        <f>IF(A428="","",SUMIF('22 2026 PAKETLEME'!$B$2:$B$501,A428,'22 2026 PAKETLEME'!$E$2:$E$501))</f>
        <v/>
      </c>
      <c r="F428" s="82">
        <f>IF(A428="","",SUMIF('22 2026 PAKETLEME'!$B$2:$B$501,A428,'22 2026 PAKETLEME'!$G$2:$G$501))</f>
        <v/>
      </c>
      <c r="G428" s="81">
        <f>IF(A428="","",SUMIF('22 2026 PAKETLEME'!$B$2:$B$501,A428,'22 2026 PAKETLEME'!$H$2:$H$501))</f>
        <v/>
      </c>
      <c r="H428" s="81">
        <f>IF(A428="","",D428-E428-F428-G428)</f>
        <v/>
      </c>
      <c r="I428" s="82">
        <f>IF(A428="","",SUMIF('23 2026 SEVKİYAT'!$E$2:$E$501,A428,'23 2026 SEVKİYAT'!$H$2:$H$501))</f>
        <v/>
      </c>
      <c r="J428" s="81">
        <f>IF(A428="","",E428+F428-I428)</f>
        <v/>
      </c>
      <c r="K428" s="81">
        <f>IF(A428="","",D428-E428-F428-G428-H428)</f>
        <v/>
      </c>
      <c r="L428" s="58">
        <f>IF(A428="","",IF(ABS(K428)&lt;0.001,"KAPALI","KONTROL"))</f>
        <v/>
      </c>
      <c r="M428" s="56">
        <f>IF(A428="","",IF(J428&lt;0,"SEVK PAKETLEMEYİ AŞIYOR",IF(H428&lt;&gt;0,"PAKETLEME BAKİYESİ VAR","DENKLİK KAPALI")))</f>
        <v/>
      </c>
    </row>
    <row r="429" ht="15" customHeight="1">
      <c r="A429" s="60">
        <f>'21 2026 ÜRETİM'!A429</f>
        <v/>
      </c>
      <c r="B429" s="81">
        <f>IF(A429="","",'21 2026 ÜRETİM'!D429)</f>
        <v/>
      </c>
      <c r="C429" s="81">
        <f>IF(A429="","",'21 2026 ÜRETİM'!E429)</f>
        <v/>
      </c>
      <c r="D429" s="82">
        <f>IF(A429="","",'21 2026 ÜRETİM'!F429)</f>
        <v/>
      </c>
      <c r="E429" s="81">
        <f>IF(A429="","",SUMIF('22 2026 PAKETLEME'!$B$2:$B$501,A429,'22 2026 PAKETLEME'!$E$2:$E$501))</f>
        <v/>
      </c>
      <c r="F429" s="82">
        <f>IF(A429="","",SUMIF('22 2026 PAKETLEME'!$B$2:$B$501,A429,'22 2026 PAKETLEME'!$G$2:$G$501))</f>
        <v/>
      </c>
      <c r="G429" s="81">
        <f>IF(A429="","",SUMIF('22 2026 PAKETLEME'!$B$2:$B$501,A429,'22 2026 PAKETLEME'!$H$2:$H$501))</f>
        <v/>
      </c>
      <c r="H429" s="81">
        <f>IF(A429="","",D429-E429-F429-G429)</f>
        <v/>
      </c>
      <c r="I429" s="82">
        <f>IF(A429="","",SUMIF('23 2026 SEVKİYAT'!$E$2:$E$501,A429,'23 2026 SEVKİYAT'!$H$2:$H$501))</f>
        <v/>
      </c>
      <c r="J429" s="81">
        <f>IF(A429="","",E429+F429-I429)</f>
        <v/>
      </c>
      <c r="K429" s="81">
        <f>IF(A429="","",D429-E429-F429-G429-H429)</f>
        <v/>
      </c>
      <c r="L429" s="58">
        <f>IF(A429="","",IF(ABS(K429)&lt;0.001,"KAPALI","KONTROL"))</f>
        <v/>
      </c>
      <c r="M429" s="56">
        <f>IF(A429="","",IF(J429&lt;0,"SEVK PAKETLEMEYİ AŞIYOR",IF(H429&lt;&gt;0,"PAKETLEME BAKİYESİ VAR","DENKLİK KAPALI")))</f>
        <v/>
      </c>
    </row>
    <row r="430" ht="15" customHeight="1">
      <c r="A430" s="60">
        <f>'21 2026 ÜRETİM'!A430</f>
        <v/>
      </c>
      <c r="B430" s="81">
        <f>IF(A430="","",'21 2026 ÜRETİM'!D430)</f>
        <v/>
      </c>
      <c r="C430" s="81">
        <f>IF(A430="","",'21 2026 ÜRETİM'!E430)</f>
        <v/>
      </c>
      <c r="D430" s="82">
        <f>IF(A430="","",'21 2026 ÜRETİM'!F430)</f>
        <v/>
      </c>
      <c r="E430" s="81">
        <f>IF(A430="","",SUMIF('22 2026 PAKETLEME'!$B$2:$B$501,A430,'22 2026 PAKETLEME'!$E$2:$E$501))</f>
        <v/>
      </c>
      <c r="F430" s="82">
        <f>IF(A430="","",SUMIF('22 2026 PAKETLEME'!$B$2:$B$501,A430,'22 2026 PAKETLEME'!$G$2:$G$501))</f>
        <v/>
      </c>
      <c r="G430" s="81">
        <f>IF(A430="","",SUMIF('22 2026 PAKETLEME'!$B$2:$B$501,A430,'22 2026 PAKETLEME'!$H$2:$H$501))</f>
        <v/>
      </c>
      <c r="H430" s="81">
        <f>IF(A430="","",D430-E430-F430-G430)</f>
        <v/>
      </c>
      <c r="I430" s="82">
        <f>IF(A430="","",SUMIF('23 2026 SEVKİYAT'!$E$2:$E$501,A430,'23 2026 SEVKİYAT'!$H$2:$H$501))</f>
        <v/>
      </c>
      <c r="J430" s="81">
        <f>IF(A430="","",E430+F430-I430)</f>
        <v/>
      </c>
      <c r="K430" s="81">
        <f>IF(A430="","",D430-E430-F430-G430-H430)</f>
        <v/>
      </c>
      <c r="L430" s="58">
        <f>IF(A430="","",IF(ABS(K430)&lt;0.001,"KAPALI","KONTROL"))</f>
        <v/>
      </c>
      <c r="M430" s="56">
        <f>IF(A430="","",IF(J430&lt;0,"SEVK PAKETLEMEYİ AŞIYOR",IF(H430&lt;&gt;0,"PAKETLEME BAKİYESİ VAR","DENKLİK KAPALI")))</f>
        <v/>
      </c>
    </row>
    <row r="431" ht="15" customHeight="1">
      <c r="A431" s="60">
        <f>'21 2026 ÜRETİM'!A431</f>
        <v/>
      </c>
      <c r="B431" s="81">
        <f>IF(A431="","",'21 2026 ÜRETİM'!D431)</f>
        <v/>
      </c>
      <c r="C431" s="81">
        <f>IF(A431="","",'21 2026 ÜRETİM'!E431)</f>
        <v/>
      </c>
      <c r="D431" s="82">
        <f>IF(A431="","",'21 2026 ÜRETİM'!F431)</f>
        <v/>
      </c>
      <c r="E431" s="81">
        <f>IF(A431="","",SUMIF('22 2026 PAKETLEME'!$B$2:$B$501,A431,'22 2026 PAKETLEME'!$E$2:$E$501))</f>
        <v/>
      </c>
      <c r="F431" s="82">
        <f>IF(A431="","",SUMIF('22 2026 PAKETLEME'!$B$2:$B$501,A431,'22 2026 PAKETLEME'!$G$2:$G$501))</f>
        <v/>
      </c>
      <c r="G431" s="81">
        <f>IF(A431="","",SUMIF('22 2026 PAKETLEME'!$B$2:$B$501,A431,'22 2026 PAKETLEME'!$H$2:$H$501))</f>
        <v/>
      </c>
      <c r="H431" s="81">
        <f>IF(A431="","",D431-E431-F431-G431)</f>
        <v/>
      </c>
      <c r="I431" s="82">
        <f>IF(A431="","",SUMIF('23 2026 SEVKİYAT'!$E$2:$E$501,A431,'23 2026 SEVKİYAT'!$H$2:$H$501))</f>
        <v/>
      </c>
      <c r="J431" s="81">
        <f>IF(A431="","",E431+F431-I431)</f>
        <v/>
      </c>
      <c r="K431" s="81">
        <f>IF(A431="","",D431-E431-F431-G431-H431)</f>
        <v/>
      </c>
      <c r="L431" s="58">
        <f>IF(A431="","",IF(ABS(K431)&lt;0.001,"KAPALI","KONTROL"))</f>
        <v/>
      </c>
      <c r="M431" s="56">
        <f>IF(A431="","",IF(J431&lt;0,"SEVK PAKETLEMEYİ AŞIYOR",IF(H431&lt;&gt;0,"PAKETLEME BAKİYESİ VAR","DENKLİK KAPALI")))</f>
        <v/>
      </c>
    </row>
    <row r="432" ht="15" customHeight="1">
      <c r="A432" s="60">
        <f>'21 2026 ÜRETİM'!A432</f>
        <v/>
      </c>
      <c r="B432" s="81">
        <f>IF(A432="","",'21 2026 ÜRETİM'!D432)</f>
        <v/>
      </c>
      <c r="C432" s="81">
        <f>IF(A432="","",'21 2026 ÜRETİM'!E432)</f>
        <v/>
      </c>
      <c r="D432" s="82">
        <f>IF(A432="","",'21 2026 ÜRETİM'!F432)</f>
        <v/>
      </c>
      <c r="E432" s="81">
        <f>IF(A432="","",SUMIF('22 2026 PAKETLEME'!$B$2:$B$501,A432,'22 2026 PAKETLEME'!$E$2:$E$501))</f>
        <v/>
      </c>
      <c r="F432" s="82">
        <f>IF(A432="","",SUMIF('22 2026 PAKETLEME'!$B$2:$B$501,A432,'22 2026 PAKETLEME'!$G$2:$G$501))</f>
        <v/>
      </c>
      <c r="G432" s="81">
        <f>IF(A432="","",SUMIF('22 2026 PAKETLEME'!$B$2:$B$501,A432,'22 2026 PAKETLEME'!$H$2:$H$501))</f>
        <v/>
      </c>
      <c r="H432" s="81">
        <f>IF(A432="","",D432-E432-F432-G432)</f>
        <v/>
      </c>
      <c r="I432" s="82">
        <f>IF(A432="","",SUMIF('23 2026 SEVKİYAT'!$E$2:$E$501,A432,'23 2026 SEVKİYAT'!$H$2:$H$501))</f>
        <v/>
      </c>
      <c r="J432" s="81">
        <f>IF(A432="","",E432+F432-I432)</f>
        <v/>
      </c>
      <c r="K432" s="81">
        <f>IF(A432="","",D432-E432-F432-G432-H432)</f>
        <v/>
      </c>
      <c r="L432" s="58">
        <f>IF(A432="","",IF(ABS(K432)&lt;0.001,"KAPALI","KONTROL"))</f>
        <v/>
      </c>
      <c r="M432" s="56">
        <f>IF(A432="","",IF(J432&lt;0,"SEVK PAKETLEMEYİ AŞIYOR",IF(H432&lt;&gt;0,"PAKETLEME BAKİYESİ VAR","DENKLİK KAPALI")))</f>
        <v/>
      </c>
    </row>
    <row r="433" ht="15" customHeight="1">
      <c r="A433" s="60">
        <f>'21 2026 ÜRETİM'!A433</f>
        <v/>
      </c>
      <c r="B433" s="81">
        <f>IF(A433="","",'21 2026 ÜRETİM'!D433)</f>
        <v/>
      </c>
      <c r="C433" s="81">
        <f>IF(A433="","",'21 2026 ÜRETİM'!E433)</f>
        <v/>
      </c>
      <c r="D433" s="82">
        <f>IF(A433="","",'21 2026 ÜRETİM'!F433)</f>
        <v/>
      </c>
      <c r="E433" s="81">
        <f>IF(A433="","",SUMIF('22 2026 PAKETLEME'!$B$2:$B$501,A433,'22 2026 PAKETLEME'!$E$2:$E$501))</f>
        <v/>
      </c>
      <c r="F433" s="82">
        <f>IF(A433="","",SUMIF('22 2026 PAKETLEME'!$B$2:$B$501,A433,'22 2026 PAKETLEME'!$G$2:$G$501))</f>
        <v/>
      </c>
      <c r="G433" s="81">
        <f>IF(A433="","",SUMIF('22 2026 PAKETLEME'!$B$2:$B$501,A433,'22 2026 PAKETLEME'!$H$2:$H$501))</f>
        <v/>
      </c>
      <c r="H433" s="81">
        <f>IF(A433="","",D433-E433-F433-G433)</f>
        <v/>
      </c>
      <c r="I433" s="82">
        <f>IF(A433="","",SUMIF('23 2026 SEVKİYAT'!$E$2:$E$501,A433,'23 2026 SEVKİYAT'!$H$2:$H$501))</f>
        <v/>
      </c>
      <c r="J433" s="81">
        <f>IF(A433="","",E433+F433-I433)</f>
        <v/>
      </c>
      <c r="K433" s="81">
        <f>IF(A433="","",D433-E433-F433-G433-H433)</f>
        <v/>
      </c>
      <c r="L433" s="58">
        <f>IF(A433="","",IF(ABS(K433)&lt;0.001,"KAPALI","KONTROL"))</f>
        <v/>
      </c>
      <c r="M433" s="56">
        <f>IF(A433="","",IF(J433&lt;0,"SEVK PAKETLEMEYİ AŞIYOR",IF(H433&lt;&gt;0,"PAKETLEME BAKİYESİ VAR","DENKLİK KAPALI")))</f>
        <v/>
      </c>
    </row>
    <row r="434" ht="15" customHeight="1">
      <c r="A434" s="60">
        <f>'21 2026 ÜRETİM'!A434</f>
        <v/>
      </c>
      <c r="B434" s="81">
        <f>IF(A434="","",'21 2026 ÜRETİM'!D434)</f>
        <v/>
      </c>
      <c r="C434" s="81">
        <f>IF(A434="","",'21 2026 ÜRETİM'!E434)</f>
        <v/>
      </c>
      <c r="D434" s="82">
        <f>IF(A434="","",'21 2026 ÜRETİM'!F434)</f>
        <v/>
      </c>
      <c r="E434" s="81">
        <f>IF(A434="","",SUMIF('22 2026 PAKETLEME'!$B$2:$B$501,A434,'22 2026 PAKETLEME'!$E$2:$E$501))</f>
        <v/>
      </c>
      <c r="F434" s="82">
        <f>IF(A434="","",SUMIF('22 2026 PAKETLEME'!$B$2:$B$501,A434,'22 2026 PAKETLEME'!$G$2:$G$501))</f>
        <v/>
      </c>
      <c r="G434" s="81">
        <f>IF(A434="","",SUMIF('22 2026 PAKETLEME'!$B$2:$B$501,A434,'22 2026 PAKETLEME'!$H$2:$H$501))</f>
        <v/>
      </c>
      <c r="H434" s="81">
        <f>IF(A434="","",D434-E434-F434-G434)</f>
        <v/>
      </c>
      <c r="I434" s="82">
        <f>IF(A434="","",SUMIF('23 2026 SEVKİYAT'!$E$2:$E$501,A434,'23 2026 SEVKİYAT'!$H$2:$H$501))</f>
        <v/>
      </c>
      <c r="J434" s="81">
        <f>IF(A434="","",E434+F434-I434)</f>
        <v/>
      </c>
      <c r="K434" s="81">
        <f>IF(A434="","",D434-E434-F434-G434-H434)</f>
        <v/>
      </c>
      <c r="L434" s="58">
        <f>IF(A434="","",IF(ABS(K434)&lt;0.001,"KAPALI","KONTROL"))</f>
        <v/>
      </c>
      <c r="M434" s="56">
        <f>IF(A434="","",IF(J434&lt;0,"SEVK PAKETLEMEYİ AŞIYOR",IF(H434&lt;&gt;0,"PAKETLEME BAKİYESİ VAR","DENKLİK KAPALI")))</f>
        <v/>
      </c>
    </row>
    <row r="435" ht="15" customHeight="1">
      <c r="A435" s="60">
        <f>'21 2026 ÜRETİM'!A435</f>
        <v/>
      </c>
      <c r="B435" s="81">
        <f>IF(A435="","",'21 2026 ÜRETİM'!D435)</f>
        <v/>
      </c>
      <c r="C435" s="81">
        <f>IF(A435="","",'21 2026 ÜRETİM'!E435)</f>
        <v/>
      </c>
      <c r="D435" s="82">
        <f>IF(A435="","",'21 2026 ÜRETİM'!F435)</f>
        <v/>
      </c>
      <c r="E435" s="81">
        <f>IF(A435="","",SUMIF('22 2026 PAKETLEME'!$B$2:$B$501,A435,'22 2026 PAKETLEME'!$E$2:$E$501))</f>
        <v/>
      </c>
      <c r="F435" s="82">
        <f>IF(A435="","",SUMIF('22 2026 PAKETLEME'!$B$2:$B$501,A435,'22 2026 PAKETLEME'!$G$2:$G$501))</f>
        <v/>
      </c>
      <c r="G435" s="81">
        <f>IF(A435="","",SUMIF('22 2026 PAKETLEME'!$B$2:$B$501,A435,'22 2026 PAKETLEME'!$H$2:$H$501))</f>
        <v/>
      </c>
      <c r="H435" s="81">
        <f>IF(A435="","",D435-E435-F435-G435)</f>
        <v/>
      </c>
      <c r="I435" s="82">
        <f>IF(A435="","",SUMIF('23 2026 SEVKİYAT'!$E$2:$E$501,A435,'23 2026 SEVKİYAT'!$H$2:$H$501))</f>
        <v/>
      </c>
      <c r="J435" s="81">
        <f>IF(A435="","",E435+F435-I435)</f>
        <v/>
      </c>
      <c r="K435" s="81">
        <f>IF(A435="","",D435-E435-F435-G435-H435)</f>
        <v/>
      </c>
      <c r="L435" s="58">
        <f>IF(A435="","",IF(ABS(K435)&lt;0.001,"KAPALI","KONTROL"))</f>
        <v/>
      </c>
      <c r="M435" s="56">
        <f>IF(A435="","",IF(J435&lt;0,"SEVK PAKETLEMEYİ AŞIYOR",IF(H435&lt;&gt;0,"PAKETLEME BAKİYESİ VAR","DENKLİK KAPALI")))</f>
        <v/>
      </c>
    </row>
    <row r="436" ht="15" customHeight="1">
      <c r="A436" s="60">
        <f>'21 2026 ÜRETİM'!A436</f>
        <v/>
      </c>
      <c r="B436" s="81">
        <f>IF(A436="","",'21 2026 ÜRETİM'!D436)</f>
        <v/>
      </c>
      <c r="C436" s="81">
        <f>IF(A436="","",'21 2026 ÜRETİM'!E436)</f>
        <v/>
      </c>
      <c r="D436" s="82">
        <f>IF(A436="","",'21 2026 ÜRETİM'!F436)</f>
        <v/>
      </c>
      <c r="E436" s="81">
        <f>IF(A436="","",SUMIF('22 2026 PAKETLEME'!$B$2:$B$501,A436,'22 2026 PAKETLEME'!$E$2:$E$501))</f>
        <v/>
      </c>
      <c r="F436" s="82">
        <f>IF(A436="","",SUMIF('22 2026 PAKETLEME'!$B$2:$B$501,A436,'22 2026 PAKETLEME'!$G$2:$G$501))</f>
        <v/>
      </c>
      <c r="G436" s="81">
        <f>IF(A436="","",SUMIF('22 2026 PAKETLEME'!$B$2:$B$501,A436,'22 2026 PAKETLEME'!$H$2:$H$501))</f>
        <v/>
      </c>
      <c r="H436" s="81">
        <f>IF(A436="","",D436-E436-F436-G436)</f>
        <v/>
      </c>
      <c r="I436" s="82">
        <f>IF(A436="","",SUMIF('23 2026 SEVKİYAT'!$E$2:$E$501,A436,'23 2026 SEVKİYAT'!$H$2:$H$501))</f>
        <v/>
      </c>
      <c r="J436" s="81">
        <f>IF(A436="","",E436+F436-I436)</f>
        <v/>
      </c>
      <c r="K436" s="81">
        <f>IF(A436="","",D436-E436-F436-G436-H436)</f>
        <v/>
      </c>
      <c r="L436" s="58">
        <f>IF(A436="","",IF(ABS(K436)&lt;0.001,"KAPALI","KONTROL"))</f>
        <v/>
      </c>
      <c r="M436" s="56">
        <f>IF(A436="","",IF(J436&lt;0,"SEVK PAKETLEMEYİ AŞIYOR",IF(H436&lt;&gt;0,"PAKETLEME BAKİYESİ VAR","DENKLİK KAPALI")))</f>
        <v/>
      </c>
    </row>
    <row r="437" ht="15" customHeight="1">
      <c r="A437" s="60">
        <f>'21 2026 ÜRETİM'!A437</f>
        <v/>
      </c>
      <c r="B437" s="81">
        <f>IF(A437="","",'21 2026 ÜRETİM'!D437)</f>
        <v/>
      </c>
      <c r="C437" s="81">
        <f>IF(A437="","",'21 2026 ÜRETİM'!E437)</f>
        <v/>
      </c>
      <c r="D437" s="82">
        <f>IF(A437="","",'21 2026 ÜRETİM'!F437)</f>
        <v/>
      </c>
      <c r="E437" s="81">
        <f>IF(A437="","",SUMIF('22 2026 PAKETLEME'!$B$2:$B$501,A437,'22 2026 PAKETLEME'!$E$2:$E$501))</f>
        <v/>
      </c>
      <c r="F437" s="82">
        <f>IF(A437="","",SUMIF('22 2026 PAKETLEME'!$B$2:$B$501,A437,'22 2026 PAKETLEME'!$G$2:$G$501))</f>
        <v/>
      </c>
      <c r="G437" s="81">
        <f>IF(A437="","",SUMIF('22 2026 PAKETLEME'!$B$2:$B$501,A437,'22 2026 PAKETLEME'!$H$2:$H$501))</f>
        <v/>
      </c>
      <c r="H437" s="81">
        <f>IF(A437="","",D437-E437-F437-G437)</f>
        <v/>
      </c>
      <c r="I437" s="82">
        <f>IF(A437="","",SUMIF('23 2026 SEVKİYAT'!$E$2:$E$501,A437,'23 2026 SEVKİYAT'!$H$2:$H$501))</f>
        <v/>
      </c>
      <c r="J437" s="81">
        <f>IF(A437="","",E437+F437-I437)</f>
        <v/>
      </c>
      <c r="K437" s="81">
        <f>IF(A437="","",D437-E437-F437-G437-H437)</f>
        <v/>
      </c>
      <c r="L437" s="58">
        <f>IF(A437="","",IF(ABS(K437)&lt;0.001,"KAPALI","KONTROL"))</f>
        <v/>
      </c>
      <c r="M437" s="56">
        <f>IF(A437="","",IF(J437&lt;0,"SEVK PAKETLEMEYİ AŞIYOR",IF(H437&lt;&gt;0,"PAKETLEME BAKİYESİ VAR","DENKLİK KAPALI")))</f>
        <v/>
      </c>
    </row>
    <row r="438" ht="15" customHeight="1">
      <c r="A438" s="60">
        <f>'21 2026 ÜRETİM'!A438</f>
        <v/>
      </c>
      <c r="B438" s="81">
        <f>IF(A438="","",'21 2026 ÜRETİM'!D438)</f>
        <v/>
      </c>
      <c r="C438" s="81">
        <f>IF(A438="","",'21 2026 ÜRETİM'!E438)</f>
        <v/>
      </c>
      <c r="D438" s="82">
        <f>IF(A438="","",'21 2026 ÜRETİM'!F438)</f>
        <v/>
      </c>
      <c r="E438" s="81">
        <f>IF(A438="","",SUMIF('22 2026 PAKETLEME'!$B$2:$B$501,A438,'22 2026 PAKETLEME'!$E$2:$E$501))</f>
        <v/>
      </c>
      <c r="F438" s="82">
        <f>IF(A438="","",SUMIF('22 2026 PAKETLEME'!$B$2:$B$501,A438,'22 2026 PAKETLEME'!$G$2:$G$501))</f>
        <v/>
      </c>
      <c r="G438" s="81">
        <f>IF(A438="","",SUMIF('22 2026 PAKETLEME'!$B$2:$B$501,A438,'22 2026 PAKETLEME'!$H$2:$H$501))</f>
        <v/>
      </c>
      <c r="H438" s="81">
        <f>IF(A438="","",D438-E438-F438-G438)</f>
        <v/>
      </c>
      <c r="I438" s="82">
        <f>IF(A438="","",SUMIF('23 2026 SEVKİYAT'!$E$2:$E$501,A438,'23 2026 SEVKİYAT'!$H$2:$H$501))</f>
        <v/>
      </c>
      <c r="J438" s="81">
        <f>IF(A438="","",E438+F438-I438)</f>
        <v/>
      </c>
      <c r="K438" s="81">
        <f>IF(A438="","",D438-E438-F438-G438-H438)</f>
        <v/>
      </c>
      <c r="L438" s="58">
        <f>IF(A438="","",IF(ABS(K438)&lt;0.001,"KAPALI","KONTROL"))</f>
        <v/>
      </c>
      <c r="M438" s="56">
        <f>IF(A438="","",IF(J438&lt;0,"SEVK PAKETLEMEYİ AŞIYOR",IF(H438&lt;&gt;0,"PAKETLEME BAKİYESİ VAR","DENKLİK KAPALI")))</f>
        <v/>
      </c>
    </row>
    <row r="439" ht="15" customHeight="1">
      <c r="A439" s="60">
        <f>'21 2026 ÜRETİM'!A439</f>
        <v/>
      </c>
      <c r="B439" s="81">
        <f>IF(A439="","",'21 2026 ÜRETİM'!D439)</f>
        <v/>
      </c>
      <c r="C439" s="81">
        <f>IF(A439="","",'21 2026 ÜRETİM'!E439)</f>
        <v/>
      </c>
      <c r="D439" s="82">
        <f>IF(A439="","",'21 2026 ÜRETİM'!F439)</f>
        <v/>
      </c>
      <c r="E439" s="81">
        <f>IF(A439="","",SUMIF('22 2026 PAKETLEME'!$B$2:$B$501,A439,'22 2026 PAKETLEME'!$E$2:$E$501))</f>
        <v/>
      </c>
      <c r="F439" s="82">
        <f>IF(A439="","",SUMIF('22 2026 PAKETLEME'!$B$2:$B$501,A439,'22 2026 PAKETLEME'!$G$2:$G$501))</f>
        <v/>
      </c>
      <c r="G439" s="81">
        <f>IF(A439="","",SUMIF('22 2026 PAKETLEME'!$B$2:$B$501,A439,'22 2026 PAKETLEME'!$H$2:$H$501))</f>
        <v/>
      </c>
      <c r="H439" s="81">
        <f>IF(A439="","",D439-E439-F439-G439)</f>
        <v/>
      </c>
      <c r="I439" s="82">
        <f>IF(A439="","",SUMIF('23 2026 SEVKİYAT'!$E$2:$E$501,A439,'23 2026 SEVKİYAT'!$H$2:$H$501))</f>
        <v/>
      </c>
      <c r="J439" s="81">
        <f>IF(A439="","",E439+F439-I439)</f>
        <v/>
      </c>
      <c r="K439" s="81">
        <f>IF(A439="","",D439-E439-F439-G439-H439)</f>
        <v/>
      </c>
      <c r="L439" s="58">
        <f>IF(A439="","",IF(ABS(K439)&lt;0.001,"KAPALI","KONTROL"))</f>
        <v/>
      </c>
      <c r="M439" s="56">
        <f>IF(A439="","",IF(J439&lt;0,"SEVK PAKETLEMEYİ AŞIYOR",IF(H439&lt;&gt;0,"PAKETLEME BAKİYESİ VAR","DENKLİK KAPALI")))</f>
        <v/>
      </c>
    </row>
    <row r="440" ht="15" customHeight="1">
      <c r="A440" s="60">
        <f>'21 2026 ÜRETİM'!A440</f>
        <v/>
      </c>
      <c r="B440" s="81">
        <f>IF(A440="","",'21 2026 ÜRETİM'!D440)</f>
        <v/>
      </c>
      <c r="C440" s="81">
        <f>IF(A440="","",'21 2026 ÜRETİM'!E440)</f>
        <v/>
      </c>
      <c r="D440" s="82">
        <f>IF(A440="","",'21 2026 ÜRETİM'!F440)</f>
        <v/>
      </c>
      <c r="E440" s="81">
        <f>IF(A440="","",SUMIF('22 2026 PAKETLEME'!$B$2:$B$501,A440,'22 2026 PAKETLEME'!$E$2:$E$501))</f>
        <v/>
      </c>
      <c r="F440" s="82">
        <f>IF(A440="","",SUMIF('22 2026 PAKETLEME'!$B$2:$B$501,A440,'22 2026 PAKETLEME'!$G$2:$G$501))</f>
        <v/>
      </c>
      <c r="G440" s="81">
        <f>IF(A440="","",SUMIF('22 2026 PAKETLEME'!$B$2:$B$501,A440,'22 2026 PAKETLEME'!$H$2:$H$501))</f>
        <v/>
      </c>
      <c r="H440" s="81">
        <f>IF(A440="","",D440-E440-F440-G440)</f>
        <v/>
      </c>
      <c r="I440" s="82">
        <f>IF(A440="","",SUMIF('23 2026 SEVKİYAT'!$E$2:$E$501,A440,'23 2026 SEVKİYAT'!$H$2:$H$501))</f>
        <v/>
      </c>
      <c r="J440" s="81">
        <f>IF(A440="","",E440+F440-I440)</f>
        <v/>
      </c>
      <c r="K440" s="81">
        <f>IF(A440="","",D440-E440-F440-G440-H440)</f>
        <v/>
      </c>
      <c r="L440" s="58">
        <f>IF(A440="","",IF(ABS(K440)&lt;0.001,"KAPALI","KONTROL"))</f>
        <v/>
      </c>
      <c r="M440" s="56">
        <f>IF(A440="","",IF(J440&lt;0,"SEVK PAKETLEMEYİ AŞIYOR",IF(H440&lt;&gt;0,"PAKETLEME BAKİYESİ VAR","DENKLİK KAPALI")))</f>
        <v/>
      </c>
    </row>
    <row r="441" ht="15" customHeight="1">
      <c r="A441" s="60">
        <f>'21 2026 ÜRETİM'!A441</f>
        <v/>
      </c>
      <c r="B441" s="81">
        <f>IF(A441="","",'21 2026 ÜRETİM'!D441)</f>
        <v/>
      </c>
      <c r="C441" s="81">
        <f>IF(A441="","",'21 2026 ÜRETİM'!E441)</f>
        <v/>
      </c>
      <c r="D441" s="82">
        <f>IF(A441="","",'21 2026 ÜRETİM'!F441)</f>
        <v/>
      </c>
      <c r="E441" s="81">
        <f>IF(A441="","",SUMIF('22 2026 PAKETLEME'!$B$2:$B$501,A441,'22 2026 PAKETLEME'!$E$2:$E$501))</f>
        <v/>
      </c>
      <c r="F441" s="82">
        <f>IF(A441="","",SUMIF('22 2026 PAKETLEME'!$B$2:$B$501,A441,'22 2026 PAKETLEME'!$G$2:$G$501))</f>
        <v/>
      </c>
      <c r="G441" s="81">
        <f>IF(A441="","",SUMIF('22 2026 PAKETLEME'!$B$2:$B$501,A441,'22 2026 PAKETLEME'!$H$2:$H$501))</f>
        <v/>
      </c>
      <c r="H441" s="81">
        <f>IF(A441="","",D441-E441-F441-G441)</f>
        <v/>
      </c>
      <c r="I441" s="82">
        <f>IF(A441="","",SUMIF('23 2026 SEVKİYAT'!$E$2:$E$501,A441,'23 2026 SEVKİYAT'!$H$2:$H$501))</f>
        <v/>
      </c>
      <c r="J441" s="81">
        <f>IF(A441="","",E441+F441-I441)</f>
        <v/>
      </c>
      <c r="K441" s="81">
        <f>IF(A441="","",D441-E441-F441-G441-H441)</f>
        <v/>
      </c>
      <c r="L441" s="58">
        <f>IF(A441="","",IF(ABS(K441)&lt;0.001,"KAPALI","KONTROL"))</f>
        <v/>
      </c>
      <c r="M441" s="56">
        <f>IF(A441="","",IF(J441&lt;0,"SEVK PAKETLEMEYİ AŞIYOR",IF(H441&lt;&gt;0,"PAKETLEME BAKİYESİ VAR","DENKLİK KAPALI")))</f>
        <v/>
      </c>
    </row>
    <row r="442" ht="15" customHeight="1">
      <c r="A442" s="60">
        <f>'21 2026 ÜRETİM'!A442</f>
        <v/>
      </c>
      <c r="B442" s="81">
        <f>IF(A442="","",'21 2026 ÜRETİM'!D442)</f>
        <v/>
      </c>
      <c r="C442" s="81">
        <f>IF(A442="","",'21 2026 ÜRETİM'!E442)</f>
        <v/>
      </c>
      <c r="D442" s="82">
        <f>IF(A442="","",'21 2026 ÜRETİM'!F442)</f>
        <v/>
      </c>
      <c r="E442" s="81">
        <f>IF(A442="","",SUMIF('22 2026 PAKETLEME'!$B$2:$B$501,A442,'22 2026 PAKETLEME'!$E$2:$E$501))</f>
        <v/>
      </c>
      <c r="F442" s="82">
        <f>IF(A442="","",SUMIF('22 2026 PAKETLEME'!$B$2:$B$501,A442,'22 2026 PAKETLEME'!$G$2:$G$501))</f>
        <v/>
      </c>
      <c r="G442" s="81">
        <f>IF(A442="","",SUMIF('22 2026 PAKETLEME'!$B$2:$B$501,A442,'22 2026 PAKETLEME'!$H$2:$H$501))</f>
        <v/>
      </c>
      <c r="H442" s="81">
        <f>IF(A442="","",D442-E442-F442-G442)</f>
        <v/>
      </c>
      <c r="I442" s="82">
        <f>IF(A442="","",SUMIF('23 2026 SEVKİYAT'!$E$2:$E$501,A442,'23 2026 SEVKİYAT'!$H$2:$H$501))</f>
        <v/>
      </c>
      <c r="J442" s="81">
        <f>IF(A442="","",E442+F442-I442)</f>
        <v/>
      </c>
      <c r="K442" s="81">
        <f>IF(A442="","",D442-E442-F442-G442-H442)</f>
        <v/>
      </c>
      <c r="L442" s="58">
        <f>IF(A442="","",IF(ABS(K442)&lt;0.001,"KAPALI","KONTROL"))</f>
        <v/>
      </c>
      <c r="M442" s="56">
        <f>IF(A442="","",IF(J442&lt;0,"SEVK PAKETLEMEYİ AŞIYOR",IF(H442&lt;&gt;0,"PAKETLEME BAKİYESİ VAR","DENKLİK KAPALI")))</f>
        <v/>
      </c>
    </row>
    <row r="443" ht="15" customHeight="1">
      <c r="A443" s="60">
        <f>'21 2026 ÜRETİM'!A443</f>
        <v/>
      </c>
      <c r="B443" s="81">
        <f>IF(A443="","",'21 2026 ÜRETİM'!D443)</f>
        <v/>
      </c>
      <c r="C443" s="81">
        <f>IF(A443="","",'21 2026 ÜRETİM'!E443)</f>
        <v/>
      </c>
      <c r="D443" s="82">
        <f>IF(A443="","",'21 2026 ÜRETİM'!F443)</f>
        <v/>
      </c>
      <c r="E443" s="81">
        <f>IF(A443="","",SUMIF('22 2026 PAKETLEME'!$B$2:$B$501,A443,'22 2026 PAKETLEME'!$E$2:$E$501))</f>
        <v/>
      </c>
      <c r="F443" s="82">
        <f>IF(A443="","",SUMIF('22 2026 PAKETLEME'!$B$2:$B$501,A443,'22 2026 PAKETLEME'!$G$2:$G$501))</f>
        <v/>
      </c>
      <c r="G443" s="81">
        <f>IF(A443="","",SUMIF('22 2026 PAKETLEME'!$B$2:$B$501,A443,'22 2026 PAKETLEME'!$H$2:$H$501))</f>
        <v/>
      </c>
      <c r="H443" s="81">
        <f>IF(A443="","",D443-E443-F443-G443)</f>
        <v/>
      </c>
      <c r="I443" s="82">
        <f>IF(A443="","",SUMIF('23 2026 SEVKİYAT'!$E$2:$E$501,A443,'23 2026 SEVKİYAT'!$H$2:$H$501))</f>
        <v/>
      </c>
      <c r="J443" s="81">
        <f>IF(A443="","",E443+F443-I443)</f>
        <v/>
      </c>
      <c r="K443" s="81">
        <f>IF(A443="","",D443-E443-F443-G443-H443)</f>
        <v/>
      </c>
      <c r="L443" s="58">
        <f>IF(A443="","",IF(ABS(K443)&lt;0.001,"KAPALI","KONTROL"))</f>
        <v/>
      </c>
      <c r="M443" s="56">
        <f>IF(A443="","",IF(J443&lt;0,"SEVK PAKETLEMEYİ AŞIYOR",IF(H443&lt;&gt;0,"PAKETLEME BAKİYESİ VAR","DENKLİK KAPALI")))</f>
        <v/>
      </c>
    </row>
    <row r="444" ht="15" customHeight="1">
      <c r="A444" s="60">
        <f>'21 2026 ÜRETİM'!A444</f>
        <v/>
      </c>
      <c r="B444" s="81">
        <f>IF(A444="","",'21 2026 ÜRETİM'!D444)</f>
        <v/>
      </c>
      <c r="C444" s="81">
        <f>IF(A444="","",'21 2026 ÜRETİM'!E444)</f>
        <v/>
      </c>
      <c r="D444" s="82">
        <f>IF(A444="","",'21 2026 ÜRETİM'!F444)</f>
        <v/>
      </c>
      <c r="E444" s="81">
        <f>IF(A444="","",SUMIF('22 2026 PAKETLEME'!$B$2:$B$501,A444,'22 2026 PAKETLEME'!$E$2:$E$501))</f>
        <v/>
      </c>
      <c r="F444" s="82">
        <f>IF(A444="","",SUMIF('22 2026 PAKETLEME'!$B$2:$B$501,A444,'22 2026 PAKETLEME'!$G$2:$G$501))</f>
        <v/>
      </c>
      <c r="G444" s="81">
        <f>IF(A444="","",SUMIF('22 2026 PAKETLEME'!$B$2:$B$501,A444,'22 2026 PAKETLEME'!$H$2:$H$501))</f>
        <v/>
      </c>
      <c r="H444" s="81">
        <f>IF(A444="","",D444-E444-F444-G444)</f>
        <v/>
      </c>
      <c r="I444" s="82">
        <f>IF(A444="","",SUMIF('23 2026 SEVKİYAT'!$E$2:$E$501,A444,'23 2026 SEVKİYAT'!$H$2:$H$501))</f>
        <v/>
      </c>
      <c r="J444" s="81">
        <f>IF(A444="","",E444+F444-I444)</f>
        <v/>
      </c>
      <c r="K444" s="81">
        <f>IF(A444="","",D444-E444-F444-G444-H444)</f>
        <v/>
      </c>
      <c r="L444" s="58">
        <f>IF(A444="","",IF(ABS(K444)&lt;0.001,"KAPALI","KONTROL"))</f>
        <v/>
      </c>
      <c r="M444" s="56">
        <f>IF(A444="","",IF(J444&lt;0,"SEVK PAKETLEMEYİ AŞIYOR",IF(H444&lt;&gt;0,"PAKETLEME BAKİYESİ VAR","DENKLİK KAPALI")))</f>
        <v/>
      </c>
    </row>
    <row r="445" ht="15" customHeight="1">
      <c r="A445" s="60">
        <f>'21 2026 ÜRETİM'!A445</f>
        <v/>
      </c>
      <c r="B445" s="81">
        <f>IF(A445="","",'21 2026 ÜRETİM'!D445)</f>
        <v/>
      </c>
      <c r="C445" s="81">
        <f>IF(A445="","",'21 2026 ÜRETİM'!E445)</f>
        <v/>
      </c>
      <c r="D445" s="82">
        <f>IF(A445="","",'21 2026 ÜRETİM'!F445)</f>
        <v/>
      </c>
      <c r="E445" s="81">
        <f>IF(A445="","",SUMIF('22 2026 PAKETLEME'!$B$2:$B$501,A445,'22 2026 PAKETLEME'!$E$2:$E$501))</f>
        <v/>
      </c>
      <c r="F445" s="82">
        <f>IF(A445="","",SUMIF('22 2026 PAKETLEME'!$B$2:$B$501,A445,'22 2026 PAKETLEME'!$G$2:$G$501))</f>
        <v/>
      </c>
      <c r="G445" s="81">
        <f>IF(A445="","",SUMIF('22 2026 PAKETLEME'!$B$2:$B$501,A445,'22 2026 PAKETLEME'!$H$2:$H$501))</f>
        <v/>
      </c>
      <c r="H445" s="81">
        <f>IF(A445="","",D445-E445-F445-G445)</f>
        <v/>
      </c>
      <c r="I445" s="82">
        <f>IF(A445="","",SUMIF('23 2026 SEVKİYAT'!$E$2:$E$501,A445,'23 2026 SEVKİYAT'!$H$2:$H$501))</f>
        <v/>
      </c>
      <c r="J445" s="81">
        <f>IF(A445="","",E445+F445-I445)</f>
        <v/>
      </c>
      <c r="K445" s="81">
        <f>IF(A445="","",D445-E445-F445-G445-H445)</f>
        <v/>
      </c>
      <c r="L445" s="58">
        <f>IF(A445="","",IF(ABS(K445)&lt;0.001,"KAPALI","KONTROL"))</f>
        <v/>
      </c>
      <c r="M445" s="56">
        <f>IF(A445="","",IF(J445&lt;0,"SEVK PAKETLEMEYİ AŞIYOR",IF(H445&lt;&gt;0,"PAKETLEME BAKİYESİ VAR","DENKLİK KAPALI")))</f>
        <v/>
      </c>
    </row>
    <row r="446" ht="15" customHeight="1">
      <c r="A446" s="60">
        <f>'21 2026 ÜRETİM'!A446</f>
        <v/>
      </c>
      <c r="B446" s="81">
        <f>IF(A446="","",'21 2026 ÜRETİM'!D446)</f>
        <v/>
      </c>
      <c r="C446" s="81">
        <f>IF(A446="","",'21 2026 ÜRETİM'!E446)</f>
        <v/>
      </c>
      <c r="D446" s="82">
        <f>IF(A446="","",'21 2026 ÜRETİM'!F446)</f>
        <v/>
      </c>
      <c r="E446" s="81">
        <f>IF(A446="","",SUMIF('22 2026 PAKETLEME'!$B$2:$B$501,A446,'22 2026 PAKETLEME'!$E$2:$E$501))</f>
        <v/>
      </c>
      <c r="F446" s="82">
        <f>IF(A446="","",SUMIF('22 2026 PAKETLEME'!$B$2:$B$501,A446,'22 2026 PAKETLEME'!$G$2:$G$501))</f>
        <v/>
      </c>
      <c r="G446" s="81">
        <f>IF(A446="","",SUMIF('22 2026 PAKETLEME'!$B$2:$B$501,A446,'22 2026 PAKETLEME'!$H$2:$H$501))</f>
        <v/>
      </c>
      <c r="H446" s="81">
        <f>IF(A446="","",D446-E446-F446-G446)</f>
        <v/>
      </c>
      <c r="I446" s="82">
        <f>IF(A446="","",SUMIF('23 2026 SEVKİYAT'!$E$2:$E$501,A446,'23 2026 SEVKİYAT'!$H$2:$H$501))</f>
        <v/>
      </c>
      <c r="J446" s="81">
        <f>IF(A446="","",E446+F446-I446)</f>
        <v/>
      </c>
      <c r="K446" s="81">
        <f>IF(A446="","",D446-E446-F446-G446-H446)</f>
        <v/>
      </c>
      <c r="L446" s="58">
        <f>IF(A446="","",IF(ABS(K446)&lt;0.001,"KAPALI","KONTROL"))</f>
        <v/>
      </c>
      <c r="M446" s="56">
        <f>IF(A446="","",IF(J446&lt;0,"SEVK PAKETLEMEYİ AŞIYOR",IF(H446&lt;&gt;0,"PAKETLEME BAKİYESİ VAR","DENKLİK KAPALI")))</f>
        <v/>
      </c>
    </row>
    <row r="447" ht="15" customHeight="1">
      <c r="A447" s="60">
        <f>'21 2026 ÜRETİM'!A447</f>
        <v/>
      </c>
      <c r="B447" s="81">
        <f>IF(A447="","",'21 2026 ÜRETİM'!D447)</f>
        <v/>
      </c>
      <c r="C447" s="81">
        <f>IF(A447="","",'21 2026 ÜRETİM'!E447)</f>
        <v/>
      </c>
      <c r="D447" s="82">
        <f>IF(A447="","",'21 2026 ÜRETİM'!F447)</f>
        <v/>
      </c>
      <c r="E447" s="81">
        <f>IF(A447="","",SUMIF('22 2026 PAKETLEME'!$B$2:$B$501,A447,'22 2026 PAKETLEME'!$E$2:$E$501))</f>
        <v/>
      </c>
      <c r="F447" s="82">
        <f>IF(A447="","",SUMIF('22 2026 PAKETLEME'!$B$2:$B$501,A447,'22 2026 PAKETLEME'!$G$2:$G$501))</f>
        <v/>
      </c>
      <c r="G447" s="81">
        <f>IF(A447="","",SUMIF('22 2026 PAKETLEME'!$B$2:$B$501,A447,'22 2026 PAKETLEME'!$H$2:$H$501))</f>
        <v/>
      </c>
      <c r="H447" s="81">
        <f>IF(A447="","",D447-E447-F447-G447)</f>
        <v/>
      </c>
      <c r="I447" s="82">
        <f>IF(A447="","",SUMIF('23 2026 SEVKİYAT'!$E$2:$E$501,A447,'23 2026 SEVKİYAT'!$H$2:$H$501))</f>
        <v/>
      </c>
      <c r="J447" s="81">
        <f>IF(A447="","",E447+F447-I447)</f>
        <v/>
      </c>
      <c r="K447" s="81">
        <f>IF(A447="","",D447-E447-F447-G447-H447)</f>
        <v/>
      </c>
      <c r="L447" s="58">
        <f>IF(A447="","",IF(ABS(K447)&lt;0.001,"KAPALI","KONTROL"))</f>
        <v/>
      </c>
      <c r="M447" s="56">
        <f>IF(A447="","",IF(J447&lt;0,"SEVK PAKETLEMEYİ AŞIYOR",IF(H447&lt;&gt;0,"PAKETLEME BAKİYESİ VAR","DENKLİK KAPALI")))</f>
        <v/>
      </c>
    </row>
    <row r="448" ht="15" customHeight="1">
      <c r="A448" s="60">
        <f>'21 2026 ÜRETİM'!A448</f>
        <v/>
      </c>
      <c r="B448" s="81">
        <f>IF(A448="","",'21 2026 ÜRETİM'!D448)</f>
        <v/>
      </c>
      <c r="C448" s="81">
        <f>IF(A448="","",'21 2026 ÜRETİM'!E448)</f>
        <v/>
      </c>
      <c r="D448" s="82">
        <f>IF(A448="","",'21 2026 ÜRETİM'!F448)</f>
        <v/>
      </c>
      <c r="E448" s="81">
        <f>IF(A448="","",SUMIF('22 2026 PAKETLEME'!$B$2:$B$501,A448,'22 2026 PAKETLEME'!$E$2:$E$501))</f>
        <v/>
      </c>
      <c r="F448" s="82">
        <f>IF(A448="","",SUMIF('22 2026 PAKETLEME'!$B$2:$B$501,A448,'22 2026 PAKETLEME'!$G$2:$G$501))</f>
        <v/>
      </c>
      <c r="G448" s="81">
        <f>IF(A448="","",SUMIF('22 2026 PAKETLEME'!$B$2:$B$501,A448,'22 2026 PAKETLEME'!$H$2:$H$501))</f>
        <v/>
      </c>
      <c r="H448" s="81">
        <f>IF(A448="","",D448-E448-F448-G448)</f>
        <v/>
      </c>
      <c r="I448" s="82">
        <f>IF(A448="","",SUMIF('23 2026 SEVKİYAT'!$E$2:$E$501,A448,'23 2026 SEVKİYAT'!$H$2:$H$501))</f>
        <v/>
      </c>
      <c r="J448" s="81">
        <f>IF(A448="","",E448+F448-I448)</f>
        <v/>
      </c>
      <c r="K448" s="81">
        <f>IF(A448="","",D448-E448-F448-G448-H448)</f>
        <v/>
      </c>
      <c r="L448" s="58">
        <f>IF(A448="","",IF(ABS(K448)&lt;0.001,"KAPALI","KONTROL"))</f>
        <v/>
      </c>
      <c r="M448" s="56">
        <f>IF(A448="","",IF(J448&lt;0,"SEVK PAKETLEMEYİ AŞIYOR",IF(H448&lt;&gt;0,"PAKETLEME BAKİYESİ VAR","DENKLİK KAPALI")))</f>
        <v/>
      </c>
    </row>
    <row r="449" ht="15" customHeight="1">
      <c r="A449" s="60">
        <f>'21 2026 ÜRETİM'!A449</f>
        <v/>
      </c>
      <c r="B449" s="81">
        <f>IF(A449="","",'21 2026 ÜRETİM'!D449)</f>
        <v/>
      </c>
      <c r="C449" s="81">
        <f>IF(A449="","",'21 2026 ÜRETİM'!E449)</f>
        <v/>
      </c>
      <c r="D449" s="82">
        <f>IF(A449="","",'21 2026 ÜRETİM'!F449)</f>
        <v/>
      </c>
      <c r="E449" s="81">
        <f>IF(A449="","",SUMIF('22 2026 PAKETLEME'!$B$2:$B$501,A449,'22 2026 PAKETLEME'!$E$2:$E$501))</f>
        <v/>
      </c>
      <c r="F449" s="82">
        <f>IF(A449="","",SUMIF('22 2026 PAKETLEME'!$B$2:$B$501,A449,'22 2026 PAKETLEME'!$G$2:$G$501))</f>
        <v/>
      </c>
      <c r="G449" s="81">
        <f>IF(A449="","",SUMIF('22 2026 PAKETLEME'!$B$2:$B$501,A449,'22 2026 PAKETLEME'!$H$2:$H$501))</f>
        <v/>
      </c>
      <c r="H449" s="81">
        <f>IF(A449="","",D449-E449-F449-G449)</f>
        <v/>
      </c>
      <c r="I449" s="82">
        <f>IF(A449="","",SUMIF('23 2026 SEVKİYAT'!$E$2:$E$501,A449,'23 2026 SEVKİYAT'!$H$2:$H$501))</f>
        <v/>
      </c>
      <c r="J449" s="81">
        <f>IF(A449="","",E449+F449-I449)</f>
        <v/>
      </c>
      <c r="K449" s="81">
        <f>IF(A449="","",D449-E449-F449-G449-H449)</f>
        <v/>
      </c>
      <c r="L449" s="58">
        <f>IF(A449="","",IF(ABS(K449)&lt;0.001,"KAPALI","KONTROL"))</f>
        <v/>
      </c>
      <c r="M449" s="56">
        <f>IF(A449="","",IF(J449&lt;0,"SEVK PAKETLEMEYİ AŞIYOR",IF(H449&lt;&gt;0,"PAKETLEME BAKİYESİ VAR","DENKLİK KAPALI")))</f>
        <v/>
      </c>
    </row>
    <row r="450" ht="15" customHeight="1">
      <c r="A450" s="60">
        <f>'21 2026 ÜRETİM'!A450</f>
        <v/>
      </c>
      <c r="B450" s="81">
        <f>IF(A450="","",'21 2026 ÜRETİM'!D450)</f>
        <v/>
      </c>
      <c r="C450" s="81">
        <f>IF(A450="","",'21 2026 ÜRETİM'!E450)</f>
        <v/>
      </c>
      <c r="D450" s="82">
        <f>IF(A450="","",'21 2026 ÜRETİM'!F450)</f>
        <v/>
      </c>
      <c r="E450" s="81">
        <f>IF(A450="","",SUMIF('22 2026 PAKETLEME'!$B$2:$B$501,A450,'22 2026 PAKETLEME'!$E$2:$E$501))</f>
        <v/>
      </c>
      <c r="F450" s="82">
        <f>IF(A450="","",SUMIF('22 2026 PAKETLEME'!$B$2:$B$501,A450,'22 2026 PAKETLEME'!$G$2:$G$501))</f>
        <v/>
      </c>
      <c r="G450" s="81">
        <f>IF(A450="","",SUMIF('22 2026 PAKETLEME'!$B$2:$B$501,A450,'22 2026 PAKETLEME'!$H$2:$H$501))</f>
        <v/>
      </c>
      <c r="H450" s="81">
        <f>IF(A450="","",D450-E450-F450-G450)</f>
        <v/>
      </c>
      <c r="I450" s="82">
        <f>IF(A450="","",SUMIF('23 2026 SEVKİYAT'!$E$2:$E$501,A450,'23 2026 SEVKİYAT'!$H$2:$H$501))</f>
        <v/>
      </c>
      <c r="J450" s="81">
        <f>IF(A450="","",E450+F450-I450)</f>
        <v/>
      </c>
      <c r="K450" s="81">
        <f>IF(A450="","",D450-E450-F450-G450-H450)</f>
        <v/>
      </c>
      <c r="L450" s="58">
        <f>IF(A450="","",IF(ABS(K450)&lt;0.001,"KAPALI","KONTROL"))</f>
        <v/>
      </c>
      <c r="M450" s="56">
        <f>IF(A450="","",IF(J450&lt;0,"SEVK PAKETLEMEYİ AŞIYOR",IF(H450&lt;&gt;0,"PAKETLEME BAKİYESİ VAR","DENKLİK KAPALI")))</f>
        <v/>
      </c>
    </row>
    <row r="451" ht="15" customHeight="1">
      <c r="A451" s="60">
        <f>'21 2026 ÜRETİM'!A451</f>
        <v/>
      </c>
      <c r="B451" s="81">
        <f>IF(A451="","",'21 2026 ÜRETİM'!D451)</f>
        <v/>
      </c>
      <c r="C451" s="81">
        <f>IF(A451="","",'21 2026 ÜRETİM'!E451)</f>
        <v/>
      </c>
      <c r="D451" s="82">
        <f>IF(A451="","",'21 2026 ÜRETİM'!F451)</f>
        <v/>
      </c>
      <c r="E451" s="81">
        <f>IF(A451="","",SUMIF('22 2026 PAKETLEME'!$B$2:$B$501,A451,'22 2026 PAKETLEME'!$E$2:$E$501))</f>
        <v/>
      </c>
      <c r="F451" s="82">
        <f>IF(A451="","",SUMIF('22 2026 PAKETLEME'!$B$2:$B$501,A451,'22 2026 PAKETLEME'!$G$2:$G$501))</f>
        <v/>
      </c>
      <c r="G451" s="81">
        <f>IF(A451="","",SUMIF('22 2026 PAKETLEME'!$B$2:$B$501,A451,'22 2026 PAKETLEME'!$H$2:$H$501))</f>
        <v/>
      </c>
      <c r="H451" s="81">
        <f>IF(A451="","",D451-E451-F451-G451)</f>
        <v/>
      </c>
      <c r="I451" s="82">
        <f>IF(A451="","",SUMIF('23 2026 SEVKİYAT'!$E$2:$E$501,A451,'23 2026 SEVKİYAT'!$H$2:$H$501))</f>
        <v/>
      </c>
      <c r="J451" s="81">
        <f>IF(A451="","",E451+F451-I451)</f>
        <v/>
      </c>
      <c r="K451" s="81">
        <f>IF(A451="","",D451-E451-F451-G451-H451)</f>
        <v/>
      </c>
      <c r="L451" s="58">
        <f>IF(A451="","",IF(ABS(K451)&lt;0.001,"KAPALI","KONTROL"))</f>
        <v/>
      </c>
      <c r="M451" s="56">
        <f>IF(A451="","",IF(J451&lt;0,"SEVK PAKETLEMEYİ AŞIYOR",IF(H451&lt;&gt;0,"PAKETLEME BAKİYESİ VAR","DENKLİK KAPALI")))</f>
        <v/>
      </c>
    </row>
    <row r="452" ht="15" customHeight="1">
      <c r="A452" s="60">
        <f>'21 2026 ÜRETİM'!A452</f>
        <v/>
      </c>
      <c r="B452" s="81">
        <f>IF(A452="","",'21 2026 ÜRETİM'!D452)</f>
        <v/>
      </c>
      <c r="C452" s="81">
        <f>IF(A452="","",'21 2026 ÜRETİM'!E452)</f>
        <v/>
      </c>
      <c r="D452" s="82">
        <f>IF(A452="","",'21 2026 ÜRETİM'!F452)</f>
        <v/>
      </c>
      <c r="E452" s="81">
        <f>IF(A452="","",SUMIF('22 2026 PAKETLEME'!$B$2:$B$501,A452,'22 2026 PAKETLEME'!$E$2:$E$501))</f>
        <v/>
      </c>
      <c r="F452" s="82">
        <f>IF(A452="","",SUMIF('22 2026 PAKETLEME'!$B$2:$B$501,A452,'22 2026 PAKETLEME'!$G$2:$G$501))</f>
        <v/>
      </c>
      <c r="G452" s="81">
        <f>IF(A452="","",SUMIF('22 2026 PAKETLEME'!$B$2:$B$501,A452,'22 2026 PAKETLEME'!$H$2:$H$501))</f>
        <v/>
      </c>
      <c r="H452" s="81">
        <f>IF(A452="","",D452-E452-F452-G452)</f>
        <v/>
      </c>
      <c r="I452" s="82">
        <f>IF(A452="","",SUMIF('23 2026 SEVKİYAT'!$E$2:$E$501,A452,'23 2026 SEVKİYAT'!$H$2:$H$501))</f>
        <v/>
      </c>
      <c r="J452" s="81">
        <f>IF(A452="","",E452+F452-I452)</f>
        <v/>
      </c>
      <c r="K452" s="81">
        <f>IF(A452="","",D452-E452-F452-G452-H452)</f>
        <v/>
      </c>
      <c r="L452" s="58">
        <f>IF(A452="","",IF(ABS(K452)&lt;0.001,"KAPALI","KONTROL"))</f>
        <v/>
      </c>
      <c r="M452" s="56">
        <f>IF(A452="","",IF(J452&lt;0,"SEVK PAKETLEMEYİ AŞIYOR",IF(H452&lt;&gt;0,"PAKETLEME BAKİYESİ VAR","DENKLİK KAPALI")))</f>
        <v/>
      </c>
    </row>
    <row r="453" ht="15" customHeight="1">
      <c r="A453" s="60">
        <f>'21 2026 ÜRETİM'!A453</f>
        <v/>
      </c>
      <c r="B453" s="81">
        <f>IF(A453="","",'21 2026 ÜRETİM'!D453)</f>
        <v/>
      </c>
      <c r="C453" s="81">
        <f>IF(A453="","",'21 2026 ÜRETİM'!E453)</f>
        <v/>
      </c>
      <c r="D453" s="82">
        <f>IF(A453="","",'21 2026 ÜRETİM'!F453)</f>
        <v/>
      </c>
      <c r="E453" s="81">
        <f>IF(A453="","",SUMIF('22 2026 PAKETLEME'!$B$2:$B$501,A453,'22 2026 PAKETLEME'!$E$2:$E$501))</f>
        <v/>
      </c>
      <c r="F453" s="82">
        <f>IF(A453="","",SUMIF('22 2026 PAKETLEME'!$B$2:$B$501,A453,'22 2026 PAKETLEME'!$G$2:$G$501))</f>
        <v/>
      </c>
      <c r="G453" s="81">
        <f>IF(A453="","",SUMIF('22 2026 PAKETLEME'!$B$2:$B$501,A453,'22 2026 PAKETLEME'!$H$2:$H$501))</f>
        <v/>
      </c>
      <c r="H453" s="81">
        <f>IF(A453="","",D453-E453-F453-G453)</f>
        <v/>
      </c>
      <c r="I453" s="82">
        <f>IF(A453="","",SUMIF('23 2026 SEVKİYAT'!$E$2:$E$501,A453,'23 2026 SEVKİYAT'!$H$2:$H$501))</f>
        <v/>
      </c>
      <c r="J453" s="81">
        <f>IF(A453="","",E453+F453-I453)</f>
        <v/>
      </c>
      <c r="K453" s="81">
        <f>IF(A453="","",D453-E453-F453-G453-H453)</f>
        <v/>
      </c>
      <c r="L453" s="58">
        <f>IF(A453="","",IF(ABS(K453)&lt;0.001,"KAPALI","KONTROL"))</f>
        <v/>
      </c>
      <c r="M453" s="56">
        <f>IF(A453="","",IF(J453&lt;0,"SEVK PAKETLEMEYİ AŞIYOR",IF(H453&lt;&gt;0,"PAKETLEME BAKİYESİ VAR","DENKLİK KAPALI")))</f>
        <v/>
      </c>
    </row>
    <row r="454" ht="15" customHeight="1">
      <c r="A454" s="60">
        <f>'21 2026 ÜRETİM'!A454</f>
        <v/>
      </c>
      <c r="B454" s="81">
        <f>IF(A454="","",'21 2026 ÜRETİM'!D454)</f>
        <v/>
      </c>
      <c r="C454" s="81">
        <f>IF(A454="","",'21 2026 ÜRETİM'!E454)</f>
        <v/>
      </c>
      <c r="D454" s="82">
        <f>IF(A454="","",'21 2026 ÜRETİM'!F454)</f>
        <v/>
      </c>
      <c r="E454" s="81">
        <f>IF(A454="","",SUMIF('22 2026 PAKETLEME'!$B$2:$B$501,A454,'22 2026 PAKETLEME'!$E$2:$E$501))</f>
        <v/>
      </c>
      <c r="F454" s="82">
        <f>IF(A454="","",SUMIF('22 2026 PAKETLEME'!$B$2:$B$501,A454,'22 2026 PAKETLEME'!$G$2:$G$501))</f>
        <v/>
      </c>
      <c r="G454" s="81">
        <f>IF(A454="","",SUMIF('22 2026 PAKETLEME'!$B$2:$B$501,A454,'22 2026 PAKETLEME'!$H$2:$H$501))</f>
        <v/>
      </c>
      <c r="H454" s="81">
        <f>IF(A454="","",D454-E454-F454-G454)</f>
        <v/>
      </c>
      <c r="I454" s="82">
        <f>IF(A454="","",SUMIF('23 2026 SEVKİYAT'!$E$2:$E$501,A454,'23 2026 SEVKİYAT'!$H$2:$H$501))</f>
        <v/>
      </c>
      <c r="J454" s="81">
        <f>IF(A454="","",E454+F454-I454)</f>
        <v/>
      </c>
      <c r="K454" s="81">
        <f>IF(A454="","",D454-E454-F454-G454-H454)</f>
        <v/>
      </c>
      <c r="L454" s="58">
        <f>IF(A454="","",IF(ABS(K454)&lt;0.001,"KAPALI","KONTROL"))</f>
        <v/>
      </c>
      <c r="M454" s="56">
        <f>IF(A454="","",IF(J454&lt;0,"SEVK PAKETLEMEYİ AŞIYOR",IF(H454&lt;&gt;0,"PAKETLEME BAKİYESİ VAR","DENKLİK KAPALI")))</f>
        <v/>
      </c>
    </row>
    <row r="455" ht="15" customHeight="1">
      <c r="A455" s="60">
        <f>'21 2026 ÜRETİM'!A455</f>
        <v/>
      </c>
      <c r="B455" s="81">
        <f>IF(A455="","",'21 2026 ÜRETİM'!D455)</f>
        <v/>
      </c>
      <c r="C455" s="81">
        <f>IF(A455="","",'21 2026 ÜRETİM'!E455)</f>
        <v/>
      </c>
      <c r="D455" s="82">
        <f>IF(A455="","",'21 2026 ÜRETİM'!F455)</f>
        <v/>
      </c>
      <c r="E455" s="81">
        <f>IF(A455="","",SUMIF('22 2026 PAKETLEME'!$B$2:$B$501,A455,'22 2026 PAKETLEME'!$E$2:$E$501))</f>
        <v/>
      </c>
      <c r="F455" s="82">
        <f>IF(A455="","",SUMIF('22 2026 PAKETLEME'!$B$2:$B$501,A455,'22 2026 PAKETLEME'!$G$2:$G$501))</f>
        <v/>
      </c>
      <c r="G455" s="81">
        <f>IF(A455="","",SUMIF('22 2026 PAKETLEME'!$B$2:$B$501,A455,'22 2026 PAKETLEME'!$H$2:$H$501))</f>
        <v/>
      </c>
      <c r="H455" s="81">
        <f>IF(A455="","",D455-E455-F455-G455)</f>
        <v/>
      </c>
      <c r="I455" s="82">
        <f>IF(A455="","",SUMIF('23 2026 SEVKİYAT'!$E$2:$E$501,A455,'23 2026 SEVKİYAT'!$H$2:$H$501))</f>
        <v/>
      </c>
      <c r="J455" s="81">
        <f>IF(A455="","",E455+F455-I455)</f>
        <v/>
      </c>
      <c r="K455" s="81">
        <f>IF(A455="","",D455-E455-F455-G455-H455)</f>
        <v/>
      </c>
      <c r="L455" s="58">
        <f>IF(A455="","",IF(ABS(K455)&lt;0.001,"KAPALI","KONTROL"))</f>
        <v/>
      </c>
      <c r="M455" s="56">
        <f>IF(A455="","",IF(J455&lt;0,"SEVK PAKETLEMEYİ AŞIYOR",IF(H455&lt;&gt;0,"PAKETLEME BAKİYESİ VAR","DENKLİK KAPALI")))</f>
        <v/>
      </c>
    </row>
    <row r="456" ht="15" customHeight="1">
      <c r="A456" s="60">
        <f>'21 2026 ÜRETİM'!A456</f>
        <v/>
      </c>
      <c r="B456" s="81">
        <f>IF(A456="","",'21 2026 ÜRETİM'!D456)</f>
        <v/>
      </c>
      <c r="C456" s="81">
        <f>IF(A456="","",'21 2026 ÜRETİM'!E456)</f>
        <v/>
      </c>
      <c r="D456" s="82">
        <f>IF(A456="","",'21 2026 ÜRETİM'!F456)</f>
        <v/>
      </c>
      <c r="E456" s="81">
        <f>IF(A456="","",SUMIF('22 2026 PAKETLEME'!$B$2:$B$501,A456,'22 2026 PAKETLEME'!$E$2:$E$501))</f>
        <v/>
      </c>
      <c r="F456" s="82">
        <f>IF(A456="","",SUMIF('22 2026 PAKETLEME'!$B$2:$B$501,A456,'22 2026 PAKETLEME'!$G$2:$G$501))</f>
        <v/>
      </c>
      <c r="G456" s="81">
        <f>IF(A456="","",SUMIF('22 2026 PAKETLEME'!$B$2:$B$501,A456,'22 2026 PAKETLEME'!$H$2:$H$501))</f>
        <v/>
      </c>
      <c r="H456" s="81">
        <f>IF(A456="","",D456-E456-F456-G456)</f>
        <v/>
      </c>
      <c r="I456" s="82">
        <f>IF(A456="","",SUMIF('23 2026 SEVKİYAT'!$E$2:$E$501,A456,'23 2026 SEVKİYAT'!$H$2:$H$501))</f>
        <v/>
      </c>
      <c r="J456" s="81">
        <f>IF(A456="","",E456+F456-I456)</f>
        <v/>
      </c>
      <c r="K456" s="81">
        <f>IF(A456="","",D456-E456-F456-G456-H456)</f>
        <v/>
      </c>
      <c r="L456" s="58">
        <f>IF(A456="","",IF(ABS(K456)&lt;0.001,"KAPALI","KONTROL"))</f>
        <v/>
      </c>
      <c r="M456" s="56">
        <f>IF(A456="","",IF(J456&lt;0,"SEVK PAKETLEMEYİ AŞIYOR",IF(H456&lt;&gt;0,"PAKETLEME BAKİYESİ VAR","DENKLİK KAPALI")))</f>
        <v/>
      </c>
    </row>
    <row r="457" ht="15" customHeight="1">
      <c r="A457" s="60">
        <f>'21 2026 ÜRETİM'!A457</f>
        <v/>
      </c>
      <c r="B457" s="81">
        <f>IF(A457="","",'21 2026 ÜRETİM'!D457)</f>
        <v/>
      </c>
      <c r="C457" s="81">
        <f>IF(A457="","",'21 2026 ÜRETİM'!E457)</f>
        <v/>
      </c>
      <c r="D457" s="82">
        <f>IF(A457="","",'21 2026 ÜRETİM'!F457)</f>
        <v/>
      </c>
      <c r="E457" s="81">
        <f>IF(A457="","",SUMIF('22 2026 PAKETLEME'!$B$2:$B$501,A457,'22 2026 PAKETLEME'!$E$2:$E$501))</f>
        <v/>
      </c>
      <c r="F457" s="82">
        <f>IF(A457="","",SUMIF('22 2026 PAKETLEME'!$B$2:$B$501,A457,'22 2026 PAKETLEME'!$G$2:$G$501))</f>
        <v/>
      </c>
      <c r="G457" s="81">
        <f>IF(A457="","",SUMIF('22 2026 PAKETLEME'!$B$2:$B$501,A457,'22 2026 PAKETLEME'!$H$2:$H$501))</f>
        <v/>
      </c>
      <c r="H457" s="81">
        <f>IF(A457="","",D457-E457-F457-G457)</f>
        <v/>
      </c>
      <c r="I457" s="82">
        <f>IF(A457="","",SUMIF('23 2026 SEVKİYAT'!$E$2:$E$501,A457,'23 2026 SEVKİYAT'!$H$2:$H$501))</f>
        <v/>
      </c>
      <c r="J457" s="81">
        <f>IF(A457="","",E457+F457-I457)</f>
        <v/>
      </c>
      <c r="K457" s="81">
        <f>IF(A457="","",D457-E457-F457-G457-H457)</f>
        <v/>
      </c>
      <c r="L457" s="58">
        <f>IF(A457="","",IF(ABS(K457)&lt;0.001,"KAPALI","KONTROL"))</f>
        <v/>
      </c>
      <c r="M457" s="56">
        <f>IF(A457="","",IF(J457&lt;0,"SEVK PAKETLEMEYİ AŞIYOR",IF(H457&lt;&gt;0,"PAKETLEME BAKİYESİ VAR","DENKLİK KAPALI")))</f>
        <v/>
      </c>
    </row>
    <row r="458" ht="15" customHeight="1">
      <c r="A458" s="60">
        <f>'21 2026 ÜRETİM'!A458</f>
        <v/>
      </c>
      <c r="B458" s="81">
        <f>IF(A458="","",'21 2026 ÜRETİM'!D458)</f>
        <v/>
      </c>
      <c r="C458" s="81">
        <f>IF(A458="","",'21 2026 ÜRETİM'!E458)</f>
        <v/>
      </c>
      <c r="D458" s="82">
        <f>IF(A458="","",'21 2026 ÜRETİM'!F458)</f>
        <v/>
      </c>
      <c r="E458" s="81">
        <f>IF(A458="","",SUMIF('22 2026 PAKETLEME'!$B$2:$B$501,A458,'22 2026 PAKETLEME'!$E$2:$E$501))</f>
        <v/>
      </c>
      <c r="F458" s="82">
        <f>IF(A458="","",SUMIF('22 2026 PAKETLEME'!$B$2:$B$501,A458,'22 2026 PAKETLEME'!$G$2:$G$501))</f>
        <v/>
      </c>
      <c r="G458" s="81">
        <f>IF(A458="","",SUMIF('22 2026 PAKETLEME'!$B$2:$B$501,A458,'22 2026 PAKETLEME'!$H$2:$H$501))</f>
        <v/>
      </c>
      <c r="H458" s="81">
        <f>IF(A458="","",D458-E458-F458-G458)</f>
        <v/>
      </c>
      <c r="I458" s="82">
        <f>IF(A458="","",SUMIF('23 2026 SEVKİYAT'!$E$2:$E$501,A458,'23 2026 SEVKİYAT'!$H$2:$H$501))</f>
        <v/>
      </c>
      <c r="J458" s="81">
        <f>IF(A458="","",E458+F458-I458)</f>
        <v/>
      </c>
      <c r="K458" s="81">
        <f>IF(A458="","",D458-E458-F458-G458-H458)</f>
        <v/>
      </c>
      <c r="L458" s="58">
        <f>IF(A458="","",IF(ABS(K458)&lt;0.001,"KAPALI","KONTROL"))</f>
        <v/>
      </c>
      <c r="M458" s="56">
        <f>IF(A458="","",IF(J458&lt;0,"SEVK PAKETLEMEYİ AŞIYOR",IF(H458&lt;&gt;0,"PAKETLEME BAKİYESİ VAR","DENKLİK KAPALI")))</f>
        <v/>
      </c>
    </row>
    <row r="459" ht="15" customHeight="1">
      <c r="A459" s="60">
        <f>'21 2026 ÜRETİM'!A459</f>
        <v/>
      </c>
      <c r="B459" s="81">
        <f>IF(A459="","",'21 2026 ÜRETİM'!D459)</f>
        <v/>
      </c>
      <c r="C459" s="81">
        <f>IF(A459="","",'21 2026 ÜRETİM'!E459)</f>
        <v/>
      </c>
      <c r="D459" s="82">
        <f>IF(A459="","",'21 2026 ÜRETİM'!F459)</f>
        <v/>
      </c>
      <c r="E459" s="81">
        <f>IF(A459="","",SUMIF('22 2026 PAKETLEME'!$B$2:$B$501,A459,'22 2026 PAKETLEME'!$E$2:$E$501))</f>
        <v/>
      </c>
      <c r="F459" s="82">
        <f>IF(A459="","",SUMIF('22 2026 PAKETLEME'!$B$2:$B$501,A459,'22 2026 PAKETLEME'!$G$2:$G$501))</f>
        <v/>
      </c>
      <c r="G459" s="81">
        <f>IF(A459="","",SUMIF('22 2026 PAKETLEME'!$B$2:$B$501,A459,'22 2026 PAKETLEME'!$H$2:$H$501))</f>
        <v/>
      </c>
      <c r="H459" s="81">
        <f>IF(A459="","",D459-E459-F459-G459)</f>
        <v/>
      </c>
      <c r="I459" s="82">
        <f>IF(A459="","",SUMIF('23 2026 SEVKİYAT'!$E$2:$E$501,A459,'23 2026 SEVKİYAT'!$H$2:$H$501))</f>
        <v/>
      </c>
      <c r="J459" s="81">
        <f>IF(A459="","",E459+F459-I459)</f>
        <v/>
      </c>
      <c r="K459" s="81">
        <f>IF(A459="","",D459-E459-F459-G459-H459)</f>
        <v/>
      </c>
      <c r="L459" s="58">
        <f>IF(A459="","",IF(ABS(K459)&lt;0.001,"KAPALI","KONTROL"))</f>
        <v/>
      </c>
      <c r="M459" s="56">
        <f>IF(A459="","",IF(J459&lt;0,"SEVK PAKETLEMEYİ AŞIYOR",IF(H459&lt;&gt;0,"PAKETLEME BAKİYESİ VAR","DENKLİK KAPALI")))</f>
        <v/>
      </c>
    </row>
    <row r="460" ht="15" customHeight="1">
      <c r="A460" s="60">
        <f>'21 2026 ÜRETİM'!A460</f>
        <v/>
      </c>
      <c r="B460" s="81">
        <f>IF(A460="","",'21 2026 ÜRETİM'!D460)</f>
        <v/>
      </c>
      <c r="C460" s="81">
        <f>IF(A460="","",'21 2026 ÜRETİM'!E460)</f>
        <v/>
      </c>
      <c r="D460" s="82">
        <f>IF(A460="","",'21 2026 ÜRETİM'!F460)</f>
        <v/>
      </c>
      <c r="E460" s="81">
        <f>IF(A460="","",SUMIF('22 2026 PAKETLEME'!$B$2:$B$501,A460,'22 2026 PAKETLEME'!$E$2:$E$501))</f>
        <v/>
      </c>
      <c r="F460" s="82">
        <f>IF(A460="","",SUMIF('22 2026 PAKETLEME'!$B$2:$B$501,A460,'22 2026 PAKETLEME'!$G$2:$G$501))</f>
        <v/>
      </c>
      <c r="G460" s="81">
        <f>IF(A460="","",SUMIF('22 2026 PAKETLEME'!$B$2:$B$501,A460,'22 2026 PAKETLEME'!$H$2:$H$501))</f>
        <v/>
      </c>
      <c r="H460" s="81">
        <f>IF(A460="","",D460-E460-F460-G460)</f>
        <v/>
      </c>
      <c r="I460" s="82">
        <f>IF(A460="","",SUMIF('23 2026 SEVKİYAT'!$E$2:$E$501,A460,'23 2026 SEVKİYAT'!$H$2:$H$501))</f>
        <v/>
      </c>
      <c r="J460" s="81">
        <f>IF(A460="","",E460+F460-I460)</f>
        <v/>
      </c>
      <c r="K460" s="81">
        <f>IF(A460="","",D460-E460-F460-G460-H460)</f>
        <v/>
      </c>
      <c r="L460" s="58">
        <f>IF(A460="","",IF(ABS(K460)&lt;0.001,"KAPALI","KONTROL"))</f>
        <v/>
      </c>
      <c r="M460" s="56">
        <f>IF(A460="","",IF(J460&lt;0,"SEVK PAKETLEMEYİ AŞIYOR",IF(H460&lt;&gt;0,"PAKETLEME BAKİYESİ VAR","DENKLİK KAPALI")))</f>
        <v/>
      </c>
    </row>
    <row r="461" ht="15" customHeight="1">
      <c r="A461" s="60">
        <f>'21 2026 ÜRETİM'!A461</f>
        <v/>
      </c>
      <c r="B461" s="81">
        <f>IF(A461="","",'21 2026 ÜRETİM'!D461)</f>
        <v/>
      </c>
      <c r="C461" s="81">
        <f>IF(A461="","",'21 2026 ÜRETİM'!E461)</f>
        <v/>
      </c>
      <c r="D461" s="82">
        <f>IF(A461="","",'21 2026 ÜRETİM'!F461)</f>
        <v/>
      </c>
      <c r="E461" s="81">
        <f>IF(A461="","",SUMIF('22 2026 PAKETLEME'!$B$2:$B$501,A461,'22 2026 PAKETLEME'!$E$2:$E$501))</f>
        <v/>
      </c>
      <c r="F461" s="82">
        <f>IF(A461="","",SUMIF('22 2026 PAKETLEME'!$B$2:$B$501,A461,'22 2026 PAKETLEME'!$G$2:$G$501))</f>
        <v/>
      </c>
      <c r="G461" s="81">
        <f>IF(A461="","",SUMIF('22 2026 PAKETLEME'!$B$2:$B$501,A461,'22 2026 PAKETLEME'!$H$2:$H$501))</f>
        <v/>
      </c>
      <c r="H461" s="81">
        <f>IF(A461="","",D461-E461-F461-G461)</f>
        <v/>
      </c>
      <c r="I461" s="82">
        <f>IF(A461="","",SUMIF('23 2026 SEVKİYAT'!$E$2:$E$501,A461,'23 2026 SEVKİYAT'!$H$2:$H$501))</f>
        <v/>
      </c>
      <c r="J461" s="81">
        <f>IF(A461="","",E461+F461-I461)</f>
        <v/>
      </c>
      <c r="K461" s="81">
        <f>IF(A461="","",D461-E461-F461-G461-H461)</f>
        <v/>
      </c>
      <c r="L461" s="58">
        <f>IF(A461="","",IF(ABS(K461)&lt;0.001,"KAPALI","KONTROL"))</f>
        <v/>
      </c>
      <c r="M461" s="56">
        <f>IF(A461="","",IF(J461&lt;0,"SEVK PAKETLEMEYİ AŞIYOR",IF(H461&lt;&gt;0,"PAKETLEME BAKİYESİ VAR","DENKLİK KAPALI")))</f>
        <v/>
      </c>
    </row>
    <row r="462" ht="15" customHeight="1">
      <c r="A462" s="60">
        <f>'21 2026 ÜRETİM'!A462</f>
        <v/>
      </c>
      <c r="B462" s="81">
        <f>IF(A462="","",'21 2026 ÜRETİM'!D462)</f>
        <v/>
      </c>
      <c r="C462" s="81">
        <f>IF(A462="","",'21 2026 ÜRETİM'!E462)</f>
        <v/>
      </c>
      <c r="D462" s="82">
        <f>IF(A462="","",'21 2026 ÜRETİM'!F462)</f>
        <v/>
      </c>
      <c r="E462" s="81">
        <f>IF(A462="","",SUMIF('22 2026 PAKETLEME'!$B$2:$B$501,A462,'22 2026 PAKETLEME'!$E$2:$E$501))</f>
        <v/>
      </c>
      <c r="F462" s="82">
        <f>IF(A462="","",SUMIF('22 2026 PAKETLEME'!$B$2:$B$501,A462,'22 2026 PAKETLEME'!$G$2:$G$501))</f>
        <v/>
      </c>
      <c r="G462" s="81">
        <f>IF(A462="","",SUMIF('22 2026 PAKETLEME'!$B$2:$B$501,A462,'22 2026 PAKETLEME'!$H$2:$H$501))</f>
        <v/>
      </c>
      <c r="H462" s="81">
        <f>IF(A462="","",D462-E462-F462-G462)</f>
        <v/>
      </c>
      <c r="I462" s="82">
        <f>IF(A462="","",SUMIF('23 2026 SEVKİYAT'!$E$2:$E$501,A462,'23 2026 SEVKİYAT'!$H$2:$H$501))</f>
        <v/>
      </c>
      <c r="J462" s="81">
        <f>IF(A462="","",E462+F462-I462)</f>
        <v/>
      </c>
      <c r="K462" s="81">
        <f>IF(A462="","",D462-E462-F462-G462-H462)</f>
        <v/>
      </c>
      <c r="L462" s="58">
        <f>IF(A462="","",IF(ABS(K462)&lt;0.001,"KAPALI","KONTROL"))</f>
        <v/>
      </c>
      <c r="M462" s="56">
        <f>IF(A462="","",IF(J462&lt;0,"SEVK PAKETLEMEYİ AŞIYOR",IF(H462&lt;&gt;0,"PAKETLEME BAKİYESİ VAR","DENKLİK KAPALI")))</f>
        <v/>
      </c>
    </row>
    <row r="463" ht="15" customHeight="1">
      <c r="A463" s="60">
        <f>'21 2026 ÜRETİM'!A463</f>
        <v/>
      </c>
      <c r="B463" s="81">
        <f>IF(A463="","",'21 2026 ÜRETİM'!D463)</f>
        <v/>
      </c>
      <c r="C463" s="81">
        <f>IF(A463="","",'21 2026 ÜRETİM'!E463)</f>
        <v/>
      </c>
      <c r="D463" s="82">
        <f>IF(A463="","",'21 2026 ÜRETİM'!F463)</f>
        <v/>
      </c>
      <c r="E463" s="81">
        <f>IF(A463="","",SUMIF('22 2026 PAKETLEME'!$B$2:$B$501,A463,'22 2026 PAKETLEME'!$E$2:$E$501))</f>
        <v/>
      </c>
      <c r="F463" s="82">
        <f>IF(A463="","",SUMIF('22 2026 PAKETLEME'!$B$2:$B$501,A463,'22 2026 PAKETLEME'!$G$2:$G$501))</f>
        <v/>
      </c>
      <c r="G463" s="81">
        <f>IF(A463="","",SUMIF('22 2026 PAKETLEME'!$B$2:$B$501,A463,'22 2026 PAKETLEME'!$H$2:$H$501))</f>
        <v/>
      </c>
      <c r="H463" s="81">
        <f>IF(A463="","",D463-E463-F463-G463)</f>
        <v/>
      </c>
      <c r="I463" s="82">
        <f>IF(A463="","",SUMIF('23 2026 SEVKİYAT'!$E$2:$E$501,A463,'23 2026 SEVKİYAT'!$H$2:$H$501))</f>
        <v/>
      </c>
      <c r="J463" s="81">
        <f>IF(A463="","",E463+F463-I463)</f>
        <v/>
      </c>
      <c r="K463" s="81">
        <f>IF(A463="","",D463-E463-F463-G463-H463)</f>
        <v/>
      </c>
      <c r="L463" s="58">
        <f>IF(A463="","",IF(ABS(K463)&lt;0.001,"KAPALI","KONTROL"))</f>
        <v/>
      </c>
      <c r="M463" s="56">
        <f>IF(A463="","",IF(J463&lt;0,"SEVK PAKETLEMEYİ AŞIYOR",IF(H463&lt;&gt;0,"PAKETLEME BAKİYESİ VAR","DENKLİK KAPALI")))</f>
        <v/>
      </c>
    </row>
    <row r="464" ht="15" customHeight="1">
      <c r="A464" s="60">
        <f>'21 2026 ÜRETİM'!A464</f>
        <v/>
      </c>
      <c r="B464" s="81">
        <f>IF(A464="","",'21 2026 ÜRETİM'!D464)</f>
        <v/>
      </c>
      <c r="C464" s="81">
        <f>IF(A464="","",'21 2026 ÜRETİM'!E464)</f>
        <v/>
      </c>
      <c r="D464" s="82">
        <f>IF(A464="","",'21 2026 ÜRETİM'!F464)</f>
        <v/>
      </c>
      <c r="E464" s="81">
        <f>IF(A464="","",SUMIF('22 2026 PAKETLEME'!$B$2:$B$501,A464,'22 2026 PAKETLEME'!$E$2:$E$501))</f>
        <v/>
      </c>
      <c r="F464" s="82">
        <f>IF(A464="","",SUMIF('22 2026 PAKETLEME'!$B$2:$B$501,A464,'22 2026 PAKETLEME'!$G$2:$G$501))</f>
        <v/>
      </c>
      <c r="G464" s="81">
        <f>IF(A464="","",SUMIF('22 2026 PAKETLEME'!$B$2:$B$501,A464,'22 2026 PAKETLEME'!$H$2:$H$501))</f>
        <v/>
      </c>
      <c r="H464" s="81">
        <f>IF(A464="","",D464-E464-F464-G464)</f>
        <v/>
      </c>
      <c r="I464" s="82">
        <f>IF(A464="","",SUMIF('23 2026 SEVKİYAT'!$E$2:$E$501,A464,'23 2026 SEVKİYAT'!$H$2:$H$501))</f>
        <v/>
      </c>
      <c r="J464" s="81">
        <f>IF(A464="","",E464+F464-I464)</f>
        <v/>
      </c>
      <c r="K464" s="81">
        <f>IF(A464="","",D464-E464-F464-G464-H464)</f>
        <v/>
      </c>
      <c r="L464" s="58">
        <f>IF(A464="","",IF(ABS(K464)&lt;0.001,"KAPALI","KONTROL"))</f>
        <v/>
      </c>
      <c r="M464" s="56">
        <f>IF(A464="","",IF(J464&lt;0,"SEVK PAKETLEMEYİ AŞIYOR",IF(H464&lt;&gt;0,"PAKETLEME BAKİYESİ VAR","DENKLİK KAPALI")))</f>
        <v/>
      </c>
    </row>
    <row r="465" ht="15" customHeight="1">
      <c r="A465" s="60">
        <f>'21 2026 ÜRETİM'!A465</f>
        <v/>
      </c>
      <c r="B465" s="81">
        <f>IF(A465="","",'21 2026 ÜRETİM'!D465)</f>
        <v/>
      </c>
      <c r="C465" s="81">
        <f>IF(A465="","",'21 2026 ÜRETİM'!E465)</f>
        <v/>
      </c>
      <c r="D465" s="82">
        <f>IF(A465="","",'21 2026 ÜRETİM'!F465)</f>
        <v/>
      </c>
      <c r="E465" s="81">
        <f>IF(A465="","",SUMIF('22 2026 PAKETLEME'!$B$2:$B$501,A465,'22 2026 PAKETLEME'!$E$2:$E$501))</f>
        <v/>
      </c>
      <c r="F465" s="82">
        <f>IF(A465="","",SUMIF('22 2026 PAKETLEME'!$B$2:$B$501,A465,'22 2026 PAKETLEME'!$G$2:$G$501))</f>
        <v/>
      </c>
      <c r="G465" s="81">
        <f>IF(A465="","",SUMIF('22 2026 PAKETLEME'!$B$2:$B$501,A465,'22 2026 PAKETLEME'!$H$2:$H$501))</f>
        <v/>
      </c>
      <c r="H465" s="81">
        <f>IF(A465="","",D465-E465-F465-G465)</f>
        <v/>
      </c>
      <c r="I465" s="82">
        <f>IF(A465="","",SUMIF('23 2026 SEVKİYAT'!$E$2:$E$501,A465,'23 2026 SEVKİYAT'!$H$2:$H$501))</f>
        <v/>
      </c>
      <c r="J465" s="81">
        <f>IF(A465="","",E465+F465-I465)</f>
        <v/>
      </c>
      <c r="K465" s="81">
        <f>IF(A465="","",D465-E465-F465-G465-H465)</f>
        <v/>
      </c>
      <c r="L465" s="58">
        <f>IF(A465="","",IF(ABS(K465)&lt;0.001,"KAPALI","KONTROL"))</f>
        <v/>
      </c>
      <c r="M465" s="56">
        <f>IF(A465="","",IF(J465&lt;0,"SEVK PAKETLEMEYİ AŞIYOR",IF(H465&lt;&gt;0,"PAKETLEME BAKİYESİ VAR","DENKLİK KAPALI")))</f>
        <v/>
      </c>
    </row>
    <row r="466" ht="15" customHeight="1">
      <c r="A466" s="60">
        <f>'21 2026 ÜRETİM'!A466</f>
        <v/>
      </c>
      <c r="B466" s="81">
        <f>IF(A466="","",'21 2026 ÜRETİM'!D466)</f>
        <v/>
      </c>
      <c r="C466" s="81">
        <f>IF(A466="","",'21 2026 ÜRETİM'!E466)</f>
        <v/>
      </c>
      <c r="D466" s="82">
        <f>IF(A466="","",'21 2026 ÜRETİM'!F466)</f>
        <v/>
      </c>
      <c r="E466" s="81">
        <f>IF(A466="","",SUMIF('22 2026 PAKETLEME'!$B$2:$B$501,A466,'22 2026 PAKETLEME'!$E$2:$E$501))</f>
        <v/>
      </c>
      <c r="F466" s="82">
        <f>IF(A466="","",SUMIF('22 2026 PAKETLEME'!$B$2:$B$501,A466,'22 2026 PAKETLEME'!$G$2:$G$501))</f>
        <v/>
      </c>
      <c r="G466" s="81">
        <f>IF(A466="","",SUMIF('22 2026 PAKETLEME'!$B$2:$B$501,A466,'22 2026 PAKETLEME'!$H$2:$H$501))</f>
        <v/>
      </c>
      <c r="H466" s="81">
        <f>IF(A466="","",D466-E466-F466-G466)</f>
        <v/>
      </c>
      <c r="I466" s="82">
        <f>IF(A466="","",SUMIF('23 2026 SEVKİYAT'!$E$2:$E$501,A466,'23 2026 SEVKİYAT'!$H$2:$H$501))</f>
        <v/>
      </c>
      <c r="J466" s="81">
        <f>IF(A466="","",E466+F466-I466)</f>
        <v/>
      </c>
      <c r="K466" s="81">
        <f>IF(A466="","",D466-E466-F466-G466-H466)</f>
        <v/>
      </c>
      <c r="L466" s="58">
        <f>IF(A466="","",IF(ABS(K466)&lt;0.001,"KAPALI","KONTROL"))</f>
        <v/>
      </c>
      <c r="M466" s="56">
        <f>IF(A466="","",IF(J466&lt;0,"SEVK PAKETLEMEYİ AŞIYOR",IF(H466&lt;&gt;0,"PAKETLEME BAKİYESİ VAR","DENKLİK KAPALI")))</f>
        <v/>
      </c>
    </row>
    <row r="467" ht="15" customHeight="1">
      <c r="A467" s="60">
        <f>'21 2026 ÜRETİM'!A467</f>
        <v/>
      </c>
      <c r="B467" s="81">
        <f>IF(A467="","",'21 2026 ÜRETİM'!D467)</f>
        <v/>
      </c>
      <c r="C467" s="81">
        <f>IF(A467="","",'21 2026 ÜRETİM'!E467)</f>
        <v/>
      </c>
      <c r="D467" s="82">
        <f>IF(A467="","",'21 2026 ÜRETİM'!F467)</f>
        <v/>
      </c>
      <c r="E467" s="81">
        <f>IF(A467="","",SUMIF('22 2026 PAKETLEME'!$B$2:$B$501,A467,'22 2026 PAKETLEME'!$E$2:$E$501))</f>
        <v/>
      </c>
      <c r="F467" s="82">
        <f>IF(A467="","",SUMIF('22 2026 PAKETLEME'!$B$2:$B$501,A467,'22 2026 PAKETLEME'!$G$2:$G$501))</f>
        <v/>
      </c>
      <c r="G467" s="81">
        <f>IF(A467="","",SUMIF('22 2026 PAKETLEME'!$B$2:$B$501,A467,'22 2026 PAKETLEME'!$H$2:$H$501))</f>
        <v/>
      </c>
      <c r="H467" s="81">
        <f>IF(A467="","",D467-E467-F467-G467)</f>
        <v/>
      </c>
      <c r="I467" s="82">
        <f>IF(A467="","",SUMIF('23 2026 SEVKİYAT'!$E$2:$E$501,A467,'23 2026 SEVKİYAT'!$H$2:$H$501))</f>
        <v/>
      </c>
      <c r="J467" s="81">
        <f>IF(A467="","",E467+F467-I467)</f>
        <v/>
      </c>
      <c r="K467" s="81">
        <f>IF(A467="","",D467-E467-F467-G467-H467)</f>
        <v/>
      </c>
      <c r="L467" s="58">
        <f>IF(A467="","",IF(ABS(K467)&lt;0.001,"KAPALI","KONTROL"))</f>
        <v/>
      </c>
      <c r="M467" s="56">
        <f>IF(A467="","",IF(J467&lt;0,"SEVK PAKETLEMEYİ AŞIYOR",IF(H467&lt;&gt;0,"PAKETLEME BAKİYESİ VAR","DENKLİK KAPALI")))</f>
        <v/>
      </c>
    </row>
    <row r="468" ht="15" customHeight="1">
      <c r="A468" s="60">
        <f>'21 2026 ÜRETİM'!A468</f>
        <v/>
      </c>
      <c r="B468" s="81">
        <f>IF(A468="","",'21 2026 ÜRETİM'!D468)</f>
        <v/>
      </c>
      <c r="C468" s="81">
        <f>IF(A468="","",'21 2026 ÜRETİM'!E468)</f>
        <v/>
      </c>
      <c r="D468" s="82">
        <f>IF(A468="","",'21 2026 ÜRETİM'!F468)</f>
        <v/>
      </c>
      <c r="E468" s="81">
        <f>IF(A468="","",SUMIF('22 2026 PAKETLEME'!$B$2:$B$501,A468,'22 2026 PAKETLEME'!$E$2:$E$501))</f>
        <v/>
      </c>
      <c r="F468" s="82">
        <f>IF(A468="","",SUMIF('22 2026 PAKETLEME'!$B$2:$B$501,A468,'22 2026 PAKETLEME'!$G$2:$G$501))</f>
        <v/>
      </c>
      <c r="G468" s="81">
        <f>IF(A468="","",SUMIF('22 2026 PAKETLEME'!$B$2:$B$501,A468,'22 2026 PAKETLEME'!$H$2:$H$501))</f>
        <v/>
      </c>
      <c r="H468" s="81">
        <f>IF(A468="","",D468-E468-F468-G468)</f>
        <v/>
      </c>
      <c r="I468" s="82">
        <f>IF(A468="","",SUMIF('23 2026 SEVKİYAT'!$E$2:$E$501,A468,'23 2026 SEVKİYAT'!$H$2:$H$501))</f>
        <v/>
      </c>
      <c r="J468" s="81">
        <f>IF(A468="","",E468+F468-I468)</f>
        <v/>
      </c>
      <c r="K468" s="81">
        <f>IF(A468="","",D468-E468-F468-G468-H468)</f>
        <v/>
      </c>
      <c r="L468" s="58">
        <f>IF(A468="","",IF(ABS(K468)&lt;0.001,"KAPALI","KONTROL"))</f>
        <v/>
      </c>
      <c r="M468" s="56">
        <f>IF(A468="","",IF(J468&lt;0,"SEVK PAKETLEMEYİ AŞIYOR",IF(H468&lt;&gt;0,"PAKETLEME BAKİYESİ VAR","DENKLİK KAPALI")))</f>
        <v/>
      </c>
    </row>
    <row r="469" ht="15" customHeight="1">
      <c r="A469" s="60">
        <f>'21 2026 ÜRETİM'!A469</f>
        <v/>
      </c>
      <c r="B469" s="81">
        <f>IF(A469="","",'21 2026 ÜRETİM'!D469)</f>
        <v/>
      </c>
      <c r="C469" s="81">
        <f>IF(A469="","",'21 2026 ÜRETİM'!E469)</f>
        <v/>
      </c>
      <c r="D469" s="82">
        <f>IF(A469="","",'21 2026 ÜRETİM'!F469)</f>
        <v/>
      </c>
      <c r="E469" s="81">
        <f>IF(A469="","",SUMIF('22 2026 PAKETLEME'!$B$2:$B$501,A469,'22 2026 PAKETLEME'!$E$2:$E$501))</f>
        <v/>
      </c>
      <c r="F469" s="82">
        <f>IF(A469="","",SUMIF('22 2026 PAKETLEME'!$B$2:$B$501,A469,'22 2026 PAKETLEME'!$G$2:$G$501))</f>
        <v/>
      </c>
      <c r="G469" s="81">
        <f>IF(A469="","",SUMIF('22 2026 PAKETLEME'!$B$2:$B$501,A469,'22 2026 PAKETLEME'!$H$2:$H$501))</f>
        <v/>
      </c>
      <c r="H469" s="81">
        <f>IF(A469="","",D469-E469-F469-G469)</f>
        <v/>
      </c>
      <c r="I469" s="82">
        <f>IF(A469="","",SUMIF('23 2026 SEVKİYAT'!$E$2:$E$501,A469,'23 2026 SEVKİYAT'!$H$2:$H$501))</f>
        <v/>
      </c>
      <c r="J469" s="81">
        <f>IF(A469="","",E469+F469-I469)</f>
        <v/>
      </c>
      <c r="K469" s="81">
        <f>IF(A469="","",D469-E469-F469-G469-H469)</f>
        <v/>
      </c>
      <c r="L469" s="58">
        <f>IF(A469="","",IF(ABS(K469)&lt;0.001,"KAPALI","KONTROL"))</f>
        <v/>
      </c>
      <c r="M469" s="56">
        <f>IF(A469="","",IF(J469&lt;0,"SEVK PAKETLEMEYİ AŞIYOR",IF(H469&lt;&gt;0,"PAKETLEME BAKİYESİ VAR","DENKLİK KAPALI")))</f>
        <v/>
      </c>
    </row>
    <row r="470" ht="15" customHeight="1">
      <c r="A470" s="60">
        <f>'21 2026 ÜRETİM'!A470</f>
        <v/>
      </c>
      <c r="B470" s="81">
        <f>IF(A470="","",'21 2026 ÜRETİM'!D470)</f>
        <v/>
      </c>
      <c r="C470" s="81">
        <f>IF(A470="","",'21 2026 ÜRETİM'!E470)</f>
        <v/>
      </c>
      <c r="D470" s="82">
        <f>IF(A470="","",'21 2026 ÜRETİM'!F470)</f>
        <v/>
      </c>
      <c r="E470" s="81">
        <f>IF(A470="","",SUMIF('22 2026 PAKETLEME'!$B$2:$B$501,A470,'22 2026 PAKETLEME'!$E$2:$E$501))</f>
        <v/>
      </c>
      <c r="F470" s="82">
        <f>IF(A470="","",SUMIF('22 2026 PAKETLEME'!$B$2:$B$501,A470,'22 2026 PAKETLEME'!$G$2:$G$501))</f>
        <v/>
      </c>
      <c r="G470" s="81">
        <f>IF(A470="","",SUMIF('22 2026 PAKETLEME'!$B$2:$B$501,A470,'22 2026 PAKETLEME'!$H$2:$H$501))</f>
        <v/>
      </c>
      <c r="H470" s="81">
        <f>IF(A470="","",D470-E470-F470-G470)</f>
        <v/>
      </c>
      <c r="I470" s="82">
        <f>IF(A470="","",SUMIF('23 2026 SEVKİYAT'!$E$2:$E$501,A470,'23 2026 SEVKİYAT'!$H$2:$H$501))</f>
        <v/>
      </c>
      <c r="J470" s="81">
        <f>IF(A470="","",E470+F470-I470)</f>
        <v/>
      </c>
      <c r="K470" s="81">
        <f>IF(A470="","",D470-E470-F470-G470-H470)</f>
        <v/>
      </c>
      <c r="L470" s="58">
        <f>IF(A470="","",IF(ABS(K470)&lt;0.001,"KAPALI","KONTROL"))</f>
        <v/>
      </c>
      <c r="M470" s="56">
        <f>IF(A470="","",IF(J470&lt;0,"SEVK PAKETLEMEYİ AŞIYOR",IF(H470&lt;&gt;0,"PAKETLEME BAKİYESİ VAR","DENKLİK KAPALI")))</f>
        <v/>
      </c>
    </row>
    <row r="471" ht="15" customHeight="1">
      <c r="A471" s="60">
        <f>'21 2026 ÜRETİM'!A471</f>
        <v/>
      </c>
      <c r="B471" s="81">
        <f>IF(A471="","",'21 2026 ÜRETİM'!D471)</f>
        <v/>
      </c>
      <c r="C471" s="81">
        <f>IF(A471="","",'21 2026 ÜRETİM'!E471)</f>
        <v/>
      </c>
      <c r="D471" s="82">
        <f>IF(A471="","",'21 2026 ÜRETİM'!F471)</f>
        <v/>
      </c>
      <c r="E471" s="81">
        <f>IF(A471="","",SUMIF('22 2026 PAKETLEME'!$B$2:$B$501,A471,'22 2026 PAKETLEME'!$E$2:$E$501))</f>
        <v/>
      </c>
      <c r="F471" s="82">
        <f>IF(A471="","",SUMIF('22 2026 PAKETLEME'!$B$2:$B$501,A471,'22 2026 PAKETLEME'!$G$2:$G$501))</f>
        <v/>
      </c>
      <c r="G471" s="81">
        <f>IF(A471="","",SUMIF('22 2026 PAKETLEME'!$B$2:$B$501,A471,'22 2026 PAKETLEME'!$H$2:$H$501))</f>
        <v/>
      </c>
      <c r="H471" s="81">
        <f>IF(A471="","",D471-E471-F471-G471)</f>
        <v/>
      </c>
      <c r="I471" s="82">
        <f>IF(A471="","",SUMIF('23 2026 SEVKİYAT'!$E$2:$E$501,A471,'23 2026 SEVKİYAT'!$H$2:$H$501))</f>
        <v/>
      </c>
      <c r="J471" s="81">
        <f>IF(A471="","",E471+F471-I471)</f>
        <v/>
      </c>
      <c r="K471" s="81">
        <f>IF(A471="","",D471-E471-F471-G471-H471)</f>
        <v/>
      </c>
      <c r="L471" s="58">
        <f>IF(A471="","",IF(ABS(K471)&lt;0.001,"KAPALI","KONTROL"))</f>
        <v/>
      </c>
      <c r="M471" s="56">
        <f>IF(A471="","",IF(J471&lt;0,"SEVK PAKETLEMEYİ AŞIYOR",IF(H471&lt;&gt;0,"PAKETLEME BAKİYESİ VAR","DENKLİK KAPALI")))</f>
        <v/>
      </c>
    </row>
    <row r="472" ht="15" customHeight="1">
      <c r="A472" s="60">
        <f>'21 2026 ÜRETİM'!A472</f>
        <v/>
      </c>
      <c r="B472" s="81">
        <f>IF(A472="","",'21 2026 ÜRETİM'!D472)</f>
        <v/>
      </c>
      <c r="C472" s="81">
        <f>IF(A472="","",'21 2026 ÜRETİM'!E472)</f>
        <v/>
      </c>
      <c r="D472" s="82">
        <f>IF(A472="","",'21 2026 ÜRETİM'!F472)</f>
        <v/>
      </c>
      <c r="E472" s="81">
        <f>IF(A472="","",SUMIF('22 2026 PAKETLEME'!$B$2:$B$501,A472,'22 2026 PAKETLEME'!$E$2:$E$501))</f>
        <v/>
      </c>
      <c r="F472" s="82">
        <f>IF(A472="","",SUMIF('22 2026 PAKETLEME'!$B$2:$B$501,A472,'22 2026 PAKETLEME'!$G$2:$G$501))</f>
        <v/>
      </c>
      <c r="G472" s="81">
        <f>IF(A472="","",SUMIF('22 2026 PAKETLEME'!$B$2:$B$501,A472,'22 2026 PAKETLEME'!$H$2:$H$501))</f>
        <v/>
      </c>
      <c r="H472" s="81">
        <f>IF(A472="","",D472-E472-F472-G472)</f>
        <v/>
      </c>
      <c r="I472" s="82">
        <f>IF(A472="","",SUMIF('23 2026 SEVKİYAT'!$E$2:$E$501,A472,'23 2026 SEVKİYAT'!$H$2:$H$501))</f>
        <v/>
      </c>
      <c r="J472" s="81">
        <f>IF(A472="","",E472+F472-I472)</f>
        <v/>
      </c>
      <c r="K472" s="81">
        <f>IF(A472="","",D472-E472-F472-G472-H472)</f>
        <v/>
      </c>
      <c r="L472" s="58">
        <f>IF(A472="","",IF(ABS(K472)&lt;0.001,"KAPALI","KONTROL"))</f>
        <v/>
      </c>
      <c r="M472" s="56">
        <f>IF(A472="","",IF(J472&lt;0,"SEVK PAKETLEMEYİ AŞIYOR",IF(H472&lt;&gt;0,"PAKETLEME BAKİYESİ VAR","DENKLİK KAPALI")))</f>
        <v/>
      </c>
    </row>
    <row r="473" ht="15" customHeight="1">
      <c r="A473" s="60">
        <f>'21 2026 ÜRETİM'!A473</f>
        <v/>
      </c>
      <c r="B473" s="81">
        <f>IF(A473="","",'21 2026 ÜRETİM'!D473)</f>
        <v/>
      </c>
      <c r="C473" s="81">
        <f>IF(A473="","",'21 2026 ÜRETİM'!E473)</f>
        <v/>
      </c>
      <c r="D473" s="82">
        <f>IF(A473="","",'21 2026 ÜRETİM'!F473)</f>
        <v/>
      </c>
      <c r="E473" s="81">
        <f>IF(A473="","",SUMIF('22 2026 PAKETLEME'!$B$2:$B$501,A473,'22 2026 PAKETLEME'!$E$2:$E$501))</f>
        <v/>
      </c>
      <c r="F473" s="82">
        <f>IF(A473="","",SUMIF('22 2026 PAKETLEME'!$B$2:$B$501,A473,'22 2026 PAKETLEME'!$G$2:$G$501))</f>
        <v/>
      </c>
      <c r="G473" s="81">
        <f>IF(A473="","",SUMIF('22 2026 PAKETLEME'!$B$2:$B$501,A473,'22 2026 PAKETLEME'!$H$2:$H$501))</f>
        <v/>
      </c>
      <c r="H473" s="81">
        <f>IF(A473="","",D473-E473-F473-G473)</f>
        <v/>
      </c>
      <c r="I473" s="82">
        <f>IF(A473="","",SUMIF('23 2026 SEVKİYAT'!$E$2:$E$501,A473,'23 2026 SEVKİYAT'!$H$2:$H$501))</f>
        <v/>
      </c>
      <c r="J473" s="81">
        <f>IF(A473="","",E473+F473-I473)</f>
        <v/>
      </c>
      <c r="K473" s="81">
        <f>IF(A473="","",D473-E473-F473-G473-H473)</f>
        <v/>
      </c>
      <c r="L473" s="58">
        <f>IF(A473="","",IF(ABS(K473)&lt;0.001,"KAPALI","KONTROL"))</f>
        <v/>
      </c>
      <c r="M473" s="56">
        <f>IF(A473="","",IF(J473&lt;0,"SEVK PAKETLEMEYİ AŞIYOR",IF(H473&lt;&gt;0,"PAKETLEME BAKİYESİ VAR","DENKLİK KAPALI")))</f>
        <v/>
      </c>
    </row>
    <row r="474" ht="15" customHeight="1">
      <c r="A474" s="60">
        <f>'21 2026 ÜRETİM'!A474</f>
        <v/>
      </c>
      <c r="B474" s="81">
        <f>IF(A474="","",'21 2026 ÜRETİM'!D474)</f>
        <v/>
      </c>
      <c r="C474" s="81">
        <f>IF(A474="","",'21 2026 ÜRETİM'!E474)</f>
        <v/>
      </c>
      <c r="D474" s="82">
        <f>IF(A474="","",'21 2026 ÜRETİM'!F474)</f>
        <v/>
      </c>
      <c r="E474" s="81">
        <f>IF(A474="","",SUMIF('22 2026 PAKETLEME'!$B$2:$B$501,A474,'22 2026 PAKETLEME'!$E$2:$E$501))</f>
        <v/>
      </c>
      <c r="F474" s="82">
        <f>IF(A474="","",SUMIF('22 2026 PAKETLEME'!$B$2:$B$501,A474,'22 2026 PAKETLEME'!$G$2:$G$501))</f>
        <v/>
      </c>
      <c r="G474" s="81">
        <f>IF(A474="","",SUMIF('22 2026 PAKETLEME'!$B$2:$B$501,A474,'22 2026 PAKETLEME'!$H$2:$H$501))</f>
        <v/>
      </c>
      <c r="H474" s="81">
        <f>IF(A474="","",D474-E474-F474-G474)</f>
        <v/>
      </c>
      <c r="I474" s="82">
        <f>IF(A474="","",SUMIF('23 2026 SEVKİYAT'!$E$2:$E$501,A474,'23 2026 SEVKİYAT'!$H$2:$H$501))</f>
        <v/>
      </c>
      <c r="J474" s="81">
        <f>IF(A474="","",E474+F474-I474)</f>
        <v/>
      </c>
      <c r="K474" s="81">
        <f>IF(A474="","",D474-E474-F474-G474-H474)</f>
        <v/>
      </c>
      <c r="L474" s="58">
        <f>IF(A474="","",IF(ABS(K474)&lt;0.001,"KAPALI","KONTROL"))</f>
        <v/>
      </c>
      <c r="M474" s="56">
        <f>IF(A474="","",IF(J474&lt;0,"SEVK PAKETLEMEYİ AŞIYOR",IF(H474&lt;&gt;0,"PAKETLEME BAKİYESİ VAR","DENKLİK KAPALI")))</f>
        <v/>
      </c>
    </row>
    <row r="475" ht="15" customHeight="1">
      <c r="A475" s="60">
        <f>'21 2026 ÜRETİM'!A475</f>
        <v/>
      </c>
      <c r="B475" s="81">
        <f>IF(A475="","",'21 2026 ÜRETİM'!D475)</f>
        <v/>
      </c>
      <c r="C475" s="81">
        <f>IF(A475="","",'21 2026 ÜRETİM'!E475)</f>
        <v/>
      </c>
      <c r="D475" s="82">
        <f>IF(A475="","",'21 2026 ÜRETİM'!F475)</f>
        <v/>
      </c>
      <c r="E475" s="81">
        <f>IF(A475="","",SUMIF('22 2026 PAKETLEME'!$B$2:$B$501,A475,'22 2026 PAKETLEME'!$E$2:$E$501))</f>
        <v/>
      </c>
      <c r="F475" s="82">
        <f>IF(A475="","",SUMIF('22 2026 PAKETLEME'!$B$2:$B$501,A475,'22 2026 PAKETLEME'!$G$2:$G$501))</f>
        <v/>
      </c>
      <c r="G475" s="81">
        <f>IF(A475="","",SUMIF('22 2026 PAKETLEME'!$B$2:$B$501,A475,'22 2026 PAKETLEME'!$H$2:$H$501))</f>
        <v/>
      </c>
      <c r="H475" s="81">
        <f>IF(A475="","",D475-E475-F475-G475)</f>
        <v/>
      </c>
      <c r="I475" s="82">
        <f>IF(A475="","",SUMIF('23 2026 SEVKİYAT'!$E$2:$E$501,A475,'23 2026 SEVKİYAT'!$H$2:$H$501))</f>
        <v/>
      </c>
      <c r="J475" s="81">
        <f>IF(A475="","",E475+F475-I475)</f>
        <v/>
      </c>
      <c r="K475" s="81">
        <f>IF(A475="","",D475-E475-F475-G475-H475)</f>
        <v/>
      </c>
      <c r="L475" s="58">
        <f>IF(A475="","",IF(ABS(K475)&lt;0.001,"KAPALI","KONTROL"))</f>
        <v/>
      </c>
      <c r="M475" s="56">
        <f>IF(A475="","",IF(J475&lt;0,"SEVK PAKETLEMEYİ AŞIYOR",IF(H475&lt;&gt;0,"PAKETLEME BAKİYESİ VAR","DENKLİK KAPALI")))</f>
        <v/>
      </c>
    </row>
    <row r="476" ht="15" customHeight="1">
      <c r="A476" s="60">
        <f>'21 2026 ÜRETİM'!A476</f>
        <v/>
      </c>
      <c r="B476" s="81">
        <f>IF(A476="","",'21 2026 ÜRETİM'!D476)</f>
        <v/>
      </c>
      <c r="C476" s="81">
        <f>IF(A476="","",'21 2026 ÜRETİM'!E476)</f>
        <v/>
      </c>
      <c r="D476" s="82">
        <f>IF(A476="","",'21 2026 ÜRETİM'!F476)</f>
        <v/>
      </c>
      <c r="E476" s="81">
        <f>IF(A476="","",SUMIF('22 2026 PAKETLEME'!$B$2:$B$501,A476,'22 2026 PAKETLEME'!$E$2:$E$501))</f>
        <v/>
      </c>
      <c r="F476" s="82">
        <f>IF(A476="","",SUMIF('22 2026 PAKETLEME'!$B$2:$B$501,A476,'22 2026 PAKETLEME'!$G$2:$G$501))</f>
        <v/>
      </c>
      <c r="G476" s="81">
        <f>IF(A476="","",SUMIF('22 2026 PAKETLEME'!$B$2:$B$501,A476,'22 2026 PAKETLEME'!$H$2:$H$501))</f>
        <v/>
      </c>
      <c r="H476" s="81">
        <f>IF(A476="","",D476-E476-F476-G476)</f>
        <v/>
      </c>
      <c r="I476" s="82">
        <f>IF(A476="","",SUMIF('23 2026 SEVKİYAT'!$E$2:$E$501,A476,'23 2026 SEVKİYAT'!$H$2:$H$501))</f>
        <v/>
      </c>
      <c r="J476" s="81">
        <f>IF(A476="","",E476+F476-I476)</f>
        <v/>
      </c>
      <c r="K476" s="81">
        <f>IF(A476="","",D476-E476-F476-G476-H476)</f>
        <v/>
      </c>
      <c r="L476" s="58">
        <f>IF(A476="","",IF(ABS(K476)&lt;0.001,"KAPALI","KONTROL"))</f>
        <v/>
      </c>
      <c r="M476" s="56">
        <f>IF(A476="","",IF(J476&lt;0,"SEVK PAKETLEMEYİ AŞIYOR",IF(H476&lt;&gt;0,"PAKETLEME BAKİYESİ VAR","DENKLİK KAPALI")))</f>
        <v/>
      </c>
    </row>
    <row r="477" ht="15" customHeight="1">
      <c r="A477" s="60">
        <f>'21 2026 ÜRETİM'!A477</f>
        <v/>
      </c>
      <c r="B477" s="81">
        <f>IF(A477="","",'21 2026 ÜRETİM'!D477)</f>
        <v/>
      </c>
      <c r="C477" s="81">
        <f>IF(A477="","",'21 2026 ÜRETİM'!E477)</f>
        <v/>
      </c>
      <c r="D477" s="82">
        <f>IF(A477="","",'21 2026 ÜRETİM'!F477)</f>
        <v/>
      </c>
      <c r="E477" s="81">
        <f>IF(A477="","",SUMIF('22 2026 PAKETLEME'!$B$2:$B$501,A477,'22 2026 PAKETLEME'!$E$2:$E$501))</f>
        <v/>
      </c>
      <c r="F477" s="82">
        <f>IF(A477="","",SUMIF('22 2026 PAKETLEME'!$B$2:$B$501,A477,'22 2026 PAKETLEME'!$G$2:$G$501))</f>
        <v/>
      </c>
      <c r="G477" s="81">
        <f>IF(A477="","",SUMIF('22 2026 PAKETLEME'!$B$2:$B$501,A477,'22 2026 PAKETLEME'!$H$2:$H$501))</f>
        <v/>
      </c>
      <c r="H477" s="81">
        <f>IF(A477="","",D477-E477-F477-G477)</f>
        <v/>
      </c>
      <c r="I477" s="82">
        <f>IF(A477="","",SUMIF('23 2026 SEVKİYAT'!$E$2:$E$501,A477,'23 2026 SEVKİYAT'!$H$2:$H$501))</f>
        <v/>
      </c>
      <c r="J477" s="81">
        <f>IF(A477="","",E477+F477-I477)</f>
        <v/>
      </c>
      <c r="K477" s="81">
        <f>IF(A477="","",D477-E477-F477-G477-H477)</f>
        <v/>
      </c>
      <c r="L477" s="58">
        <f>IF(A477="","",IF(ABS(K477)&lt;0.001,"KAPALI","KONTROL"))</f>
        <v/>
      </c>
      <c r="M477" s="56">
        <f>IF(A477="","",IF(J477&lt;0,"SEVK PAKETLEMEYİ AŞIYOR",IF(H477&lt;&gt;0,"PAKETLEME BAKİYESİ VAR","DENKLİK KAPALI")))</f>
        <v/>
      </c>
    </row>
    <row r="478" ht="15" customHeight="1">
      <c r="A478" s="60">
        <f>'21 2026 ÜRETİM'!A478</f>
        <v/>
      </c>
      <c r="B478" s="81">
        <f>IF(A478="","",'21 2026 ÜRETİM'!D478)</f>
        <v/>
      </c>
      <c r="C478" s="81">
        <f>IF(A478="","",'21 2026 ÜRETİM'!E478)</f>
        <v/>
      </c>
      <c r="D478" s="82">
        <f>IF(A478="","",'21 2026 ÜRETİM'!F478)</f>
        <v/>
      </c>
      <c r="E478" s="81">
        <f>IF(A478="","",SUMIF('22 2026 PAKETLEME'!$B$2:$B$501,A478,'22 2026 PAKETLEME'!$E$2:$E$501))</f>
        <v/>
      </c>
      <c r="F478" s="82">
        <f>IF(A478="","",SUMIF('22 2026 PAKETLEME'!$B$2:$B$501,A478,'22 2026 PAKETLEME'!$G$2:$G$501))</f>
        <v/>
      </c>
      <c r="G478" s="81">
        <f>IF(A478="","",SUMIF('22 2026 PAKETLEME'!$B$2:$B$501,A478,'22 2026 PAKETLEME'!$H$2:$H$501))</f>
        <v/>
      </c>
      <c r="H478" s="81">
        <f>IF(A478="","",D478-E478-F478-G478)</f>
        <v/>
      </c>
      <c r="I478" s="82">
        <f>IF(A478="","",SUMIF('23 2026 SEVKİYAT'!$E$2:$E$501,A478,'23 2026 SEVKİYAT'!$H$2:$H$501))</f>
        <v/>
      </c>
      <c r="J478" s="81">
        <f>IF(A478="","",E478+F478-I478)</f>
        <v/>
      </c>
      <c r="K478" s="81">
        <f>IF(A478="","",D478-E478-F478-G478-H478)</f>
        <v/>
      </c>
      <c r="L478" s="58">
        <f>IF(A478="","",IF(ABS(K478)&lt;0.001,"KAPALI","KONTROL"))</f>
        <v/>
      </c>
      <c r="M478" s="56">
        <f>IF(A478="","",IF(J478&lt;0,"SEVK PAKETLEMEYİ AŞIYOR",IF(H478&lt;&gt;0,"PAKETLEME BAKİYESİ VAR","DENKLİK KAPALI")))</f>
        <v/>
      </c>
    </row>
    <row r="479" ht="15" customHeight="1">
      <c r="A479" s="60">
        <f>'21 2026 ÜRETİM'!A479</f>
        <v/>
      </c>
      <c r="B479" s="81">
        <f>IF(A479="","",'21 2026 ÜRETİM'!D479)</f>
        <v/>
      </c>
      <c r="C479" s="81">
        <f>IF(A479="","",'21 2026 ÜRETİM'!E479)</f>
        <v/>
      </c>
      <c r="D479" s="82">
        <f>IF(A479="","",'21 2026 ÜRETİM'!F479)</f>
        <v/>
      </c>
      <c r="E479" s="81">
        <f>IF(A479="","",SUMIF('22 2026 PAKETLEME'!$B$2:$B$501,A479,'22 2026 PAKETLEME'!$E$2:$E$501))</f>
        <v/>
      </c>
      <c r="F479" s="82">
        <f>IF(A479="","",SUMIF('22 2026 PAKETLEME'!$B$2:$B$501,A479,'22 2026 PAKETLEME'!$G$2:$G$501))</f>
        <v/>
      </c>
      <c r="G479" s="81">
        <f>IF(A479="","",SUMIF('22 2026 PAKETLEME'!$B$2:$B$501,A479,'22 2026 PAKETLEME'!$H$2:$H$501))</f>
        <v/>
      </c>
      <c r="H479" s="81">
        <f>IF(A479="","",D479-E479-F479-G479)</f>
        <v/>
      </c>
      <c r="I479" s="82">
        <f>IF(A479="","",SUMIF('23 2026 SEVKİYAT'!$E$2:$E$501,A479,'23 2026 SEVKİYAT'!$H$2:$H$501))</f>
        <v/>
      </c>
      <c r="J479" s="81">
        <f>IF(A479="","",E479+F479-I479)</f>
        <v/>
      </c>
      <c r="K479" s="81">
        <f>IF(A479="","",D479-E479-F479-G479-H479)</f>
        <v/>
      </c>
      <c r="L479" s="58">
        <f>IF(A479="","",IF(ABS(K479)&lt;0.001,"KAPALI","KONTROL"))</f>
        <v/>
      </c>
      <c r="M479" s="56">
        <f>IF(A479="","",IF(J479&lt;0,"SEVK PAKETLEMEYİ AŞIYOR",IF(H479&lt;&gt;0,"PAKETLEME BAKİYESİ VAR","DENKLİK KAPALI")))</f>
        <v/>
      </c>
    </row>
    <row r="480" ht="15" customHeight="1">
      <c r="A480" s="60">
        <f>'21 2026 ÜRETİM'!A480</f>
        <v/>
      </c>
      <c r="B480" s="81">
        <f>IF(A480="","",'21 2026 ÜRETİM'!D480)</f>
        <v/>
      </c>
      <c r="C480" s="81">
        <f>IF(A480="","",'21 2026 ÜRETİM'!E480)</f>
        <v/>
      </c>
      <c r="D480" s="82">
        <f>IF(A480="","",'21 2026 ÜRETİM'!F480)</f>
        <v/>
      </c>
      <c r="E480" s="81">
        <f>IF(A480="","",SUMIF('22 2026 PAKETLEME'!$B$2:$B$501,A480,'22 2026 PAKETLEME'!$E$2:$E$501))</f>
        <v/>
      </c>
      <c r="F480" s="82">
        <f>IF(A480="","",SUMIF('22 2026 PAKETLEME'!$B$2:$B$501,A480,'22 2026 PAKETLEME'!$G$2:$G$501))</f>
        <v/>
      </c>
      <c r="G480" s="81">
        <f>IF(A480="","",SUMIF('22 2026 PAKETLEME'!$B$2:$B$501,A480,'22 2026 PAKETLEME'!$H$2:$H$501))</f>
        <v/>
      </c>
      <c r="H480" s="81">
        <f>IF(A480="","",D480-E480-F480-G480)</f>
        <v/>
      </c>
      <c r="I480" s="82">
        <f>IF(A480="","",SUMIF('23 2026 SEVKİYAT'!$E$2:$E$501,A480,'23 2026 SEVKİYAT'!$H$2:$H$501))</f>
        <v/>
      </c>
      <c r="J480" s="81">
        <f>IF(A480="","",E480+F480-I480)</f>
        <v/>
      </c>
      <c r="K480" s="81">
        <f>IF(A480="","",D480-E480-F480-G480-H480)</f>
        <v/>
      </c>
      <c r="L480" s="58">
        <f>IF(A480="","",IF(ABS(K480)&lt;0.001,"KAPALI","KONTROL"))</f>
        <v/>
      </c>
      <c r="M480" s="56">
        <f>IF(A480="","",IF(J480&lt;0,"SEVK PAKETLEMEYİ AŞIYOR",IF(H480&lt;&gt;0,"PAKETLEME BAKİYESİ VAR","DENKLİK KAPALI")))</f>
        <v/>
      </c>
    </row>
    <row r="481" ht="15" customHeight="1">
      <c r="A481" s="60">
        <f>'21 2026 ÜRETİM'!A481</f>
        <v/>
      </c>
      <c r="B481" s="81">
        <f>IF(A481="","",'21 2026 ÜRETİM'!D481)</f>
        <v/>
      </c>
      <c r="C481" s="81">
        <f>IF(A481="","",'21 2026 ÜRETİM'!E481)</f>
        <v/>
      </c>
      <c r="D481" s="82">
        <f>IF(A481="","",'21 2026 ÜRETİM'!F481)</f>
        <v/>
      </c>
      <c r="E481" s="81">
        <f>IF(A481="","",SUMIF('22 2026 PAKETLEME'!$B$2:$B$501,A481,'22 2026 PAKETLEME'!$E$2:$E$501))</f>
        <v/>
      </c>
      <c r="F481" s="82">
        <f>IF(A481="","",SUMIF('22 2026 PAKETLEME'!$B$2:$B$501,A481,'22 2026 PAKETLEME'!$G$2:$G$501))</f>
        <v/>
      </c>
      <c r="G481" s="81">
        <f>IF(A481="","",SUMIF('22 2026 PAKETLEME'!$B$2:$B$501,A481,'22 2026 PAKETLEME'!$H$2:$H$501))</f>
        <v/>
      </c>
      <c r="H481" s="81">
        <f>IF(A481="","",D481-E481-F481-G481)</f>
        <v/>
      </c>
      <c r="I481" s="82">
        <f>IF(A481="","",SUMIF('23 2026 SEVKİYAT'!$E$2:$E$501,A481,'23 2026 SEVKİYAT'!$H$2:$H$501))</f>
        <v/>
      </c>
      <c r="J481" s="81">
        <f>IF(A481="","",E481+F481-I481)</f>
        <v/>
      </c>
      <c r="K481" s="81">
        <f>IF(A481="","",D481-E481-F481-G481-H481)</f>
        <v/>
      </c>
      <c r="L481" s="58">
        <f>IF(A481="","",IF(ABS(K481)&lt;0.001,"KAPALI","KONTROL"))</f>
        <v/>
      </c>
      <c r="M481" s="56">
        <f>IF(A481="","",IF(J481&lt;0,"SEVK PAKETLEMEYİ AŞIYOR",IF(H481&lt;&gt;0,"PAKETLEME BAKİYESİ VAR","DENKLİK KAPALI")))</f>
        <v/>
      </c>
    </row>
    <row r="482" ht="15" customHeight="1">
      <c r="A482" s="60">
        <f>'21 2026 ÜRETİM'!A482</f>
        <v/>
      </c>
      <c r="B482" s="81">
        <f>IF(A482="","",'21 2026 ÜRETİM'!D482)</f>
        <v/>
      </c>
      <c r="C482" s="81">
        <f>IF(A482="","",'21 2026 ÜRETİM'!E482)</f>
        <v/>
      </c>
      <c r="D482" s="82">
        <f>IF(A482="","",'21 2026 ÜRETİM'!F482)</f>
        <v/>
      </c>
      <c r="E482" s="81">
        <f>IF(A482="","",SUMIF('22 2026 PAKETLEME'!$B$2:$B$501,A482,'22 2026 PAKETLEME'!$E$2:$E$501))</f>
        <v/>
      </c>
      <c r="F482" s="82">
        <f>IF(A482="","",SUMIF('22 2026 PAKETLEME'!$B$2:$B$501,A482,'22 2026 PAKETLEME'!$G$2:$G$501))</f>
        <v/>
      </c>
      <c r="G482" s="81">
        <f>IF(A482="","",SUMIF('22 2026 PAKETLEME'!$B$2:$B$501,A482,'22 2026 PAKETLEME'!$H$2:$H$501))</f>
        <v/>
      </c>
      <c r="H482" s="81">
        <f>IF(A482="","",D482-E482-F482-G482)</f>
        <v/>
      </c>
      <c r="I482" s="82">
        <f>IF(A482="","",SUMIF('23 2026 SEVKİYAT'!$E$2:$E$501,A482,'23 2026 SEVKİYAT'!$H$2:$H$501))</f>
        <v/>
      </c>
      <c r="J482" s="81">
        <f>IF(A482="","",E482+F482-I482)</f>
        <v/>
      </c>
      <c r="K482" s="81">
        <f>IF(A482="","",D482-E482-F482-G482-H482)</f>
        <v/>
      </c>
      <c r="L482" s="58">
        <f>IF(A482="","",IF(ABS(K482)&lt;0.001,"KAPALI","KONTROL"))</f>
        <v/>
      </c>
      <c r="M482" s="56">
        <f>IF(A482="","",IF(J482&lt;0,"SEVK PAKETLEMEYİ AŞIYOR",IF(H482&lt;&gt;0,"PAKETLEME BAKİYESİ VAR","DENKLİK KAPALI")))</f>
        <v/>
      </c>
    </row>
    <row r="483" ht="15" customHeight="1">
      <c r="A483" s="60">
        <f>'21 2026 ÜRETİM'!A483</f>
        <v/>
      </c>
      <c r="B483" s="81">
        <f>IF(A483="","",'21 2026 ÜRETİM'!D483)</f>
        <v/>
      </c>
      <c r="C483" s="81">
        <f>IF(A483="","",'21 2026 ÜRETİM'!E483)</f>
        <v/>
      </c>
      <c r="D483" s="82">
        <f>IF(A483="","",'21 2026 ÜRETİM'!F483)</f>
        <v/>
      </c>
      <c r="E483" s="81">
        <f>IF(A483="","",SUMIF('22 2026 PAKETLEME'!$B$2:$B$501,A483,'22 2026 PAKETLEME'!$E$2:$E$501))</f>
        <v/>
      </c>
      <c r="F483" s="82">
        <f>IF(A483="","",SUMIF('22 2026 PAKETLEME'!$B$2:$B$501,A483,'22 2026 PAKETLEME'!$G$2:$G$501))</f>
        <v/>
      </c>
      <c r="G483" s="81">
        <f>IF(A483="","",SUMIF('22 2026 PAKETLEME'!$B$2:$B$501,A483,'22 2026 PAKETLEME'!$H$2:$H$501))</f>
        <v/>
      </c>
      <c r="H483" s="81">
        <f>IF(A483="","",D483-E483-F483-G483)</f>
        <v/>
      </c>
      <c r="I483" s="82">
        <f>IF(A483="","",SUMIF('23 2026 SEVKİYAT'!$E$2:$E$501,A483,'23 2026 SEVKİYAT'!$H$2:$H$501))</f>
        <v/>
      </c>
      <c r="J483" s="81">
        <f>IF(A483="","",E483+F483-I483)</f>
        <v/>
      </c>
      <c r="K483" s="81">
        <f>IF(A483="","",D483-E483-F483-G483-H483)</f>
        <v/>
      </c>
      <c r="L483" s="58">
        <f>IF(A483="","",IF(ABS(K483)&lt;0.001,"KAPALI","KONTROL"))</f>
        <v/>
      </c>
      <c r="M483" s="56">
        <f>IF(A483="","",IF(J483&lt;0,"SEVK PAKETLEMEYİ AŞIYOR",IF(H483&lt;&gt;0,"PAKETLEME BAKİYESİ VAR","DENKLİK KAPALI")))</f>
        <v/>
      </c>
    </row>
    <row r="484" ht="15" customHeight="1">
      <c r="A484" s="60">
        <f>'21 2026 ÜRETİM'!A484</f>
        <v/>
      </c>
      <c r="B484" s="81">
        <f>IF(A484="","",'21 2026 ÜRETİM'!D484)</f>
        <v/>
      </c>
      <c r="C484" s="81">
        <f>IF(A484="","",'21 2026 ÜRETİM'!E484)</f>
        <v/>
      </c>
      <c r="D484" s="82">
        <f>IF(A484="","",'21 2026 ÜRETİM'!F484)</f>
        <v/>
      </c>
      <c r="E484" s="81">
        <f>IF(A484="","",SUMIF('22 2026 PAKETLEME'!$B$2:$B$501,A484,'22 2026 PAKETLEME'!$E$2:$E$501))</f>
        <v/>
      </c>
      <c r="F484" s="82">
        <f>IF(A484="","",SUMIF('22 2026 PAKETLEME'!$B$2:$B$501,A484,'22 2026 PAKETLEME'!$G$2:$G$501))</f>
        <v/>
      </c>
      <c r="G484" s="81">
        <f>IF(A484="","",SUMIF('22 2026 PAKETLEME'!$B$2:$B$501,A484,'22 2026 PAKETLEME'!$H$2:$H$501))</f>
        <v/>
      </c>
      <c r="H484" s="81">
        <f>IF(A484="","",D484-E484-F484-G484)</f>
        <v/>
      </c>
      <c r="I484" s="82">
        <f>IF(A484="","",SUMIF('23 2026 SEVKİYAT'!$E$2:$E$501,A484,'23 2026 SEVKİYAT'!$H$2:$H$501))</f>
        <v/>
      </c>
      <c r="J484" s="81">
        <f>IF(A484="","",E484+F484-I484)</f>
        <v/>
      </c>
      <c r="K484" s="81">
        <f>IF(A484="","",D484-E484-F484-G484-H484)</f>
        <v/>
      </c>
      <c r="L484" s="58">
        <f>IF(A484="","",IF(ABS(K484)&lt;0.001,"KAPALI","KONTROL"))</f>
        <v/>
      </c>
      <c r="M484" s="56">
        <f>IF(A484="","",IF(J484&lt;0,"SEVK PAKETLEMEYİ AŞIYOR",IF(H484&lt;&gt;0,"PAKETLEME BAKİYESİ VAR","DENKLİK KAPALI")))</f>
        <v/>
      </c>
    </row>
    <row r="485" ht="15" customHeight="1">
      <c r="A485" s="60">
        <f>'21 2026 ÜRETİM'!A485</f>
        <v/>
      </c>
      <c r="B485" s="81">
        <f>IF(A485="","",'21 2026 ÜRETİM'!D485)</f>
        <v/>
      </c>
      <c r="C485" s="81">
        <f>IF(A485="","",'21 2026 ÜRETİM'!E485)</f>
        <v/>
      </c>
      <c r="D485" s="82">
        <f>IF(A485="","",'21 2026 ÜRETİM'!F485)</f>
        <v/>
      </c>
      <c r="E485" s="81">
        <f>IF(A485="","",SUMIF('22 2026 PAKETLEME'!$B$2:$B$501,A485,'22 2026 PAKETLEME'!$E$2:$E$501))</f>
        <v/>
      </c>
      <c r="F485" s="82">
        <f>IF(A485="","",SUMIF('22 2026 PAKETLEME'!$B$2:$B$501,A485,'22 2026 PAKETLEME'!$G$2:$G$501))</f>
        <v/>
      </c>
      <c r="G485" s="81">
        <f>IF(A485="","",SUMIF('22 2026 PAKETLEME'!$B$2:$B$501,A485,'22 2026 PAKETLEME'!$H$2:$H$501))</f>
        <v/>
      </c>
      <c r="H485" s="81">
        <f>IF(A485="","",D485-E485-F485-G485)</f>
        <v/>
      </c>
      <c r="I485" s="82">
        <f>IF(A485="","",SUMIF('23 2026 SEVKİYAT'!$E$2:$E$501,A485,'23 2026 SEVKİYAT'!$H$2:$H$501))</f>
        <v/>
      </c>
      <c r="J485" s="81">
        <f>IF(A485="","",E485+F485-I485)</f>
        <v/>
      </c>
      <c r="K485" s="81">
        <f>IF(A485="","",D485-E485-F485-G485-H485)</f>
        <v/>
      </c>
      <c r="L485" s="58">
        <f>IF(A485="","",IF(ABS(K485)&lt;0.001,"KAPALI","KONTROL"))</f>
        <v/>
      </c>
      <c r="M485" s="56">
        <f>IF(A485="","",IF(J485&lt;0,"SEVK PAKETLEMEYİ AŞIYOR",IF(H485&lt;&gt;0,"PAKETLEME BAKİYESİ VAR","DENKLİK KAPALI")))</f>
        <v/>
      </c>
    </row>
    <row r="486" ht="15" customHeight="1">
      <c r="A486" s="60">
        <f>'21 2026 ÜRETİM'!A486</f>
        <v/>
      </c>
      <c r="B486" s="81">
        <f>IF(A486="","",'21 2026 ÜRETİM'!D486)</f>
        <v/>
      </c>
      <c r="C486" s="81">
        <f>IF(A486="","",'21 2026 ÜRETİM'!E486)</f>
        <v/>
      </c>
      <c r="D486" s="82">
        <f>IF(A486="","",'21 2026 ÜRETİM'!F486)</f>
        <v/>
      </c>
      <c r="E486" s="81">
        <f>IF(A486="","",SUMIF('22 2026 PAKETLEME'!$B$2:$B$501,A486,'22 2026 PAKETLEME'!$E$2:$E$501))</f>
        <v/>
      </c>
      <c r="F486" s="82">
        <f>IF(A486="","",SUMIF('22 2026 PAKETLEME'!$B$2:$B$501,A486,'22 2026 PAKETLEME'!$G$2:$G$501))</f>
        <v/>
      </c>
      <c r="G486" s="81">
        <f>IF(A486="","",SUMIF('22 2026 PAKETLEME'!$B$2:$B$501,A486,'22 2026 PAKETLEME'!$H$2:$H$501))</f>
        <v/>
      </c>
      <c r="H486" s="81">
        <f>IF(A486="","",D486-E486-F486-G486)</f>
        <v/>
      </c>
      <c r="I486" s="82">
        <f>IF(A486="","",SUMIF('23 2026 SEVKİYAT'!$E$2:$E$501,A486,'23 2026 SEVKİYAT'!$H$2:$H$501))</f>
        <v/>
      </c>
      <c r="J486" s="81">
        <f>IF(A486="","",E486+F486-I486)</f>
        <v/>
      </c>
      <c r="K486" s="81">
        <f>IF(A486="","",D486-E486-F486-G486-H486)</f>
        <v/>
      </c>
      <c r="L486" s="58">
        <f>IF(A486="","",IF(ABS(K486)&lt;0.001,"KAPALI","KONTROL"))</f>
        <v/>
      </c>
      <c r="M486" s="56">
        <f>IF(A486="","",IF(J486&lt;0,"SEVK PAKETLEMEYİ AŞIYOR",IF(H486&lt;&gt;0,"PAKETLEME BAKİYESİ VAR","DENKLİK KAPALI")))</f>
        <v/>
      </c>
    </row>
    <row r="487" ht="15" customHeight="1">
      <c r="A487" s="60">
        <f>'21 2026 ÜRETİM'!A487</f>
        <v/>
      </c>
      <c r="B487" s="81">
        <f>IF(A487="","",'21 2026 ÜRETİM'!D487)</f>
        <v/>
      </c>
      <c r="C487" s="81">
        <f>IF(A487="","",'21 2026 ÜRETİM'!E487)</f>
        <v/>
      </c>
      <c r="D487" s="82">
        <f>IF(A487="","",'21 2026 ÜRETİM'!F487)</f>
        <v/>
      </c>
      <c r="E487" s="81">
        <f>IF(A487="","",SUMIF('22 2026 PAKETLEME'!$B$2:$B$501,A487,'22 2026 PAKETLEME'!$E$2:$E$501))</f>
        <v/>
      </c>
      <c r="F487" s="82">
        <f>IF(A487="","",SUMIF('22 2026 PAKETLEME'!$B$2:$B$501,A487,'22 2026 PAKETLEME'!$G$2:$G$501))</f>
        <v/>
      </c>
      <c r="G487" s="81">
        <f>IF(A487="","",SUMIF('22 2026 PAKETLEME'!$B$2:$B$501,A487,'22 2026 PAKETLEME'!$H$2:$H$501))</f>
        <v/>
      </c>
      <c r="H487" s="81">
        <f>IF(A487="","",D487-E487-F487-G487)</f>
        <v/>
      </c>
      <c r="I487" s="82">
        <f>IF(A487="","",SUMIF('23 2026 SEVKİYAT'!$E$2:$E$501,A487,'23 2026 SEVKİYAT'!$H$2:$H$501))</f>
        <v/>
      </c>
      <c r="J487" s="81">
        <f>IF(A487="","",E487+F487-I487)</f>
        <v/>
      </c>
      <c r="K487" s="81">
        <f>IF(A487="","",D487-E487-F487-G487-H487)</f>
        <v/>
      </c>
      <c r="L487" s="58">
        <f>IF(A487="","",IF(ABS(K487)&lt;0.001,"KAPALI","KONTROL"))</f>
        <v/>
      </c>
      <c r="M487" s="56">
        <f>IF(A487="","",IF(J487&lt;0,"SEVK PAKETLEMEYİ AŞIYOR",IF(H487&lt;&gt;0,"PAKETLEME BAKİYESİ VAR","DENKLİK KAPALI")))</f>
        <v/>
      </c>
    </row>
    <row r="488" ht="15" customHeight="1">
      <c r="A488" s="60">
        <f>'21 2026 ÜRETİM'!A488</f>
        <v/>
      </c>
      <c r="B488" s="81">
        <f>IF(A488="","",'21 2026 ÜRETİM'!D488)</f>
        <v/>
      </c>
      <c r="C488" s="81">
        <f>IF(A488="","",'21 2026 ÜRETİM'!E488)</f>
        <v/>
      </c>
      <c r="D488" s="82">
        <f>IF(A488="","",'21 2026 ÜRETİM'!F488)</f>
        <v/>
      </c>
      <c r="E488" s="81">
        <f>IF(A488="","",SUMIF('22 2026 PAKETLEME'!$B$2:$B$501,A488,'22 2026 PAKETLEME'!$E$2:$E$501))</f>
        <v/>
      </c>
      <c r="F488" s="82">
        <f>IF(A488="","",SUMIF('22 2026 PAKETLEME'!$B$2:$B$501,A488,'22 2026 PAKETLEME'!$G$2:$G$501))</f>
        <v/>
      </c>
      <c r="G488" s="81">
        <f>IF(A488="","",SUMIF('22 2026 PAKETLEME'!$B$2:$B$501,A488,'22 2026 PAKETLEME'!$H$2:$H$501))</f>
        <v/>
      </c>
      <c r="H488" s="81">
        <f>IF(A488="","",D488-E488-F488-G488)</f>
        <v/>
      </c>
      <c r="I488" s="82">
        <f>IF(A488="","",SUMIF('23 2026 SEVKİYAT'!$E$2:$E$501,A488,'23 2026 SEVKİYAT'!$H$2:$H$501))</f>
        <v/>
      </c>
      <c r="J488" s="81">
        <f>IF(A488="","",E488+F488-I488)</f>
        <v/>
      </c>
      <c r="K488" s="81">
        <f>IF(A488="","",D488-E488-F488-G488-H488)</f>
        <v/>
      </c>
      <c r="L488" s="58">
        <f>IF(A488="","",IF(ABS(K488)&lt;0.001,"KAPALI","KONTROL"))</f>
        <v/>
      </c>
      <c r="M488" s="56">
        <f>IF(A488="","",IF(J488&lt;0,"SEVK PAKETLEMEYİ AŞIYOR",IF(H488&lt;&gt;0,"PAKETLEME BAKİYESİ VAR","DENKLİK KAPALI")))</f>
        <v/>
      </c>
    </row>
    <row r="489" ht="15" customHeight="1">
      <c r="A489" s="60">
        <f>'21 2026 ÜRETİM'!A489</f>
        <v/>
      </c>
      <c r="B489" s="81">
        <f>IF(A489="","",'21 2026 ÜRETİM'!D489)</f>
        <v/>
      </c>
      <c r="C489" s="81">
        <f>IF(A489="","",'21 2026 ÜRETİM'!E489)</f>
        <v/>
      </c>
      <c r="D489" s="82">
        <f>IF(A489="","",'21 2026 ÜRETİM'!F489)</f>
        <v/>
      </c>
      <c r="E489" s="81">
        <f>IF(A489="","",SUMIF('22 2026 PAKETLEME'!$B$2:$B$501,A489,'22 2026 PAKETLEME'!$E$2:$E$501))</f>
        <v/>
      </c>
      <c r="F489" s="82">
        <f>IF(A489="","",SUMIF('22 2026 PAKETLEME'!$B$2:$B$501,A489,'22 2026 PAKETLEME'!$G$2:$G$501))</f>
        <v/>
      </c>
      <c r="G489" s="81">
        <f>IF(A489="","",SUMIF('22 2026 PAKETLEME'!$B$2:$B$501,A489,'22 2026 PAKETLEME'!$H$2:$H$501))</f>
        <v/>
      </c>
      <c r="H489" s="81">
        <f>IF(A489="","",D489-E489-F489-G489)</f>
        <v/>
      </c>
      <c r="I489" s="82">
        <f>IF(A489="","",SUMIF('23 2026 SEVKİYAT'!$E$2:$E$501,A489,'23 2026 SEVKİYAT'!$H$2:$H$501))</f>
        <v/>
      </c>
      <c r="J489" s="81">
        <f>IF(A489="","",E489+F489-I489)</f>
        <v/>
      </c>
      <c r="K489" s="81">
        <f>IF(A489="","",D489-E489-F489-G489-H489)</f>
        <v/>
      </c>
      <c r="L489" s="58">
        <f>IF(A489="","",IF(ABS(K489)&lt;0.001,"KAPALI","KONTROL"))</f>
        <v/>
      </c>
      <c r="M489" s="56">
        <f>IF(A489="","",IF(J489&lt;0,"SEVK PAKETLEMEYİ AŞIYOR",IF(H489&lt;&gt;0,"PAKETLEME BAKİYESİ VAR","DENKLİK KAPALI")))</f>
        <v/>
      </c>
    </row>
    <row r="490" ht="15" customHeight="1">
      <c r="A490" s="60">
        <f>'21 2026 ÜRETİM'!A490</f>
        <v/>
      </c>
      <c r="B490" s="81">
        <f>IF(A490="","",'21 2026 ÜRETİM'!D490)</f>
        <v/>
      </c>
      <c r="C490" s="81">
        <f>IF(A490="","",'21 2026 ÜRETİM'!E490)</f>
        <v/>
      </c>
      <c r="D490" s="82">
        <f>IF(A490="","",'21 2026 ÜRETİM'!F490)</f>
        <v/>
      </c>
      <c r="E490" s="81">
        <f>IF(A490="","",SUMIF('22 2026 PAKETLEME'!$B$2:$B$501,A490,'22 2026 PAKETLEME'!$E$2:$E$501))</f>
        <v/>
      </c>
      <c r="F490" s="82">
        <f>IF(A490="","",SUMIF('22 2026 PAKETLEME'!$B$2:$B$501,A490,'22 2026 PAKETLEME'!$G$2:$G$501))</f>
        <v/>
      </c>
      <c r="G490" s="81">
        <f>IF(A490="","",SUMIF('22 2026 PAKETLEME'!$B$2:$B$501,A490,'22 2026 PAKETLEME'!$H$2:$H$501))</f>
        <v/>
      </c>
      <c r="H490" s="81">
        <f>IF(A490="","",D490-E490-F490-G490)</f>
        <v/>
      </c>
      <c r="I490" s="82">
        <f>IF(A490="","",SUMIF('23 2026 SEVKİYAT'!$E$2:$E$501,A490,'23 2026 SEVKİYAT'!$H$2:$H$501))</f>
        <v/>
      </c>
      <c r="J490" s="81">
        <f>IF(A490="","",E490+F490-I490)</f>
        <v/>
      </c>
      <c r="K490" s="81">
        <f>IF(A490="","",D490-E490-F490-G490-H490)</f>
        <v/>
      </c>
      <c r="L490" s="58">
        <f>IF(A490="","",IF(ABS(K490)&lt;0.001,"KAPALI","KONTROL"))</f>
        <v/>
      </c>
      <c r="M490" s="56">
        <f>IF(A490="","",IF(J490&lt;0,"SEVK PAKETLEMEYİ AŞIYOR",IF(H490&lt;&gt;0,"PAKETLEME BAKİYESİ VAR","DENKLİK KAPALI")))</f>
        <v/>
      </c>
    </row>
    <row r="491" ht="15" customHeight="1">
      <c r="A491" s="60">
        <f>'21 2026 ÜRETİM'!A491</f>
        <v/>
      </c>
      <c r="B491" s="81">
        <f>IF(A491="","",'21 2026 ÜRETİM'!D491)</f>
        <v/>
      </c>
      <c r="C491" s="81">
        <f>IF(A491="","",'21 2026 ÜRETİM'!E491)</f>
        <v/>
      </c>
      <c r="D491" s="82">
        <f>IF(A491="","",'21 2026 ÜRETİM'!F491)</f>
        <v/>
      </c>
      <c r="E491" s="81">
        <f>IF(A491="","",SUMIF('22 2026 PAKETLEME'!$B$2:$B$501,A491,'22 2026 PAKETLEME'!$E$2:$E$501))</f>
        <v/>
      </c>
      <c r="F491" s="82">
        <f>IF(A491="","",SUMIF('22 2026 PAKETLEME'!$B$2:$B$501,A491,'22 2026 PAKETLEME'!$G$2:$G$501))</f>
        <v/>
      </c>
      <c r="G491" s="81">
        <f>IF(A491="","",SUMIF('22 2026 PAKETLEME'!$B$2:$B$501,A491,'22 2026 PAKETLEME'!$H$2:$H$501))</f>
        <v/>
      </c>
      <c r="H491" s="81">
        <f>IF(A491="","",D491-E491-F491-G491)</f>
        <v/>
      </c>
      <c r="I491" s="82">
        <f>IF(A491="","",SUMIF('23 2026 SEVKİYAT'!$E$2:$E$501,A491,'23 2026 SEVKİYAT'!$H$2:$H$501))</f>
        <v/>
      </c>
      <c r="J491" s="81">
        <f>IF(A491="","",E491+F491-I491)</f>
        <v/>
      </c>
      <c r="K491" s="81">
        <f>IF(A491="","",D491-E491-F491-G491-H491)</f>
        <v/>
      </c>
      <c r="L491" s="58">
        <f>IF(A491="","",IF(ABS(K491)&lt;0.001,"KAPALI","KONTROL"))</f>
        <v/>
      </c>
      <c r="M491" s="56">
        <f>IF(A491="","",IF(J491&lt;0,"SEVK PAKETLEMEYİ AŞIYOR",IF(H491&lt;&gt;0,"PAKETLEME BAKİYESİ VAR","DENKLİK KAPALI")))</f>
        <v/>
      </c>
    </row>
    <row r="492" ht="15" customHeight="1">
      <c r="A492" s="60">
        <f>'21 2026 ÜRETİM'!A492</f>
        <v/>
      </c>
      <c r="B492" s="81">
        <f>IF(A492="","",'21 2026 ÜRETİM'!D492)</f>
        <v/>
      </c>
      <c r="C492" s="81">
        <f>IF(A492="","",'21 2026 ÜRETİM'!E492)</f>
        <v/>
      </c>
      <c r="D492" s="82">
        <f>IF(A492="","",'21 2026 ÜRETİM'!F492)</f>
        <v/>
      </c>
      <c r="E492" s="81">
        <f>IF(A492="","",SUMIF('22 2026 PAKETLEME'!$B$2:$B$501,A492,'22 2026 PAKETLEME'!$E$2:$E$501))</f>
        <v/>
      </c>
      <c r="F492" s="82">
        <f>IF(A492="","",SUMIF('22 2026 PAKETLEME'!$B$2:$B$501,A492,'22 2026 PAKETLEME'!$G$2:$G$501))</f>
        <v/>
      </c>
      <c r="G492" s="81">
        <f>IF(A492="","",SUMIF('22 2026 PAKETLEME'!$B$2:$B$501,A492,'22 2026 PAKETLEME'!$H$2:$H$501))</f>
        <v/>
      </c>
      <c r="H492" s="81">
        <f>IF(A492="","",D492-E492-F492-G492)</f>
        <v/>
      </c>
      <c r="I492" s="82">
        <f>IF(A492="","",SUMIF('23 2026 SEVKİYAT'!$E$2:$E$501,A492,'23 2026 SEVKİYAT'!$H$2:$H$501))</f>
        <v/>
      </c>
      <c r="J492" s="81">
        <f>IF(A492="","",E492+F492-I492)</f>
        <v/>
      </c>
      <c r="K492" s="81">
        <f>IF(A492="","",D492-E492-F492-G492-H492)</f>
        <v/>
      </c>
      <c r="L492" s="58">
        <f>IF(A492="","",IF(ABS(K492)&lt;0.001,"KAPALI","KONTROL"))</f>
        <v/>
      </c>
      <c r="M492" s="56">
        <f>IF(A492="","",IF(J492&lt;0,"SEVK PAKETLEMEYİ AŞIYOR",IF(H492&lt;&gt;0,"PAKETLEME BAKİYESİ VAR","DENKLİK KAPALI")))</f>
        <v/>
      </c>
    </row>
    <row r="493" ht="15" customHeight="1">
      <c r="A493" s="60">
        <f>'21 2026 ÜRETİM'!A493</f>
        <v/>
      </c>
      <c r="B493" s="81">
        <f>IF(A493="","",'21 2026 ÜRETİM'!D493)</f>
        <v/>
      </c>
      <c r="C493" s="81">
        <f>IF(A493="","",'21 2026 ÜRETİM'!E493)</f>
        <v/>
      </c>
      <c r="D493" s="82">
        <f>IF(A493="","",'21 2026 ÜRETİM'!F493)</f>
        <v/>
      </c>
      <c r="E493" s="81">
        <f>IF(A493="","",SUMIF('22 2026 PAKETLEME'!$B$2:$B$501,A493,'22 2026 PAKETLEME'!$E$2:$E$501))</f>
        <v/>
      </c>
      <c r="F493" s="82">
        <f>IF(A493="","",SUMIF('22 2026 PAKETLEME'!$B$2:$B$501,A493,'22 2026 PAKETLEME'!$G$2:$G$501))</f>
        <v/>
      </c>
      <c r="G493" s="81">
        <f>IF(A493="","",SUMIF('22 2026 PAKETLEME'!$B$2:$B$501,A493,'22 2026 PAKETLEME'!$H$2:$H$501))</f>
        <v/>
      </c>
      <c r="H493" s="81">
        <f>IF(A493="","",D493-E493-F493-G493)</f>
        <v/>
      </c>
      <c r="I493" s="82">
        <f>IF(A493="","",SUMIF('23 2026 SEVKİYAT'!$E$2:$E$501,A493,'23 2026 SEVKİYAT'!$H$2:$H$501))</f>
        <v/>
      </c>
      <c r="J493" s="81">
        <f>IF(A493="","",E493+F493-I493)</f>
        <v/>
      </c>
      <c r="K493" s="81">
        <f>IF(A493="","",D493-E493-F493-G493-H493)</f>
        <v/>
      </c>
      <c r="L493" s="58">
        <f>IF(A493="","",IF(ABS(K493)&lt;0.001,"KAPALI","KONTROL"))</f>
        <v/>
      </c>
      <c r="M493" s="56">
        <f>IF(A493="","",IF(J493&lt;0,"SEVK PAKETLEMEYİ AŞIYOR",IF(H493&lt;&gt;0,"PAKETLEME BAKİYESİ VAR","DENKLİK KAPALI")))</f>
        <v/>
      </c>
    </row>
    <row r="494" ht="15" customHeight="1">
      <c r="A494" s="60">
        <f>'21 2026 ÜRETİM'!A494</f>
        <v/>
      </c>
      <c r="B494" s="81">
        <f>IF(A494="","",'21 2026 ÜRETİM'!D494)</f>
        <v/>
      </c>
      <c r="C494" s="81">
        <f>IF(A494="","",'21 2026 ÜRETİM'!E494)</f>
        <v/>
      </c>
      <c r="D494" s="82">
        <f>IF(A494="","",'21 2026 ÜRETİM'!F494)</f>
        <v/>
      </c>
      <c r="E494" s="81">
        <f>IF(A494="","",SUMIF('22 2026 PAKETLEME'!$B$2:$B$501,A494,'22 2026 PAKETLEME'!$E$2:$E$501))</f>
        <v/>
      </c>
      <c r="F494" s="82">
        <f>IF(A494="","",SUMIF('22 2026 PAKETLEME'!$B$2:$B$501,A494,'22 2026 PAKETLEME'!$G$2:$G$501))</f>
        <v/>
      </c>
      <c r="G494" s="81">
        <f>IF(A494="","",SUMIF('22 2026 PAKETLEME'!$B$2:$B$501,A494,'22 2026 PAKETLEME'!$H$2:$H$501))</f>
        <v/>
      </c>
      <c r="H494" s="81">
        <f>IF(A494="","",D494-E494-F494-G494)</f>
        <v/>
      </c>
      <c r="I494" s="82">
        <f>IF(A494="","",SUMIF('23 2026 SEVKİYAT'!$E$2:$E$501,A494,'23 2026 SEVKİYAT'!$H$2:$H$501))</f>
        <v/>
      </c>
      <c r="J494" s="81">
        <f>IF(A494="","",E494+F494-I494)</f>
        <v/>
      </c>
      <c r="K494" s="81">
        <f>IF(A494="","",D494-E494-F494-G494-H494)</f>
        <v/>
      </c>
      <c r="L494" s="58">
        <f>IF(A494="","",IF(ABS(K494)&lt;0.001,"KAPALI","KONTROL"))</f>
        <v/>
      </c>
      <c r="M494" s="56">
        <f>IF(A494="","",IF(J494&lt;0,"SEVK PAKETLEMEYİ AŞIYOR",IF(H494&lt;&gt;0,"PAKETLEME BAKİYESİ VAR","DENKLİK KAPALI")))</f>
        <v/>
      </c>
    </row>
    <row r="495" ht="15" customHeight="1">
      <c r="A495" s="60">
        <f>'21 2026 ÜRETİM'!A495</f>
        <v/>
      </c>
      <c r="B495" s="81">
        <f>IF(A495="","",'21 2026 ÜRETİM'!D495)</f>
        <v/>
      </c>
      <c r="C495" s="81">
        <f>IF(A495="","",'21 2026 ÜRETİM'!E495)</f>
        <v/>
      </c>
      <c r="D495" s="82">
        <f>IF(A495="","",'21 2026 ÜRETİM'!F495)</f>
        <v/>
      </c>
      <c r="E495" s="81">
        <f>IF(A495="","",SUMIF('22 2026 PAKETLEME'!$B$2:$B$501,A495,'22 2026 PAKETLEME'!$E$2:$E$501))</f>
        <v/>
      </c>
      <c r="F495" s="82">
        <f>IF(A495="","",SUMIF('22 2026 PAKETLEME'!$B$2:$B$501,A495,'22 2026 PAKETLEME'!$G$2:$G$501))</f>
        <v/>
      </c>
      <c r="G495" s="81">
        <f>IF(A495="","",SUMIF('22 2026 PAKETLEME'!$B$2:$B$501,A495,'22 2026 PAKETLEME'!$H$2:$H$501))</f>
        <v/>
      </c>
      <c r="H495" s="81">
        <f>IF(A495="","",D495-E495-F495-G495)</f>
        <v/>
      </c>
      <c r="I495" s="82">
        <f>IF(A495="","",SUMIF('23 2026 SEVKİYAT'!$E$2:$E$501,A495,'23 2026 SEVKİYAT'!$H$2:$H$501))</f>
        <v/>
      </c>
      <c r="J495" s="81">
        <f>IF(A495="","",E495+F495-I495)</f>
        <v/>
      </c>
      <c r="K495" s="81">
        <f>IF(A495="","",D495-E495-F495-G495-H495)</f>
        <v/>
      </c>
      <c r="L495" s="58">
        <f>IF(A495="","",IF(ABS(K495)&lt;0.001,"KAPALI","KONTROL"))</f>
        <v/>
      </c>
      <c r="M495" s="56">
        <f>IF(A495="","",IF(J495&lt;0,"SEVK PAKETLEMEYİ AŞIYOR",IF(H495&lt;&gt;0,"PAKETLEME BAKİYESİ VAR","DENKLİK KAPALI")))</f>
        <v/>
      </c>
    </row>
    <row r="496" ht="15" customHeight="1">
      <c r="A496" s="60">
        <f>'21 2026 ÜRETİM'!A496</f>
        <v/>
      </c>
      <c r="B496" s="81">
        <f>IF(A496="","",'21 2026 ÜRETİM'!D496)</f>
        <v/>
      </c>
      <c r="C496" s="81">
        <f>IF(A496="","",'21 2026 ÜRETİM'!E496)</f>
        <v/>
      </c>
      <c r="D496" s="82">
        <f>IF(A496="","",'21 2026 ÜRETİM'!F496)</f>
        <v/>
      </c>
      <c r="E496" s="81">
        <f>IF(A496="","",SUMIF('22 2026 PAKETLEME'!$B$2:$B$501,A496,'22 2026 PAKETLEME'!$E$2:$E$501))</f>
        <v/>
      </c>
      <c r="F496" s="82">
        <f>IF(A496="","",SUMIF('22 2026 PAKETLEME'!$B$2:$B$501,A496,'22 2026 PAKETLEME'!$G$2:$G$501))</f>
        <v/>
      </c>
      <c r="G496" s="81">
        <f>IF(A496="","",SUMIF('22 2026 PAKETLEME'!$B$2:$B$501,A496,'22 2026 PAKETLEME'!$H$2:$H$501))</f>
        <v/>
      </c>
      <c r="H496" s="81">
        <f>IF(A496="","",D496-E496-F496-G496)</f>
        <v/>
      </c>
      <c r="I496" s="82">
        <f>IF(A496="","",SUMIF('23 2026 SEVKİYAT'!$E$2:$E$501,A496,'23 2026 SEVKİYAT'!$H$2:$H$501))</f>
        <v/>
      </c>
      <c r="J496" s="81">
        <f>IF(A496="","",E496+F496-I496)</f>
        <v/>
      </c>
      <c r="K496" s="81">
        <f>IF(A496="","",D496-E496-F496-G496-H496)</f>
        <v/>
      </c>
      <c r="L496" s="58">
        <f>IF(A496="","",IF(ABS(K496)&lt;0.001,"KAPALI","KONTROL"))</f>
        <v/>
      </c>
      <c r="M496" s="56">
        <f>IF(A496="","",IF(J496&lt;0,"SEVK PAKETLEMEYİ AŞIYOR",IF(H496&lt;&gt;0,"PAKETLEME BAKİYESİ VAR","DENKLİK KAPALI")))</f>
        <v/>
      </c>
    </row>
    <row r="497" ht="15" customHeight="1">
      <c r="A497" s="60">
        <f>'21 2026 ÜRETİM'!A497</f>
        <v/>
      </c>
      <c r="B497" s="81">
        <f>IF(A497="","",'21 2026 ÜRETİM'!D497)</f>
        <v/>
      </c>
      <c r="C497" s="81">
        <f>IF(A497="","",'21 2026 ÜRETİM'!E497)</f>
        <v/>
      </c>
      <c r="D497" s="82">
        <f>IF(A497="","",'21 2026 ÜRETİM'!F497)</f>
        <v/>
      </c>
      <c r="E497" s="81">
        <f>IF(A497="","",SUMIF('22 2026 PAKETLEME'!$B$2:$B$501,A497,'22 2026 PAKETLEME'!$E$2:$E$501))</f>
        <v/>
      </c>
      <c r="F497" s="82">
        <f>IF(A497="","",SUMIF('22 2026 PAKETLEME'!$B$2:$B$501,A497,'22 2026 PAKETLEME'!$G$2:$G$501))</f>
        <v/>
      </c>
      <c r="G497" s="81">
        <f>IF(A497="","",SUMIF('22 2026 PAKETLEME'!$B$2:$B$501,A497,'22 2026 PAKETLEME'!$H$2:$H$501))</f>
        <v/>
      </c>
      <c r="H497" s="81">
        <f>IF(A497="","",D497-E497-F497-G497)</f>
        <v/>
      </c>
      <c r="I497" s="82">
        <f>IF(A497="","",SUMIF('23 2026 SEVKİYAT'!$E$2:$E$501,A497,'23 2026 SEVKİYAT'!$H$2:$H$501))</f>
        <v/>
      </c>
      <c r="J497" s="81">
        <f>IF(A497="","",E497+F497-I497)</f>
        <v/>
      </c>
      <c r="K497" s="81">
        <f>IF(A497="","",D497-E497-F497-G497-H497)</f>
        <v/>
      </c>
      <c r="L497" s="58">
        <f>IF(A497="","",IF(ABS(K497)&lt;0.001,"KAPALI","KONTROL"))</f>
        <v/>
      </c>
      <c r="M497" s="56">
        <f>IF(A497="","",IF(J497&lt;0,"SEVK PAKETLEMEYİ AŞIYOR",IF(H497&lt;&gt;0,"PAKETLEME BAKİYESİ VAR","DENKLİK KAPALI")))</f>
        <v/>
      </c>
    </row>
    <row r="498" ht="15" customHeight="1">
      <c r="A498" s="60">
        <f>'21 2026 ÜRETİM'!A498</f>
        <v/>
      </c>
      <c r="B498" s="81">
        <f>IF(A498="","",'21 2026 ÜRETİM'!D498)</f>
        <v/>
      </c>
      <c r="C498" s="81">
        <f>IF(A498="","",'21 2026 ÜRETİM'!E498)</f>
        <v/>
      </c>
      <c r="D498" s="82">
        <f>IF(A498="","",'21 2026 ÜRETİM'!F498)</f>
        <v/>
      </c>
      <c r="E498" s="81">
        <f>IF(A498="","",SUMIF('22 2026 PAKETLEME'!$B$2:$B$501,A498,'22 2026 PAKETLEME'!$E$2:$E$501))</f>
        <v/>
      </c>
      <c r="F498" s="82">
        <f>IF(A498="","",SUMIF('22 2026 PAKETLEME'!$B$2:$B$501,A498,'22 2026 PAKETLEME'!$G$2:$G$501))</f>
        <v/>
      </c>
      <c r="G498" s="81">
        <f>IF(A498="","",SUMIF('22 2026 PAKETLEME'!$B$2:$B$501,A498,'22 2026 PAKETLEME'!$H$2:$H$501))</f>
        <v/>
      </c>
      <c r="H498" s="81">
        <f>IF(A498="","",D498-E498-F498-G498)</f>
        <v/>
      </c>
      <c r="I498" s="82">
        <f>IF(A498="","",SUMIF('23 2026 SEVKİYAT'!$E$2:$E$501,A498,'23 2026 SEVKİYAT'!$H$2:$H$501))</f>
        <v/>
      </c>
      <c r="J498" s="81">
        <f>IF(A498="","",E498+F498-I498)</f>
        <v/>
      </c>
      <c r="K498" s="81">
        <f>IF(A498="","",D498-E498-F498-G498-H498)</f>
        <v/>
      </c>
      <c r="L498" s="58">
        <f>IF(A498="","",IF(ABS(K498)&lt;0.001,"KAPALI","KONTROL"))</f>
        <v/>
      </c>
      <c r="M498" s="56">
        <f>IF(A498="","",IF(J498&lt;0,"SEVK PAKETLEMEYİ AŞIYOR",IF(H498&lt;&gt;0,"PAKETLEME BAKİYESİ VAR","DENKLİK KAPALI")))</f>
        <v/>
      </c>
    </row>
    <row r="499" ht="15" customHeight="1">
      <c r="A499" s="60">
        <f>'21 2026 ÜRETİM'!A499</f>
        <v/>
      </c>
      <c r="B499" s="81">
        <f>IF(A499="","",'21 2026 ÜRETİM'!D499)</f>
        <v/>
      </c>
      <c r="C499" s="81">
        <f>IF(A499="","",'21 2026 ÜRETİM'!E499)</f>
        <v/>
      </c>
      <c r="D499" s="82">
        <f>IF(A499="","",'21 2026 ÜRETİM'!F499)</f>
        <v/>
      </c>
      <c r="E499" s="81">
        <f>IF(A499="","",SUMIF('22 2026 PAKETLEME'!$B$2:$B$501,A499,'22 2026 PAKETLEME'!$E$2:$E$501))</f>
        <v/>
      </c>
      <c r="F499" s="82">
        <f>IF(A499="","",SUMIF('22 2026 PAKETLEME'!$B$2:$B$501,A499,'22 2026 PAKETLEME'!$G$2:$G$501))</f>
        <v/>
      </c>
      <c r="G499" s="81">
        <f>IF(A499="","",SUMIF('22 2026 PAKETLEME'!$B$2:$B$501,A499,'22 2026 PAKETLEME'!$H$2:$H$501))</f>
        <v/>
      </c>
      <c r="H499" s="81">
        <f>IF(A499="","",D499-E499-F499-G499)</f>
        <v/>
      </c>
      <c r="I499" s="82">
        <f>IF(A499="","",SUMIF('23 2026 SEVKİYAT'!$E$2:$E$501,A499,'23 2026 SEVKİYAT'!$H$2:$H$501))</f>
        <v/>
      </c>
      <c r="J499" s="81">
        <f>IF(A499="","",E499+F499-I499)</f>
        <v/>
      </c>
      <c r="K499" s="81">
        <f>IF(A499="","",D499-E499-F499-G499-H499)</f>
        <v/>
      </c>
      <c r="L499" s="58">
        <f>IF(A499="","",IF(ABS(K499)&lt;0.001,"KAPALI","KONTROL"))</f>
        <v/>
      </c>
      <c r="M499" s="56">
        <f>IF(A499="","",IF(J499&lt;0,"SEVK PAKETLEMEYİ AŞIYOR",IF(H499&lt;&gt;0,"PAKETLEME BAKİYESİ VAR","DENKLİK KAPALI")))</f>
        <v/>
      </c>
    </row>
    <row r="500" ht="15" customHeight="1">
      <c r="A500" s="60">
        <f>'21 2026 ÜRETİM'!A500</f>
        <v/>
      </c>
      <c r="B500" s="81">
        <f>IF(A500="","",'21 2026 ÜRETİM'!D500)</f>
        <v/>
      </c>
      <c r="C500" s="81">
        <f>IF(A500="","",'21 2026 ÜRETİM'!E500)</f>
        <v/>
      </c>
      <c r="D500" s="82">
        <f>IF(A500="","",'21 2026 ÜRETİM'!F500)</f>
        <v/>
      </c>
      <c r="E500" s="81">
        <f>IF(A500="","",SUMIF('22 2026 PAKETLEME'!$B$2:$B$501,A500,'22 2026 PAKETLEME'!$E$2:$E$501))</f>
        <v/>
      </c>
      <c r="F500" s="82">
        <f>IF(A500="","",SUMIF('22 2026 PAKETLEME'!$B$2:$B$501,A500,'22 2026 PAKETLEME'!$G$2:$G$501))</f>
        <v/>
      </c>
      <c r="G500" s="81">
        <f>IF(A500="","",SUMIF('22 2026 PAKETLEME'!$B$2:$B$501,A500,'22 2026 PAKETLEME'!$H$2:$H$501))</f>
        <v/>
      </c>
      <c r="H500" s="81">
        <f>IF(A500="","",D500-E500-F500-G500)</f>
        <v/>
      </c>
      <c r="I500" s="82">
        <f>IF(A500="","",SUMIF('23 2026 SEVKİYAT'!$E$2:$E$501,A500,'23 2026 SEVKİYAT'!$H$2:$H$501))</f>
        <v/>
      </c>
      <c r="J500" s="81">
        <f>IF(A500="","",E500+F500-I500)</f>
        <v/>
      </c>
      <c r="K500" s="81">
        <f>IF(A500="","",D500-E500-F500-G500-H500)</f>
        <v/>
      </c>
      <c r="L500" s="58">
        <f>IF(A500="","",IF(ABS(K500)&lt;0.001,"KAPALI","KONTROL"))</f>
        <v/>
      </c>
      <c r="M500" s="56">
        <f>IF(A500="","",IF(J500&lt;0,"SEVK PAKETLEMEYİ AŞIYOR",IF(H500&lt;&gt;0,"PAKETLEME BAKİYESİ VAR","DENKLİK KAPALI")))</f>
        <v/>
      </c>
    </row>
    <row r="501" ht="15" customHeight="1">
      <c r="A501" s="60">
        <f>'21 2026 ÜRETİM'!A501</f>
        <v/>
      </c>
      <c r="B501" s="81">
        <f>IF(A501="","",'21 2026 ÜRETİM'!D501)</f>
        <v/>
      </c>
      <c r="C501" s="81">
        <f>IF(A501="","",'21 2026 ÜRETİM'!E501)</f>
        <v/>
      </c>
      <c r="D501" s="82">
        <f>IF(A501="","",'21 2026 ÜRETİM'!F501)</f>
        <v/>
      </c>
      <c r="E501" s="81">
        <f>IF(A501="","",SUMIF('22 2026 PAKETLEME'!$B$2:$B$501,A501,'22 2026 PAKETLEME'!$E$2:$E$501))</f>
        <v/>
      </c>
      <c r="F501" s="82">
        <f>IF(A501="","",SUMIF('22 2026 PAKETLEME'!$B$2:$B$501,A501,'22 2026 PAKETLEME'!$G$2:$G$501))</f>
        <v/>
      </c>
      <c r="G501" s="81">
        <f>IF(A501="","",SUMIF('22 2026 PAKETLEME'!$B$2:$B$501,A501,'22 2026 PAKETLEME'!$H$2:$H$501))</f>
        <v/>
      </c>
      <c r="H501" s="81">
        <f>IF(A501="","",D501-E501-F501-G501)</f>
        <v/>
      </c>
      <c r="I501" s="82">
        <f>IF(A501="","",SUMIF('23 2026 SEVKİYAT'!$E$2:$E$501,A501,'23 2026 SEVKİYAT'!$H$2:$H$501))</f>
        <v/>
      </c>
      <c r="J501" s="81">
        <f>IF(A501="","",E501+F501-I501)</f>
        <v/>
      </c>
      <c r="K501" s="81">
        <f>IF(A501="","",D501-E501-F501-G501-H501)</f>
        <v/>
      </c>
      <c r="L501" s="58">
        <f>IF(A501="","",IF(ABS(K501)&lt;0.001,"KAPALI","KONTROL"))</f>
        <v/>
      </c>
      <c r="M501" s="56">
        <f>IF(A501="","",IF(J501&lt;0,"SEVK PAKETLEMEYİ AŞIYOR",IF(H501&lt;&gt;0,"PAKETLEME BAKİYESİ VAR","DENKLİK KAPALI")))</f>
        <v/>
      </c>
    </row>
  </sheetData>
  <autoFilter ref="A1:M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70AD47"/>
    <outlinePr summaryBelow="1" summaryRight="1"/>
    <pageSetUpPr/>
  </sheetPr>
  <dimension ref="A1:V501"/>
  <sheetViews>
    <sheetView topLeftCell="B1" workbookViewId="0">
      <pane ySplit="1" topLeftCell="A2" activePane="bottomLeft" state="frozen"/>
      <selection pane="bottomLeft" activeCell="V23" sqref="V23"/>
    </sheetView>
  </sheetViews>
  <sheetFormatPr baseColWidth="10" defaultColWidth="8.83203125" defaultRowHeight="15"/>
  <cols>
    <col width="16" customWidth="1" style="49" min="1" max="1"/>
    <col width="18" customWidth="1" style="54" min="2" max="2"/>
    <col width="8.83203125" customWidth="1" style="49" min="3" max="3"/>
    <col width="20" customWidth="1" style="54" min="4" max="4"/>
    <col width="18" customWidth="1" style="49" min="5" max="5"/>
    <col width="8.83203125" customWidth="1" style="54" min="6" max="6"/>
    <col width="20" customWidth="1" style="49" min="7" max="7"/>
    <col width="18" customWidth="1" style="54" min="8" max="8"/>
    <col width="16" customWidth="1" style="49" min="9" max="9"/>
    <col width="20" customWidth="1" style="54" min="10" max="10"/>
    <col width="8.83203125" customWidth="1" style="49" min="11" max="11"/>
    <col width="42" customWidth="1" style="66" min="12" max="12"/>
    <col hidden="1" width="13" customWidth="1" min="13" max="20"/>
    <col width="18" customWidth="1" min="22" max="22"/>
  </cols>
  <sheetData>
    <row r="1" ht="31.5" customHeight="1">
      <c r="A1" s="61" t="inlineStr">
        <is>
          <t>Üretim Tarihi</t>
        </is>
      </c>
      <c r="B1" s="62" t="inlineStr">
        <is>
          <t>Üretim Lot No</t>
        </is>
      </c>
      <c r="C1" s="61" t="inlineStr">
        <is>
          <t>Patates unu Lot</t>
        </is>
      </c>
      <c r="D1" s="62" t="inlineStr">
        <is>
          <t>Mısır nişastası Lot</t>
        </is>
      </c>
      <c r="E1" s="61" t="inlineStr">
        <is>
          <t>Tat mısır unu Lot</t>
        </is>
      </c>
      <c r="F1" s="62" t="inlineStr">
        <is>
          <t>Savour Lot</t>
        </is>
      </c>
      <c r="G1" s="61" t="inlineStr">
        <is>
          <t>Sarımsak tozu Lot</t>
        </is>
      </c>
      <c r="H1" s="62" t="inlineStr">
        <is>
          <t>Karabiber Lot</t>
        </is>
      </c>
      <c r="I1" s="61" t="inlineStr">
        <is>
          <t>Tuz Lot</t>
        </is>
      </c>
      <c r="J1" s="62" t="inlineStr">
        <is>
          <t>BENECEL A4M Lot</t>
        </is>
      </c>
      <c r="K1" s="61" t="inlineStr">
        <is>
          <t>Kontrol Eden</t>
        </is>
      </c>
      <c r="L1" s="63" t="inlineStr">
        <is>
          <t>Açıklama</t>
        </is>
      </c>
      <c r="M1" s="3" t="inlineStr">
        <is>
          <t>Patates unu</t>
        </is>
      </c>
      <c r="N1" s="3" t="inlineStr">
        <is>
          <t>Mısır nişastası</t>
        </is>
      </c>
      <c r="O1" s="3" t="inlineStr">
        <is>
          <t>Tat mısır unu</t>
        </is>
      </c>
      <c r="P1" s="3" t="inlineStr">
        <is>
          <t>Savour tavuk çeşnisi</t>
        </is>
      </c>
      <c r="Q1" s="3" t="inlineStr">
        <is>
          <t>Sarımsak tozu</t>
        </is>
      </c>
      <c r="R1" s="3" t="inlineStr">
        <is>
          <t>Karabiber</t>
        </is>
      </c>
      <c r="S1" s="3" t="inlineStr">
        <is>
          <t>Tuz</t>
        </is>
      </c>
      <c r="T1" s="3" t="inlineStr">
        <is>
          <t>BENECEL A4M</t>
        </is>
      </c>
      <c r="V1" s="19" t="inlineStr">
        <is>
          <t>⌂ ANA SAYFA</t>
        </is>
      </c>
    </row>
    <row r="2" ht="15" customHeight="1">
      <c r="A2" s="47" t="inlineStr">
        <is>
          <t>14.01.2026</t>
        </is>
      </c>
      <c r="B2" s="52" t="inlineStr">
        <is>
          <t>270114</t>
        </is>
      </c>
      <c r="C2" s="47" t="inlineStr">
        <is>
          <t>251011</t>
        </is>
      </c>
      <c r="D2" s="52" t="inlineStr">
        <is>
          <t>57108774</t>
        </is>
      </c>
      <c r="E2" s="47" t="inlineStr">
        <is>
          <t>9222</t>
        </is>
      </c>
      <c r="F2" s="52" t="n"/>
      <c r="G2" s="47" t="inlineStr">
        <is>
          <t>040126-141</t>
        </is>
      </c>
      <c r="H2" s="52" t="inlineStr">
        <is>
          <t>170126-678</t>
        </is>
      </c>
      <c r="I2" s="47" t="inlineStr">
        <is>
          <t>20423</t>
        </is>
      </c>
      <c r="J2" s="52" t="inlineStr">
        <is>
          <t>2743063</t>
        </is>
      </c>
      <c r="K2" s="47" t="inlineStr">
        <is>
          <t>Eda Ayaz</t>
        </is>
      </c>
      <c r="L2" s="64" t="inlineStr">
        <is>
          <t>EKSİK LOT</t>
        </is>
      </c>
      <c r="M2" s="3" t="inlineStr">
        <is>
          <t>251011</t>
        </is>
      </c>
      <c r="N2" s="3" t="inlineStr">
        <is>
          <t>57108774</t>
        </is>
      </c>
      <c r="O2" s="3" t="inlineStr">
        <is>
          <t>9222</t>
        </is>
      </c>
      <c r="P2" s="3" t="inlineStr">
        <is>
          <t>01.09.EY</t>
        </is>
      </c>
      <c r="Q2" s="3" t="inlineStr">
        <is>
          <t>040126-141</t>
        </is>
      </c>
      <c r="R2" s="3" t="inlineStr">
        <is>
          <t>170126-678</t>
        </is>
      </c>
      <c r="S2" s="3" t="inlineStr">
        <is>
          <t>20423</t>
        </is>
      </c>
      <c r="T2" s="3" t="inlineStr">
        <is>
          <t>2743063</t>
        </is>
      </c>
      <c r="V2" s="20" t="inlineStr">
        <is>
          <t>→ ÜRETİM</t>
        </is>
      </c>
    </row>
    <row r="3" ht="15" customHeight="1">
      <c r="A3" s="47" t="inlineStr">
        <is>
          <t>17.02.2026</t>
        </is>
      </c>
      <c r="B3" s="52" t="inlineStr">
        <is>
          <t>270217</t>
        </is>
      </c>
      <c r="C3" s="47" t="inlineStr">
        <is>
          <t>251011</t>
        </is>
      </c>
      <c r="D3" s="52" t="inlineStr">
        <is>
          <t>57108774</t>
        </is>
      </c>
      <c r="E3" s="47" t="inlineStr">
        <is>
          <t>9222</t>
        </is>
      </c>
      <c r="F3" s="52" t="n"/>
      <c r="G3" s="47" t="inlineStr">
        <is>
          <t>040126-141</t>
        </is>
      </c>
      <c r="H3" s="52" t="inlineStr">
        <is>
          <t>170126-678</t>
        </is>
      </c>
      <c r="I3" s="47" t="inlineStr">
        <is>
          <t>20423</t>
        </is>
      </c>
      <c r="J3" s="52" t="inlineStr">
        <is>
          <t>2743063</t>
        </is>
      </c>
      <c r="K3" s="47" t="inlineStr">
        <is>
          <t>Eda Ayaz</t>
        </is>
      </c>
      <c r="L3" s="64" t="inlineStr">
        <is>
          <t>EKSİK LOT</t>
        </is>
      </c>
      <c r="M3" s="3" t="inlineStr">
        <is>
          <t>251212</t>
        </is>
      </c>
      <c r="N3" s="3" t="inlineStr">
        <is>
          <t>58138875</t>
        </is>
      </c>
      <c r="O3" s="3" t="inlineStr">
        <is>
          <t>8825</t>
        </is>
      </c>
      <c r="P3" s="3" t="n"/>
      <c r="Q3" s="3" t="inlineStr">
        <is>
          <t>170226-157</t>
        </is>
      </c>
      <c r="R3" s="3" t="inlineStr">
        <is>
          <t>161125-567</t>
        </is>
      </c>
      <c r="S3" s="3" t="inlineStr">
        <is>
          <t>20425</t>
        </is>
      </c>
      <c r="T3" s="3" t="n"/>
      <c r="V3" s="21" t="inlineStr">
        <is>
          <t>→ LOT BAĞI</t>
        </is>
      </c>
    </row>
    <row r="4" ht="15" customHeight="1">
      <c r="A4" s="47" t="inlineStr">
        <is>
          <t>15.04.2026</t>
        </is>
      </c>
      <c r="B4" s="52" t="inlineStr">
        <is>
          <t>270415</t>
        </is>
      </c>
      <c r="C4" s="47" t="inlineStr">
        <is>
          <t>251212</t>
        </is>
      </c>
      <c r="D4" s="52" t="inlineStr">
        <is>
          <t>58138875</t>
        </is>
      </c>
      <c r="E4" s="47" t="inlineStr">
        <is>
          <t>9226</t>
        </is>
      </c>
      <c r="F4" s="52" t="inlineStr">
        <is>
          <t>01.09.EY</t>
        </is>
      </c>
      <c r="G4" s="47" t="inlineStr">
        <is>
          <t>170226-157</t>
        </is>
      </c>
      <c r="H4" s="52" t="inlineStr">
        <is>
          <t>070426-693</t>
        </is>
      </c>
      <c r="I4" s="47" t="inlineStr">
        <is>
          <t>20425</t>
        </is>
      </c>
      <c r="J4" s="52" t="inlineStr">
        <is>
          <t>2743063</t>
        </is>
      </c>
      <c r="K4" s="47" t="inlineStr">
        <is>
          <t>Eda Ayaz</t>
        </is>
      </c>
      <c r="L4" s="64" t="inlineStr">
        <is>
          <t>LOT BAĞI TAMAM</t>
        </is>
      </c>
      <c r="M4" s="3" t="n"/>
      <c r="N4" s="3" t="n"/>
      <c r="O4" s="3" t="inlineStr">
        <is>
          <t>9226</t>
        </is>
      </c>
      <c r="P4" s="3" t="n"/>
      <c r="Q4" s="3" t="n"/>
      <c r="R4" s="3" t="inlineStr">
        <is>
          <t>070426-693</t>
        </is>
      </c>
      <c r="S4" s="3" t="n"/>
      <c r="T4" s="3" t="n"/>
    </row>
    <row r="5" ht="15" customHeight="1">
      <c r="A5" s="47" t="inlineStr">
        <is>
          <t>27.04.2026</t>
        </is>
      </c>
      <c r="B5" s="52" t="inlineStr">
        <is>
          <t>270427</t>
        </is>
      </c>
      <c r="C5" s="47" t="inlineStr">
        <is>
          <t>251212</t>
        </is>
      </c>
      <c r="D5" s="52" t="inlineStr">
        <is>
          <t>58138875</t>
        </is>
      </c>
      <c r="E5" s="47" t="inlineStr">
        <is>
          <t>9226</t>
        </is>
      </c>
      <c r="F5" s="52" t="inlineStr">
        <is>
          <t>01.09.EY</t>
        </is>
      </c>
      <c r="G5" s="47" t="inlineStr">
        <is>
          <t>170226-157</t>
        </is>
      </c>
      <c r="H5" s="52" t="inlineStr">
        <is>
          <t>070426-693</t>
        </is>
      </c>
      <c r="I5" s="47" t="inlineStr">
        <is>
          <t>20425</t>
        </is>
      </c>
      <c r="J5" s="52" t="inlineStr">
        <is>
          <t>2743063</t>
        </is>
      </c>
      <c r="K5" s="47" t="inlineStr">
        <is>
          <t>Eda Ayaz</t>
        </is>
      </c>
      <c r="L5" s="64" t="inlineStr">
        <is>
          <t>LOT BAĞI TAMAM</t>
        </is>
      </c>
      <c r="M5" s="3" t="n"/>
      <c r="N5" s="3" t="n"/>
      <c r="O5" s="3" t="n"/>
      <c r="P5" s="3" t="n"/>
      <c r="Q5" s="3" t="n"/>
      <c r="R5" s="3" t="n"/>
      <c r="S5" s="3" t="n"/>
      <c r="T5" s="3" t="n"/>
    </row>
    <row r="6" ht="15" customHeight="1">
      <c r="A6" s="47" t="inlineStr">
        <is>
          <t>04.05.2026</t>
        </is>
      </c>
      <c r="B6" s="52" t="inlineStr">
        <is>
          <t>270504</t>
        </is>
      </c>
      <c r="C6" s="47" t="inlineStr">
        <is>
          <t>251212</t>
        </is>
      </c>
      <c r="D6" s="52" t="inlineStr">
        <is>
          <t>58138875</t>
        </is>
      </c>
      <c r="E6" s="47" t="inlineStr">
        <is>
          <t>9226</t>
        </is>
      </c>
      <c r="F6" s="52" t="inlineStr">
        <is>
          <t>01.09.EY</t>
        </is>
      </c>
      <c r="G6" s="47" t="inlineStr">
        <is>
          <t>170226-157</t>
        </is>
      </c>
      <c r="H6" s="52" t="inlineStr">
        <is>
          <t>070426-693</t>
        </is>
      </c>
      <c r="I6" s="47" t="inlineStr">
        <is>
          <t>20425</t>
        </is>
      </c>
      <c r="J6" s="52" t="inlineStr">
        <is>
          <t>2743063</t>
        </is>
      </c>
      <c r="K6" s="47" t="inlineStr">
        <is>
          <t>Eda Ayaz</t>
        </is>
      </c>
      <c r="L6" s="64" t="inlineStr">
        <is>
          <t>LOT BAĞI TAMAM</t>
        </is>
      </c>
      <c r="M6" s="3" t="n"/>
      <c r="N6" s="3" t="n"/>
      <c r="O6" s="3" t="n"/>
      <c r="P6" s="3" t="n"/>
      <c r="Q6" s="3" t="n"/>
      <c r="R6" s="3" t="n"/>
      <c r="S6" s="3" t="n"/>
      <c r="T6" s="3" t="n"/>
    </row>
    <row r="7" ht="15" customHeight="1">
      <c r="A7" s="47" t="inlineStr">
        <is>
          <t>05.05.2026</t>
        </is>
      </c>
      <c r="B7" s="52" t="inlineStr">
        <is>
          <t>270505</t>
        </is>
      </c>
      <c r="C7" s="47" t="inlineStr">
        <is>
          <t>251212</t>
        </is>
      </c>
      <c r="D7" s="52" t="inlineStr">
        <is>
          <t>58138875</t>
        </is>
      </c>
      <c r="E7" s="47" t="inlineStr">
        <is>
          <t>9226</t>
        </is>
      </c>
      <c r="F7" s="52" t="inlineStr">
        <is>
          <t>01.09.EY</t>
        </is>
      </c>
      <c r="G7" s="47" t="inlineStr">
        <is>
          <t>170226-157</t>
        </is>
      </c>
      <c r="H7" s="52" t="inlineStr">
        <is>
          <t>070426-693</t>
        </is>
      </c>
      <c r="I7" s="47" t="inlineStr">
        <is>
          <t>20425</t>
        </is>
      </c>
      <c r="J7" s="52" t="inlineStr">
        <is>
          <t>2743063</t>
        </is>
      </c>
      <c r="K7" s="47" t="inlineStr">
        <is>
          <t>Eda Ayaz</t>
        </is>
      </c>
      <c r="L7" s="64" t="inlineStr">
        <is>
          <t>LOT BAĞI TAMAM</t>
        </is>
      </c>
      <c r="M7" s="3" t="n"/>
      <c r="N7" s="3" t="n"/>
      <c r="O7" s="3" t="n"/>
      <c r="P7" s="3" t="n"/>
      <c r="Q7" s="3" t="n"/>
      <c r="R7" s="3" t="n"/>
      <c r="S7" s="3" t="n"/>
      <c r="T7" s="3" t="n"/>
    </row>
    <row r="8" ht="15" customHeight="1">
      <c r="A8" s="47" t="inlineStr">
        <is>
          <t>07.05.2026</t>
        </is>
      </c>
      <c r="B8" s="52" t="inlineStr">
        <is>
          <t>270507</t>
        </is>
      </c>
      <c r="C8" s="47" t="inlineStr">
        <is>
          <t>251212</t>
        </is>
      </c>
      <c r="D8" s="52" t="inlineStr">
        <is>
          <t>58138875</t>
        </is>
      </c>
      <c r="E8" s="47" t="inlineStr">
        <is>
          <t>9226</t>
        </is>
      </c>
      <c r="F8" s="52" t="inlineStr">
        <is>
          <t>01.09.EY</t>
        </is>
      </c>
      <c r="G8" s="47" t="inlineStr">
        <is>
          <t>170226-157</t>
        </is>
      </c>
      <c r="H8" s="52" t="inlineStr">
        <is>
          <t>070426-693</t>
        </is>
      </c>
      <c r="I8" s="47" t="inlineStr">
        <is>
          <t>20425</t>
        </is>
      </c>
      <c r="J8" s="52" t="inlineStr">
        <is>
          <t>2743063</t>
        </is>
      </c>
      <c r="K8" s="47" t="inlineStr">
        <is>
          <t>Eda Ayaz</t>
        </is>
      </c>
      <c r="L8" s="64" t="inlineStr">
        <is>
          <t>LOT BAĞI TAMAM</t>
        </is>
      </c>
      <c r="M8" s="3" t="n"/>
      <c r="N8" s="3" t="n"/>
      <c r="O8" s="3" t="n"/>
      <c r="P8" s="3" t="n"/>
      <c r="Q8" s="3" t="n"/>
      <c r="R8" s="3" t="n"/>
      <c r="S8" s="3" t="n"/>
      <c r="T8" s="3" t="n"/>
    </row>
    <row r="9" ht="15" customHeight="1">
      <c r="A9" s="47" t="inlineStr">
        <is>
          <t>12.05.2026</t>
        </is>
      </c>
      <c r="B9" s="52" t="inlineStr">
        <is>
          <t>270512</t>
        </is>
      </c>
      <c r="C9" s="47" t="inlineStr">
        <is>
          <t>251212</t>
        </is>
      </c>
      <c r="D9" s="52" t="inlineStr">
        <is>
          <t>58138875</t>
        </is>
      </c>
      <c r="E9" s="47" t="inlineStr">
        <is>
          <t>9226</t>
        </is>
      </c>
      <c r="F9" s="52" t="inlineStr">
        <is>
          <t>01.09.EY</t>
        </is>
      </c>
      <c r="G9" s="47" t="inlineStr">
        <is>
          <t>170226-157</t>
        </is>
      </c>
      <c r="H9" s="52" t="inlineStr">
        <is>
          <t>070426-693</t>
        </is>
      </c>
      <c r="I9" s="47" t="inlineStr">
        <is>
          <t>20425</t>
        </is>
      </c>
      <c r="J9" s="52" t="inlineStr">
        <is>
          <t>2743063</t>
        </is>
      </c>
      <c r="K9" s="47" t="inlineStr">
        <is>
          <t>Eda Ayaz</t>
        </is>
      </c>
      <c r="L9" s="64" t="inlineStr">
        <is>
          <t>LOT BAĞI TAMAM</t>
        </is>
      </c>
      <c r="M9" s="3" t="n"/>
      <c r="N9" s="3" t="n"/>
      <c r="O9" s="3" t="n"/>
      <c r="P9" s="3" t="n"/>
      <c r="Q9" s="3" t="n"/>
      <c r="R9" s="3" t="n"/>
      <c r="S9" s="3" t="n"/>
      <c r="T9" s="3" t="n"/>
    </row>
    <row r="10" ht="15" customHeight="1">
      <c r="A10" s="47" t="inlineStr">
        <is>
          <t>15.06.2026</t>
        </is>
      </c>
      <c r="B10" s="52" t="inlineStr">
        <is>
          <t>270615</t>
        </is>
      </c>
      <c r="C10" s="47" t="inlineStr">
        <is>
          <t>251212</t>
        </is>
      </c>
      <c r="D10" s="52" t="inlineStr">
        <is>
          <t>58138875</t>
        </is>
      </c>
      <c r="E10" s="47" t="inlineStr">
        <is>
          <t>9226</t>
        </is>
      </c>
      <c r="F10" s="52" t="inlineStr">
        <is>
          <t>01.09.EY</t>
        </is>
      </c>
      <c r="G10" s="47" t="inlineStr">
        <is>
          <t>170226-157</t>
        </is>
      </c>
      <c r="H10" s="52" t="inlineStr">
        <is>
          <t>070426-693</t>
        </is>
      </c>
      <c r="I10" s="47" t="inlineStr">
        <is>
          <t>20425</t>
        </is>
      </c>
      <c r="J10" s="52" t="inlineStr">
        <is>
          <t>2743063</t>
        </is>
      </c>
      <c r="K10" s="47" t="inlineStr">
        <is>
          <t>Eda Ayaz</t>
        </is>
      </c>
      <c r="L10" s="64" t="inlineStr">
        <is>
          <t>LOT BAĞI TAMAM</t>
        </is>
      </c>
      <c r="M10" s="3" t="n"/>
      <c r="N10" s="3" t="n"/>
      <c r="O10" s="3" t="n"/>
      <c r="P10" s="3" t="n"/>
      <c r="Q10" s="3" t="n"/>
      <c r="R10" s="3" t="n"/>
      <c r="S10" s="3" t="n"/>
      <c r="T10" s="3" t="n"/>
    </row>
    <row r="11" ht="15" customHeight="1">
      <c r="A11" s="47" t="inlineStr">
        <is>
          <t>17.06.2026</t>
        </is>
      </c>
      <c r="B11" s="52" t="inlineStr">
        <is>
          <t>270617</t>
        </is>
      </c>
      <c r="C11" s="47" t="inlineStr">
        <is>
          <t>251212</t>
        </is>
      </c>
      <c r="D11" s="52" t="inlineStr">
        <is>
          <t>58138875</t>
        </is>
      </c>
      <c r="E11" s="47" t="inlineStr">
        <is>
          <t>9226</t>
        </is>
      </c>
      <c r="F11" s="52" t="inlineStr">
        <is>
          <t>01.09.EY</t>
        </is>
      </c>
      <c r="G11" s="47" t="inlineStr">
        <is>
          <t>170226-157</t>
        </is>
      </c>
      <c r="H11" s="52" t="inlineStr">
        <is>
          <t>070426-693</t>
        </is>
      </c>
      <c r="I11" s="47" t="inlineStr">
        <is>
          <t>20425</t>
        </is>
      </c>
      <c r="J11" s="52" t="inlineStr">
        <is>
          <t>2743063</t>
        </is>
      </c>
      <c r="K11" s="47" t="inlineStr">
        <is>
          <t>Eda Ayaz</t>
        </is>
      </c>
      <c r="L11" s="64" t="inlineStr">
        <is>
          <t>LOT BAĞI TAMAM</t>
        </is>
      </c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15" customHeight="1">
      <c r="A12" s="47" t="inlineStr">
        <is>
          <t>23.06.2026</t>
        </is>
      </c>
      <c r="B12" s="52" t="inlineStr">
        <is>
          <t>270623</t>
        </is>
      </c>
      <c r="C12" s="47" t="inlineStr">
        <is>
          <t>251212</t>
        </is>
      </c>
      <c r="D12" s="52" t="inlineStr">
        <is>
          <t>58138875</t>
        </is>
      </c>
      <c r="E12" s="47" t="inlineStr">
        <is>
          <t>9226</t>
        </is>
      </c>
      <c r="F12" s="52" t="inlineStr">
        <is>
          <t>01.09.EY</t>
        </is>
      </c>
      <c r="G12" s="47" t="inlineStr">
        <is>
          <t>170226-157</t>
        </is>
      </c>
      <c r="H12" s="52" t="inlineStr">
        <is>
          <t>070426-693</t>
        </is>
      </c>
      <c r="I12" s="47" t="inlineStr">
        <is>
          <t>20425</t>
        </is>
      </c>
      <c r="J12" s="52" t="inlineStr">
        <is>
          <t>2743063</t>
        </is>
      </c>
      <c r="K12" s="47" t="inlineStr">
        <is>
          <t>Eda Ayaz</t>
        </is>
      </c>
      <c r="L12" s="64" t="inlineStr">
        <is>
          <t>LOT BAĞI TAMAM</t>
        </is>
      </c>
      <c r="M12" s="3" t="n"/>
      <c r="N12" s="3" t="n"/>
      <c r="O12" s="3" t="n"/>
      <c r="P12" s="3" t="n"/>
      <c r="Q12" s="3" t="n"/>
      <c r="R12" s="3" t="n"/>
      <c r="S12" s="3" t="n"/>
      <c r="T12" s="3" t="n"/>
    </row>
    <row r="13" ht="15" customHeight="1">
      <c r="A13" s="56" t="n"/>
      <c r="B13" s="58" t="n"/>
      <c r="C13" s="56" t="n"/>
      <c r="D13" s="58" t="n"/>
      <c r="E13" s="56" t="n"/>
      <c r="F13" s="58" t="n"/>
      <c r="G13" s="56" t="n"/>
      <c r="H13" s="58" t="n"/>
      <c r="I13" s="56" t="n"/>
      <c r="J13" s="58" t="n"/>
      <c r="K13" s="56" t="inlineStr">
        <is>
          <t>Eda Ayaz</t>
        </is>
      </c>
      <c r="L13" s="65" t="n"/>
      <c r="M13" s="3" t="n"/>
      <c r="N13" s="3" t="n"/>
      <c r="O13" s="3" t="n"/>
      <c r="P13" s="3" t="n"/>
      <c r="Q13" s="3" t="n"/>
      <c r="R13" s="3" t="n"/>
      <c r="S13" s="3" t="n"/>
      <c r="T13" s="3" t="n"/>
    </row>
    <row r="14" ht="15" customHeight="1">
      <c r="A14" s="56" t="n"/>
      <c r="B14" s="58" t="n"/>
      <c r="C14" s="56" t="n"/>
      <c r="D14" s="58" t="n"/>
      <c r="E14" s="56" t="n"/>
      <c r="F14" s="58" t="n"/>
      <c r="G14" s="56" t="n"/>
      <c r="H14" s="58" t="n"/>
      <c r="I14" s="56" t="n"/>
      <c r="J14" s="58" t="n"/>
      <c r="K14" s="56" t="inlineStr">
        <is>
          <t>Eda Ayaz</t>
        </is>
      </c>
      <c r="L14" s="65" t="n"/>
      <c r="M14" s="3" t="n"/>
      <c r="N14" s="3" t="n"/>
      <c r="O14" s="3" t="n"/>
      <c r="P14" s="3" t="n"/>
      <c r="Q14" s="3" t="n"/>
      <c r="R14" s="3" t="n"/>
      <c r="S14" s="3" t="n"/>
      <c r="T14" s="3" t="n"/>
    </row>
    <row r="15" ht="15" customHeight="1">
      <c r="A15" s="56" t="n"/>
      <c r="B15" s="58" t="n"/>
      <c r="C15" s="56" t="n"/>
      <c r="D15" s="58" t="n"/>
      <c r="E15" s="56" t="n"/>
      <c r="F15" s="58" t="n"/>
      <c r="G15" s="56" t="n"/>
      <c r="H15" s="58" t="n"/>
      <c r="I15" s="56" t="n"/>
      <c r="J15" s="58" t="n"/>
      <c r="K15" s="56" t="inlineStr">
        <is>
          <t>Eda Ayaz</t>
        </is>
      </c>
      <c r="L15" s="65" t="n"/>
      <c r="M15" s="3" t="n"/>
      <c r="N15" s="3" t="n"/>
      <c r="O15" s="3" t="n"/>
      <c r="P15" s="3" t="n"/>
      <c r="Q15" s="3" t="n"/>
      <c r="R15" s="3" t="n"/>
      <c r="S15" s="3" t="n"/>
      <c r="T15" s="3" t="n"/>
    </row>
    <row r="16" ht="15" customHeight="1">
      <c r="A16" s="56" t="n"/>
      <c r="B16" s="58" t="n"/>
      <c r="C16" s="56" t="n"/>
      <c r="D16" s="58" t="n"/>
      <c r="E16" s="56" t="n"/>
      <c r="F16" s="58" t="n"/>
      <c r="G16" s="56" t="n"/>
      <c r="H16" s="58" t="n"/>
      <c r="I16" s="56" t="n"/>
      <c r="J16" s="58" t="n"/>
      <c r="K16" s="56" t="inlineStr">
        <is>
          <t>Eda Ayaz</t>
        </is>
      </c>
      <c r="L16" s="65" t="n"/>
      <c r="M16" s="3" t="n"/>
      <c r="N16" s="3" t="n"/>
      <c r="O16" s="3" t="n"/>
      <c r="P16" s="3" t="n"/>
      <c r="Q16" s="3" t="n"/>
      <c r="R16" s="3" t="n"/>
      <c r="S16" s="3" t="n"/>
      <c r="T16" s="3" t="n"/>
    </row>
    <row r="17" ht="15" customHeight="1">
      <c r="A17" s="56" t="n"/>
      <c r="B17" s="58" t="n"/>
      <c r="C17" s="56" t="n"/>
      <c r="D17" s="58" t="n"/>
      <c r="E17" s="56" t="n"/>
      <c r="F17" s="58" t="n"/>
      <c r="G17" s="56" t="n"/>
      <c r="H17" s="58" t="n"/>
      <c r="I17" s="56" t="n"/>
      <c r="J17" s="58" t="n"/>
      <c r="K17" s="56" t="inlineStr">
        <is>
          <t>Eda Ayaz</t>
        </is>
      </c>
      <c r="L17" s="65" t="n"/>
      <c r="M17" s="3" t="n"/>
      <c r="N17" s="3" t="n"/>
      <c r="O17" s="3" t="n"/>
      <c r="P17" s="3" t="n"/>
      <c r="Q17" s="3" t="n"/>
      <c r="R17" s="3" t="n"/>
      <c r="S17" s="3" t="n"/>
      <c r="T17" s="3" t="n"/>
    </row>
    <row r="18" ht="15" customHeight="1">
      <c r="A18" s="56" t="n"/>
      <c r="B18" s="58" t="n"/>
      <c r="C18" s="56" t="n"/>
      <c r="D18" s="58" t="n"/>
      <c r="E18" s="56" t="n"/>
      <c r="F18" s="58" t="n"/>
      <c r="G18" s="56" t="n"/>
      <c r="H18" s="58" t="n"/>
      <c r="I18" s="56" t="n"/>
      <c r="J18" s="58" t="n"/>
      <c r="K18" s="56" t="inlineStr">
        <is>
          <t>Eda Ayaz</t>
        </is>
      </c>
      <c r="L18" s="65" t="n"/>
      <c r="M18" s="3" t="n"/>
      <c r="N18" s="3" t="n"/>
      <c r="O18" s="3" t="n"/>
      <c r="P18" s="3" t="n"/>
      <c r="Q18" s="3" t="n"/>
      <c r="R18" s="3" t="n"/>
      <c r="S18" s="3" t="n"/>
      <c r="T18" s="3" t="n"/>
    </row>
    <row r="19" ht="15" customHeight="1">
      <c r="A19" s="56" t="n"/>
      <c r="B19" s="58" t="n"/>
      <c r="C19" s="56" t="n"/>
      <c r="D19" s="58" t="n"/>
      <c r="E19" s="56" t="n"/>
      <c r="F19" s="58" t="n"/>
      <c r="G19" s="56" t="n"/>
      <c r="H19" s="58" t="n"/>
      <c r="I19" s="56" t="n"/>
      <c r="J19" s="58" t="n"/>
      <c r="K19" s="56" t="inlineStr">
        <is>
          <t>Eda Ayaz</t>
        </is>
      </c>
      <c r="L19" s="65" t="n"/>
      <c r="M19" s="3" t="n"/>
      <c r="N19" s="3" t="n"/>
      <c r="O19" s="3" t="n"/>
      <c r="P19" s="3" t="n"/>
      <c r="Q19" s="3" t="n"/>
      <c r="R19" s="3" t="n"/>
      <c r="S19" s="3" t="n"/>
      <c r="T19" s="3" t="n"/>
    </row>
    <row r="20" ht="15" customHeight="1">
      <c r="A20" s="56" t="n"/>
      <c r="B20" s="58" t="n"/>
      <c r="C20" s="56" t="n"/>
      <c r="D20" s="58" t="n"/>
      <c r="E20" s="56" t="n"/>
      <c r="F20" s="58" t="n"/>
      <c r="G20" s="56" t="n"/>
      <c r="H20" s="58" t="n"/>
      <c r="I20" s="56" t="n"/>
      <c r="J20" s="58" t="n"/>
      <c r="K20" s="56" t="inlineStr">
        <is>
          <t>Eda Ayaz</t>
        </is>
      </c>
      <c r="L20" s="65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 ht="15" customHeight="1">
      <c r="A21" s="56" t="n"/>
      <c r="B21" s="58" t="n"/>
      <c r="C21" s="56" t="n"/>
      <c r="D21" s="58" t="n"/>
      <c r="E21" s="56" t="n"/>
      <c r="F21" s="58" t="n"/>
      <c r="G21" s="56" t="n"/>
      <c r="H21" s="58" t="n"/>
      <c r="I21" s="56" t="n"/>
      <c r="J21" s="58" t="n"/>
      <c r="K21" s="56" t="inlineStr">
        <is>
          <t>Eda Ayaz</t>
        </is>
      </c>
      <c r="L21" s="65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 ht="15" customHeight="1">
      <c r="A22" s="56" t="n"/>
      <c r="B22" s="58" t="n"/>
      <c r="C22" s="56" t="n"/>
      <c r="D22" s="58" t="n"/>
      <c r="E22" s="56" t="n"/>
      <c r="F22" s="58" t="n"/>
      <c r="G22" s="56" t="n"/>
      <c r="H22" s="58" t="n"/>
      <c r="I22" s="56" t="n"/>
      <c r="J22" s="58" t="n"/>
      <c r="K22" s="56" t="inlineStr">
        <is>
          <t>Eda Ayaz</t>
        </is>
      </c>
      <c r="L22" s="65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 ht="15" customHeight="1">
      <c r="A23" s="56" t="n"/>
      <c r="B23" s="58" t="n"/>
      <c r="C23" s="56" t="n"/>
      <c r="D23" s="58" t="n"/>
      <c r="E23" s="56" t="n"/>
      <c r="F23" s="58" t="n"/>
      <c r="G23" s="56" t="n"/>
      <c r="H23" s="58" t="n"/>
      <c r="I23" s="56" t="n"/>
      <c r="J23" s="58" t="n"/>
      <c r="K23" s="56" t="inlineStr">
        <is>
          <t>Eda Ayaz</t>
        </is>
      </c>
      <c r="L23" s="65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 ht="15" customHeight="1">
      <c r="A24" s="56" t="n"/>
      <c r="B24" s="58" t="n"/>
      <c r="C24" s="56" t="n"/>
      <c r="D24" s="58" t="n"/>
      <c r="E24" s="56" t="n"/>
      <c r="F24" s="58" t="n"/>
      <c r="G24" s="56" t="n"/>
      <c r="H24" s="58" t="n"/>
      <c r="I24" s="56" t="n"/>
      <c r="J24" s="58" t="n"/>
      <c r="K24" s="56" t="inlineStr">
        <is>
          <t>Eda Ayaz</t>
        </is>
      </c>
      <c r="L24" s="65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 ht="15" customHeight="1">
      <c r="A25" s="56" t="n"/>
      <c r="B25" s="58" t="n"/>
      <c r="C25" s="56" t="n"/>
      <c r="D25" s="58" t="n"/>
      <c r="E25" s="56" t="n"/>
      <c r="F25" s="58" t="n"/>
      <c r="G25" s="56" t="n"/>
      <c r="H25" s="58" t="n"/>
      <c r="I25" s="56" t="n"/>
      <c r="J25" s="58" t="n"/>
      <c r="K25" s="56" t="inlineStr">
        <is>
          <t>Eda Ayaz</t>
        </is>
      </c>
      <c r="L25" s="65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 ht="15" customHeight="1">
      <c r="A26" s="56" t="n"/>
      <c r="B26" s="58" t="n"/>
      <c r="C26" s="56" t="n"/>
      <c r="D26" s="58" t="n"/>
      <c r="E26" s="56" t="n"/>
      <c r="F26" s="58" t="n"/>
      <c r="G26" s="56" t="n"/>
      <c r="H26" s="58" t="n"/>
      <c r="I26" s="56" t="n"/>
      <c r="J26" s="58" t="n"/>
      <c r="K26" s="56" t="inlineStr">
        <is>
          <t>Eda Ayaz</t>
        </is>
      </c>
      <c r="L26" s="65" t="n"/>
      <c r="M26" s="3" t="n"/>
      <c r="N26" s="3" t="n"/>
      <c r="O26" s="3" t="n"/>
      <c r="P26" s="3" t="n"/>
      <c r="Q26" s="3" t="n"/>
      <c r="R26" s="3" t="n"/>
      <c r="S26" s="3" t="n"/>
      <c r="T26" s="3" t="n"/>
    </row>
    <row r="27" ht="15" customHeight="1">
      <c r="A27" s="56" t="n"/>
      <c r="B27" s="58" t="n"/>
      <c r="C27" s="56" t="n"/>
      <c r="D27" s="58" t="n"/>
      <c r="E27" s="56" t="n"/>
      <c r="F27" s="58" t="n"/>
      <c r="G27" s="56" t="n"/>
      <c r="H27" s="58" t="n"/>
      <c r="I27" s="56" t="n"/>
      <c r="J27" s="58" t="n"/>
      <c r="K27" s="56" t="inlineStr">
        <is>
          <t>Eda Ayaz</t>
        </is>
      </c>
      <c r="L27" s="65" t="n"/>
      <c r="M27" s="3" t="n"/>
      <c r="N27" s="3" t="n"/>
      <c r="O27" s="3" t="n"/>
      <c r="P27" s="3" t="n"/>
      <c r="Q27" s="3" t="n"/>
      <c r="R27" s="3" t="n"/>
      <c r="S27" s="3" t="n"/>
      <c r="T27" s="3" t="n"/>
    </row>
    <row r="28" ht="15" customHeight="1">
      <c r="A28" s="56" t="n"/>
      <c r="B28" s="58" t="n"/>
      <c r="C28" s="56" t="n"/>
      <c r="D28" s="58" t="n"/>
      <c r="E28" s="56" t="n"/>
      <c r="F28" s="58" t="n"/>
      <c r="G28" s="56" t="n"/>
      <c r="H28" s="58" t="n"/>
      <c r="I28" s="56" t="n"/>
      <c r="J28" s="58" t="n"/>
      <c r="K28" s="56" t="inlineStr">
        <is>
          <t>Eda Ayaz</t>
        </is>
      </c>
      <c r="L28" s="65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 ht="15" customHeight="1">
      <c r="A29" s="56" t="n"/>
      <c r="B29" s="58" t="n"/>
      <c r="C29" s="56" t="n"/>
      <c r="D29" s="58" t="n"/>
      <c r="E29" s="56" t="n"/>
      <c r="F29" s="58" t="n"/>
      <c r="G29" s="56" t="n"/>
      <c r="H29" s="58" t="n"/>
      <c r="I29" s="56" t="n"/>
      <c r="J29" s="58" t="n"/>
      <c r="K29" s="56" t="inlineStr">
        <is>
          <t>Eda Ayaz</t>
        </is>
      </c>
      <c r="L29" s="65" t="n"/>
      <c r="M29" s="3" t="n"/>
      <c r="N29" s="3" t="n"/>
      <c r="O29" s="3" t="n"/>
      <c r="P29" s="3" t="n"/>
      <c r="Q29" s="3" t="n"/>
      <c r="R29" s="3" t="n"/>
      <c r="S29" s="3" t="n"/>
      <c r="T29" s="3" t="n"/>
    </row>
    <row r="30" ht="15" customHeight="1">
      <c r="A30" s="56" t="n"/>
      <c r="B30" s="58" t="n"/>
      <c r="C30" s="56" t="n"/>
      <c r="D30" s="58" t="n"/>
      <c r="E30" s="56" t="n"/>
      <c r="F30" s="58" t="n"/>
      <c r="G30" s="56" t="n"/>
      <c r="H30" s="58" t="n"/>
      <c r="I30" s="56" t="n"/>
      <c r="J30" s="58" t="n"/>
      <c r="K30" s="56" t="inlineStr">
        <is>
          <t>Eda Ayaz</t>
        </is>
      </c>
      <c r="L30" s="65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 ht="15" customHeight="1">
      <c r="A31" s="56" t="n"/>
      <c r="B31" s="58" t="n"/>
      <c r="C31" s="56" t="n"/>
      <c r="D31" s="58" t="n"/>
      <c r="E31" s="56" t="n"/>
      <c r="F31" s="58" t="n"/>
      <c r="G31" s="56" t="n"/>
      <c r="H31" s="58" t="n"/>
      <c r="I31" s="56" t="n"/>
      <c r="J31" s="58" t="n"/>
      <c r="K31" s="56" t="inlineStr">
        <is>
          <t>Eda Ayaz</t>
        </is>
      </c>
      <c r="L31" s="65" t="n"/>
      <c r="M31" s="3" t="n"/>
      <c r="N31" s="3" t="n"/>
      <c r="O31" s="3" t="n"/>
      <c r="P31" s="3" t="n"/>
      <c r="Q31" s="3" t="n"/>
      <c r="R31" s="3" t="n"/>
      <c r="S31" s="3" t="n"/>
      <c r="T31" s="3" t="n"/>
    </row>
    <row r="32" ht="15" customHeight="1">
      <c r="A32" s="56" t="n"/>
      <c r="B32" s="58" t="n"/>
      <c r="C32" s="56" t="n"/>
      <c r="D32" s="58" t="n"/>
      <c r="E32" s="56" t="n"/>
      <c r="F32" s="58" t="n"/>
      <c r="G32" s="56" t="n"/>
      <c r="H32" s="58" t="n"/>
      <c r="I32" s="56" t="n"/>
      <c r="J32" s="58" t="n"/>
      <c r="K32" s="56" t="inlineStr">
        <is>
          <t>Eda Ayaz</t>
        </is>
      </c>
      <c r="L32" s="65" t="n"/>
      <c r="M32" s="3" t="n"/>
      <c r="N32" s="3" t="n"/>
      <c r="O32" s="3" t="n"/>
      <c r="P32" s="3" t="n"/>
      <c r="Q32" s="3" t="n"/>
      <c r="R32" s="3" t="n"/>
      <c r="S32" s="3" t="n"/>
      <c r="T32" s="3" t="n"/>
    </row>
    <row r="33" ht="15" customHeight="1">
      <c r="A33" s="56" t="n"/>
      <c r="B33" s="58" t="n"/>
      <c r="C33" s="56" t="n"/>
      <c r="D33" s="58" t="n"/>
      <c r="E33" s="56" t="n"/>
      <c r="F33" s="58" t="n"/>
      <c r="G33" s="56" t="n"/>
      <c r="H33" s="58" t="n"/>
      <c r="I33" s="56" t="n"/>
      <c r="J33" s="58" t="n"/>
      <c r="K33" s="56" t="inlineStr">
        <is>
          <t>Eda Ayaz</t>
        </is>
      </c>
      <c r="L33" s="65" t="n"/>
      <c r="M33" s="3" t="n"/>
      <c r="N33" s="3" t="n"/>
      <c r="O33" s="3" t="n"/>
      <c r="P33" s="3" t="n"/>
      <c r="Q33" s="3" t="n"/>
      <c r="R33" s="3" t="n"/>
      <c r="S33" s="3" t="n"/>
      <c r="T33" s="3" t="n"/>
    </row>
    <row r="34" ht="15" customHeight="1">
      <c r="A34" s="56" t="n"/>
      <c r="B34" s="58" t="n"/>
      <c r="C34" s="56" t="n"/>
      <c r="D34" s="58" t="n"/>
      <c r="E34" s="56" t="n"/>
      <c r="F34" s="58" t="n"/>
      <c r="G34" s="56" t="n"/>
      <c r="H34" s="58" t="n"/>
      <c r="I34" s="56" t="n"/>
      <c r="J34" s="58" t="n"/>
      <c r="K34" s="56" t="inlineStr">
        <is>
          <t>Eda Ayaz</t>
        </is>
      </c>
      <c r="L34" s="65" t="n"/>
      <c r="M34" s="3" t="n"/>
      <c r="N34" s="3" t="n"/>
      <c r="O34" s="3" t="n"/>
      <c r="P34" s="3" t="n"/>
      <c r="Q34" s="3" t="n"/>
      <c r="R34" s="3" t="n"/>
      <c r="S34" s="3" t="n"/>
      <c r="T34" s="3" t="n"/>
    </row>
    <row r="35" ht="15" customHeight="1">
      <c r="A35" s="56" t="n"/>
      <c r="B35" s="58" t="n"/>
      <c r="C35" s="56" t="n"/>
      <c r="D35" s="58" t="n"/>
      <c r="E35" s="56" t="n"/>
      <c r="F35" s="58" t="n"/>
      <c r="G35" s="56" t="n"/>
      <c r="H35" s="58" t="n"/>
      <c r="I35" s="56" t="n"/>
      <c r="J35" s="58" t="n"/>
      <c r="K35" s="56" t="inlineStr">
        <is>
          <t>Eda Ayaz</t>
        </is>
      </c>
      <c r="L35" s="65" t="n"/>
      <c r="M35" s="3" t="n"/>
      <c r="N35" s="3" t="n"/>
      <c r="O35" s="3" t="n"/>
      <c r="P35" s="3" t="n"/>
      <c r="Q35" s="3" t="n"/>
      <c r="R35" s="3" t="n"/>
      <c r="S35" s="3" t="n"/>
      <c r="T35" s="3" t="n"/>
    </row>
    <row r="36" ht="15" customHeight="1">
      <c r="A36" s="56" t="n"/>
      <c r="B36" s="58" t="n"/>
      <c r="C36" s="56" t="n"/>
      <c r="D36" s="58" t="n"/>
      <c r="E36" s="56" t="n"/>
      <c r="F36" s="58" t="n"/>
      <c r="G36" s="56" t="n"/>
      <c r="H36" s="58" t="n"/>
      <c r="I36" s="56" t="n"/>
      <c r="J36" s="58" t="n"/>
      <c r="K36" s="56" t="inlineStr">
        <is>
          <t>Eda Ayaz</t>
        </is>
      </c>
      <c r="L36" s="65" t="n"/>
      <c r="M36" s="3" t="n"/>
      <c r="N36" s="3" t="n"/>
      <c r="O36" s="3" t="n"/>
      <c r="P36" s="3" t="n"/>
      <c r="Q36" s="3" t="n"/>
      <c r="R36" s="3" t="n"/>
      <c r="S36" s="3" t="n"/>
      <c r="T36" s="3" t="n"/>
    </row>
    <row r="37" ht="15" customHeight="1">
      <c r="A37" s="56" t="n"/>
      <c r="B37" s="58" t="n"/>
      <c r="C37" s="56" t="n"/>
      <c r="D37" s="58" t="n"/>
      <c r="E37" s="56" t="n"/>
      <c r="F37" s="58" t="n"/>
      <c r="G37" s="56" t="n"/>
      <c r="H37" s="58" t="n"/>
      <c r="I37" s="56" t="n"/>
      <c r="J37" s="58" t="n"/>
      <c r="K37" s="56" t="inlineStr">
        <is>
          <t>Eda Ayaz</t>
        </is>
      </c>
      <c r="L37" s="65" t="n"/>
      <c r="M37" s="3" t="n"/>
      <c r="N37" s="3" t="n"/>
      <c r="O37" s="3" t="n"/>
      <c r="P37" s="3" t="n"/>
      <c r="Q37" s="3" t="n"/>
      <c r="R37" s="3" t="n"/>
      <c r="S37" s="3" t="n"/>
      <c r="T37" s="3" t="n"/>
    </row>
    <row r="38" ht="15" customHeight="1">
      <c r="A38" s="56" t="n"/>
      <c r="B38" s="58" t="n"/>
      <c r="C38" s="56" t="n"/>
      <c r="D38" s="58" t="n"/>
      <c r="E38" s="56" t="n"/>
      <c r="F38" s="58" t="n"/>
      <c r="G38" s="56" t="n"/>
      <c r="H38" s="58" t="n"/>
      <c r="I38" s="56" t="n"/>
      <c r="J38" s="58" t="n"/>
      <c r="K38" s="56" t="inlineStr">
        <is>
          <t>Eda Ayaz</t>
        </is>
      </c>
      <c r="L38" s="65" t="n"/>
      <c r="M38" s="3" t="n"/>
      <c r="N38" s="3" t="n"/>
      <c r="O38" s="3" t="n"/>
      <c r="P38" s="3" t="n"/>
      <c r="Q38" s="3" t="n"/>
      <c r="R38" s="3" t="n"/>
      <c r="S38" s="3" t="n"/>
      <c r="T38" s="3" t="n"/>
    </row>
    <row r="39" ht="15" customHeight="1">
      <c r="A39" s="56" t="n"/>
      <c r="B39" s="58" t="n"/>
      <c r="C39" s="56" t="n"/>
      <c r="D39" s="58" t="n"/>
      <c r="E39" s="56" t="n"/>
      <c r="F39" s="58" t="n"/>
      <c r="G39" s="56" t="n"/>
      <c r="H39" s="58" t="n"/>
      <c r="I39" s="56" t="n"/>
      <c r="J39" s="58" t="n"/>
      <c r="K39" s="56" t="inlineStr">
        <is>
          <t>Eda Ayaz</t>
        </is>
      </c>
      <c r="L39" s="65" t="n"/>
      <c r="M39" s="3" t="n"/>
      <c r="N39" s="3" t="n"/>
      <c r="O39" s="3" t="n"/>
      <c r="P39" s="3" t="n"/>
      <c r="Q39" s="3" t="n"/>
      <c r="R39" s="3" t="n"/>
      <c r="S39" s="3" t="n"/>
      <c r="T39" s="3" t="n"/>
    </row>
    <row r="40" ht="15" customHeight="1">
      <c r="A40" s="56" t="n"/>
      <c r="B40" s="58" t="n"/>
      <c r="C40" s="56" t="n"/>
      <c r="D40" s="58" t="n"/>
      <c r="E40" s="56" t="n"/>
      <c r="F40" s="58" t="n"/>
      <c r="G40" s="56" t="n"/>
      <c r="H40" s="58" t="n"/>
      <c r="I40" s="56" t="n"/>
      <c r="J40" s="58" t="n"/>
      <c r="K40" s="56" t="inlineStr">
        <is>
          <t>Eda Ayaz</t>
        </is>
      </c>
      <c r="L40" s="65" t="n"/>
      <c r="M40" s="3" t="n"/>
      <c r="N40" s="3" t="n"/>
      <c r="O40" s="3" t="n"/>
      <c r="P40" s="3" t="n"/>
      <c r="Q40" s="3" t="n"/>
      <c r="R40" s="3" t="n"/>
      <c r="S40" s="3" t="n"/>
      <c r="T40" s="3" t="n"/>
    </row>
    <row r="41" ht="15" customHeight="1">
      <c r="A41" s="56" t="n"/>
      <c r="B41" s="58" t="n"/>
      <c r="C41" s="56" t="n"/>
      <c r="D41" s="58" t="n"/>
      <c r="E41" s="56" t="n"/>
      <c r="F41" s="58" t="n"/>
      <c r="G41" s="56" t="n"/>
      <c r="H41" s="58" t="n"/>
      <c r="I41" s="56" t="n"/>
      <c r="J41" s="58" t="n"/>
      <c r="K41" s="56" t="inlineStr">
        <is>
          <t>Eda Ayaz</t>
        </is>
      </c>
      <c r="L41" s="65" t="n"/>
      <c r="M41" s="3" t="n"/>
      <c r="N41" s="3" t="n"/>
      <c r="O41" s="3" t="n"/>
      <c r="P41" s="3" t="n"/>
      <c r="Q41" s="3" t="n"/>
      <c r="R41" s="3" t="n"/>
      <c r="S41" s="3" t="n"/>
      <c r="T41" s="3" t="n"/>
    </row>
    <row r="42" ht="15" customHeight="1">
      <c r="A42" s="56" t="n"/>
      <c r="B42" s="58" t="n"/>
      <c r="C42" s="56" t="n"/>
      <c r="D42" s="58" t="n"/>
      <c r="E42" s="56" t="n"/>
      <c r="F42" s="58" t="n"/>
      <c r="G42" s="56" t="n"/>
      <c r="H42" s="58" t="n"/>
      <c r="I42" s="56" t="n"/>
      <c r="J42" s="58" t="n"/>
      <c r="K42" s="56" t="inlineStr">
        <is>
          <t>Eda Ayaz</t>
        </is>
      </c>
      <c r="L42" s="65" t="n"/>
      <c r="M42" s="3" t="n"/>
      <c r="N42" s="3" t="n"/>
      <c r="O42" s="3" t="n"/>
      <c r="P42" s="3" t="n"/>
      <c r="Q42" s="3" t="n"/>
      <c r="R42" s="3" t="n"/>
      <c r="S42" s="3" t="n"/>
      <c r="T42" s="3" t="n"/>
    </row>
    <row r="43" ht="15" customHeight="1">
      <c r="A43" s="56" t="n"/>
      <c r="B43" s="58" t="n"/>
      <c r="C43" s="56" t="n"/>
      <c r="D43" s="58" t="n"/>
      <c r="E43" s="56" t="n"/>
      <c r="F43" s="58" t="n"/>
      <c r="G43" s="56" t="n"/>
      <c r="H43" s="58" t="n"/>
      <c r="I43" s="56" t="n"/>
      <c r="J43" s="58" t="n"/>
      <c r="K43" s="56" t="inlineStr">
        <is>
          <t>Eda Ayaz</t>
        </is>
      </c>
      <c r="L43" s="65" t="n"/>
      <c r="M43" s="3" t="n"/>
      <c r="N43" s="3" t="n"/>
      <c r="O43" s="3" t="n"/>
      <c r="P43" s="3" t="n"/>
      <c r="Q43" s="3" t="n"/>
      <c r="R43" s="3" t="n"/>
      <c r="S43" s="3" t="n"/>
      <c r="T43" s="3" t="n"/>
    </row>
    <row r="44" ht="15" customHeight="1">
      <c r="A44" s="56" t="n"/>
      <c r="B44" s="58" t="n"/>
      <c r="C44" s="56" t="n"/>
      <c r="D44" s="58" t="n"/>
      <c r="E44" s="56" t="n"/>
      <c r="F44" s="58" t="n"/>
      <c r="G44" s="56" t="n"/>
      <c r="H44" s="58" t="n"/>
      <c r="I44" s="56" t="n"/>
      <c r="J44" s="58" t="n"/>
      <c r="K44" s="56" t="inlineStr">
        <is>
          <t>Eda Ayaz</t>
        </is>
      </c>
      <c r="L44" s="65" t="n"/>
      <c r="M44" s="3" t="n"/>
      <c r="N44" s="3" t="n"/>
      <c r="O44" s="3" t="n"/>
      <c r="P44" s="3" t="n"/>
      <c r="Q44" s="3" t="n"/>
      <c r="R44" s="3" t="n"/>
      <c r="S44" s="3" t="n"/>
      <c r="T44" s="3" t="n"/>
    </row>
    <row r="45" ht="15" customHeight="1">
      <c r="A45" s="56" t="n"/>
      <c r="B45" s="58" t="n"/>
      <c r="C45" s="56" t="n"/>
      <c r="D45" s="58" t="n"/>
      <c r="E45" s="56" t="n"/>
      <c r="F45" s="58" t="n"/>
      <c r="G45" s="56" t="n"/>
      <c r="H45" s="58" t="n"/>
      <c r="I45" s="56" t="n"/>
      <c r="J45" s="58" t="n"/>
      <c r="K45" s="56" t="inlineStr">
        <is>
          <t>Eda Ayaz</t>
        </is>
      </c>
      <c r="L45" s="65" t="n"/>
      <c r="M45" s="3" t="n"/>
      <c r="N45" s="3" t="n"/>
      <c r="O45" s="3" t="n"/>
      <c r="P45" s="3" t="n"/>
      <c r="Q45" s="3" t="n"/>
      <c r="R45" s="3" t="n"/>
      <c r="S45" s="3" t="n"/>
      <c r="T45" s="3" t="n"/>
    </row>
    <row r="46" ht="15" customHeight="1">
      <c r="A46" s="56" t="n"/>
      <c r="B46" s="58" t="n"/>
      <c r="C46" s="56" t="n"/>
      <c r="D46" s="58" t="n"/>
      <c r="E46" s="56" t="n"/>
      <c r="F46" s="58" t="n"/>
      <c r="G46" s="56" t="n"/>
      <c r="H46" s="58" t="n"/>
      <c r="I46" s="56" t="n"/>
      <c r="J46" s="58" t="n"/>
      <c r="K46" s="56" t="inlineStr">
        <is>
          <t>Eda Ayaz</t>
        </is>
      </c>
      <c r="L46" s="65" t="n"/>
      <c r="M46" s="3" t="n"/>
      <c r="N46" s="3" t="n"/>
      <c r="O46" s="3" t="n"/>
      <c r="P46" s="3" t="n"/>
      <c r="Q46" s="3" t="n"/>
      <c r="R46" s="3" t="n"/>
      <c r="S46" s="3" t="n"/>
      <c r="T46" s="3" t="n"/>
    </row>
    <row r="47" ht="15" customHeight="1">
      <c r="A47" s="56" t="n"/>
      <c r="B47" s="58" t="n"/>
      <c r="C47" s="56" t="n"/>
      <c r="D47" s="58" t="n"/>
      <c r="E47" s="56" t="n"/>
      <c r="F47" s="58" t="n"/>
      <c r="G47" s="56" t="n"/>
      <c r="H47" s="58" t="n"/>
      <c r="I47" s="56" t="n"/>
      <c r="J47" s="58" t="n"/>
      <c r="K47" s="56" t="inlineStr">
        <is>
          <t>Eda Ayaz</t>
        </is>
      </c>
      <c r="L47" s="65" t="n"/>
      <c r="M47" s="3" t="n"/>
      <c r="N47" s="3" t="n"/>
      <c r="O47" s="3" t="n"/>
      <c r="P47" s="3" t="n"/>
      <c r="Q47" s="3" t="n"/>
      <c r="R47" s="3" t="n"/>
      <c r="S47" s="3" t="n"/>
      <c r="T47" s="3" t="n"/>
    </row>
    <row r="48" ht="15" customHeight="1">
      <c r="A48" s="56" t="n"/>
      <c r="B48" s="58" t="n"/>
      <c r="C48" s="56" t="n"/>
      <c r="D48" s="58" t="n"/>
      <c r="E48" s="56" t="n"/>
      <c r="F48" s="58" t="n"/>
      <c r="G48" s="56" t="n"/>
      <c r="H48" s="58" t="n"/>
      <c r="I48" s="56" t="n"/>
      <c r="J48" s="58" t="n"/>
      <c r="K48" s="56" t="inlineStr">
        <is>
          <t>Eda Ayaz</t>
        </is>
      </c>
      <c r="L48" s="65" t="n"/>
      <c r="M48" s="3" t="n"/>
      <c r="N48" s="3" t="n"/>
      <c r="O48" s="3" t="n"/>
      <c r="P48" s="3" t="n"/>
      <c r="Q48" s="3" t="n"/>
      <c r="R48" s="3" t="n"/>
      <c r="S48" s="3" t="n"/>
      <c r="T48" s="3" t="n"/>
    </row>
    <row r="49" ht="15" customHeight="1">
      <c r="A49" s="56" t="n"/>
      <c r="B49" s="58" t="n"/>
      <c r="C49" s="56" t="n"/>
      <c r="D49" s="58" t="n"/>
      <c r="E49" s="56" t="n"/>
      <c r="F49" s="58" t="n"/>
      <c r="G49" s="56" t="n"/>
      <c r="H49" s="58" t="n"/>
      <c r="I49" s="56" t="n"/>
      <c r="J49" s="58" t="n"/>
      <c r="K49" s="56" t="inlineStr">
        <is>
          <t>Eda Ayaz</t>
        </is>
      </c>
      <c r="L49" s="65" t="n"/>
      <c r="M49" s="3" t="n"/>
      <c r="N49" s="3" t="n"/>
      <c r="O49" s="3" t="n"/>
      <c r="P49" s="3" t="n"/>
      <c r="Q49" s="3" t="n"/>
      <c r="R49" s="3" t="n"/>
      <c r="S49" s="3" t="n"/>
      <c r="T49" s="3" t="n"/>
    </row>
    <row r="50" ht="15" customHeight="1">
      <c r="A50" s="56" t="n"/>
      <c r="B50" s="58" t="n"/>
      <c r="C50" s="56" t="n"/>
      <c r="D50" s="58" t="n"/>
      <c r="E50" s="56" t="n"/>
      <c r="F50" s="58" t="n"/>
      <c r="G50" s="56" t="n"/>
      <c r="H50" s="58" t="n"/>
      <c r="I50" s="56" t="n"/>
      <c r="J50" s="58" t="n"/>
      <c r="K50" s="56" t="inlineStr">
        <is>
          <t>Eda Ayaz</t>
        </is>
      </c>
      <c r="L50" s="65" t="n"/>
      <c r="M50" s="3" t="n"/>
      <c r="N50" s="3" t="n"/>
      <c r="O50" s="3" t="n"/>
      <c r="P50" s="3" t="n"/>
      <c r="Q50" s="3" t="n"/>
      <c r="R50" s="3" t="n"/>
      <c r="S50" s="3" t="n"/>
      <c r="T50" s="3" t="n"/>
    </row>
    <row r="51" ht="15" customHeight="1">
      <c r="A51" s="56" t="n"/>
      <c r="B51" s="58" t="n"/>
      <c r="C51" s="56" t="n"/>
      <c r="D51" s="58" t="n"/>
      <c r="E51" s="56" t="n"/>
      <c r="F51" s="58" t="n"/>
      <c r="G51" s="56" t="n"/>
      <c r="H51" s="58" t="n"/>
      <c r="I51" s="56" t="n"/>
      <c r="J51" s="58" t="n"/>
      <c r="K51" s="56" t="inlineStr">
        <is>
          <t>Eda Ayaz</t>
        </is>
      </c>
      <c r="L51" s="65" t="n"/>
      <c r="M51" s="3" t="n"/>
      <c r="N51" s="3" t="n"/>
      <c r="O51" s="3" t="n"/>
      <c r="P51" s="3" t="n"/>
      <c r="Q51" s="3" t="n"/>
      <c r="R51" s="3" t="n"/>
      <c r="S51" s="3" t="n"/>
      <c r="T51" s="3" t="n"/>
    </row>
    <row r="52" ht="15" customHeight="1">
      <c r="A52" s="56" t="n"/>
      <c r="B52" s="58" t="n"/>
      <c r="C52" s="56" t="n"/>
      <c r="D52" s="58" t="n"/>
      <c r="E52" s="56" t="n"/>
      <c r="F52" s="58" t="n"/>
      <c r="G52" s="56" t="n"/>
      <c r="H52" s="58" t="n"/>
      <c r="I52" s="56" t="n"/>
      <c r="J52" s="58" t="n"/>
      <c r="K52" s="56" t="inlineStr">
        <is>
          <t>Eda Ayaz</t>
        </is>
      </c>
      <c r="L52" s="65" t="n"/>
      <c r="M52" s="3" t="n"/>
      <c r="N52" s="3" t="n"/>
      <c r="O52" s="3" t="n"/>
      <c r="P52" s="3" t="n"/>
      <c r="Q52" s="3" t="n"/>
      <c r="R52" s="3" t="n"/>
      <c r="S52" s="3" t="n"/>
      <c r="T52" s="3" t="n"/>
    </row>
    <row r="53" ht="15" customHeight="1">
      <c r="A53" s="56" t="n"/>
      <c r="B53" s="58" t="n"/>
      <c r="C53" s="56" t="n"/>
      <c r="D53" s="58" t="n"/>
      <c r="E53" s="56" t="n"/>
      <c r="F53" s="58" t="n"/>
      <c r="G53" s="56" t="n"/>
      <c r="H53" s="58" t="n"/>
      <c r="I53" s="56" t="n"/>
      <c r="J53" s="58" t="n"/>
      <c r="K53" s="56" t="inlineStr">
        <is>
          <t>Eda Ayaz</t>
        </is>
      </c>
      <c r="L53" s="65" t="n"/>
      <c r="M53" s="3" t="n"/>
      <c r="N53" s="3" t="n"/>
      <c r="O53" s="3" t="n"/>
      <c r="P53" s="3" t="n"/>
      <c r="Q53" s="3" t="n"/>
      <c r="R53" s="3" t="n"/>
      <c r="S53" s="3" t="n"/>
      <c r="T53" s="3" t="n"/>
    </row>
    <row r="54" ht="15" customHeight="1">
      <c r="A54" s="56" t="n"/>
      <c r="B54" s="58" t="n"/>
      <c r="C54" s="56" t="n"/>
      <c r="D54" s="58" t="n"/>
      <c r="E54" s="56" t="n"/>
      <c r="F54" s="58" t="n"/>
      <c r="G54" s="56" t="n"/>
      <c r="H54" s="58" t="n"/>
      <c r="I54" s="56" t="n"/>
      <c r="J54" s="58" t="n"/>
      <c r="K54" s="56" t="inlineStr">
        <is>
          <t>Eda Ayaz</t>
        </is>
      </c>
      <c r="L54" s="65" t="n"/>
      <c r="M54" s="3" t="n"/>
      <c r="N54" s="3" t="n"/>
      <c r="O54" s="3" t="n"/>
      <c r="P54" s="3" t="n"/>
      <c r="Q54" s="3" t="n"/>
      <c r="R54" s="3" t="n"/>
      <c r="S54" s="3" t="n"/>
      <c r="T54" s="3" t="n"/>
    </row>
    <row r="55" ht="15" customHeight="1">
      <c r="A55" s="56" t="n"/>
      <c r="B55" s="58" t="n"/>
      <c r="C55" s="56" t="n"/>
      <c r="D55" s="58" t="n"/>
      <c r="E55" s="56" t="n"/>
      <c r="F55" s="58" t="n"/>
      <c r="G55" s="56" t="n"/>
      <c r="H55" s="58" t="n"/>
      <c r="I55" s="56" t="n"/>
      <c r="J55" s="58" t="n"/>
      <c r="K55" s="56" t="inlineStr">
        <is>
          <t>Eda Ayaz</t>
        </is>
      </c>
      <c r="L55" s="65" t="n"/>
      <c r="M55" s="3" t="n"/>
      <c r="N55" s="3" t="n"/>
      <c r="O55" s="3" t="n"/>
      <c r="P55" s="3" t="n"/>
      <c r="Q55" s="3" t="n"/>
      <c r="R55" s="3" t="n"/>
      <c r="S55" s="3" t="n"/>
      <c r="T55" s="3" t="n"/>
    </row>
    <row r="56" ht="15" customHeight="1">
      <c r="A56" s="56" t="n"/>
      <c r="B56" s="58" t="n"/>
      <c r="C56" s="56" t="n"/>
      <c r="D56" s="58" t="n"/>
      <c r="E56" s="56" t="n"/>
      <c r="F56" s="58" t="n"/>
      <c r="G56" s="56" t="n"/>
      <c r="H56" s="58" t="n"/>
      <c r="I56" s="56" t="n"/>
      <c r="J56" s="58" t="n"/>
      <c r="K56" s="56" t="inlineStr">
        <is>
          <t>Eda Ayaz</t>
        </is>
      </c>
      <c r="L56" s="65" t="n"/>
      <c r="M56" s="3" t="n"/>
      <c r="N56" s="3" t="n"/>
      <c r="O56" s="3" t="n"/>
      <c r="P56" s="3" t="n"/>
      <c r="Q56" s="3" t="n"/>
      <c r="R56" s="3" t="n"/>
      <c r="S56" s="3" t="n"/>
      <c r="T56" s="3" t="n"/>
    </row>
    <row r="57" ht="15" customHeight="1">
      <c r="A57" s="56" t="n"/>
      <c r="B57" s="58" t="n"/>
      <c r="C57" s="56" t="n"/>
      <c r="D57" s="58" t="n"/>
      <c r="E57" s="56" t="n"/>
      <c r="F57" s="58" t="n"/>
      <c r="G57" s="56" t="n"/>
      <c r="H57" s="58" t="n"/>
      <c r="I57" s="56" t="n"/>
      <c r="J57" s="58" t="n"/>
      <c r="K57" s="56" t="inlineStr">
        <is>
          <t>Eda Ayaz</t>
        </is>
      </c>
      <c r="L57" s="65" t="n"/>
      <c r="M57" s="3" t="n"/>
      <c r="N57" s="3" t="n"/>
      <c r="O57" s="3" t="n"/>
      <c r="P57" s="3" t="n"/>
      <c r="Q57" s="3" t="n"/>
      <c r="R57" s="3" t="n"/>
      <c r="S57" s="3" t="n"/>
      <c r="T57" s="3" t="n"/>
    </row>
    <row r="58" ht="15" customHeight="1">
      <c r="A58" s="56" t="n"/>
      <c r="B58" s="58" t="n"/>
      <c r="C58" s="56" t="n"/>
      <c r="D58" s="58" t="n"/>
      <c r="E58" s="56" t="n"/>
      <c r="F58" s="58" t="n"/>
      <c r="G58" s="56" t="n"/>
      <c r="H58" s="58" t="n"/>
      <c r="I58" s="56" t="n"/>
      <c r="J58" s="58" t="n"/>
      <c r="K58" s="56" t="inlineStr">
        <is>
          <t>Eda Ayaz</t>
        </is>
      </c>
      <c r="L58" s="65" t="n"/>
      <c r="M58" s="3" t="n"/>
      <c r="N58" s="3" t="n"/>
      <c r="O58" s="3" t="n"/>
      <c r="P58" s="3" t="n"/>
      <c r="Q58" s="3" t="n"/>
      <c r="R58" s="3" t="n"/>
      <c r="S58" s="3" t="n"/>
      <c r="T58" s="3" t="n"/>
    </row>
    <row r="59" ht="15" customHeight="1">
      <c r="A59" s="56" t="n"/>
      <c r="B59" s="58" t="n"/>
      <c r="C59" s="56" t="n"/>
      <c r="D59" s="58" t="n"/>
      <c r="E59" s="56" t="n"/>
      <c r="F59" s="58" t="n"/>
      <c r="G59" s="56" t="n"/>
      <c r="H59" s="58" t="n"/>
      <c r="I59" s="56" t="n"/>
      <c r="J59" s="58" t="n"/>
      <c r="K59" s="56" t="inlineStr">
        <is>
          <t>Eda Ayaz</t>
        </is>
      </c>
      <c r="L59" s="65" t="n"/>
      <c r="M59" s="3" t="n"/>
      <c r="N59" s="3" t="n"/>
      <c r="O59" s="3" t="n"/>
      <c r="P59" s="3" t="n"/>
      <c r="Q59" s="3" t="n"/>
      <c r="R59" s="3" t="n"/>
      <c r="S59" s="3" t="n"/>
      <c r="T59" s="3" t="n"/>
    </row>
    <row r="60" ht="15" customHeight="1">
      <c r="A60" s="56" t="n"/>
      <c r="B60" s="58" t="n"/>
      <c r="C60" s="56" t="n"/>
      <c r="D60" s="58" t="n"/>
      <c r="E60" s="56" t="n"/>
      <c r="F60" s="58" t="n"/>
      <c r="G60" s="56" t="n"/>
      <c r="H60" s="58" t="n"/>
      <c r="I60" s="56" t="n"/>
      <c r="J60" s="58" t="n"/>
      <c r="K60" s="56" t="inlineStr">
        <is>
          <t>Eda Ayaz</t>
        </is>
      </c>
      <c r="L60" s="65" t="n"/>
      <c r="M60" s="3" t="n"/>
      <c r="N60" s="3" t="n"/>
      <c r="O60" s="3" t="n"/>
      <c r="P60" s="3" t="n"/>
      <c r="Q60" s="3" t="n"/>
      <c r="R60" s="3" t="n"/>
      <c r="S60" s="3" t="n"/>
      <c r="T60" s="3" t="n"/>
    </row>
    <row r="61" ht="15" customHeight="1">
      <c r="A61" s="56" t="n"/>
      <c r="B61" s="58" t="n"/>
      <c r="C61" s="56" t="n"/>
      <c r="D61" s="58" t="n"/>
      <c r="E61" s="56" t="n"/>
      <c r="F61" s="58" t="n"/>
      <c r="G61" s="56" t="n"/>
      <c r="H61" s="58" t="n"/>
      <c r="I61" s="56" t="n"/>
      <c r="J61" s="58" t="n"/>
      <c r="K61" s="56" t="inlineStr">
        <is>
          <t>Eda Ayaz</t>
        </is>
      </c>
      <c r="L61" s="65" t="n"/>
      <c r="M61" s="3" t="n"/>
      <c r="N61" s="3" t="n"/>
      <c r="O61" s="3" t="n"/>
      <c r="P61" s="3" t="n"/>
      <c r="Q61" s="3" t="n"/>
      <c r="R61" s="3" t="n"/>
      <c r="S61" s="3" t="n"/>
      <c r="T61" s="3" t="n"/>
    </row>
    <row r="62" ht="15" customHeight="1">
      <c r="A62" s="56" t="n"/>
      <c r="B62" s="58" t="n"/>
      <c r="C62" s="56" t="n"/>
      <c r="D62" s="58" t="n"/>
      <c r="E62" s="56" t="n"/>
      <c r="F62" s="58" t="n"/>
      <c r="G62" s="56" t="n"/>
      <c r="H62" s="58" t="n"/>
      <c r="I62" s="56" t="n"/>
      <c r="J62" s="58" t="n"/>
      <c r="K62" s="56" t="inlineStr">
        <is>
          <t>Eda Ayaz</t>
        </is>
      </c>
      <c r="L62" s="65" t="n"/>
      <c r="M62" s="3" t="n"/>
      <c r="N62" s="3" t="n"/>
      <c r="O62" s="3" t="n"/>
      <c r="P62" s="3" t="n"/>
      <c r="Q62" s="3" t="n"/>
      <c r="R62" s="3" t="n"/>
      <c r="S62" s="3" t="n"/>
      <c r="T62" s="3" t="n"/>
    </row>
    <row r="63" ht="15" customHeight="1">
      <c r="A63" s="56" t="n"/>
      <c r="B63" s="58" t="n"/>
      <c r="C63" s="56" t="n"/>
      <c r="D63" s="58" t="n"/>
      <c r="E63" s="56" t="n"/>
      <c r="F63" s="58" t="n"/>
      <c r="G63" s="56" t="n"/>
      <c r="H63" s="58" t="n"/>
      <c r="I63" s="56" t="n"/>
      <c r="J63" s="58" t="n"/>
      <c r="K63" s="56" t="inlineStr">
        <is>
          <t>Eda Ayaz</t>
        </is>
      </c>
      <c r="L63" s="65" t="n"/>
      <c r="M63" s="3" t="n"/>
      <c r="N63" s="3" t="n"/>
      <c r="O63" s="3" t="n"/>
      <c r="P63" s="3" t="n"/>
      <c r="Q63" s="3" t="n"/>
      <c r="R63" s="3" t="n"/>
      <c r="S63" s="3" t="n"/>
      <c r="T63" s="3" t="n"/>
    </row>
    <row r="64" ht="15" customHeight="1">
      <c r="A64" s="56" t="n"/>
      <c r="B64" s="58" t="n"/>
      <c r="C64" s="56" t="n"/>
      <c r="D64" s="58" t="n"/>
      <c r="E64" s="56" t="n"/>
      <c r="F64" s="58" t="n"/>
      <c r="G64" s="56" t="n"/>
      <c r="H64" s="58" t="n"/>
      <c r="I64" s="56" t="n"/>
      <c r="J64" s="58" t="n"/>
      <c r="K64" s="56" t="inlineStr">
        <is>
          <t>Eda Ayaz</t>
        </is>
      </c>
      <c r="L64" s="65" t="n"/>
      <c r="M64" s="3" t="n"/>
      <c r="N64" s="3" t="n"/>
      <c r="O64" s="3" t="n"/>
      <c r="P64" s="3" t="n"/>
      <c r="Q64" s="3" t="n"/>
      <c r="R64" s="3" t="n"/>
      <c r="S64" s="3" t="n"/>
      <c r="T64" s="3" t="n"/>
    </row>
    <row r="65" ht="15" customHeight="1">
      <c r="A65" s="56" t="n"/>
      <c r="B65" s="58" t="n"/>
      <c r="C65" s="56" t="n"/>
      <c r="D65" s="58" t="n"/>
      <c r="E65" s="56" t="n"/>
      <c r="F65" s="58" t="n"/>
      <c r="G65" s="56" t="n"/>
      <c r="H65" s="58" t="n"/>
      <c r="I65" s="56" t="n"/>
      <c r="J65" s="58" t="n"/>
      <c r="K65" s="56" t="inlineStr">
        <is>
          <t>Eda Ayaz</t>
        </is>
      </c>
      <c r="L65" s="65" t="n"/>
      <c r="M65" s="3" t="n"/>
      <c r="N65" s="3" t="n"/>
      <c r="O65" s="3" t="n"/>
      <c r="P65" s="3" t="n"/>
      <c r="Q65" s="3" t="n"/>
      <c r="R65" s="3" t="n"/>
      <c r="S65" s="3" t="n"/>
      <c r="T65" s="3" t="n"/>
    </row>
    <row r="66" ht="15" customHeight="1">
      <c r="A66" s="56" t="n"/>
      <c r="B66" s="58" t="n"/>
      <c r="C66" s="56" t="n"/>
      <c r="D66" s="58" t="n"/>
      <c r="E66" s="56" t="n"/>
      <c r="F66" s="58" t="n"/>
      <c r="G66" s="56" t="n"/>
      <c r="H66" s="58" t="n"/>
      <c r="I66" s="56" t="n"/>
      <c r="J66" s="58" t="n"/>
      <c r="K66" s="56" t="inlineStr">
        <is>
          <t>Eda Ayaz</t>
        </is>
      </c>
      <c r="L66" s="65" t="n"/>
      <c r="M66" s="3" t="n"/>
      <c r="N66" s="3" t="n"/>
      <c r="O66" s="3" t="n"/>
      <c r="P66" s="3" t="n"/>
      <c r="Q66" s="3" t="n"/>
      <c r="R66" s="3" t="n"/>
      <c r="S66" s="3" t="n"/>
      <c r="T66" s="3" t="n"/>
    </row>
    <row r="67" ht="15" customHeight="1">
      <c r="A67" s="56" t="n"/>
      <c r="B67" s="58" t="n"/>
      <c r="C67" s="56" t="n"/>
      <c r="D67" s="58" t="n"/>
      <c r="E67" s="56" t="n"/>
      <c r="F67" s="58" t="n"/>
      <c r="G67" s="56" t="n"/>
      <c r="H67" s="58" t="n"/>
      <c r="I67" s="56" t="n"/>
      <c r="J67" s="58" t="n"/>
      <c r="K67" s="56" t="inlineStr">
        <is>
          <t>Eda Ayaz</t>
        </is>
      </c>
      <c r="L67" s="65" t="n"/>
      <c r="M67" s="3" t="n"/>
      <c r="N67" s="3" t="n"/>
      <c r="O67" s="3" t="n"/>
      <c r="P67" s="3" t="n"/>
      <c r="Q67" s="3" t="n"/>
      <c r="R67" s="3" t="n"/>
      <c r="S67" s="3" t="n"/>
      <c r="T67" s="3" t="n"/>
    </row>
    <row r="68" ht="15" customHeight="1">
      <c r="A68" s="56" t="n"/>
      <c r="B68" s="58" t="n"/>
      <c r="C68" s="56" t="n"/>
      <c r="D68" s="58" t="n"/>
      <c r="E68" s="56" t="n"/>
      <c r="F68" s="58" t="n"/>
      <c r="G68" s="56" t="n"/>
      <c r="H68" s="58" t="n"/>
      <c r="I68" s="56" t="n"/>
      <c r="J68" s="58" t="n"/>
      <c r="K68" s="56" t="inlineStr">
        <is>
          <t>Eda Ayaz</t>
        </is>
      </c>
      <c r="L68" s="65" t="n"/>
      <c r="M68" s="3" t="n"/>
      <c r="N68" s="3" t="n"/>
      <c r="O68" s="3" t="n"/>
      <c r="P68" s="3" t="n"/>
      <c r="Q68" s="3" t="n"/>
      <c r="R68" s="3" t="n"/>
      <c r="S68" s="3" t="n"/>
      <c r="T68" s="3" t="n"/>
    </row>
    <row r="69" ht="15" customHeight="1">
      <c r="A69" s="56" t="n"/>
      <c r="B69" s="58" t="n"/>
      <c r="C69" s="56" t="n"/>
      <c r="D69" s="58" t="n"/>
      <c r="E69" s="56" t="n"/>
      <c r="F69" s="58" t="n"/>
      <c r="G69" s="56" t="n"/>
      <c r="H69" s="58" t="n"/>
      <c r="I69" s="56" t="n"/>
      <c r="J69" s="58" t="n"/>
      <c r="K69" s="56" t="inlineStr">
        <is>
          <t>Eda Ayaz</t>
        </is>
      </c>
      <c r="L69" s="65" t="n"/>
      <c r="M69" s="3" t="n"/>
      <c r="N69" s="3" t="n"/>
      <c r="O69" s="3" t="n"/>
      <c r="P69" s="3" t="n"/>
      <c r="Q69" s="3" t="n"/>
      <c r="R69" s="3" t="n"/>
      <c r="S69" s="3" t="n"/>
      <c r="T69" s="3" t="n"/>
    </row>
    <row r="70" ht="15" customHeight="1">
      <c r="A70" s="56" t="n"/>
      <c r="B70" s="58" t="n"/>
      <c r="C70" s="56" t="n"/>
      <c r="D70" s="58" t="n"/>
      <c r="E70" s="56" t="n"/>
      <c r="F70" s="58" t="n"/>
      <c r="G70" s="56" t="n"/>
      <c r="H70" s="58" t="n"/>
      <c r="I70" s="56" t="n"/>
      <c r="J70" s="58" t="n"/>
      <c r="K70" s="56" t="inlineStr">
        <is>
          <t>Eda Ayaz</t>
        </is>
      </c>
      <c r="L70" s="65" t="n"/>
      <c r="M70" s="3" t="n"/>
      <c r="N70" s="3" t="n"/>
      <c r="O70" s="3" t="n"/>
      <c r="P70" s="3" t="n"/>
      <c r="Q70" s="3" t="n"/>
      <c r="R70" s="3" t="n"/>
      <c r="S70" s="3" t="n"/>
      <c r="T70" s="3" t="n"/>
    </row>
    <row r="71" ht="15" customHeight="1">
      <c r="A71" s="56" t="n"/>
      <c r="B71" s="58" t="n"/>
      <c r="C71" s="56" t="n"/>
      <c r="D71" s="58" t="n"/>
      <c r="E71" s="56" t="n"/>
      <c r="F71" s="58" t="n"/>
      <c r="G71" s="56" t="n"/>
      <c r="H71" s="58" t="n"/>
      <c r="I71" s="56" t="n"/>
      <c r="J71" s="58" t="n"/>
      <c r="K71" s="56" t="inlineStr">
        <is>
          <t>Eda Ayaz</t>
        </is>
      </c>
      <c r="L71" s="65" t="n"/>
      <c r="M71" s="3" t="n"/>
      <c r="N71" s="3" t="n"/>
      <c r="O71" s="3" t="n"/>
      <c r="P71" s="3" t="n"/>
      <c r="Q71" s="3" t="n"/>
      <c r="R71" s="3" t="n"/>
      <c r="S71" s="3" t="n"/>
      <c r="T71" s="3" t="n"/>
    </row>
    <row r="72" ht="15" customHeight="1">
      <c r="A72" s="56" t="n"/>
      <c r="B72" s="58" t="n"/>
      <c r="C72" s="56" t="n"/>
      <c r="D72" s="58" t="n"/>
      <c r="E72" s="56" t="n"/>
      <c r="F72" s="58" t="n"/>
      <c r="G72" s="56" t="n"/>
      <c r="H72" s="58" t="n"/>
      <c r="I72" s="56" t="n"/>
      <c r="J72" s="58" t="n"/>
      <c r="K72" s="56" t="inlineStr">
        <is>
          <t>Eda Ayaz</t>
        </is>
      </c>
      <c r="L72" s="65" t="n"/>
      <c r="M72" s="3" t="n"/>
      <c r="N72" s="3" t="n"/>
      <c r="O72" s="3" t="n"/>
      <c r="P72" s="3" t="n"/>
      <c r="Q72" s="3" t="n"/>
      <c r="R72" s="3" t="n"/>
      <c r="S72" s="3" t="n"/>
      <c r="T72" s="3" t="n"/>
    </row>
    <row r="73" ht="15" customHeight="1">
      <c r="A73" s="56" t="n"/>
      <c r="B73" s="58" t="n"/>
      <c r="C73" s="56" t="n"/>
      <c r="D73" s="58" t="n"/>
      <c r="E73" s="56" t="n"/>
      <c r="F73" s="58" t="n"/>
      <c r="G73" s="56" t="n"/>
      <c r="H73" s="58" t="n"/>
      <c r="I73" s="56" t="n"/>
      <c r="J73" s="58" t="n"/>
      <c r="K73" s="56" t="inlineStr">
        <is>
          <t>Eda Ayaz</t>
        </is>
      </c>
      <c r="L73" s="65" t="n"/>
      <c r="M73" s="3" t="n"/>
      <c r="N73" s="3" t="n"/>
      <c r="O73" s="3" t="n"/>
      <c r="P73" s="3" t="n"/>
      <c r="Q73" s="3" t="n"/>
      <c r="R73" s="3" t="n"/>
      <c r="S73" s="3" t="n"/>
      <c r="T73" s="3" t="n"/>
    </row>
    <row r="74" ht="15" customHeight="1">
      <c r="A74" s="56" t="n"/>
      <c r="B74" s="58" t="n"/>
      <c r="C74" s="56" t="n"/>
      <c r="D74" s="58" t="n"/>
      <c r="E74" s="56" t="n"/>
      <c r="F74" s="58" t="n"/>
      <c r="G74" s="56" t="n"/>
      <c r="H74" s="58" t="n"/>
      <c r="I74" s="56" t="n"/>
      <c r="J74" s="58" t="n"/>
      <c r="K74" s="56" t="inlineStr">
        <is>
          <t>Eda Ayaz</t>
        </is>
      </c>
      <c r="L74" s="65" t="n"/>
      <c r="M74" s="3" t="n"/>
      <c r="N74" s="3" t="n"/>
      <c r="O74" s="3" t="n"/>
      <c r="P74" s="3" t="n"/>
      <c r="Q74" s="3" t="n"/>
      <c r="R74" s="3" t="n"/>
      <c r="S74" s="3" t="n"/>
      <c r="T74" s="3" t="n"/>
    </row>
    <row r="75" ht="15" customHeight="1">
      <c r="A75" s="56" t="n"/>
      <c r="B75" s="58" t="n"/>
      <c r="C75" s="56" t="n"/>
      <c r="D75" s="58" t="n"/>
      <c r="E75" s="56" t="n"/>
      <c r="F75" s="58" t="n"/>
      <c r="G75" s="56" t="n"/>
      <c r="H75" s="58" t="n"/>
      <c r="I75" s="56" t="n"/>
      <c r="J75" s="58" t="n"/>
      <c r="K75" s="56" t="inlineStr">
        <is>
          <t>Eda Ayaz</t>
        </is>
      </c>
      <c r="L75" s="65" t="n"/>
      <c r="M75" s="3" t="n"/>
      <c r="N75" s="3" t="n"/>
      <c r="O75" s="3" t="n"/>
      <c r="P75" s="3" t="n"/>
      <c r="Q75" s="3" t="n"/>
      <c r="R75" s="3" t="n"/>
      <c r="S75" s="3" t="n"/>
      <c r="T75" s="3" t="n"/>
    </row>
    <row r="76" ht="15" customHeight="1">
      <c r="A76" s="56" t="n"/>
      <c r="B76" s="58" t="n"/>
      <c r="C76" s="56" t="n"/>
      <c r="D76" s="58" t="n"/>
      <c r="E76" s="56" t="n"/>
      <c r="F76" s="58" t="n"/>
      <c r="G76" s="56" t="n"/>
      <c r="H76" s="58" t="n"/>
      <c r="I76" s="56" t="n"/>
      <c r="J76" s="58" t="n"/>
      <c r="K76" s="56" t="inlineStr">
        <is>
          <t>Eda Ayaz</t>
        </is>
      </c>
      <c r="L76" s="65" t="n"/>
      <c r="M76" s="3" t="n"/>
      <c r="N76" s="3" t="n"/>
      <c r="O76" s="3" t="n"/>
      <c r="P76" s="3" t="n"/>
      <c r="Q76" s="3" t="n"/>
      <c r="R76" s="3" t="n"/>
      <c r="S76" s="3" t="n"/>
      <c r="T76" s="3" t="n"/>
    </row>
    <row r="77" ht="15" customHeight="1">
      <c r="A77" s="56" t="n"/>
      <c r="B77" s="58" t="n"/>
      <c r="C77" s="56" t="n"/>
      <c r="D77" s="58" t="n"/>
      <c r="E77" s="56" t="n"/>
      <c r="F77" s="58" t="n"/>
      <c r="G77" s="56" t="n"/>
      <c r="H77" s="58" t="n"/>
      <c r="I77" s="56" t="n"/>
      <c r="J77" s="58" t="n"/>
      <c r="K77" s="56" t="inlineStr">
        <is>
          <t>Eda Ayaz</t>
        </is>
      </c>
      <c r="L77" s="65" t="n"/>
      <c r="M77" s="3" t="n"/>
      <c r="N77" s="3" t="n"/>
      <c r="O77" s="3" t="n"/>
      <c r="P77" s="3" t="n"/>
      <c r="Q77" s="3" t="n"/>
      <c r="R77" s="3" t="n"/>
      <c r="S77" s="3" t="n"/>
      <c r="T77" s="3" t="n"/>
    </row>
    <row r="78" ht="15" customHeight="1">
      <c r="A78" s="56" t="n"/>
      <c r="B78" s="58" t="n"/>
      <c r="C78" s="56" t="n"/>
      <c r="D78" s="58" t="n"/>
      <c r="E78" s="56" t="n"/>
      <c r="F78" s="58" t="n"/>
      <c r="G78" s="56" t="n"/>
      <c r="H78" s="58" t="n"/>
      <c r="I78" s="56" t="n"/>
      <c r="J78" s="58" t="n"/>
      <c r="K78" s="56" t="inlineStr">
        <is>
          <t>Eda Ayaz</t>
        </is>
      </c>
      <c r="L78" s="65" t="n"/>
      <c r="M78" s="3" t="n"/>
      <c r="N78" s="3" t="n"/>
      <c r="O78" s="3" t="n"/>
      <c r="P78" s="3" t="n"/>
      <c r="Q78" s="3" t="n"/>
      <c r="R78" s="3" t="n"/>
      <c r="S78" s="3" t="n"/>
      <c r="T78" s="3" t="n"/>
    </row>
    <row r="79" ht="15" customHeight="1">
      <c r="A79" s="56" t="n"/>
      <c r="B79" s="58" t="n"/>
      <c r="C79" s="56" t="n"/>
      <c r="D79" s="58" t="n"/>
      <c r="E79" s="56" t="n"/>
      <c r="F79" s="58" t="n"/>
      <c r="G79" s="56" t="n"/>
      <c r="H79" s="58" t="n"/>
      <c r="I79" s="56" t="n"/>
      <c r="J79" s="58" t="n"/>
      <c r="K79" s="56" t="inlineStr">
        <is>
          <t>Eda Ayaz</t>
        </is>
      </c>
      <c r="L79" s="65" t="n"/>
      <c r="M79" s="3" t="n"/>
      <c r="N79" s="3" t="n"/>
      <c r="O79" s="3" t="n"/>
      <c r="P79" s="3" t="n"/>
      <c r="Q79" s="3" t="n"/>
      <c r="R79" s="3" t="n"/>
      <c r="S79" s="3" t="n"/>
      <c r="T79" s="3" t="n"/>
    </row>
    <row r="80" ht="15" customHeight="1">
      <c r="A80" s="56" t="n"/>
      <c r="B80" s="58" t="n"/>
      <c r="C80" s="56" t="n"/>
      <c r="D80" s="58" t="n"/>
      <c r="E80" s="56" t="n"/>
      <c r="F80" s="58" t="n"/>
      <c r="G80" s="56" t="n"/>
      <c r="H80" s="58" t="n"/>
      <c r="I80" s="56" t="n"/>
      <c r="J80" s="58" t="n"/>
      <c r="K80" s="56" t="inlineStr">
        <is>
          <t>Eda Ayaz</t>
        </is>
      </c>
      <c r="L80" s="65" t="n"/>
      <c r="M80" s="3" t="n"/>
      <c r="N80" s="3" t="n"/>
      <c r="O80" s="3" t="n"/>
      <c r="P80" s="3" t="n"/>
      <c r="Q80" s="3" t="n"/>
      <c r="R80" s="3" t="n"/>
      <c r="S80" s="3" t="n"/>
      <c r="T80" s="3" t="n"/>
    </row>
    <row r="81" ht="15" customHeight="1">
      <c r="A81" s="56" t="n"/>
      <c r="B81" s="58" t="n"/>
      <c r="C81" s="56" t="n"/>
      <c r="D81" s="58" t="n"/>
      <c r="E81" s="56" t="n"/>
      <c r="F81" s="58" t="n"/>
      <c r="G81" s="56" t="n"/>
      <c r="H81" s="58" t="n"/>
      <c r="I81" s="56" t="n"/>
      <c r="J81" s="58" t="n"/>
      <c r="K81" s="56" t="inlineStr">
        <is>
          <t>Eda Ayaz</t>
        </is>
      </c>
      <c r="L81" s="65" t="n"/>
      <c r="M81" s="3" t="n"/>
      <c r="N81" s="3" t="n"/>
      <c r="O81" s="3" t="n"/>
      <c r="P81" s="3" t="n"/>
      <c r="Q81" s="3" t="n"/>
      <c r="R81" s="3" t="n"/>
      <c r="S81" s="3" t="n"/>
      <c r="T81" s="3" t="n"/>
    </row>
    <row r="82" ht="15" customHeight="1">
      <c r="A82" s="56" t="n"/>
      <c r="B82" s="58" t="n"/>
      <c r="C82" s="56" t="n"/>
      <c r="D82" s="58" t="n"/>
      <c r="E82" s="56" t="n"/>
      <c r="F82" s="58" t="n"/>
      <c r="G82" s="56" t="n"/>
      <c r="H82" s="58" t="n"/>
      <c r="I82" s="56" t="n"/>
      <c r="J82" s="58" t="n"/>
      <c r="K82" s="56" t="inlineStr">
        <is>
          <t>Eda Ayaz</t>
        </is>
      </c>
      <c r="L82" s="65" t="n"/>
      <c r="M82" s="3" t="n"/>
      <c r="N82" s="3" t="n"/>
      <c r="O82" s="3" t="n"/>
      <c r="P82" s="3" t="n"/>
      <c r="Q82" s="3" t="n"/>
      <c r="R82" s="3" t="n"/>
      <c r="S82" s="3" t="n"/>
      <c r="T82" s="3" t="n"/>
    </row>
    <row r="83" ht="15" customHeight="1">
      <c r="A83" s="56" t="n"/>
      <c r="B83" s="58" t="n"/>
      <c r="C83" s="56" t="n"/>
      <c r="D83" s="58" t="n"/>
      <c r="E83" s="56" t="n"/>
      <c r="F83" s="58" t="n"/>
      <c r="G83" s="56" t="n"/>
      <c r="H83" s="58" t="n"/>
      <c r="I83" s="56" t="n"/>
      <c r="J83" s="58" t="n"/>
      <c r="K83" s="56" t="inlineStr">
        <is>
          <t>Eda Ayaz</t>
        </is>
      </c>
      <c r="L83" s="65" t="n"/>
      <c r="M83" s="3" t="n"/>
      <c r="N83" s="3" t="n"/>
      <c r="O83" s="3" t="n"/>
      <c r="P83" s="3" t="n"/>
      <c r="Q83" s="3" t="n"/>
      <c r="R83" s="3" t="n"/>
      <c r="S83" s="3" t="n"/>
      <c r="T83" s="3" t="n"/>
    </row>
    <row r="84" ht="15" customHeight="1">
      <c r="A84" s="56" t="n"/>
      <c r="B84" s="58" t="n"/>
      <c r="C84" s="56" t="n"/>
      <c r="D84" s="58" t="n"/>
      <c r="E84" s="56" t="n"/>
      <c r="F84" s="58" t="n"/>
      <c r="G84" s="56" t="n"/>
      <c r="H84" s="58" t="n"/>
      <c r="I84" s="56" t="n"/>
      <c r="J84" s="58" t="n"/>
      <c r="K84" s="56" t="inlineStr">
        <is>
          <t>Eda Ayaz</t>
        </is>
      </c>
      <c r="L84" s="65" t="n"/>
      <c r="M84" s="3" t="n"/>
      <c r="N84" s="3" t="n"/>
      <c r="O84" s="3" t="n"/>
      <c r="P84" s="3" t="n"/>
      <c r="Q84" s="3" t="n"/>
      <c r="R84" s="3" t="n"/>
      <c r="S84" s="3" t="n"/>
      <c r="T84" s="3" t="n"/>
    </row>
    <row r="85" ht="15" customHeight="1">
      <c r="A85" s="56" t="n"/>
      <c r="B85" s="58" t="n"/>
      <c r="C85" s="56" t="n"/>
      <c r="D85" s="58" t="n"/>
      <c r="E85" s="56" t="n"/>
      <c r="F85" s="58" t="n"/>
      <c r="G85" s="56" t="n"/>
      <c r="H85" s="58" t="n"/>
      <c r="I85" s="56" t="n"/>
      <c r="J85" s="58" t="n"/>
      <c r="K85" s="56" t="inlineStr">
        <is>
          <t>Eda Ayaz</t>
        </is>
      </c>
      <c r="L85" s="65" t="n"/>
      <c r="M85" s="3" t="n"/>
      <c r="N85" s="3" t="n"/>
      <c r="O85" s="3" t="n"/>
      <c r="P85" s="3" t="n"/>
      <c r="Q85" s="3" t="n"/>
      <c r="R85" s="3" t="n"/>
      <c r="S85" s="3" t="n"/>
      <c r="T85" s="3" t="n"/>
    </row>
    <row r="86" ht="15" customHeight="1">
      <c r="A86" s="56" t="n"/>
      <c r="B86" s="58" t="n"/>
      <c r="C86" s="56" t="n"/>
      <c r="D86" s="58" t="n"/>
      <c r="E86" s="56" t="n"/>
      <c r="F86" s="58" t="n"/>
      <c r="G86" s="56" t="n"/>
      <c r="H86" s="58" t="n"/>
      <c r="I86" s="56" t="n"/>
      <c r="J86" s="58" t="n"/>
      <c r="K86" s="56" t="inlineStr">
        <is>
          <t>Eda Ayaz</t>
        </is>
      </c>
      <c r="L86" s="65" t="n"/>
      <c r="M86" s="3" t="n"/>
      <c r="N86" s="3" t="n"/>
      <c r="O86" s="3" t="n"/>
      <c r="P86" s="3" t="n"/>
      <c r="Q86" s="3" t="n"/>
      <c r="R86" s="3" t="n"/>
      <c r="S86" s="3" t="n"/>
      <c r="T86" s="3" t="n"/>
    </row>
    <row r="87" ht="15" customHeight="1">
      <c r="A87" s="56" t="n"/>
      <c r="B87" s="58" t="n"/>
      <c r="C87" s="56" t="n"/>
      <c r="D87" s="58" t="n"/>
      <c r="E87" s="56" t="n"/>
      <c r="F87" s="58" t="n"/>
      <c r="G87" s="56" t="n"/>
      <c r="H87" s="58" t="n"/>
      <c r="I87" s="56" t="n"/>
      <c r="J87" s="58" t="n"/>
      <c r="K87" s="56" t="inlineStr">
        <is>
          <t>Eda Ayaz</t>
        </is>
      </c>
      <c r="L87" s="65" t="n"/>
      <c r="M87" s="3" t="n"/>
      <c r="N87" s="3" t="n"/>
      <c r="O87" s="3" t="n"/>
      <c r="P87" s="3" t="n"/>
      <c r="Q87" s="3" t="n"/>
      <c r="R87" s="3" t="n"/>
      <c r="S87" s="3" t="n"/>
      <c r="T87" s="3" t="n"/>
    </row>
    <row r="88" ht="15" customHeight="1">
      <c r="A88" s="56" t="n"/>
      <c r="B88" s="58" t="n"/>
      <c r="C88" s="56" t="n"/>
      <c r="D88" s="58" t="n"/>
      <c r="E88" s="56" t="n"/>
      <c r="F88" s="58" t="n"/>
      <c r="G88" s="56" t="n"/>
      <c r="H88" s="58" t="n"/>
      <c r="I88" s="56" t="n"/>
      <c r="J88" s="58" t="n"/>
      <c r="K88" s="56" t="inlineStr">
        <is>
          <t>Eda Ayaz</t>
        </is>
      </c>
      <c r="L88" s="65" t="n"/>
      <c r="M88" s="3" t="n"/>
      <c r="N88" s="3" t="n"/>
      <c r="O88" s="3" t="n"/>
      <c r="P88" s="3" t="n"/>
      <c r="Q88" s="3" t="n"/>
      <c r="R88" s="3" t="n"/>
      <c r="S88" s="3" t="n"/>
      <c r="T88" s="3" t="n"/>
    </row>
    <row r="89" ht="15" customHeight="1">
      <c r="A89" s="56" t="n"/>
      <c r="B89" s="58" t="n"/>
      <c r="C89" s="56" t="n"/>
      <c r="D89" s="58" t="n"/>
      <c r="E89" s="56" t="n"/>
      <c r="F89" s="58" t="n"/>
      <c r="G89" s="56" t="n"/>
      <c r="H89" s="58" t="n"/>
      <c r="I89" s="56" t="n"/>
      <c r="J89" s="58" t="n"/>
      <c r="K89" s="56" t="inlineStr">
        <is>
          <t>Eda Ayaz</t>
        </is>
      </c>
      <c r="L89" s="65" t="n"/>
      <c r="M89" s="3" t="n"/>
      <c r="N89" s="3" t="n"/>
      <c r="O89" s="3" t="n"/>
      <c r="P89" s="3" t="n"/>
      <c r="Q89" s="3" t="n"/>
      <c r="R89" s="3" t="n"/>
      <c r="S89" s="3" t="n"/>
      <c r="T89" s="3" t="n"/>
    </row>
    <row r="90" ht="15" customHeight="1">
      <c r="A90" s="56" t="n"/>
      <c r="B90" s="58" t="n"/>
      <c r="C90" s="56" t="n"/>
      <c r="D90" s="58" t="n"/>
      <c r="E90" s="56" t="n"/>
      <c r="F90" s="58" t="n"/>
      <c r="G90" s="56" t="n"/>
      <c r="H90" s="58" t="n"/>
      <c r="I90" s="56" t="n"/>
      <c r="J90" s="58" t="n"/>
      <c r="K90" s="56" t="inlineStr">
        <is>
          <t>Eda Ayaz</t>
        </is>
      </c>
      <c r="L90" s="65" t="n"/>
      <c r="M90" s="3" t="n"/>
      <c r="N90" s="3" t="n"/>
      <c r="O90" s="3" t="n"/>
      <c r="P90" s="3" t="n"/>
      <c r="Q90" s="3" t="n"/>
      <c r="R90" s="3" t="n"/>
      <c r="S90" s="3" t="n"/>
      <c r="T90" s="3" t="n"/>
    </row>
    <row r="91" ht="15" customHeight="1">
      <c r="A91" s="56" t="n"/>
      <c r="B91" s="58" t="n"/>
      <c r="C91" s="56" t="n"/>
      <c r="D91" s="58" t="n"/>
      <c r="E91" s="56" t="n"/>
      <c r="F91" s="58" t="n"/>
      <c r="G91" s="56" t="n"/>
      <c r="H91" s="58" t="n"/>
      <c r="I91" s="56" t="n"/>
      <c r="J91" s="58" t="n"/>
      <c r="K91" s="56" t="inlineStr">
        <is>
          <t>Eda Ayaz</t>
        </is>
      </c>
      <c r="L91" s="65" t="n"/>
      <c r="M91" s="3" t="n"/>
      <c r="N91" s="3" t="n"/>
      <c r="O91" s="3" t="n"/>
      <c r="P91" s="3" t="n"/>
      <c r="Q91" s="3" t="n"/>
      <c r="R91" s="3" t="n"/>
      <c r="S91" s="3" t="n"/>
      <c r="T91" s="3" t="n"/>
    </row>
    <row r="92" ht="15" customHeight="1">
      <c r="A92" s="56" t="n"/>
      <c r="B92" s="58" t="n"/>
      <c r="C92" s="56" t="n"/>
      <c r="D92" s="58" t="n"/>
      <c r="E92" s="56" t="n"/>
      <c r="F92" s="58" t="n"/>
      <c r="G92" s="56" t="n"/>
      <c r="H92" s="58" t="n"/>
      <c r="I92" s="56" t="n"/>
      <c r="J92" s="58" t="n"/>
      <c r="K92" s="56" t="inlineStr">
        <is>
          <t>Eda Ayaz</t>
        </is>
      </c>
      <c r="L92" s="65" t="n"/>
      <c r="M92" s="3" t="n"/>
      <c r="N92" s="3" t="n"/>
      <c r="O92" s="3" t="n"/>
      <c r="P92" s="3" t="n"/>
      <c r="Q92" s="3" t="n"/>
      <c r="R92" s="3" t="n"/>
      <c r="S92" s="3" t="n"/>
      <c r="T92" s="3" t="n"/>
    </row>
    <row r="93" ht="15" customHeight="1">
      <c r="A93" s="56" t="n"/>
      <c r="B93" s="58" t="n"/>
      <c r="C93" s="56" t="n"/>
      <c r="D93" s="58" t="n"/>
      <c r="E93" s="56" t="n"/>
      <c r="F93" s="58" t="n"/>
      <c r="G93" s="56" t="n"/>
      <c r="H93" s="58" t="n"/>
      <c r="I93" s="56" t="n"/>
      <c r="J93" s="58" t="n"/>
      <c r="K93" s="56" t="inlineStr">
        <is>
          <t>Eda Ayaz</t>
        </is>
      </c>
      <c r="L93" s="65" t="n"/>
      <c r="M93" s="3" t="n"/>
      <c r="N93" s="3" t="n"/>
      <c r="O93" s="3" t="n"/>
      <c r="P93" s="3" t="n"/>
      <c r="Q93" s="3" t="n"/>
      <c r="R93" s="3" t="n"/>
      <c r="S93" s="3" t="n"/>
      <c r="T93" s="3" t="n"/>
    </row>
    <row r="94" ht="15" customHeight="1">
      <c r="A94" s="56" t="n"/>
      <c r="B94" s="58" t="n"/>
      <c r="C94" s="56" t="n"/>
      <c r="D94" s="58" t="n"/>
      <c r="E94" s="56" t="n"/>
      <c r="F94" s="58" t="n"/>
      <c r="G94" s="56" t="n"/>
      <c r="H94" s="58" t="n"/>
      <c r="I94" s="56" t="n"/>
      <c r="J94" s="58" t="n"/>
      <c r="K94" s="56" t="inlineStr">
        <is>
          <t>Eda Ayaz</t>
        </is>
      </c>
      <c r="L94" s="65" t="n"/>
      <c r="M94" s="3" t="n"/>
      <c r="N94" s="3" t="n"/>
      <c r="O94" s="3" t="n"/>
      <c r="P94" s="3" t="n"/>
      <c r="Q94" s="3" t="n"/>
      <c r="R94" s="3" t="n"/>
      <c r="S94" s="3" t="n"/>
      <c r="T94" s="3" t="n"/>
    </row>
    <row r="95" ht="15" customHeight="1">
      <c r="A95" s="56" t="n"/>
      <c r="B95" s="58" t="n"/>
      <c r="C95" s="56" t="n"/>
      <c r="D95" s="58" t="n"/>
      <c r="E95" s="56" t="n"/>
      <c r="F95" s="58" t="n"/>
      <c r="G95" s="56" t="n"/>
      <c r="H95" s="58" t="n"/>
      <c r="I95" s="56" t="n"/>
      <c r="J95" s="58" t="n"/>
      <c r="K95" s="56" t="inlineStr">
        <is>
          <t>Eda Ayaz</t>
        </is>
      </c>
      <c r="L95" s="65" t="n"/>
      <c r="M95" s="3" t="n"/>
      <c r="N95" s="3" t="n"/>
      <c r="O95" s="3" t="n"/>
      <c r="P95" s="3" t="n"/>
      <c r="Q95" s="3" t="n"/>
      <c r="R95" s="3" t="n"/>
      <c r="S95" s="3" t="n"/>
      <c r="T95" s="3" t="n"/>
    </row>
    <row r="96" ht="15" customHeight="1">
      <c r="A96" s="56" t="n"/>
      <c r="B96" s="58" t="n"/>
      <c r="C96" s="56" t="n"/>
      <c r="D96" s="58" t="n"/>
      <c r="E96" s="56" t="n"/>
      <c r="F96" s="58" t="n"/>
      <c r="G96" s="56" t="n"/>
      <c r="H96" s="58" t="n"/>
      <c r="I96" s="56" t="n"/>
      <c r="J96" s="58" t="n"/>
      <c r="K96" s="56" t="inlineStr">
        <is>
          <t>Eda Ayaz</t>
        </is>
      </c>
      <c r="L96" s="65" t="n"/>
      <c r="M96" s="3" t="n"/>
      <c r="N96" s="3" t="n"/>
      <c r="O96" s="3" t="n"/>
      <c r="P96" s="3" t="n"/>
      <c r="Q96" s="3" t="n"/>
      <c r="R96" s="3" t="n"/>
      <c r="S96" s="3" t="n"/>
      <c r="T96" s="3" t="n"/>
    </row>
    <row r="97" ht="15" customHeight="1">
      <c r="A97" s="56" t="n"/>
      <c r="B97" s="58" t="n"/>
      <c r="C97" s="56" t="n"/>
      <c r="D97" s="58" t="n"/>
      <c r="E97" s="56" t="n"/>
      <c r="F97" s="58" t="n"/>
      <c r="G97" s="56" t="n"/>
      <c r="H97" s="58" t="n"/>
      <c r="I97" s="56" t="n"/>
      <c r="J97" s="58" t="n"/>
      <c r="K97" s="56" t="inlineStr">
        <is>
          <t>Eda Ayaz</t>
        </is>
      </c>
      <c r="L97" s="65" t="n"/>
      <c r="M97" s="3" t="n"/>
      <c r="N97" s="3" t="n"/>
      <c r="O97" s="3" t="n"/>
      <c r="P97" s="3" t="n"/>
      <c r="Q97" s="3" t="n"/>
      <c r="R97" s="3" t="n"/>
      <c r="S97" s="3" t="n"/>
      <c r="T97" s="3" t="n"/>
    </row>
    <row r="98" ht="15" customHeight="1">
      <c r="A98" s="56" t="n"/>
      <c r="B98" s="58" t="n"/>
      <c r="C98" s="56" t="n"/>
      <c r="D98" s="58" t="n"/>
      <c r="E98" s="56" t="n"/>
      <c r="F98" s="58" t="n"/>
      <c r="G98" s="56" t="n"/>
      <c r="H98" s="58" t="n"/>
      <c r="I98" s="56" t="n"/>
      <c r="J98" s="58" t="n"/>
      <c r="K98" s="56" t="inlineStr">
        <is>
          <t>Eda Ayaz</t>
        </is>
      </c>
      <c r="L98" s="65" t="n"/>
      <c r="M98" s="3" t="n"/>
      <c r="N98" s="3" t="n"/>
      <c r="O98" s="3" t="n"/>
      <c r="P98" s="3" t="n"/>
      <c r="Q98" s="3" t="n"/>
      <c r="R98" s="3" t="n"/>
      <c r="S98" s="3" t="n"/>
      <c r="T98" s="3" t="n"/>
    </row>
    <row r="99" ht="15" customHeight="1">
      <c r="A99" s="56" t="n"/>
      <c r="B99" s="58" t="n"/>
      <c r="C99" s="56" t="n"/>
      <c r="D99" s="58" t="n"/>
      <c r="E99" s="56" t="n"/>
      <c r="F99" s="58" t="n"/>
      <c r="G99" s="56" t="n"/>
      <c r="H99" s="58" t="n"/>
      <c r="I99" s="56" t="n"/>
      <c r="J99" s="58" t="n"/>
      <c r="K99" s="56" t="inlineStr">
        <is>
          <t>Eda Ayaz</t>
        </is>
      </c>
      <c r="L99" s="65" t="n"/>
      <c r="M99" s="3" t="n"/>
      <c r="N99" s="3" t="n"/>
      <c r="O99" s="3" t="n"/>
      <c r="P99" s="3" t="n"/>
      <c r="Q99" s="3" t="n"/>
      <c r="R99" s="3" t="n"/>
      <c r="S99" s="3" t="n"/>
      <c r="T99" s="3" t="n"/>
    </row>
    <row r="100" ht="15" customHeight="1">
      <c r="A100" s="56" t="n"/>
      <c r="B100" s="58" t="n"/>
      <c r="C100" s="56" t="n"/>
      <c r="D100" s="58" t="n"/>
      <c r="E100" s="56" t="n"/>
      <c r="F100" s="58" t="n"/>
      <c r="G100" s="56" t="n"/>
      <c r="H100" s="58" t="n"/>
      <c r="I100" s="56" t="n"/>
      <c r="J100" s="58" t="n"/>
      <c r="K100" s="56" t="inlineStr">
        <is>
          <t>Eda Ayaz</t>
        </is>
      </c>
      <c r="L100" s="65" t="n"/>
      <c r="M100" s="3" t="n"/>
      <c r="N100" s="3" t="n"/>
      <c r="O100" s="3" t="n"/>
      <c r="P100" s="3" t="n"/>
      <c r="Q100" s="3" t="n"/>
      <c r="R100" s="3" t="n"/>
      <c r="S100" s="3" t="n"/>
      <c r="T100" s="3" t="n"/>
    </row>
    <row r="101" ht="15" customHeight="1">
      <c r="A101" s="56" t="n"/>
      <c r="B101" s="58" t="n"/>
      <c r="C101" s="56" t="n"/>
      <c r="D101" s="58" t="n"/>
      <c r="E101" s="56" t="n"/>
      <c r="F101" s="58" t="n"/>
      <c r="G101" s="56" t="n"/>
      <c r="H101" s="58" t="n"/>
      <c r="I101" s="56" t="n"/>
      <c r="J101" s="58" t="n"/>
      <c r="K101" s="56" t="inlineStr">
        <is>
          <t>Eda Ayaz</t>
        </is>
      </c>
      <c r="L101" s="65" t="n"/>
      <c r="M101" s="3" t="n"/>
      <c r="N101" s="3" t="n"/>
      <c r="O101" s="3" t="n"/>
      <c r="P101" s="3" t="n"/>
      <c r="Q101" s="3" t="n"/>
      <c r="R101" s="3" t="n"/>
      <c r="S101" s="3" t="n"/>
      <c r="T101" s="3" t="n"/>
    </row>
    <row r="102" ht="15" customHeight="1">
      <c r="A102" s="56" t="n"/>
      <c r="B102" s="58" t="n"/>
      <c r="C102" s="56" t="n"/>
      <c r="D102" s="58" t="n"/>
      <c r="E102" s="56" t="n"/>
      <c r="F102" s="58" t="n"/>
      <c r="G102" s="56" t="n"/>
      <c r="H102" s="58" t="n"/>
      <c r="I102" s="56" t="n"/>
      <c r="J102" s="58" t="n"/>
      <c r="K102" s="56" t="inlineStr">
        <is>
          <t>Eda Ayaz</t>
        </is>
      </c>
      <c r="L102" s="65" t="n"/>
      <c r="M102" s="3" t="n"/>
      <c r="N102" s="3" t="n"/>
      <c r="O102" s="3" t="n"/>
      <c r="P102" s="3" t="n"/>
      <c r="Q102" s="3" t="n"/>
      <c r="R102" s="3" t="n"/>
      <c r="S102" s="3" t="n"/>
      <c r="T102" s="3" t="n"/>
    </row>
    <row r="103" ht="15" customHeight="1">
      <c r="A103" s="56" t="n"/>
      <c r="B103" s="58" t="n"/>
      <c r="C103" s="56" t="n"/>
      <c r="D103" s="58" t="n"/>
      <c r="E103" s="56" t="n"/>
      <c r="F103" s="58" t="n"/>
      <c r="G103" s="56" t="n"/>
      <c r="H103" s="58" t="n"/>
      <c r="I103" s="56" t="n"/>
      <c r="J103" s="58" t="n"/>
      <c r="K103" s="56" t="inlineStr">
        <is>
          <t>Eda Ayaz</t>
        </is>
      </c>
      <c r="L103" s="65" t="n"/>
      <c r="M103" s="3" t="n"/>
      <c r="N103" s="3" t="n"/>
      <c r="O103" s="3" t="n"/>
      <c r="P103" s="3" t="n"/>
      <c r="Q103" s="3" t="n"/>
      <c r="R103" s="3" t="n"/>
      <c r="S103" s="3" t="n"/>
      <c r="T103" s="3" t="n"/>
    </row>
    <row r="104" ht="15" customHeight="1">
      <c r="A104" s="56" t="n"/>
      <c r="B104" s="58" t="n"/>
      <c r="C104" s="56" t="n"/>
      <c r="D104" s="58" t="n"/>
      <c r="E104" s="56" t="n"/>
      <c r="F104" s="58" t="n"/>
      <c r="G104" s="56" t="n"/>
      <c r="H104" s="58" t="n"/>
      <c r="I104" s="56" t="n"/>
      <c r="J104" s="58" t="n"/>
      <c r="K104" s="56" t="inlineStr">
        <is>
          <t>Eda Ayaz</t>
        </is>
      </c>
      <c r="L104" s="65" t="n"/>
      <c r="M104" s="3" t="n"/>
      <c r="N104" s="3" t="n"/>
      <c r="O104" s="3" t="n"/>
      <c r="P104" s="3" t="n"/>
      <c r="Q104" s="3" t="n"/>
      <c r="R104" s="3" t="n"/>
      <c r="S104" s="3" t="n"/>
      <c r="T104" s="3" t="n"/>
    </row>
    <row r="105" ht="15" customHeight="1">
      <c r="A105" s="56" t="n"/>
      <c r="B105" s="58" t="n"/>
      <c r="C105" s="56" t="n"/>
      <c r="D105" s="58" t="n"/>
      <c r="E105" s="56" t="n"/>
      <c r="F105" s="58" t="n"/>
      <c r="G105" s="56" t="n"/>
      <c r="H105" s="58" t="n"/>
      <c r="I105" s="56" t="n"/>
      <c r="J105" s="58" t="n"/>
      <c r="K105" s="56" t="inlineStr">
        <is>
          <t>Eda Ayaz</t>
        </is>
      </c>
      <c r="L105" s="65" t="n"/>
      <c r="M105" s="3" t="n"/>
      <c r="N105" s="3" t="n"/>
      <c r="O105" s="3" t="n"/>
      <c r="P105" s="3" t="n"/>
      <c r="Q105" s="3" t="n"/>
      <c r="R105" s="3" t="n"/>
      <c r="S105" s="3" t="n"/>
      <c r="T105" s="3" t="n"/>
    </row>
    <row r="106" ht="15" customHeight="1">
      <c r="A106" s="56" t="n"/>
      <c r="B106" s="58" t="n"/>
      <c r="C106" s="56" t="n"/>
      <c r="D106" s="58" t="n"/>
      <c r="E106" s="56" t="n"/>
      <c r="F106" s="58" t="n"/>
      <c r="G106" s="56" t="n"/>
      <c r="H106" s="58" t="n"/>
      <c r="I106" s="56" t="n"/>
      <c r="J106" s="58" t="n"/>
      <c r="K106" s="56" t="inlineStr">
        <is>
          <t>Eda Ayaz</t>
        </is>
      </c>
      <c r="L106" s="65" t="n"/>
      <c r="M106" s="3" t="n"/>
      <c r="N106" s="3" t="n"/>
      <c r="O106" s="3" t="n"/>
      <c r="P106" s="3" t="n"/>
      <c r="Q106" s="3" t="n"/>
      <c r="R106" s="3" t="n"/>
      <c r="S106" s="3" t="n"/>
      <c r="T106" s="3" t="n"/>
    </row>
    <row r="107" ht="15" customHeight="1">
      <c r="A107" s="56" t="n"/>
      <c r="B107" s="58" t="n"/>
      <c r="C107" s="56" t="n"/>
      <c r="D107" s="58" t="n"/>
      <c r="E107" s="56" t="n"/>
      <c r="F107" s="58" t="n"/>
      <c r="G107" s="56" t="n"/>
      <c r="H107" s="58" t="n"/>
      <c r="I107" s="56" t="n"/>
      <c r="J107" s="58" t="n"/>
      <c r="K107" s="56" t="inlineStr">
        <is>
          <t>Eda Ayaz</t>
        </is>
      </c>
      <c r="L107" s="65" t="n"/>
      <c r="M107" s="3" t="n"/>
      <c r="N107" s="3" t="n"/>
      <c r="O107" s="3" t="n"/>
      <c r="P107" s="3" t="n"/>
      <c r="Q107" s="3" t="n"/>
      <c r="R107" s="3" t="n"/>
      <c r="S107" s="3" t="n"/>
      <c r="T107" s="3" t="n"/>
    </row>
    <row r="108" ht="15" customHeight="1">
      <c r="A108" s="56" t="n"/>
      <c r="B108" s="58" t="n"/>
      <c r="C108" s="56" t="n"/>
      <c r="D108" s="58" t="n"/>
      <c r="E108" s="56" t="n"/>
      <c r="F108" s="58" t="n"/>
      <c r="G108" s="56" t="n"/>
      <c r="H108" s="58" t="n"/>
      <c r="I108" s="56" t="n"/>
      <c r="J108" s="58" t="n"/>
      <c r="K108" s="56" t="inlineStr">
        <is>
          <t>Eda Ayaz</t>
        </is>
      </c>
      <c r="L108" s="65" t="n"/>
      <c r="M108" s="3" t="n"/>
      <c r="N108" s="3" t="n"/>
      <c r="O108" s="3" t="n"/>
      <c r="P108" s="3" t="n"/>
      <c r="Q108" s="3" t="n"/>
      <c r="R108" s="3" t="n"/>
      <c r="S108" s="3" t="n"/>
      <c r="T108" s="3" t="n"/>
    </row>
    <row r="109" ht="15" customHeight="1">
      <c r="A109" s="56" t="n"/>
      <c r="B109" s="58" t="n"/>
      <c r="C109" s="56" t="n"/>
      <c r="D109" s="58" t="n"/>
      <c r="E109" s="56" t="n"/>
      <c r="F109" s="58" t="n"/>
      <c r="G109" s="56" t="n"/>
      <c r="H109" s="58" t="n"/>
      <c r="I109" s="56" t="n"/>
      <c r="J109" s="58" t="n"/>
      <c r="K109" s="56" t="inlineStr">
        <is>
          <t>Eda Ayaz</t>
        </is>
      </c>
      <c r="L109" s="65" t="n"/>
      <c r="M109" s="3" t="n"/>
      <c r="N109" s="3" t="n"/>
      <c r="O109" s="3" t="n"/>
      <c r="P109" s="3" t="n"/>
      <c r="Q109" s="3" t="n"/>
      <c r="R109" s="3" t="n"/>
      <c r="S109" s="3" t="n"/>
      <c r="T109" s="3" t="n"/>
    </row>
    <row r="110" ht="15" customHeight="1">
      <c r="A110" s="56" t="n"/>
      <c r="B110" s="58" t="n"/>
      <c r="C110" s="56" t="n"/>
      <c r="D110" s="58" t="n"/>
      <c r="E110" s="56" t="n"/>
      <c r="F110" s="58" t="n"/>
      <c r="G110" s="56" t="n"/>
      <c r="H110" s="58" t="n"/>
      <c r="I110" s="56" t="n"/>
      <c r="J110" s="58" t="n"/>
      <c r="K110" s="56" t="inlineStr">
        <is>
          <t>Eda Ayaz</t>
        </is>
      </c>
      <c r="L110" s="65" t="n"/>
      <c r="M110" s="3" t="n"/>
      <c r="N110" s="3" t="n"/>
      <c r="O110" s="3" t="n"/>
      <c r="P110" s="3" t="n"/>
      <c r="Q110" s="3" t="n"/>
      <c r="R110" s="3" t="n"/>
      <c r="S110" s="3" t="n"/>
      <c r="T110" s="3" t="n"/>
    </row>
    <row r="111" ht="15" customHeight="1">
      <c r="A111" s="56" t="n"/>
      <c r="B111" s="58" t="n"/>
      <c r="C111" s="56" t="n"/>
      <c r="D111" s="58" t="n"/>
      <c r="E111" s="56" t="n"/>
      <c r="F111" s="58" t="n"/>
      <c r="G111" s="56" t="n"/>
      <c r="H111" s="58" t="n"/>
      <c r="I111" s="56" t="n"/>
      <c r="J111" s="58" t="n"/>
      <c r="K111" s="56" t="inlineStr">
        <is>
          <t>Eda Ayaz</t>
        </is>
      </c>
      <c r="L111" s="65" t="n"/>
      <c r="M111" s="3" t="n"/>
      <c r="N111" s="3" t="n"/>
      <c r="O111" s="3" t="n"/>
      <c r="P111" s="3" t="n"/>
      <c r="Q111" s="3" t="n"/>
      <c r="R111" s="3" t="n"/>
      <c r="S111" s="3" t="n"/>
      <c r="T111" s="3" t="n"/>
    </row>
    <row r="112" ht="15" customHeight="1">
      <c r="A112" s="56" t="n"/>
      <c r="B112" s="58" t="n"/>
      <c r="C112" s="56" t="n"/>
      <c r="D112" s="58" t="n"/>
      <c r="E112" s="56" t="n"/>
      <c r="F112" s="58" t="n"/>
      <c r="G112" s="56" t="n"/>
      <c r="H112" s="58" t="n"/>
      <c r="I112" s="56" t="n"/>
      <c r="J112" s="58" t="n"/>
      <c r="K112" s="56" t="inlineStr">
        <is>
          <t>Eda Ayaz</t>
        </is>
      </c>
      <c r="L112" s="65" t="n"/>
      <c r="M112" s="3" t="n"/>
      <c r="N112" s="3" t="n"/>
      <c r="O112" s="3" t="n"/>
      <c r="P112" s="3" t="n"/>
      <c r="Q112" s="3" t="n"/>
      <c r="R112" s="3" t="n"/>
      <c r="S112" s="3" t="n"/>
      <c r="T112" s="3" t="n"/>
    </row>
    <row r="113" ht="15" customHeight="1">
      <c r="A113" s="56" t="n"/>
      <c r="B113" s="58" t="n"/>
      <c r="C113" s="56" t="n"/>
      <c r="D113" s="58" t="n"/>
      <c r="E113" s="56" t="n"/>
      <c r="F113" s="58" t="n"/>
      <c r="G113" s="56" t="n"/>
      <c r="H113" s="58" t="n"/>
      <c r="I113" s="56" t="n"/>
      <c r="J113" s="58" t="n"/>
      <c r="K113" s="56" t="inlineStr">
        <is>
          <t>Eda Ayaz</t>
        </is>
      </c>
      <c r="L113" s="65" t="n"/>
      <c r="M113" s="3" t="n"/>
      <c r="N113" s="3" t="n"/>
      <c r="O113" s="3" t="n"/>
      <c r="P113" s="3" t="n"/>
      <c r="Q113" s="3" t="n"/>
      <c r="R113" s="3" t="n"/>
      <c r="S113" s="3" t="n"/>
      <c r="T113" s="3" t="n"/>
    </row>
    <row r="114" ht="15" customHeight="1">
      <c r="A114" s="56" t="n"/>
      <c r="B114" s="58" t="n"/>
      <c r="C114" s="56" t="n"/>
      <c r="D114" s="58" t="n"/>
      <c r="E114" s="56" t="n"/>
      <c r="F114" s="58" t="n"/>
      <c r="G114" s="56" t="n"/>
      <c r="H114" s="58" t="n"/>
      <c r="I114" s="56" t="n"/>
      <c r="J114" s="58" t="n"/>
      <c r="K114" s="56" t="inlineStr">
        <is>
          <t>Eda Ayaz</t>
        </is>
      </c>
      <c r="L114" s="65" t="n"/>
      <c r="M114" s="3" t="n"/>
      <c r="N114" s="3" t="n"/>
      <c r="O114" s="3" t="n"/>
      <c r="P114" s="3" t="n"/>
      <c r="Q114" s="3" t="n"/>
      <c r="R114" s="3" t="n"/>
      <c r="S114" s="3" t="n"/>
      <c r="T114" s="3" t="n"/>
    </row>
    <row r="115" ht="15" customHeight="1">
      <c r="A115" s="56" t="n"/>
      <c r="B115" s="58" t="n"/>
      <c r="C115" s="56" t="n"/>
      <c r="D115" s="58" t="n"/>
      <c r="E115" s="56" t="n"/>
      <c r="F115" s="58" t="n"/>
      <c r="G115" s="56" t="n"/>
      <c r="H115" s="58" t="n"/>
      <c r="I115" s="56" t="n"/>
      <c r="J115" s="58" t="n"/>
      <c r="K115" s="56" t="inlineStr">
        <is>
          <t>Eda Ayaz</t>
        </is>
      </c>
      <c r="L115" s="65" t="n"/>
      <c r="M115" s="3" t="n"/>
      <c r="N115" s="3" t="n"/>
      <c r="O115" s="3" t="n"/>
      <c r="P115" s="3" t="n"/>
      <c r="Q115" s="3" t="n"/>
      <c r="R115" s="3" t="n"/>
      <c r="S115" s="3" t="n"/>
      <c r="T115" s="3" t="n"/>
    </row>
    <row r="116" ht="15" customHeight="1">
      <c r="A116" s="56" t="n"/>
      <c r="B116" s="58" t="n"/>
      <c r="C116" s="56" t="n"/>
      <c r="D116" s="58" t="n"/>
      <c r="E116" s="56" t="n"/>
      <c r="F116" s="58" t="n"/>
      <c r="G116" s="56" t="n"/>
      <c r="H116" s="58" t="n"/>
      <c r="I116" s="56" t="n"/>
      <c r="J116" s="58" t="n"/>
      <c r="K116" s="56" t="inlineStr">
        <is>
          <t>Eda Ayaz</t>
        </is>
      </c>
      <c r="L116" s="65" t="n"/>
      <c r="M116" s="3" t="n"/>
      <c r="N116" s="3" t="n"/>
      <c r="O116" s="3" t="n"/>
      <c r="P116" s="3" t="n"/>
      <c r="Q116" s="3" t="n"/>
      <c r="R116" s="3" t="n"/>
      <c r="S116" s="3" t="n"/>
      <c r="T116" s="3" t="n"/>
    </row>
    <row r="117" ht="15" customHeight="1">
      <c r="A117" s="56" t="n"/>
      <c r="B117" s="58" t="n"/>
      <c r="C117" s="56" t="n"/>
      <c r="D117" s="58" t="n"/>
      <c r="E117" s="56" t="n"/>
      <c r="F117" s="58" t="n"/>
      <c r="G117" s="56" t="n"/>
      <c r="H117" s="58" t="n"/>
      <c r="I117" s="56" t="n"/>
      <c r="J117" s="58" t="n"/>
      <c r="K117" s="56" t="inlineStr">
        <is>
          <t>Eda Ayaz</t>
        </is>
      </c>
      <c r="L117" s="65" t="n"/>
      <c r="M117" s="3" t="n"/>
      <c r="N117" s="3" t="n"/>
      <c r="O117" s="3" t="n"/>
      <c r="P117" s="3" t="n"/>
      <c r="Q117" s="3" t="n"/>
      <c r="R117" s="3" t="n"/>
      <c r="S117" s="3" t="n"/>
      <c r="T117" s="3" t="n"/>
    </row>
    <row r="118" ht="15" customHeight="1">
      <c r="A118" s="56" t="n"/>
      <c r="B118" s="58" t="n"/>
      <c r="C118" s="56" t="n"/>
      <c r="D118" s="58" t="n"/>
      <c r="E118" s="56" t="n"/>
      <c r="F118" s="58" t="n"/>
      <c r="G118" s="56" t="n"/>
      <c r="H118" s="58" t="n"/>
      <c r="I118" s="56" t="n"/>
      <c r="J118" s="58" t="n"/>
      <c r="K118" s="56" t="inlineStr">
        <is>
          <t>Eda Ayaz</t>
        </is>
      </c>
      <c r="L118" s="65" t="n"/>
      <c r="M118" s="3" t="n"/>
      <c r="N118" s="3" t="n"/>
      <c r="O118" s="3" t="n"/>
      <c r="P118" s="3" t="n"/>
      <c r="Q118" s="3" t="n"/>
      <c r="R118" s="3" t="n"/>
      <c r="S118" s="3" t="n"/>
      <c r="T118" s="3" t="n"/>
    </row>
    <row r="119" ht="15" customHeight="1">
      <c r="A119" s="56" t="n"/>
      <c r="B119" s="58" t="n"/>
      <c r="C119" s="56" t="n"/>
      <c r="D119" s="58" t="n"/>
      <c r="E119" s="56" t="n"/>
      <c r="F119" s="58" t="n"/>
      <c r="G119" s="56" t="n"/>
      <c r="H119" s="58" t="n"/>
      <c r="I119" s="56" t="n"/>
      <c r="J119" s="58" t="n"/>
      <c r="K119" s="56" t="inlineStr">
        <is>
          <t>Eda Ayaz</t>
        </is>
      </c>
      <c r="L119" s="65" t="n"/>
      <c r="M119" s="3" t="n"/>
      <c r="N119" s="3" t="n"/>
      <c r="O119" s="3" t="n"/>
      <c r="P119" s="3" t="n"/>
      <c r="Q119" s="3" t="n"/>
      <c r="R119" s="3" t="n"/>
      <c r="S119" s="3" t="n"/>
      <c r="T119" s="3" t="n"/>
    </row>
    <row r="120" ht="15" customHeight="1">
      <c r="A120" s="56" t="n"/>
      <c r="B120" s="58" t="n"/>
      <c r="C120" s="56" t="n"/>
      <c r="D120" s="58" t="n"/>
      <c r="E120" s="56" t="n"/>
      <c r="F120" s="58" t="n"/>
      <c r="G120" s="56" t="n"/>
      <c r="H120" s="58" t="n"/>
      <c r="I120" s="56" t="n"/>
      <c r="J120" s="58" t="n"/>
      <c r="K120" s="56" t="inlineStr">
        <is>
          <t>Eda Ayaz</t>
        </is>
      </c>
      <c r="L120" s="65" t="n"/>
      <c r="M120" s="3" t="n"/>
      <c r="N120" s="3" t="n"/>
      <c r="O120" s="3" t="n"/>
      <c r="P120" s="3" t="n"/>
      <c r="Q120" s="3" t="n"/>
      <c r="R120" s="3" t="n"/>
      <c r="S120" s="3" t="n"/>
      <c r="T120" s="3" t="n"/>
    </row>
    <row r="121" ht="15" customHeight="1">
      <c r="A121" s="56" t="n"/>
      <c r="B121" s="58" t="n"/>
      <c r="C121" s="56" t="n"/>
      <c r="D121" s="58" t="n"/>
      <c r="E121" s="56" t="n"/>
      <c r="F121" s="58" t="n"/>
      <c r="G121" s="56" t="n"/>
      <c r="H121" s="58" t="n"/>
      <c r="I121" s="56" t="n"/>
      <c r="J121" s="58" t="n"/>
      <c r="K121" s="56" t="inlineStr">
        <is>
          <t>Eda Ayaz</t>
        </is>
      </c>
      <c r="L121" s="65" t="n"/>
      <c r="M121" s="3" t="n"/>
      <c r="N121" s="3" t="n"/>
      <c r="O121" s="3" t="n"/>
      <c r="P121" s="3" t="n"/>
      <c r="Q121" s="3" t="n"/>
      <c r="R121" s="3" t="n"/>
      <c r="S121" s="3" t="n"/>
      <c r="T121" s="3" t="n"/>
    </row>
    <row r="122" ht="15" customHeight="1">
      <c r="A122" s="56" t="n"/>
      <c r="B122" s="58" t="n"/>
      <c r="C122" s="56" t="n"/>
      <c r="D122" s="58" t="n"/>
      <c r="E122" s="56" t="n"/>
      <c r="F122" s="58" t="n"/>
      <c r="G122" s="56" t="n"/>
      <c r="H122" s="58" t="n"/>
      <c r="I122" s="56" t="n"/>
      <c r="J122" s="58" t="n"/>
      <c r="K122" s="56" t="inlineStr">
        <is>
          <t>Eda Ayaz</t>
        </is>
      </c>
      <c r="L122" s="65" t="n"/>
      <c r="M122" s="3" t="n"/>
      <c r="N122" s="3" t="n"/>
      <c r="O122" s="3" t="n"/>
      <c r="P122" s="3" t="n"/>
      <c r="Q122" s="3" t="n"/>
      <c r="R122" s="3" t="n"/>
      <c r="S122" s="3" t="n"/>
      <c r="T122" s="3" t="n"/>
    </row>
    <row r="123" ht="15" customHeight="1">
      <c r="A123" s="56" t="n"/>
      <c r="B123" s="58" t="n"/>
      <c r="C123" s="56" t="n"/>
      <c r="D123" s="58" t="n"/>
      <c r="E123" s="56" t="n"/>
      <c r="F123" s="58" t="n"/>
      <c r="G123" s="56" t="n"/>
      <c r="H123" s="58" t="n"/>
      <c r="I123" s="56" t="n"/>
      <c r="J123" s="58" t="n"/>
      <c r="K123" s="56" t="inlineStr">
        <is>
          <t>Eda Ayaz</t>
        </is>
      </c>
      <c r="L123" s="65" t="n"/>
      <c r="M123" s="3" t="n"/>
      <c r="N123" s="3" t="n"/>
      <c r="O123" s="3" t="n"/>
      <c r="P123" s="3" t="n"/>
      <c r="Q123" s="3" t="n"/>
      <c r="R123" s="3" t="n"/>
      <c r="S123" s="3" t="n"/>
      <c r="T123" s="3" t="n"/>
    </row>
    <row r="124" ht="15" customHeight="1">
      <c r="A124" s="56" t="n"/>
      <c r="B124" s="58" t="n"/>
      <c r="C124" s="56" t="n"/>
      <c r="D124" s="58" t="n"/>
      <c r="E124" s="56" t="n"/>
      <c r="F124" s="58" t="n"/>
      <c r="G124" s="56" t="n"/>
      <c r="H124" s="58" t="n"/>
      <c r="I124" s="56" t="n"/>
      <c r="J124" s="58" t="n"/>
      <c r="K124" s="56" t="inlineStr">
        <is>
          <t>Eda Ayaz</t>
        </is>
      </c>
      <c r="L124" s="65" t="n"/>
      <c r="M124" s="3" t="n"/>
      <c r="N124" s="3" t="n"/>
      <c r="O124" s="3" t="n"/>
      <c r="P124" s="3" t="n"/>
      <c r="Q124" s="3" t="n"/>
      <c r="R124" s="3" t="n"/>
      <c r="S124" s="3" t="n"/>
      <c r="T124" s="3" t="n"/>
    </row>
    <row r="125" ht="15" customHeight="1">
      <c r="A125" s="56" t="n"/>
      <c r="B125" s="58" t="n"/>
      <c r="C125" s="56" t="n"/>
      <c r="D125" s="58" t="n"/>
      <c r="E125" s="56" t="n"/>
      <c r="F125" s="58" t="n"/>
      <c r="G125" s="56" t="n"/>
      <c r="H125" s="58" t="n"/>
      <c r="I125" s="56" t="n"/>
      <c r="J125" s="58" t="n"/>
      <c r="K125" s="56" t="inlineStr">
        <is>
          <t>Eda Ayaz</t>
        </is>
      </c>
      <c r="L125" s="65" t="n"/>
      <c r="M125" s="3" t="n"/>
      <c r="N125" s="3" t="n"/>
      <c r="O125" s="3" t="n"/>
      <c r="P125" s="3" t="n"/>
      <c r="Q125" s="3" t="n"/>
      <c r="R125" s="3" t="n"/>
      <c r="S125" s="3" t="n"/>
      <c r="T125" s="3" t="n"/>
    </row>
    <row r="126" ht="15" customHeight="1">
      <c r="A126" s="56" t="n"/>
      <c r="B126" s="58" t="n"/>
      <c r="C126" s="56" t="n"/>
      <c r="D126" s="58" t="n"/>
      <c r="E126" s="56" t="n"/>
      <c r="F126" s="58" t="n"/>
      <c r="G126" s="56" t="n"/>
      <c r="H126" s="58" t="n"/>
      <c r="I126" s="56" t="n"/>
      <c r="J126" s="58" t="n"/>
      <c r="K126" s="56" t="inlineStr">
        <is>
          <t>Eda Ayaz</t>
        </is>
      </c>
      <c r="L126" s="65" t="n"/>
      <c r="M126" s="3" t="n"/>
      <c r="N126" s="3" t="n"/>
      <c r="O126" s="3" t="n"/>
      <c r="P126" s="3" t="n"/>
      <c r="Q126" s="3" t="n"/>
      <c r="R126" s="3" t="n"/>
      <c r="S126" s="3" t="n"/>
      <c r="T126" s="3" t="n"/>
    </row>
    <row r="127" ht="15" customHeight="1">
      <c r="A127" s="56" t="n"/>
      <c r="B127" s="58" t="n"/>
      <c r="C127" s="56" t="n"/>
      <c r="D127" s="58" t="n"/>
      <c r="E127" s="56" t="n"/>
      <c r="F127" s="58" t="n"/>
      <c r="G127" s="56" t="n"/>
      <c r="H127" s="58" t="n"/>
      <c r="I127" s="56" t="n"/>
      <c r="J127" s="58" t="n"/>
      <c r="K127" s="56" t="inlineStr">
        <is>
          <t>Eda Ayaz</t>
        </is>
      </c>
      <c r="L127" s="65" t="n"/>
      <c r="M127" s="3" t="n"/>
      <c r="N127" s="3" t="n"/>
      <c r="O127" s="3" t="n"/>
      <c r="P127" s="3" t="n"/>
      <c r="Q127" s="3" t="n"/>
      <c r="R127" s="3" t="n"/>
      <c r="S127" s="3" t="n"/>
      <c r="T127" s="3" t="n"/>
    </row>
    <row r="128" ht="15" customHeight="1">
      <c r="A128" s="56" t="n"/>
      <c r="B128" s="58" t="n"/>
      <c r="C128" s="56" t="n"/>
      <c r="D128" s="58" t="n"/>
      <c r="E128" s="56" t="n"/>
      <c r="F128" s="58" t="n"/>
      <c r="G128" s="56" t="n"/>
      <c r="H128" s="58" t="n"/>
      <c r="I128" s="56" t="n"/>
      <c r="J128" s="58" t="n"/>
      <c r="K128" s="56" t="inlineStr">
        <is>
          <t>Eda Ayaz</t>
        </is>
      </c>
      <c r="L128" s="65" t="n"/>
      <c r="M128" s="3" t="n"/>
      <c r="N128" s="3" t="n"/>
      <c r="O128" s="3" t="n"/>
      <c r="P128" s="3" t="n"/>
      <c r="Q128" s="3" t="n"/>
      <c r="R128" s="3" t="n"/>
      <c r="S128" s="3" t="n"/>
      <c r="T128" s="3" t="n"/>
    </row>
    <row r="129" ht="15" customHeight="1">
      <c r="A129" s="56" t="n"/>
      <c r="B129" s="58" t="n"/>
      <c r="C129" s="56" t="n"/>
      <c r="D129" s="58" t="n"/>
      <c r="E129" s="56" t="n"/>
      <c r="F129" s="58" t="n"/>
      <c r="G129" s="56" t="n"/>
      <c r="H129" s="58" t="n"/>
      <c r="I129" s="56" t="n"/>
      <c r="J129" s="58" t="n"/>
      <c r="K129" s="56" t="inlineStr">
        <is>
          <t>Eda Ayaz</t>
        </is>
      </c>
      <c r="L129" s="65" t="n"/>
      <c r="M129" s="3" t="n"/>
      <c r="N129" s="3" t="n"/>
      <c r="O129" s="3" t="n"/>
      <c r="P129" s="3" t="n"/>
      <c r="Q129" s="3" t="n"/>
      <c r="R129" s="3" t="n"/>
      <c r="S129" s="3" t="n"/>
      <c r="T129" s="3" t="n"/>
    </row>
    <row r="130" ht="15" customHeight="1">
      <c r="A130" s="56" t="n"/>
      <c r="B130" s="58" t="n"/>
      <c r="C130" s="56" t="n"/>
      <c r="D130" s="58" t="n"/>
      <c r="E130" s="56" t="n"/>
      <c r="F130" s="58" t="n"/>
      <c r="G130" s="56" t="n"/>
      <c r="H130" s="58" t="n"/>
      <c r="I130" s="56" t="n"/>
      <c r="J130" s="58" t="n"/>
      <c r="K130" s="56" t="inlineStr">
        <is>
          <t>Eda Ayaz</t>
        </is>
      </c>
      <c r="L130" s="65" t="n"/>
      <c r="M130" s="3" t="n"/>
      <c r="N130" s="3" t="n"/>
      <c r="O130" s="3" t="n"/>
      <c r="P130" s="3" t="n"/>
      <c r="Q130" s="3" t="n"/>
      <c r="R130" s="3" t="n"/>
      <c r="S130" s="3" t="n"/>
      <c r="T130" s="3" t="n"/>
    </row>
    <row r="131" ht="15" customHeight="1">
      <c r="A131" s="56" t="n"/>
      <c r="B131" s="58" t="n"/>
      <c r="C131" s="56" t="n"/>
      <c r="D131" s="58" t="n"/>
      <c r="E131" s="56" t="n"/>
      <c r="F131" s="58" t="n"/>
      <c r="G131" s="56" t="n"/>
      <c r="H131" s="58" t="n"/>
      <c r="I131" s="56" t="n"/>
      <c r="J131" s="58" t="n"/>
      <c r="K131" s="56" t="inlineStr">
        <is>
          <t>Eda Ayaz</t>
        </is>
      </c>
      <c r="L131" s="65" t="n"/>
      <c r="M131" s="3" t="n"/>
      <c r="N131" s="3" t="n"/>
      <c r="O131" s="3" t="n"/>
      <c r="P131" s="3" t="n"/>
      <c r="Q131" s="3" t="n"/>
      <c r="R131" s="3" t="n"/>
      <c r="S131" s="3" t="n"/>
      <c r="T131" s="3" t="n"/>
    </row>
    <row r="132" ht="15" customHeight="1">
      <c r="A132" s="56" t="n"/>
      <c r="B132" s="58" t="n"/>
      <c r="C132" s="56" t="n"/>
      <c r="D132" s="58" t="n"/>
      <c r="E132" s="56" t="n"/>
      <c r="F132" s="58" t="n"/>
      <c r="G132" s="56" t="n"/>
      <c r="H132" s="58" t="n"/>
      <c r="I132" s="56" t="n"/>
      <c r="J132" s="58" t="n"/>
      <c r="K132" s="56" t="inlineStr">
        <is>
          <t>Eda Ayaz</t>
        </is>
      </c>
      <c r="L132" s="65" t="n"/>
      <c r="M132" s="3" t="n"/>
      <c r="N132" s="3" t="n"/>
      <c r="O132" s="3" t="n"/>
      <c r="P132" s="3" t="n"/>
      <c r="Q132" s="3" t="n"/>
      <c r="R132" s="3" t="n"/>
      <c r="S132" s="3" t="n"/>
      <c r="T132" s="3" t="n"/>
    </row>
    <row r="133" ht="15" customHeight="1">
      <c r="A133" s="56" t="n"/>
      <c r="B133" s="58" t="n"/>
      <c r="C133" s="56" t="n"/>
      <c r="D133" s="58" t="n"/>
      <c r="E133" s="56" t="n"/>
      <c r="F133" s="58" t="n"/>
      <c r="G133" s="56" t="n"/>
      <c r="H133" s="58" t="n"/>
      <c r="I133" s="56" t="n"/>
      <c r="J133" s="58" t="n"/>
      <c r="K133" s="56" t="inlineStr">
        <is>
          <t>Eda Ayaz</t>
        </is>
      </c>
      <c r="L133" s="65" t="n"/>
      <c r="M133" s="3" t="n"/>
      <c r="N133" s="3" t="n"/>
      <c r="O133" s="3" t="n"/>
      <c r="P133" s="3" t="n"/>
      <c r="Q133" s="3" t="n"/>
      <c r="R133" s="3" t="n"/>
      <c r="S133" s="3" t="n"/>
      <c r="T133" s="3" t="n"/>
    </row>
    <row r="134" ht="15" customHeight="1">
      <c r="A134" s="56" t="n"/>
      <c r="B134" s="58" t="n"/>
      <c r="C134" s="56" t="n"/>
      <c r="D134" s="58" t="n"/>
      <c r="E134" s="56" t="n"/>
      <c r="F134" s="58" t="n"/>
      <c r="G134" s="56" t="n"/>
      <c r="H134" s="58" t="n"/>
      <c r="I134" s="56" t="n"/>
      <c r="J134" s="58" t="n"/>
      <c r="K134" s="56" t="inlineStr">
        <is>
          <t>Eda Ayaz</t>
        </is>
      </c>
      <c r="L134" s="65" t="n"/>
      <c r="M134" s="3" t="n"/>
      <c r="N134" s="3" t="n"/>
      <c r="O134" s="3" t="n"/>
      <c r="P134" s="3" t="n"/>
      <c r="Q134" s="3" t="n"/>
      <c r="R134" s="3" t="n"/>
      <c r="S134" s="3" t="n"/>
      <c r="T134" s="3" t="n"/>
    </row>
    <row r="135" ht="15" customHeight="1">
      <c r="A135" s="56" t="n"/>
      <c r="B135" s="58" t="n"/>
      <c r="C135" s="56" t="n"/>
      <c r="D135" s="58" t="n"/>
      <c r="E135" s="56" t="n"/>
      <c r="F135" s="58" t="n"/>
      <c r="G135" s="56" t="n"/>
      <c r="H135" s="58" t="n"/>
      <c r="I135" s="56" t="n"/>
      <c r="J135" s="58" t="n"/>
      <c r="K135" s="56" t="inlineStr">
        <is>
          <t>Eda Ayaz</t>
        </is>
      </c>
      <c r="L135" s="65" t="n"/>
      <c r="M135" s="3" t="n"/>
      <c r="N135" s="3" t="n"/>
      <c r="O135" s="3" t="n"/>
      <c r="P135" s="3" t="n"/>
      <c r="Q135" s="3" t="n"/>
      <c r="R135" s="3" t="n"/>
      <c r="S135" s="3" t="n"/>
      <c r="T135" s="3" t="n"/>
    </row>
    <row r="136" ht="15" customHeight="1">
      <c r="A136" s="56" t="n"/>
      <c r="B136" s="58" t="n"/>
      <c r="C136" s="56" t="n"/>
      <c r="D136" s="58" t="n"/>
      <c r="E136" s="56" t="n"/>
      <c r="F136" s="58" t="n"/>
      <c r="G136" s="56" t="n"/>
      <c r="H136" s="58" t="n"/>
      <c r="I136" s="56" t="n"/>
      <c r="J136" s="58" t="n"/>
      <c r="K136" s="56" t="inlineStr">
        <is>
          <t>Eda Ayaz</t>
        </is>
      </c>
      <c r="L136" s="65" t="n"/>
      <c r="M136" s="3" t="n"/>
      <c r="N136" s="3" t="n"/>
      <c r="O136" s="3" t="n"/>
      <c r="P136" s="3" t="n"/>
      <c r="Q136" s="3" t="n"/>
      <c r="R136" s="3" t="n"/>
      <c r="S136" s="3" t="n"/>
      <c r="T136" s="3" t="n"/>
    </row>
    <row r="137" ht="15" customHeight="1">
      <c r="A137" s="56" t="n"/>
      <c r="B137" s="58" t="n"/>
      <c r="C137" s="56" t="n"/>
      <c r="D137" s="58" t="n"/>
      <c r="E137" s="56" t="n"/>
      <c r="F137" s="58" t="n"/>
      <c r="G137" s="56" t="n"/>
      <c r="H137" s="58" t="n"/>
      <c r="I137" s="56" t="n"/>
      <c r="J137" s="58" t="n"/>
      <c r="K137" s="56" t="inlineStr">
        <is>
          <t>Eda Ayaz</t>
        </is>
      </c>
      <c r="L137" s="65" t="n"/>
      <c r="M137" s="3" t="n"/>
      <c r="N137" s="3" t="n"/>
      <c r="O137" s="3" t="n"/>
      <c r="P137" s="3" t="n"/>
      <c r="Q137" s="3" t="n"/>
      <c r="R137" s="3" t="n"/>
      <c r="S137" s="3" t="n"/>
      <c r="T137" s="3" t="n"/>
    </row>
    <row r="138" ht="15" customHeight="1">
      <c r="A138" s="56" t="n"/>
      <c r="B138" s="58" t="n"/>
      <c r="C138" s="56" t="n"/>
      <c r="D138" s="58" t="n"/>
      <c r="E138" s="56" t="n"/>
      <c r="F138" s="58" t="n"/>
      <c r="G138" s="56" t="n"/>
      <c r="H138" s="58" t="n"/>
      <c r="I138" s="56" t="n"/>
      <c r="J138" s="58" t="n"/>
      <c r="K138" s="56" t="inlineStr">
        <is>
          <t>Eda Ayaz</t>
        </is>
      </c>
      <c r="L138" s="65" t="n"/>
      <c r="M138" s="3" t="n"/>
      <c r="N138" s="3" t="n"/>
      <c r="O138" s="3" t="n"/>
      <c r="P138" s="3" t="n"/>
      <c r="Q138" s="3" t="n"/>
      <c r="R138" s="3" t="n"/>
      <c r="S138" s="3" t="n"/>
      <c r="T138" s="3" t="n"/>
    </row>
    <row r="139" ht="15" customHeight="1">
      <c r="A139" s="56" t="n"/>
      <c r="B139" s="58" t="n"/>
      <c r="C139" s="56" t="n"/>
      <c r="D139" s="58" t="n"/>
      <c r="E139" s="56" t="n"/>
      <c r="F139" s="58" t="n"/>
      <c r="G139" s="56" t="n"/>
      <c r="H139" s="58" t="n"/>
      <c r="I139" s="56" t="n"/>
      <c r="J139" s="58" t="n"/>
      <c r="K139" s="56" t="inlineStr">
        <is>
          <t>Eda Ayaz</t>
        </is>
      </c>
      <c r="L139" s="65" t="n"/>
      <c r="M139" s="3" t="n"/>
      <c r="N139" s="3" t="n"/>
      <c r="O139" s="3" t="n"/>
      <c r="P139" s="3" t="n"/>
      <c r="Q139" s="3" t="n"/>
      <c r="R139" s="3" t="n"/>
      <c r="S139" s="3" t="n"/>
      <c r="T139" s="3" t="n"/>
    </row>
    <row r="140" ht="15" customHeight="1">
      <c r="A140" s="56" t="n"/>
      <c r="B140" s="58" t="n"/>
      <c r="C140" s="56" t="n"/>
      <c r="D140" s="58" t="n"/>
      <c r="E140" s="56" t="n"/>
      <c r="F140" s="58" t="n"/>
      <c r="G140" s="56" t="n"/>
      <c r="H140" s="58" t="n"/>
      <c r="I140" s="56" t="n"/>
      <c r="J140" s="58" t="n"/>
      <c r="K140" s="56" t="inlineStr">
        <is>
          <t>Eda Ayaz</t>
        </is>
      </c>
      <c r="L140" s="65" t="n"/>
      <c r="M140" s="3" t="n"/>
      <c r="N140" s="3" t="n"/>
      <c r="O140" s="3" t="n"/>
      <c r="P140" s="3" t="n"/>
      <c r="Q140" s="3" t="n"/>
      <c r="R140" s="3" t="n"/>
      <c r="S140" s="3" t="n"/>
      <c r="T140" s="3" t="n"/>
    </row>
    <row r="141" ht="15" customHeight="1">
      <c r="A141" s="56" t="n"/>
      <c r="B141" s="58" t="n"/>
      <c r="C141" s="56" t="n"/>
      <c r="D141" s="58" t="n"/>
      <c r="E141" s="56" t="n"/>
      <c r="F141" s="58" t="n"/>
      <c r="G141" s="56" t="n"/>
      <c r="H141" s="58" t="n"/>
      <c r="I141" s="56" t="n"/>
      <c r="J141" s="58" t="n"/>
      <c r="K141" s="56" t="inlineStr">
        <is>
          <t>Eda Ayaz</t>
        </is>
      </c>
      <c r="L141" s="65" t="n"/>
      <c r="M141" s="3" t="n"/>
      <c r="N141" s="3" t="n"/>
      <c r="O141" s="3" t="n"/>
      <c r="P141" s="3" t="n"/>
      <c r="Q141" s="3" t="n"/>
      <c r="R141" s="3" t="n"/>
      <c r="S141" s="3" t="n"/>
      <c r="T141" s="3" t="n"/>
    </row>
    <row r="142" ht="15" customHeight="1">
      <c r="A142" s="56" t="n"/>
      <c r="B142" s="58" t="n"/>
      <c r="C142" s="56" t="n"/>
      <c r="D142" s="58" t="n"/>
      <c r="E142" s="56" t="n"/>
      <c r="F142" s="58" t="n"/>
      <c r="G142" s="56" t="n"/>
      <c r="H142" s="58" t="n"/>
      <c r="I142" s="56" t="n"/>
      <c r="J142" s="58" t="n"/>
      <c r="K142" s="56" t="inlineStr">
        <is>
          <t>Eda Ayaz</t>
        </is>
      </c>
      <c r="L142" s="65" t="n"/>
      <c r="M142" s="3" t="n"/>
      <c r="N142" s="3" t="n"/>
      <c r="O142" s="3" t="n"/>
      <c r="P142" s="3" t="n"/>
      <c r="Q142" s="3" t="n"/>
      <c r="R142" s="3" t="n"/>
      <c r="S142" s="3" t="n"/>
      <c r="T142" s="3" t="n"/>
    </row>
    <row r="143" ht="15" customHeight="1">
      <c r="A143" s="56" t="n"/>
      <c r="B143" s="58" t="n"/>
      <c r="C143" s="56" t="n"/>
      <c r="D143" s="58" t="n"/>
      <c r="E143" s="56" t="n"/>
      <c r="F143" s="58" t="n"/>
      <c r="G143" s="56" t="n"/>
      <c r="H143" s="58" t="n"/>
      <c r="I143" s="56" t="n"/>
      <c r="J143" s="58" t="n"/>
      <c r="K143" s="56" t="inlineStr">
        <is>
          <t>Eda Ayaz</t>
        </is>
      </c>
      <c r="L143" s="65" t="n"/>
      <c r="M143" s="3" t="n"/>
      <c r="N143" s="3" t="n"/>
      <c r="O143" s="3" t="n"/>
      <c r="P143" s="3" t="n"/>
      <c r="Q143" s="3" t="n"/>
      <c r="R143" s="3" t="n"/>
      <c r="S143" s="3" t="n"/>
      <c r="T143" s="3" t="n"/>
    </row>
    <row r="144" ht="15" customHeight="1">
      <c r="A144" s="56" t="n"/>
      <c r="B144" s="58" t="n"/>
      <c r="C144" s="56" t="n"/>
      <c r="D144" s="58" t="n"/>
      <c r="E144" s="56" t="n"/>
      <c r="F144" s="58" t="n"/>
      <c r="G144" s="56" t="n"/>
      <c r="H144" s="58" t="n"/>
      <c r="I144" s="56" t="n"/>
      <c r="J144" s="58" t="n"/>
      <c r="K144" s="56" t="inlineStr">
        <is>
          <t>Eda Ayaz</t>
        </is>
      </c>
      <c r="L144" s="65" t="n"/>
      <c r="M144" s="3" t="n"/>
      <c r="N144" s="3" t="n"/>
      <c r="O144" s="3" t="n"/>
      <c r="P144" s="3" t="n"/>
      <c r="Q144" s="3" t="n"/>
      <c r="R144" s="3" t="n"/>
      <c r="S144" s="3" t="n"/>
      <c r="T144" s="3" t="n"/>
    </row>
    <row r="145" ht="15" customHeight="1">
      <c r="A145" s="56" t="n"/>
      <c r="B145" s="58" t="n"/>
      <c r="C145" s="56" t="n"/>
      <c r="D145" s="58" t="n"/>
      <c r="E145" s="56" t="n"/>
      <c r="F145" s="58" t="n"/>
      <c r="G145" s="56" t="n"/>
      <c r="H145" s="58" t="n"/>
      <c r="I145" s="56" t="n"/>
      <c r="J145" s="58" t="n"/>
      <c r="K145" s="56" t="inlineStr">
        <is>
          <t>Eda Ayaz</t>
        </is>
      </c>
      <c r="L145" s="65" t="n"/>
      <c r="M145" s="3" t="n"/>
      <c r="N145" s="3" t="n"/>
      <c r="O145" s="3" t="n"/>
      <c r="P145" s="3" t="n"/>
      <c r="Q145" s="3" t="n"/>
      <c r="R145" s="3" t="n"/>
      <c r="S145" s="3" t="n"/>
      <c r="T145" s="3" t="n"/>
    </row>
    <row r="146" ht="15" customHeight="1">
      <c r="A146" s="56" t="n"/>
      <c r="B146" s="58" t="n"/>
      <c r="C146" s="56" t="n"/>
      <c r="D146" s="58" t="n"/>
      <c r="E146" s="56" t="n"/>
      <c r="F146" s="58" t="n"/>
      <c r="G146" s="56" t="n"/>
      <c r="H146" s="58" t="n"/>
      <c r="I146" s="56" t="n"/>
      <c r="J146" s="58" t="n"/>
      <c r="K146" s="56" t="inlineStr">
        <is>
          <t>Eda Ayaz</t>
        </is>
      </c>
      <c r="L146" s="65" t="n"/>
      <c r="M146" s="3" t="n"/>
      <c r="N146" s="3" t="n"/>
      <c r="O146" s="3" t="n"/>
      <c r="P146" s="3" t="n"/>
      <c r="Q146" s="3" t="n"/>
      <c r="R146" s="3" t="n"/>
      <c r="S146" s="3" t="n"/>
      <c r="T146" s="3" t="n"/>
    </row>
    <row r="147" ht="15" customHeight="1">
      <c r="A147" s="56" t="n"/>
      <c r="B147" s="58" t="n"/>
      <c r="C147" s="56" t="n"/>
      <c r="D147" s="58" t="n"/>
      <c r="E147" s="56" t="n"/>
      <c r="F147" s="58" t="n"/>
      <c r="G147" s="56" t="n"/>
      <c r="H147" s="58" t="n"/>
      <c r="I147" s="56" t="n"/>
      <c r="J147" s="58" t="n"/>
      <c r="K147" s="56" t="inlineStr">
        <is>
          <t>Eda Ayaz</t>
        </is>
      </c>
      <c r="L147" s="65" t="n"/>
      <c r="M147" s="3" t="n"/>
      <c r="N147" s="3" t="n"/>
      <c r="O147" s="3" t="n"/>
      <c r="P147" s="3" t="n"/>
      <c r="Q147" s="3" t="n"/>
      <c r="R147" s="3" t="n"/>
      <c r="S147" s="3" t="n"/>
      <c r="T147" s="3" t="n"/>
    </row>
    <row r="148" ht="15" customHeight="1">
      <c r="A148" s="56" t="n"/>
      <c r="B148" s="58" t="n"/>
      <c r="C148" s="56" t="n"/>
      <c r="D148" s="58" t="n"/>
      <c r="E148" s="56" t="n"/>
      <c r="F148" s="58" t="n"/>
      <c r="G148" s="56" t="n"/>
      <c r="H148" s="58" t="n"/>
      <c r="I148" s="56" t="n"/>
      <c r="J148" s="58" t="n"/>
      <c r="K148" s="56" t="inlineStr">
        <is>
          <t>Eda Ayaz</t>
        </is>
      </c>
      <c r="L148" s="65" t="n"/>
      <c r="M148" s="3" t="n"/>
      <c r="N148" s="3" t="n"/>
      <c r="O148" s="3" t="n"/>
      <c r="P148" s="3" t="n"/>
      <c r="Q148" s="3" t="n"/>
      <c r="R148" s="3" t="n"/>
      <c r="S148" s="3" t="n"/>
      <c r="T148" s="3" t="n"/>
    </row>
    <row r="149" ht="15" customHeight="1">
      <c r="A149" s="56" t="n"/>
      <c r="B149" s="58" t="n"/>
      <c r="C149" s="56" t="n"/>
      <c r="D149" s="58" t="n"/>
      <c r="E149" s="56" t="n"/>
      <c r="F149" s="58" t="n"/>
      <c r="G149" s="56" t="n"/>
      <c r="H149" s="58" t="n"/>
      <c r="I149" s="56" t="n"/>
      <c r="J149" s="58" t="n"/>
      <c r="K149" s="56" t="inlineStr">
        <is>
          <t>Eda Ayaz</t>
        </is>
      </c>
      <c r="L149" s="65" t="n"/>
      <c r="M149" s="3" t="n"/>
      <c r="N149" s="3" t="n"/>
      <c r="O149" s="3" t="n"/>
      <c r="P149" s="3" t="n"/>
      <c r="Q149" s="3" t="n"/>
      <c r="R149" s="3" t="n"/>
      <c r="S149" s="3" t="n"/>
      <c r="T149" s="3" t="n"/>
    </row>
    <row r="150" ht="15" customHeight="1">
      <c r="A150" s="56" t="n"/>
      <c r="B150" s="58" t="n"/>
      <c r="C150" s="56" t="n"/>
      <c r="D150" s="58" t="n"/>
      <c r="E150" s="56" t="n"/>
      <c r="F150" s="58" t="n"/>
      <c r="G150" s="56" t="n"/>
      <c r="H150" s="58" t="n"/>
      <c r="I150" s="56" t="n"/>
      <c r="J150" s="58" t="n"/>
      <c r="K150" s="56" t="inlineStr">
        <is>
          <t>Eda Ayaz</t>
        </is>
      </c>
      <c r="L150" s="65" t="n"/>
      <c r="M150" s="3" t="n"/>
      <c r="N150" s="3" t="n"/>
      <c r="O150" s="3" t="n"/>
      <c r="P150" s="3" t="n"/>
      <c r="Q150" s="3" t="n"/>
      <c r="R150" s="3" t="n"/>
      <c r="S150" s="3" t="n"/>
      <c r="T150" s="3" t="n"/>
    </row>
    <row r="151" ht="15" customHeight="1">
      <c r="A151" s="56" t="n"/>
      <c r="B151" s="58" t="n"/>
      <c r="C151" s="56" t="n"/>
      <c r="D151" s="58" t="n"/>
      <c r="E151" s="56" t="n"/>
      <c r="F151" s="58" t="n"/>
      <c r="G151" s="56" t="n"/>
      <c r="H151" s="58" t="n"/>
      <c r="I151" s="56" t="n"/>
      <c r="J151" s="58" t="n"/>
      <c r="K151" s="56" t="inlineStr">
        <is>
          <t>Eda Ayaz</t>
        </is>
      </c>
      <c r="L151" s="65" t="n"/>
      <c r="M151" s="3" t="n"/>
      <c r="N151" s="3" t="n"/>
      <c r="O151" s="3" t="n"/>
      <c r="P151" s="3" t="n"/>
      <c r="Q151" s="3" t="n"/>
      <c r="R151" s="3" t="n"/>
      <c r="S151" s="3" t="n"/>
      <c r="T151" s="3" t="n"/>
    </row>
    <row r="152" ht="15" customHeight="1">
      <c r="A152" s="56" t="n"/>
      <c r="B152" s="58" t="n"/>
      <c r="C152" s="56" t="n"/>
      <c r="D152" s="58" t="n"/>
      <c r="E152" s="56" t="n"/>
      <c r="F152" s="58" t="n"/>
      <c r="G152" s="56" t="n"/>
      <c r="H152" s="58" t="n"/>
      <c r="I152" s="56" t="n"/>
      <c r="J152" s="58" t="n"/>
      <c r="K152" s="56" t="inlineStr">
        <is>
          <t>Eda Ayaz</t>
        </is>
      </c>
      <c r="L152" s="65" t="n"/>
      <c r="M152" s="3" t="n"/>
      <c r="N152" s="3" t="n"/>
      <c r="O152" s="3" t="n"/>
      <c r="P152" s="3" t="n"/>
      <c r="Q152" s="3" t="n"/>
      <c r="R152" s="3" t="n"/>
      <c r="S152" s="3" t="n"/>
      <c r="T152" s="3" t="n"/>
    </row>
    <row r="153" ht="15" customHeight="1">
      <c r="A153" s="56" t="n"/>
      <c r="B153" s="58" t="n"/>
      <c r="C153" s="56" t="n"/>
      <c r="D153" s="58" t="n"/>
      <c r="E153" s="56" t="n"/>
      <c r="F153" s="58" t="n"/>
      <c r="G153" s="56" t="n"/>
      <c r="H153" s="58" t="n"/>
      <c r="I153" s="56" t="n"/>
      <c r="J153" s="58" t="n"/>
      <c r="K153" s="56" t="inlineStr">
        <is>
          <t>Eda Ayaz</t>
        </is>
      </c>
      <c r="L153" s="65" t="n"/>
      <c r="M153" s="3" t="n"/>
      <c r="N153" s="3" t="n"/>
      <c r="O153" s="3" t="n"/>
      <c r="P153" s="3" t="n"/>
      <c r="Q153" s="3" t="n"/>
      <c r="R153" s="3" t="n"/>
      <c r="S153" s="3" t="n"/>
      <c r="T153" s="3" t="n"/>
    </row>
    <row r="154" ht="15" customHeight="1">
      <c r="A154" s="56" t="n"/>
      <c r="B154" s="58" t="n"/>
      <c r="C154" s="56" t="n"/>
      <c r="D154" s="58" t="n"/>
      <c r="E154" s="56" t="n"/>
      <c r="F154" s="58" t="n"/>
      <c r="G154" s="56" t="n"/>
      <c r="H154" s="58" t="n"/>
      <c r="I154" s="56" t="n"/>
      <c r="J154" s="58" t="n"/>
      <c r="K154" s="56" t="inlineStr">
        <is>
          <t>Eda Ayaz</t>
        </is>
      </c>
      <c r="L154" s="65" t="n"/>
      <c r="M154" s="3" t="n"/>
      <c r="N154" s="3" t="n"/>
      <c r="O154" s="3" t="n"/>
      <c r="P154" s="3" t="n"/>
      <c r="Q154" s="3" t="n"/>
      <c r="R154" s="3" t="n"/>
      <c r="S154" s="3" t="n"/>
      <c r="T154" s="3" t="n"/>
    </row>
    <row r="155" ht="15" customHeight="1">
      <c r="A155" s="56" t="n"/>
      <c r="B155" s="58" t="n"/>
      <c r="C155" s="56" t="n"/>
      <c r="D155" s="58" t="n"/>
      <c r="E155" s="56" t="n"/>
      <c r="F155" s="58" t="n"/>
      <c r="G155" s="56" t="n"/>
      <c r="H155" s="58" t="n"/>
      <c r="I155" s="56" t="n"/>
      <c r="J155" s="58" t="n"/>
      <c r="K155" s="56" t="inlineStr">
        <is>
          <t>Eda Ayaz</t>
        </is>
      </c>
      <c r="L155" s="65" t="n"/>
      <c r="M155" s="3" t="n"/>
      <c r="N155" s="3" t="n"/>
      <c r="O155" s="3" t="n"/>
      <c r="P155" s="3" t="n"/>
      <c r="Q155" s="3" t="n"/>
      <c r="R155" s="3" t="n"/>
      <c r="S155" s="3" t="n"/>
      <c r="T155" s="3" t="n"/>
    </row>
    <row r="156" ht="15" customHeight="1">
      <c r="A156" s="56" t="n"/>
      <c r="B156" s="58" t="n"/>
      <c r="C156" s="56" t="n"/>
      <c r="D156" s="58" t="n"/>
      <c r="E156" s="56" t="n"/>
      <c r="F156" s="58" t="n"/>
      <c r="G156" s="56" t="n"/>
      <c r="H156" s="58" t="n"/>
      <c r="I156" s="56" t="n"/>
      <c r="J156" s="58" t="n"/>
      <c r="K156" s="56" t="inlineStr">
        <is>
          <t>Eda Ayaz</t>
        </is>
      </c>
      <c r="L156" s="65" t="n"/>
      <c r="M156" s="3" t="n"/>
      <c r="N156" s="3" t="n"/>
      <c r="O156" s="3" t="n"/>
      <c r="P156" s="3" t="n"/>
      <c r="Q156" s="3" t="n"/>
      <c r="R156" s="3" t="n"/>
      <c r="S156" s="3" t="n"/>
      <c r="T156" s="3" t="n"/>
    </row>
    <row r="157" ht="15" customHeight="1">
      <c r="A157" s="56" t="n"/>
      <c r="B157" s="58" t="n"/>
      <c r="C157" s="56" t="n"/>
      <c r="D157" s="58" t="n"/>
      <c r="E157" s="56" t="n"/>
      <c r="F157" s="58" t="n"/>
      <c r="G157" s="56" t="n"/>
      <c r="H157" s="58" t="n"/>
      <c r="I157" s="56" t="n"/>
      <c r="J157" s="58" t="n"/>
      <c r="K157" s="56" t="inlineStr">
        <is>
          <t>Eda Ayaz</t>
        </is>
      </c>
      <c r="L157" s="65" t="n"/>
      <c r="M157" s="3" t="n"/>
      <c r="N157" s="3" t="n"/>
      <c r="O157" s="3" t="n"/>
      <c r="P157" s="3" t="n"/>
      <c r="Q157" s="3" t="n"/>
      <c r="R157" s="3" t="n"/>
      <c r="S157" s="3" t="n"/>
      <c r="T157" s="3" t="n"/>
    </row>
    <row r="158" ht="15" customHeight="1">
      <c r="A158" s="56" t="n"/>
      <c r="B158" s="58" t="n"/>
      <c r="C158" s="56" t="n"/>
      <c r="D158" s="58" t="n"/>
      <c r="E158" s="56" t="n"/>
      <c r="F158" s="58" t="n"/>
      <c r="G158" s="56" t="n"/>
      <c r="H158" s="58" t="n"/>
      <c r="I158" s="56" t="n"/>
      <c r="J158" s="58" t="n"/>
      <c r="K158" s="56" t="inlineStr">
        <is>
          <t>Eda Ayaz</t>
        </is>
      </c>
      <c r="L158" s="65" t="n"/>
      <c r="M158" s="3" t="n"/>
      <c r="N158" s="3" t="n"/>
      <c r="O158" s="3" t="n"/>
      <c r="P158" s="3" t="n"/>
      <c r="Q158" s="3" t="n"/>
      <c r="R158" s="3" t="n"/>
      <c r="S158" s="3" t="n"/>
      <c r="T158" s="3" t="n"/>
    </row>
    <row r="159" ht="15" customHeight="1">
      <c r="A159" s="56" t="n"/>
      <c r="B159" s="58" t="n"/>
      <c r="C159" s="56" t="n"/>
      <c r="D159" s="58" t="n"/>
      <c r="E159" s="56" t="n"/>
      <c r="F159" s="58" t="n"/>
      <c r="G159" s="56" t="n"/>
      <c r="H159" s="58" t="n"/>
      <c r="I159" s="56" t="n"/>
      <c r="J159" s="58" t="n"/>
      <c r="K159" s="56" t="inlineStr">
        <is>
          <t>Eda Ayaz</t>
        </is>
      </c>
      <c r="L159" s="65" t="n"/>
      <c r="M159" s="3" t="n"/>
      <c r="N159" s="3" t="n"/>
      <c r="O159" s="3" t="n"/>
      <c r="P159" s="3" t="n"/>
      <c r="Q159" s="3" t="n"/>
      <c r="R159" s="3" t="n"/>
      <c r="S159" s="3" t="n"/>
      <c r="T159" s="3" t="n"/>
    </row>
    <row r="160" ht="15" customHeight="1">
      <c r="A160" s="56" t="n"/>
      <c r="B160" s="58" t="n"/>
      <c r="C160" s="56" t="n"/>
      <c r="D160" s="58" t="n"/>
      <c r="E160" s="56" t="n"/>
      <c r="F160" s="58" t="n"/>
      <c r="G160" s="56" t="n"/>
      <c r="H160" s="58" t="n"/>
      <c r="I160" s="56" t="n"/>
      <c r="J160" s="58" t="n"/>
      <c r="K160" s="56" t="inlineStr">
        <is>
          <t>Eda Ayaz</t>
        </is>
      </c>
      <c r="L160" s="65" t="n"/>
      <c r="M160" s="3" t="n"/>
      <c r="N160" s="3" t="n"/>
      <c r="O160" s="3" t="n"/>
      <c r="P160" s="3" t="n"/>
      <c r="Q160" s="3" t="n"/>
      <c r="R160" s="3" t="n"/>
      <c r="S160" s="3" t="n"/>
      <c r="T160" s="3" t="n"/>
    </row>
    <row r="161" ht="15" customHeight="1">
      <c r="A161" s="56" t="n"/>
      <c r="B161" s="58" t="n"/>
      <c r="C161" s="56" t="n"/>
      <c r="D161" s="58" t="n"/>
      <c r="E161" s="56" t="n"/>
      <c r="F161" s="58" t="n"/>
      <c r="G161" s="56" t="n"/>
      <c r="H161" s="58" t="n"/>
      <c r="I161" s="56" t="n"/>
      <c r="J161" s="58" t="n"/>
      <c r="K161" s="56" t="inlineStr">
        <is>
          <t>Eda Ayaz</t>
        </is>
      </c>
      <c r="L161" s="65" t="n"/>
      <c r="M161" s="3" t="n"/>
      <c r="N161" s="3" t="n"/>
      <c r="O161" s="3" t="n"/>
      <c r="P161" s="3" t="n"/>
      <c r="Q161" s="3" t="n"/>
      <c r="R161" s="3" t="n"/>
      <c r="S161" s="3" t="n"/>
      <c r="T161" s="3" t="n"/>
    </row>
    <row r="162" ht="15" customHeight="1">
      <c r="A162" s="56" t="n"/>
      <c r="B162" s="58" t="n"/>
      <c r="C162" s="56" t="n"/>
      <c r="D162" s="58" t="n"/>
      <c r="E162" s="56" t="n"/>
      <c r="F162" s="58" t="n"/>
      <c r="G162" s="56" t="n"/>
      <c r="H162" s="58" t="n"/>
      <c r="I162" s="56" t="n"/>
      <c r="J162" s="58" t="n"/>
      <c r="K162" s="56" t="inlineStr">
        <is>
          <t>Eda Ayaz</t>
        </is>
      </c>
      <c r="L162" s="65" t="n"/>
      <c r="M162" s="3" t="n"/>
      <c r="N162" s="3" t="n"/>
      <c r="O162" s="3" t="n"/>
      <c r="P162" s="3" t="n"/>
      <c r="Q162" s="3" t="n"/>
      <c r="R162" s="3" t="n"/>
      <c r="S162" s="3" t="n"/>
      <c r="T162" s="3" t="n"/>
    </row>
    <row r="163" ht="15" customHeight="1">
      <c r="A163" s="56" t="n"/>
      <c r="B163" s="58" t="n"/>
      <c r="C163" s="56" t="n"/>
      <c r="D163" s="58" t="n"/>
      <c r="E163" s="56" t="n"/>
      <c r="F163" s="58" t="n"/>
      <c r="G163" s="56" t="n"/>
      <c r="H163" s="58" t="n"/>
      <c r="I163" s="56" t="n"/>
      <c r="J163" s="58" t="n"/>
      <c r="K163" s="56" t="inlineStr">
        <is>
          <t>Eda Ayaz</t>
        </is>
      </c>
      <c r="L163" s="65" t="n"/>
      <c r="M163" s="3" t="n"/>
      <c r="N163" s="3" t="n"/>
      <c r="O163" s="3" t="n"/>
      <c r="P163" s="3" t="n"/>
      <c r="Q163" s="3" t="n"/>
      <c r="R163" s="3" t="n"/>
      <c r="S163" s="3" t="n"/>
      <c r="T163" s="3" t="n"/>
    </row>
    <row r="164" ht="15" customHeight="1">
      <c r="A164" s="56" t="n"/>
      <c r="B164" s="58" t="n"/>
      <c r="C164" s="56" t="n"/>
      <c r="D164" s="58" t="n"/>
      <c r="E164" s="56" t="n"/>
      <c r="F164" s="58" t="n"/>
      <c r="G164" s="56" t="n"/>
      <c r="H164" s="58" t="n"/>
      <c r="I164" s="56" t="n"/>
      <c r="J164" s="58" t="n"/>
      <c r="K164" s="56" t="inlineStr">
        <is>
          <t>Eda Ayaz</t>
        </is>
      </c>
      <c r="L164" s="65" t="n"/>
      <c r="M164" s="3" t="n"/>
      <c r="N164" s="3" t="n"/>
      <c r="O164" s="3" t="n"/>
      <c r="P164" s="3" t="n"/>
      <c r="Q164" s="3" t="n"/>
      <c r="R164" s="3" t="n"/>
      <c r="S164" s="3" t="n"/>
      <c r="T164" s="3" t="n"/>
    </row>
    <row r="165" ht="15" customHeight="1">
      <c r="A165" s="56" t="n"/>
      <c r="B165" s="58" t="n"/>
      <c r="C165" s="56" t="n"/>
      <c r="D165" s="58" t="n"/>
      <c r="E165" s="56" t="n"/>
      <c r="F165" s="58" t="n"/>
      <c r="G165" s="56" t="n"/>
      <c r="H165" s="58" t="n"/>
      <c r="I165" s="56" t="n"/>
      <c r="J165" s="58" t="n"/>
      <c r="K165" s="56" t="inlineStr">
        <is>
          <t>Eda Ayaz</t>
        </is>
      </c>
      <c r="L165" s="65" t="n"/>
      <c r="M165" s="3" t="n"/>
      <c r="N165" s="3" t="n"/>
      <c r="O165" s="3" t="n"/>
      <c r="P165" s="3" t="n"/>
      <c r="Q165" s="3" t="n"/>
      <c r="R165" s="3" t="n"/>
      <c r="S165" s="3" t="n"/>
      <c r="T165" s="3" t="n"/>
    </row>
    <row r="166" ht="15" customHeight="1">
      <c r="A166" s="56" t="n"/>
      <c r="B166" s="58" t="n"/>
      <c r="C166" s="56" t="n"/>
      <c r="D166" s="58" t="n"/>
      <c r="E166" s="56" t="n"/>
      <c r="F166" s="58" t="n"/>
      <c r="G166" s="56" t="n"/>
      <c r="H166" s="58" t="n"/>
      <c r="I166" s="56" t="n"/>
      <c r="J166" s="58" t="n"/>
      <c r="K166" s="56" t="inlineStr">
        <is>
          <t>Eda Ayaz</t>
        </is>
      </c>
      <c r="L166" s="65" t="n"/>
      <c r="M166" s="3" t="n"/>
      <c r="N166" s="3" t="n"/>
      <c r="O166" s="3" t="n"/>
      <c r="P166" s="3" t="n"/>
      <c r="Q166" s="3" t="n"/>
      <c r="R166" s="3" t="n"/>
      <c r="S166" s="3" t="n"/>
      <c r="T166" s="3" t="n"/>
    </row>
    <row r="167" ht="15" customHeight="1">
      <c r="A167" s="56" t="n"/>
      <c r="B167" s="58" t="n"/>
      <c r="C167" s="56" t="n"/>
      <c r="D167" s="58" t="n"/>
      <c r="E167" s="56" t="n"/>
      <c r="F167" s="58" t="n"/>
      <c r="G167" s="56" t="n"/>
      <c r="H167" s="58" t="n"/>
      <c r="I167" s="56" t="n"/>
      <c r="J167" s="58" t="n"/>
      <c r="K167" s="56" t="inlineStr">
        <is>
          <t>Eda Ayaz</t>
        </is>
      </c>
      <c r="L167" s="65" t="n"/>
      <c r="M167" s="3" t="n"/>
      <c r="N167" s="3" t="n"/>
      <c r="O167" s="3" t="n"/>
      <c r="P167" s="3" t="n"/>
      <c r="Q167" s="3" t="n"/>
      <c r="R167" s="3" t="n"/>
      <c r="S167" s="3" t="n"/>
      <c r="T167" s="3" t="n"/>
    </row>
    <row r="168" ht="15" customHeight="1">
      <c r="A168" s="56" t="n"/>
      <c r="B168" s="58" t="n"/>
      <c r="C168" s="56" t="n"/>
      <c r="D168" s="58" t="n"/>
      <c r="E168" s="56" t="n"/>
      <c r="F168" s="58" t="n"/>
      <c r="G168" s="56" t="n"/>
      <c r="H168" s="58" t="n"/>
      <c r="I168" s="56" t="n"/>
      <c r="J168" s="58" t="n"/>
      <c r="K168" s="56" t="inlineStr">
        <is>
          <t>Eda Ayaz</t>
        </is>
      </c>
      <c r="L168" s="65" t="n"/>
      <c r="M168" s="3" t="n"/>
      <c r="N168" s="3" t="n"/>
      <c r="O168" s="3" t="n"/>
      <c r="P168" s="3" t="n"/>
      <c r="Q168" s="3" t="n"/>
      <c r="R168" s="3" t="n"/>
      <c r="S168" s="3" t="n"/>
      <c r="T168" s="3" t="n"/>
    </row>
    <row r="169" ht="15" customHeight="1">
      <c r="A169" s="56" t="n"/>
      <c r="B169" s="58" t="n"/>
      <c r="C169" s="56" t="n"/>
      <c r="D169" s="58" t="n"/>
      <c r="E169" s="56" t="n"/>
      <c r="F169" s="58" t="n"/>
      <c r="G169" s="56" t="n"/>
      <c r="H169" s="58" t="n"/>
      <c r="I169" s="56" t="n"/>
      <c r="J169" s="58" t="n"/>
      <c r="K169" s="56" t="inlineStr">
        <is>
          <t>Eda Ayaz</t>
        </is>
      </c>
      <c r="L169" s="65" t="n"/>
      <c r="M169" s="3" t="n"/>
      <c r="N169" s="3" t="n"/>
      <c r="O169" s="3" t="n"/>
      <c r="P169" s="3" t="n"/>
      <c r="Q169" s="3" t="n"/>
      <c r="R169" s="3" t="n"/>
      <c r="S169" s="3" t="n"/>
      <c r="T169" s="3" t="n"/>
    </row>
    <row r="170" ht="15" customHeight="1">
      <c r="A170" s="56" t="n"/>
      <c r="B170" s="58" t="n"/>
      <c r="C170" s="56" t="n"/>
      <c r="D170" s="58" t="n"/>
      <c r="E170" s="56" t="n"/>
      <c r="F170" s="58" t="n"/>
      <c r="G170" s="56" t="n"/>
      <c r="H170" s="58" t="n"/>
      <c r="I170" s="56" t="n"/>
      <c r="J170" s="58" t="n"/>
      <c r="K170" s="56" t="inlineStr">
        <is>
          <t>Eda Ayaz</t>
        </is>
      </c>
      <c r="L170" s="65" t="n"/>
      <c r="M170" s="3" t="n"/>
      <c r="N170" s="3" t="n"/>
      <c r="O170" s="3" t="n"/>
      <c r="P170" s="3" t="n"/>
      <c r="Q170" s="3" t="n"/>
      <c r="R170" s="3" t="n"/>
      <c r="S170" s="3" t="n"/>
      <c r="T170" s="3" t="n"/>
    </row>
    <row r="171" ht="15" customHeight="1">
      <c r="A171" s="56" t="n"/>
      <c r="B171" s="58" t="n"/>
      <c r="C171" s="56" t="n"/>
      <c r="D171" s="58" t="n"/>
      <c r="E171" s="56" t="n"/>
      <c r="F171" s="58" t="n"/>
      <c r="G171" s="56" t="n"/>
      <c r="H171" s="58" t="n"/>
      <c r="I171" s="56" t="n"/>
      <c r="J171" s="58" t="n"/>
      <c r="K171" s="56" t="inlineStr">
        <is>
          <t>Eda Ayaz</t>
        </is>
      </c>
      <c r="L171" s="65" t="n"/>
      <c r="M171" s="3" t="n"/>
      <c r="N171" s="3" t="n"/>
      <c r="O171" s="3" t="n"/>
      <c r="P171" s="3" t="n"/>
      <c r="Q171" s="3" t="n"/>
      <c r="R171" s="3" t="n"/>
      <c r="S171" s="3" t="n"/>
      <c r="T171" s="3" t="n"/>
    </row>
    <row r="172" ht="15" customHeight="1">
      <c r="A172" s="56" t="n"/>
      <c r="B172" s="58" t="n"/>
      <c r="C172" s="56" t="n"/>
      <c r="D172" s="58" t="n"/>
      <c r="E172" s="56" t="n"/>
      <c r="F172" s="58" t="n"/>
      <c r="G172" s="56" t="n"/>
      <c r="H172" s="58" t="n"/>
      <c r="I172" s="56" t="n"/>
      <c r="J172" s="58" t="n"/>
      <c r="K172" s="56" t="inlineStr">
        <is>
          <t>Eda Ayaz</t>
        </is>
      </c>
      <c r="L172" s="65" t="n"/>
      <c r="M172" s="3" t="n"/>
      <c r="N172" s="3" t="n"/>
      <c r="O172" s="3" t="n"/>
      <c r="P172" s="3" t="n"/>
      <c r="Q172" s="3" t="n"/>
      <c r="R172" s="3" t="n"/>
      <c r="S172" s="3" t="n"/>
      <c r="T172" s="3" t="n"/>
    </row>
    <row r="173" ht="15" customHeight="1">
      <c r="A173" s="56" t="n"/>
      <c r="B173" s="58" t="n"/>
      <c r="C173" s="56" t="n"/>
      <c r="D173" s="58" t="n"/>
      <c r="E173" s="56" t="n"/>
      <c r="F173" s="58" t="n"/>
      <c r="G173" s="56" t="n"/>
      <c r="H173" s="58" t="n"/>
      <c r="I173" s="56" t="n"/>
      <c r="J173" s="58" t="n"/>
      <c r="K173" s="56" t="inlineStr">
        <is>
          <t>Eda Ayaz</t>
        </is>
      </c>
      <c r="L173" s="65" t="n"/>
      <c r="M173" s="3" t="n"/>
      <c r="N173" s="3" t="n"/>
      <c r="O173" s="3" t="n"/>
      <c r="P173" s="3" t="n"/>
      <c r="Q173" s="3" t="n"/>
      <c r="R173" s="3" t="n"/>
      <c r="S173" s="3" t="n"/>
      <c r="T173" s="3" t="n"/>
    </row>
    <row r="174" ht="15" customHeight="1">
      <c r="A174" s="56" t="n"/>
      <c r="B174" s="58" t="n"/>
      <c r="C174" s="56" t="n"/>
      <c r="D174" s="58" t="n"/>
      <c r="E174" s="56" t="n"/>
      <c r="F174" s="58" t="n"/>
      <c r="G174" s="56" t="n"/>
      <c r="H174" s="58" t="n"/>
      <c r="I174" s="56" t="n"/>
      <c r="J174" s="58" t="n"/>
      <c r="K174" s="56" t="inlineStr">
        <is>
          <t>Eda Ayaz</t>
        </is>
      </c>
      <c r="L174" s="65" t="n"/>
      <c r="M174" s="3" t="n"/>
      <c r="N174" s="3" t="n"/>
      <c r="O174" s="3" t="n"/>
      <c r="P174" s="3" t="n"/>
      <c r="Q174" s="3" t="n"/>
      <c r="R174" s="3" t="n"/>
      <c r="S174" s="3" t="n"/>
      <c r="T174" s="3" t="n"/>
    </row>
    <row r="175" ht="15" customHeight="1">
      <c r="A175" s="56" t="n"/>
      <c r="B175" s="58" t="n"/>
      <c r="C175" s="56" t="n"/>
      <c r="D175" s="58" t="n"/>
      <c r="E175" s="56" t="n"/>
      <c r="F175" s="58" t="n"/>
      <c r="G175" s="56" t="n"/>
      <c r="H175" s="58" t="n"/>
      <c r="I175" s="56" t="n"/>
      <c r="J175" s="58" t="n"/>
      <c r="K175" s="56" t="inlineStr">
        <is>
          <t>Eda Ayaz</t>
        </is>
      </c>
      <c r="L175" s="65" t="n"/>
      <c r="M175" s="3" t="n"/>
      <c r="N175" s="3" t="n"/>
      <c r="O175" s="3" t="n"/>
      <c r="P175" s="3" t="n"/>
      <c r="Q175" s="3" t="n"/>
      <c r="R175" s="3" t="n"/>
      <c r="S175" s="3" t="n"/>
      <c r="T175" s="3" t="n"/>
    </row>
    <row r="176" ht="15" customHeight="1">
      <c r="A176" s="56" t="n"/>
      <c r="B176" s="58" t="n"/>
      <c r="C176" s="56" t="n"/>
      <c r="D176" s="58" t="n"/>
      <c r="E176" s="56" t="n"/>
      <c r="F176" s="58" t="n"/>
      <c r="G176" s="56" t="n"/>
      <c r="H176" s="58" t="n"/>
      <c r="I176" s="56" t="n"/>
      <c r="J176" s="58" t="n"/>
      <c r="K176" s="56" t="inlineStr">
        <is>
          <t>Eda Ayaz</t>
        </is>
      </c>
      <c r="L176" s="65" t="n"/>
      <c r="M176" s="3" t="n"/>
      <c r="N176" s="3" t="n"/>
      <c r="O176" s="3" t="n"/>
      <c r="P176" s="3" t="n"/>
      <c r="Q176" s="3" t="n"/>
      <c r="R176" s="3" t="n"/>
      <c r="S176" s="3" t="n"/>
      <c r="T176" s="3" t="n"/>
    </row>
    <row r="177" ht="15" customHeight="1">
      <c r="A177" s="56" t="n"/>
      <c r="B177" s="58" t="n"/>
      <c r="C177" s="56" t="n"/>
      <c r="D177" s="58" t="n"/>
      <c r="E177" s="56" t="n"/>
      <c r="F177" s="58" t="n"/>
      <c r="G177" s="56" t="n"/>
      <c r="H177" s="58" t="n"/>
      <c r="I177" s="56" t="n"/>
      <c r="J177" s="58" t="n"/>
      <c r="K177" s="56" t="inlineStr">
        <is>
          <t>Eda Ayaz</t>
        </is>
      </c>
      <c r="L177" s="65" t="n"/>
      <c r="M177" s="3" t="n"/>
      <c r="N177" s="3" t="n"/>
      <c r="O177" s="3" t="n"/>
      <c r="P177" s="3" t="n"/>
      <c r="Q177" s="3" t="n"/>
      <c r="R177" s="3" t="n"/>
      <c r="S177" s="3" t="n"/>
      <c r="T177" s="3" t="n"/>
    </row>
    <row r="178" ht="15" customHeight="1">
      <c r="A178" s="56" t="n"/>
      <c r="B178" s="58" t="n"/>
      <c r="C178" s="56" t="n"/>
      <c r="D178" s="58" t="n"/>
      <c r="E178" s="56" t="n"/>
      <c r="F178" s="58" t="n"/>
      <c r="G178" s="56" t="n"/>
      <c r="H178" s="58" t="n"/>
      <c r="I178" s="56" t="n"/>
      <c r="J178" s="58" t="n"/>
      <c r="K178" s="56" t="inlineStr">
        <is>
          <t>Eda Ayaz</t>
        </is>
      </c>
      <c r="L178" s="65" t="n"/>
      <c r="M178" s="3" t="n"/>
      <c r="N178" s="3" t="n"/>
      <c r="O178" s="3" t="n"/>
      <c r="P178" s="3" t="n"/>
      <c r="Q178" s="3" t="n"/>
      <c r="R178" s="3" t="n"/>
      <c r="S178" s="3" t="n"/>
      <c r="T178" s="3" t="n"/>
    </row>
    <row r="179" ht="15" customHeight="1">
      <c r="A179" s="56" t="n"/>
      <c r="B179" s="58" t="n"/>
      <c r="C179" s="56" t="n"/>
      <c r="D179" s="58" t="n"/>
      <c r="E179" s="56" t="n"/>
      <c r="F179" s="58" t="n"/>
      <c r="G179" s="56" t="n"/>
      <c r="H179" s="58" t="n"/>
      <c r="I179" s="56" t="n"/>
      <c r="J179" s="58" t="n"/>
      <c r="K179" s="56" t="inlineStr">
        <is>
          <t>Eda Ayaz</t>
        </is>
      </c>
      <c r="L179" s="65" t="n"/>
      <c r="M179" s="3" t="n"/>
      <c r="N179" s="3" t="n"/>
      <c r="O179" s="3" t="n"/>
      <c r="P179" s="3" t="n"/>
      <c r="Q179" s="3" t="n"/>
      <c r="R179" s="3" t="n"/>
      <c r="S179" s="3" t="n"/>
      <c r="T179" s="3" t="n"/>
    </row>
    <row r="180" ht="15" customHeight="1">
      <c r="A180" s="56" t="n"/>
      <c r="B180" s="58" t="n"/>
      <c r="C180" s="56" t="n"/>
      <c r="D180" s="58" t="n"/>
      <c r="E180" s="56" t="n"/>
      <c r="F180" s="58" t="n"/>
      <c r="G180" s="56" t="n"/>
      <c r="H180" s="58" t="n"/>
      <c r="I180" s="56" t="n"/>
      <c r="J180" s="58" t="n"/>
      <c r="K180" s="56" t="inlineStr">
        <is>
          <t>Eda Ayaz</t>
        </is>
      </c>
      <c r="L180" s="65" t="n"/>
      <c r="M180" s="3" t="n"/>
      <c r="N180" s="3" t="n"/>
      <c r="O180" s="3" t="n"/>
      <c r="P180" s="3" t="n"/>
      <c r="Q180" s="3" t="n"/>
      <c r="R180" s="3" t="n"/>
      <c r="S180" s="3" t="n"/>
      <c r="T180" s="3" t="n"/>
    </row>
    <row r="181" ht="15" customHeight="1">
      <c r="A181" s="56" t="n"/>
      <c r="B181" s="58" t="n"/>
      <c r="C181" s="56" t="n"/>
      <c r="D181" s="58" t="n"/>
      <c r="E181" s="56" t="n"/>
      <c r="F181" s="58" t="n"/>
      <c r="G181" s="56" t="n"/>
      <c r="H181" s="58" t="n"/>
      <c r="I181" s="56" t="n"/>
      <c r="J181" s="58" t="n"/>
      <c r="K181" s="56" t="inlineStr">
        <is>
          <t>Eda Ayaz</t>
        </is>
      </c>
      <c r="L181" s="65" t="n"/>
      <c r="M181" s="3" t="n"/>
      <c r="N181" s="3" t="n"/>
      <c r="O181" s="3" t="n"/>
      <c r="P181" s="3" t="n"/>
      <c r="Q181" s="3" t="n"/>
      <c r="R181" s="3" t="n"/>
      <c r="S181" s="3" t="n"/>
      <c r="T181" s="3" t="n"/>
    </row>
    <row r="182" ht="15" customHeight="1">
      <c r="A182" s="56" t="n"/>
      <c r="B182" s="58" t="n"/>
      <c r="C182" s="56" t="n"/>
      <c r="D182" s="58" t="n"/>
      <c r="E182" s="56" t="n"/>
      <c r="F182" s="58" t="n"/>
      <c r="G182" s="56" t="n"/>
      <c r="H182" s="58" t="n"/>
      <c r="I182" s="56" t="n"/>
      <c r="J182" s="58" t="n"/>
      <c r="K182" s="56" t="inlineStr">
        <is>
          <t>Eda Ayaz</t>
        </is>
      </c>
      <c r="L182" s="65" t="n"/>
      <c r="M182" s="3" t="n"/>
      <c r="N182" s="3" t="n"/>
      <c r="O182" s="3" t="n"/>
      <c r="P182" s="3" t="n"/>
      <c r="Q182" s="3" t="n"/>
      <c r="R182" s="3" t="n"/>
      <c r="S182" s="3" t="n"/>
      <c r="T182" s="3" t="n"/>
    </row>
    <row r="183" ht="15" customHeight="1">
      <c r="A183" s="56" t="n"/>
      <c r="B183" s="58" t="n"/>
      <c r="C183" s="56" t="n"/>
      <c r="D183" s="58" t="n"/>
      <c r="E183" s="56" t="n"/>
      <c r="F183" s="58" t="n"/>
      <c r="G183" s="56" t="n"/>
      <c r="H183" s="58" t="n"/>
      <c r="I183" s="56" t="n"/>
      <c r="J183" s="58" t="n"/>
      <c r="K183" s="56" t="inlineStr">
        <is>
          <t>Eda Ayaz</t>
        </is>
      </c>
      <c r="L183" s="65" t="n"/>
      <c r="M183" s="3" t="n"/>
      <c r="N183" s="3" t="n"/>
      <c r="O183" s="3" t="n"/>
      <c r="P183" s="3" t="n"/>
      <c r="Q183" s="3" t="n"/>
      <c r="R183" s="3" t="n"/>
      <c r="S183" s="3" t="n"/>
      <c r="T183" s="3" t="n"/>
    </row>
    <row r="184" ht="15" customHeight="1">
      <c r="A184" s="56" t="n"/>
      <c r="B184" s="58" t="n"/>
      <c r="C184" s="56" t="n"/>
      <c r="D184" s="58" t="n"/>
      <c r="E184" s="56" t="n"/>
      <c r="F184" s="58" t="n"/>
      <c r="G184" s="56" t="n"/>
      <c r="H184" s="58" t="n"/>
      <c r="I184" s="56" t="n"/>
      <c r="J184" s="58" t="n"/>
      <c r="K184" s="56" t="inlineStr">
        <is>
          <t>Eda Ayaz</t>
        </is>
      </c>
      <c r="L184" s="65" t="n"/>
      <c r="M184" s="3" t="n"/>
      <c r="N184" s="3" t="n"/>
      <c r="O184" s="3" t="n"/>
      <c r="P184" s="3" t="n"/>
      <c r="Q184" s="3" t="n"/>
      <c r="R184" s="3" t="n"/>
      <c r="S184" s="3" t="n"/>
      <c r="T184" s="3" t="n"/>
    </row>
    <row r="185" ht="15" customHeight="1">
      <c r="A185" s="56" t="n"/>
      <c r="B185" s="58" t="n"/>
      <c r="C185" s="56" t="n"/>
      <c r="D185" s="58" t="n"/>
      <c r="E185" s="56" t="n"/>
      <c r="F185" s="58" t="n"/>
      <c r="G185" s="56" t="n"/>
      <c r="H185" s="58" t="n"/>
      <c r="I185" s="56" t="n"/>
      <c r="J185" s="58" t="n"/>
      <c r="K185" s="56" t="inlineStr">
        <is>
          <t>Eda Ayaz</t>
        </is>
      </c>
      <c r="L185" s="65" t="n"/>
      <c r="M185" s="3" t="n"/>
      <c r="N185" s="3" t="n"/>
      <c r="O185" s="3" t="n"/>
      <c r="P185" s="3" t="n"/>
      <c r="Q185" s="3" t="n"/>
      <c r="R185" s="3" t="n"/>
      <c r="S185" s="3" t="n"/>
      <c r="T185" s="3" t="n"/>
    </row>
    <row r="186" ht="15" customHeight="1">
      <c r="A186" s="56" t="n"/>
      <c r="B186" s="58" t="n"/>
      <c r="C186" s="56" t="n"/>
      <c r="D186" s="58" t="n"/>
      <c r="E186" s="56" t="n"/>
      <c r="F186" s="58" t="n"/>
      <c r="G186" s="56" t="n"/>
      <c r="H186" s="58" t="n"/>
      <c r="I186" s="56" t="n"/>
      <c r="J186" s="58" t="n"/>
      <c r="K186" s="56" t="inlineStr">
        <is>
          <t>Eda Ayaz</t>
        </is>
      </c>
      <c r="L186" s="65" t="n"/>
      <c r="M186" s="3" t="n"/>
      <c r="N186" s="3" t="n"/>
      <c r="O186" s="3" t="n"/>
      <c r="P186" s="3" t="n"/>
      <c r="Q186" s="3" t="n"/>
      <c r="R186" s="3" t="n"/>
      <c r="S186" s="3" t="n"/>
      <c r="T186" s="3" t="n"/>
    </row>
    <row r="187" ht="15" customHeight="1">
      <c r="A187" s="56" t="n"/>
      <c r="B187" s="58" t="n"/>
      <c r="C187" s="56" t="n"/>
      <c r="D187" s="58" t="n"/>
      <c r="E187" s="56" t="n"/>
      <c r="F187" s="58" t="n"/>
      <c r="G187" s="56" t="n"/>
      <c r="H187" s="58" t="n"/>
      <c r="I187" s="56" t="n"/>
      <c r="J187" s="58" t="n"/>
      <c r="K187" s="56" t="inlineStr">
        <is>
          <t>Eda Ayaz</t>
        </is>
      </c>
      <c r="L187" s="65" t="n"/>
      <c r="M187" s="3" t="n"/>
      <c r="N187" s="3" t="n"/>
      <c r="O187" s="3" t="n"/>
      <c r="P187" s="3" t="n"/>
      <c r="Q187" s="3" t="n"/>
      <c r="R187" s="3" t="n"/>
      <c r="S187" s="3" t="n"/>
      <c r="T187" s="3" t="n"/>
    </row>
    <row r="188" ht="15" customHeight="1">
      <c r="A188" s="56" t="n"/>
      <c r="B188" s="58" t="n"/>
      <c r="C188" s="56" t="n"/>
      <c r="D188" s="58" t="n"/>
      <c r="E188" s="56" t="n"/>
      <c r="F188" s="58" t="n"/>
      <c r="G188" s="56" t="n"/>
      <c r="H188" s="58" t="n"/>
      <c r="I188" s="56" t="n"/>
      <c r="J188" s="58" t="n"/>
      <c r="K188" s="56" t="inlineStr">
        <is>
          <t>Eda Ayaz</t>
        </is>
      </c>
      <c r="L188" s="65" t="n"/>
      <c r="M188" s="3" t="n"/>
      <c r="N188" s="3" t="n"/>
      <c r="O188" s="3" t="n"/>
      <c r="P188" s="3" t="n"/>
      <c r="Q188" s="3" t="n"/>
      <c r="R188" s="3" t="n"/>
      <c r="S188" s="3" t="n"/>
      <c r="T188" s="3" t="n"/>
    </row>
    <row r="189" ht="15" customHeight="1">
      <c r="A189" s="56" t="n"/>
      <c r="B189" s="58" t="n"/>
      <c r="C189" s="56" t="n"/>
      <c r="D189" s="58" t="n"/>
      <c r="E189" s="56" t="n"/>
      <c r="F189" s="58" t="n"/>
      <c r="G189" s="56" t="n"/>
      <c r="H189" s="58" t="n"/>
      <c r="I189" s="56" t="n"/>
      <c r="J189" s="58" t="n"/>
      <c r="K189" s="56" t="inlineStr">
        <is>
          <t>Eda Ayaz</t>
        </is>
      </c>
      <c r="L189" s="65" t="n"/>
      <c r="M189" s="3" t="n"/>
      <c r="N189" s="3" t="n"/>
      <c r="O189" s="3" t="n"/>
      <c r="P189" s="3" t="n"/>
      <c r="Q189" s="3" t="n"/>
      <c r="R189" s="3" t="n"/>
      <c r="S189" s="3" t="n"/>
      <c r="T189" s="3" t="n"/>
    </row>
    <row r="190" ht="15" customHeight="1">
      <c r="A190" s="56" t="n"/>
      <c r="B190" s="58" t="n"/>
      <c r="C190" s="56" t="n"/>
      <c r="D190" s="58" t="n"/>
      <c r="E190" s="56" t="n"/>
      <c r="F190" s="58" t="n"/>
      <c r="G190" s="56" t="n"/>
      <c r="H190" s="58" t="n"/>
      <c r="I190" s="56" t="n"/>
      <c r="J190" s="58" t="n"/>
      <c r="K190" s="56" t="inlineStr">
        <is>
          <t>Eda Ayaz</t>
        </is>
      </c>
      <c r="L190" s="65" t="n"/>
      <c r="M190" s="3" t="n"/>
      <c r="N190" s="3" t="n"/>
      <c r="O190" s="3" t="n"/>
      <c r="P190" s="3" t="n"/>
      <c r="Q190" s="3" t="n"/>
      <c r="R190" s="3" t="n"/>
      <c r="S190" s="3" t="n"/>
      <c r="T190" s="3" t="n"/>
    </row>
    <row r="191" ht="15" customHeight="1">
      <c r="A191" s="56" t="n"/>
      <c r="B191" s="58" t="n"/>
      <c r="C191" s="56" t="n"/>
      <c r="D191" s="58" t="n"/>
      <c r="E191" s="56" t="n"/>
      <c r="F191" s="58" t="n"/>
      <c r="G191" s="56" t="n"/>
      <c r="H191" s="58" t="n"/>
      <c r="I191" s="56" t="n"/>
      <c r="J191" s="58" t="n"/>
      <c r="K191" s="56" t="inlineStr">
        <is>
          <t>Eda Ayaz</t>
        </is>
      </c>
      <c r="L191" s="65" t="n"/>
      <c r="M191" s="3" t="n"/>
      <c r="N191" s="3" t="n"/>
      <c r="O191" s="3" t="n"/>
      <c r="P191" s="3" t="n"/>
      <c r="Q191" s="3" t="n"/>
      <c r="R191" s="3" t="n"/>
      <c r="S191" s="3" t="n"/>
      <c r="T191" s="3" t="n"/>
    </row>
    <row r="192" ht="15" customHeight="1">
      <c r="A192" s="56" t="n"/>
      <c r="B192" s="58" t="n"/>
      <c r="C192" s="56" t="n"/>
      <c r="D192" s="58" t="n"/>
      <c r="E192" s="56" t="n"/>
      <c r="F192" s="58" t="n"/>
      <c r="G192" s="56" t="n"/>
      <c r="H192" s="58" t="n"/>
      <c r="I192" s="56" t="n"/>
      <c r="J192" s="58" t="n"/>
      <c r="K192" s="56" t="inlineStr">
        <is>
          <t>Eda Ayaz</t>
        </is>
      </c>
      <c r="L192" s="65" t="n"/>
      <c r="M192" s="3" t="n"/>
      <c r="N192" s="3" t="n"/>
      <c r="O192" s="3" t="n"/>
      <c r="P192" s="3" t="n"/>
      <c r="Q192" s="3" t="n"/>
      <c r="R192" s="3" t="n"/>
      <c r="S192" s="3" t="n"/>
      <c r="T192" s="3" t="n"/>
    </row>
    <row r="193" ht="15" customHeight="1">
      <c r="A193" s="56" t="n"/>
      <c r="B193" s="58" t="n"/>
      <c r="C193" s="56" t="n"/>
      <c r="D193" s="58" t="n"/>
      <c r="E193" s="56" t="n"/>
      <c r="F193" s="58" t="n"/>
      <c r="G193" s="56" t="n"/>
      <c r="H193" s="58" t="n"/>
      <c r="I193" s="56" t="n"/>
      <c r="J193" s="58" t="n"/>
      <c r="K193" s="56" t="inlineStr">
        <is>
          <t>Eda Ayaz</t>
        </is>
      </c>
      <c r="L193" s="65" t="n"/>
      <c r="M193" s="3" t="n"/>
      <c r="N193" s="3" t="n"/>
      <c r="O193" s="3" t="n"/>
      <c r="P193" s="3" t="n"/>
      <c r="Q193" s="3" t="n"/>
      <c r="R193" s="3" t="n"/>
      <c r="S193" s="3" t="n"/>
      <c r="T193" s="3" t="n"/>
    </row>
    <row r="194" ht="15" customHeight="1">
      <c r="A194" s="56" t="n"/>
      <c r="B194" s="58" t="n"/>
      <c r="C194" s="56" t="n"/>
      <c r="D194" s="58" t="n"/>
      <c r="E194" s="56" t="n"/>
      <c r="F194" s="58" t="n"/>
      <c r="G194" s="56" t="n"/>
      <c r="H194" s="58" t="n"/>
      <c r="I194" s="56" t="n"/>
      <c r="J194" s="58" t="n"/>
      <c r="K194" s="56" t="inlineStr">
        <is>
          <t>Eda Ayaz</t>
        </is>
      </c>
      <c r="L194" s="65" t="n"/>
      <c r="M194" s="3" t="n"/>
      <c r="N194" s="3" t="n"/>
      <c r="O194" s="3" t="n"/>
      <c r="P194" s="3" t="n"/>
      <c r="Q194" s="3" t="n"/>
      <c r="R194" s="3" t="n"/>
      <c r="S194" s="3" t="n"/>
      <c r="T194" s="3" t="n"/>
    </row>
    <row r="195" ht="15" customHeight="1">
      <c r="A195" s="56" t="n"/>
      <c r="B195" s="58" t="n"/>
      <c r="C195" s="56" t="n"/>
      <c r="D195" s="58" t="n"/>
      <c r="E195" s="56" t="n"/>
      <c r="F195" s="58" t="n"/>
      <c r="G195" s="56" t="n"/>
      <c r="H195" s="58" t="n"/>
      <c r="I195" s="56" t="n"/>
      <c r="J195" s="58" t="n"/>
      <c r="K195" s="56" t="inlineStr">
        <is>
          <t>Eda Ayaz</t>
        </is>
      </c>
      <c r="L195" s="65" t="n"/>
      <c r="M195" s="3" t="n"/>
      <c r="N195" s="3" t="n"/>
      <c r="O195" s="3" t="n"/>
      <c r="P195" s="3" t="n"/>
      <c r="Q195" s="3" t="n"/>
      <c r="R195" s="3" t="n"/>
      <c r="S195" s="3" t="n"/>
      <c r="T195" s="3" t="n"/>
    </row>
    <row r="196" ht="15" customHeight="1">
      <c r="A196" s="56" t="n"/>
      <c r="B196" s="58" t="n"/>
      <c r="C196" s="56" t="n"/>
      <c r="D196" s="58" t="n"/>
      <c r="E196" s="56" t="n"/>
      <c r="F196" s="58" t="n"/>
      <c r="G196" s="56" t="n"/>
      <c r="H196" s="58" t="n"/>
      <c r="I196" s="56" t="n"/>
      <c r="J196" s="58" t="n"/>
      <c r="K196" s="56" t="inlineStr">
        <is>
          <t>Eda Ayaz</t>
        </is>
      </c>
      <c r="L196" s="65" t="n"/>
      <c r="M196" s="3" t="n"/>
      <c r="N196" s="3" t="n"/>
      <c r="O196" s="3" t="n"/>
      <c r="P196" s="3" t="n"/>
      <c r="Q196" s="3" t="n"/>
      <c r="R196" s="3" t="n"/>
      <c r="S196" s="3" t="n"/>
      <c r="T196" s="3" t="n"/>
    </row>
    <row r="197" ht="15" customHeight="1">
      <c r="A197" s="56" t="n"/>
      <c r="B197" s="58" t="n"/>
      <c r="C197" s="56" t="n"/>
      <c r="D197" s="58" t="n"/>
      <c r="E197" s="56" t="n"/>
      <c r="F197" s="58" t="n"/>
      <c r="G197" s="56" t="n"/>
      <c r="H197" s="58" t="n"/>
      <c r="I197" s="56" t="n"/>
      <c r="J197" s="58" t="n"/>
      <c r="K197" s="56" t="inlineStr">
        <is>
          <t>Eda Ayaz</t>
        </is>
      </c>
      <c r="L197" s="65" t="n"/>
      <c r="M197" s="3" t="n"/>
      <c r="N197" s="3" t="n"/>
      <c r="O197" s="3" t="n"/>
      <c r="P197" s="3" t="n"/>
      <c r="Q197" s="3" t="n"/>
      <c r="R197" s="3" t="n"/>
      <c r="S197" s="3" t="n"/>
      <c r="T197" s="3" t="n"/>
    </row>
    <row r="198" ht="15" customHeight="1">
      <c r="A198" s="56" t="n"/>
      <c r="B198" s="58" t="n"/>
      <c r="C198" s="56" t="n"/>
      <c r="D198" s="58" t="n"/>
      <c r="E198" s="56" t="n"/>
      <c r="F198" s="58" t="n"/>
      <c r="G198" s="56" t="n"/>
      <c r="H198" s="58" t="n"/>
      <c r="I198" s="56" t="n"/>
      <c r="J198" s="58" t="n"/>
      <c r="K198" s="56" t="inlineStr">
        <is>
          <t>Eda Ayaz</t>
        </is>
      </c>
      <c r="L198" s="65" t="n"/>
      <c r="M198" s="3" t="n"/>
      <c r="N198" s="3" t="n"/>
      <c r="O198" s="3" t="n"/>
      <c r="P198" s="3" t="n"/>
      <c r="Q198" s="3" t="n"/>
      <c r="R198" s="3" t="n"/>
      <c r="S198" s="3" t="n"/>
      <c r="T198" s="3" t="n"/>
    </row>
    <row r="199" ht="15" customHeight="1">
      <c r="A199" s="56" t="n"/>
      <c r="B199" s="58" t="n"/>
      <c r="C199" s="56" t="n"/>
      <c r="D199" s="58" t="n"/>
      <c r="E199" s="56" t="n"/>
      <c r="F199" s="58" t="n"/>
      <c r="G199" s="56" t="n"/>
      <c r="H199" s="58" t="n"/>
      <c r="I199" s="56" t="n"/>
      <c r="J199" s="58" t="n"/>
      <c r="K199" s="56" t="inlineStr">
        <is>
          <t>Eda Ayaz</t>
        </is>
      </c>
      <c r="L199" s="65" t="n"/>
      <c r="M199" s="3" t="n"/>
      <c r="N199" s="3" t="n"/>
      <c r="O199" s="3" t="n"/>
      <c r="P199" s="3" t="n"/>
      <c r="Q199" s="3" t="n"/>
      <c r="R199" s="3" t="n"/>
      <c r="S199" s="3" t="n"/>
      <c r="T199" s="3" t="n"/>
    </row>
    <row r="200" ht="15" customHeight="1">
      <c r="A200" s="56" t="n"/>
      <c r="B200" s="58" t="n"/>
      <c r="C200" s="56" t="n"/>
      <c r="D200" s="58" t="n"/>
      <c r="E200" s="56" t="n"/>
      <c r="F200" s="58" t="n"/>
      <c r="G200" s="56" t="n"/>
      <c r="H200" s="58" t="n"/>
      <c r="I200" s="56" t="n"/>
      <c r="J200" s="58" t="n"/>
      <c r="K200" s="56" t="inlineStr">
        <is>
          <t>Eda Ayaz</t>
        </is>
      </c>
      <c r="L200" s="65" t="n"/>
      <c r="M200" s="3" t="n"/>
      <c r="N200" s="3" t="n"/>
      <c r="O200" s="3" t="n"/>
      <c r="P200" s="3" t="n"/>
      <c r="Q200" s="3" t="n"/>
      <c r="R200" s="3" t="n"/>
      <c r="S200" s="3" t="n"/>
      <c r="T200" s="3" t="n"/>
    </row>
    <row r="201" ht="15" customHeight="1">
      <c r="A201" s="56" t="n"/>
      <c r="B201" s="58" t="n"/>
      <c r="C201" s="56" t="n"/>
      <c r="D201" s="58" t="n"/>
      <c r="E201" s="56" t="n"/>
      <c r="F201" s="58" t="n"/>
      <c r="G201" s="56" t="n"/>
      <c r="H201" s="58" t="n"/>
      <c r="I201" s="56" t="n"/>
      <c r="J201" s="58" t="n"/>
      <c r="K201" s="56" t="inlineStr">
        <is>
          <t>Eda Ayaz</t>
        </is>
      </c>
      <c r="L201" s="65" t="n"/>
      <c r="M201" s="3" t="n"/>
      <c r="N201" s="3" t="n"/>
      <c r="O201" s="3" t="n"/>
      <c r="P201" s="3" t="n"/>
      <c r="Q201" s="3" t="n"/>
      <c r="R201" s="3" t="n"/>
      <c r="S201" s="3" t="n"/>
      <c r="T201" s="3" t="n"/>
    </row>
    <row r="202" ht="15" customHeight="1">
      <c r="A202" s="56" t="n"/>
      <c r="B202" s="58" t="n"/>
      <c r="C202" s="56" t="n"/>
      <c r="D202" s="58" t="n"/>
      <c r="E202" s="56" t="n"/>
      <c r="F202" s="58" t="n"/>
      <c r="G202" s="56" t="n"/>
      <c r="H202" s="58" t="n"/>
      <c r="I202" s="56" t="n"/>
      <c r="J202" s="58" t="n"/>
      <c r="K202" s="56" t="inlineStr">
        <is>
          <t>Eda Ayaz</t>
        </is>
      </c>
      <c r="L202" s="65" t="n"/>
      <c r="M202" s="3" t="n"/>
      <c r="N202" s="3" t="n"/>
      <c r="O202" s="3" t="n"/>
      <c r="P202" s="3" t="n"/>
      <c r="Q202" s="3" t="n"/>
      <c r="R202" s="3" t="n"/>
      <c r="S202" s="3" t="n"/>
      <c r="T202" s="3" t="n"/>
    </row>
    <row r="203" ht="15" customHeight="1">
      <c r="A203" s="56" t="n"/>
      <c r="B203" s="58" t="n"/>
      <c r="C203" s="56" t="n"/>
      <c r="D203" s="58" t="n"/>
      <c r="E203" s="56" t="n"/>
      <c r="F203" s="58" t="n"/>
      <c r="G203" s="56" t="n"/>
      <c r="H203" s="58" t="n"/>
      <c r="I203" s="56" t="n"/>
      <c r="J203" s="58" t="n"/>
      <c r="K203" s="56" t="inlineStr">
        <is>
          <t>Eda Ayaz</t>
        </is>
      </c>
      <c r="L203" s="65" t="n"/>
      <c r="M203" s="3" t="n"/>
      <c r="N203" s="3" t="n"/>
      <c r="O203" s="3" t="n"/>
      <c r="P203" s="3" t="n"/>
      <c r="Q203" s="3" t="n"/>
      <c r="R203" s="3" t="n"/>
      <c r="S203" s="3" t="n"/>
      <c r="T203" s="3" t="n"/>
    </row>
    <row r="204" ht="15" customHeight="1">
      <c r="A204" s="56" t="n"/>
      <c r="B204" s="58" t="n"/>
      <c r="C204" s="56" t="n"/>
      <c r="D204" s="58" t="n"/>
      <c r="E204" s="56" t="n"/>
      <c r="F204" s="58" t="n"/>
      <c r="G204" s="56" t="n"/>
      <c r="H204" s="58" t="n"/>
      <c r="I204" s="56" t="n"/>
      <c r="J204" s="58" t="n"/>
      <c r="K204" s="56" t="inlineStr">
        <is>
          <t>Eda Ayaz</t>
        </is>
      </c>
      <c r="L204" s="65" t="n"/>
      <c r="M204" s="3" t="n"/>
      <c r="N204" s="3" t="n"/>
      <c r="O204" s="3" t="n"/>
      <c r="P204" s="3" t="n"/>
      <c r="Q204" s="3" t="n"/>
      <c r="R204" s="3" t="n"/>
      <c r="S204" s="3" t="n"/>
      <c r="T204" s="3" t="n"/>
    </row>
    <row r="205" ht="15" customHeight="1">
      <c r="A205" s="56" t="n"/>
      <c r="B205" s="58" t="n"/>
      <c r="C205" s="56" t="n"/>
      <c r="D205" s="58" t="n"/>
      <c r="E205" s="56" t="n"/>
      <c r="F205" s="58" t="n"/>
      <c r="G205" s="56" t="n"/>
      <c r="H205" s="58" t="n"/>
      <c r="I205" s="56" t="n"/>
      <c r="J205" s="58" t="n"/>
      <c r="K205" s="56" t="inlineStr">
        <is>
          <t>Eda Ayaz</t>
        </is>
      </c>
      <c r="L205" s="65" t="n"/>
      <c r="M205" s="3" t="n"/>
      <c r="N205" s="3" t="n"/>
      <c r="O205" s="3" t="n"/>
      <c r="P205" s="3" t="n"/>
      <c r="Q205" s="3" t="n"/>
      <c r="R205" s="3" t="n"/>
      <c r="S205" s="3" t="n"/>
      <c r="T205" s="3" t="n"/>
    </row>
    <row r="206" ht="15" customHeight="1">
      <c r="A206" s="56" t="n"/>
      <c r="B206" s="58" t="n"/>
      <c r="C206" s="56" t="n"/>
      <c r="D206" s="58" t="n"/>
      <c r="E206" s="56" t="n"/>
      <c r="F206" s="58" t="n"/>
      <c r="G206" s="56" t="n"/>
      <c r="H206" s="58" t="n"/>
      <c r="I206" s="56" t="n"/>
      <c r="J206" s="58" t="n"/>
      <c r="K206" s="56" t="inlineStr">
        <is>
          <t>Eda Ayaz</t>
        </is>
      </c>
      <c r="L206" s="65" t="n"/>
      <c r="M206" s="3" t="n"/>
      <c r="N206" s="3" t="n"/>
      <c r="O206" s="3" t="n"/>
      <c r="P206" s="3" t="n"/>
      <c r="Q206" s="3" t="n"/>
      <c r="R206" s="3" t="n"/>
      <c r="S206" s="3" t="n"/>
      <c r="T206" s="3" t="n"/>
    </row>
    <row r="207" ht="15" customHeight="1">
      <c r="A207" s="56" t="n"/>
      <c r="B207" s="58" t="n"/>
      <c r="C207" s="56" t="n"/>
      <c r="D207" s="58" t="n"/>
      <c r="E207" s="56" t="n"/>
      <c r="F207" s="58" t="n"/>
      <c r="G207" s="56" t="n"/>
      <c r="H207" s="58" t="n"/>
      <c r="I207" s="56" t="n"/>
      <c r="J207" s="58" t="n"/>
      <c r="K207" s="56" t="inlineStr">
        <is>
          <t>Eda Ayaz</t>
        </is>
      </c>
      <c r="L207" s="65" t="n"/>
      <c r="M207" s="3" t="n"/>
      <c r="N207" s="3" t="n"/>
      <c r="O207" s="3" t="n"/>
      <c r="P207" s="3" t="n"/>
      <c r="Q207" s="3" t="n"/>
      <c r="R207" s="3" t="n"/>
      <c r="S207" s="3" t="n"/>
      <c r="T207" s="3" t="n"/>
    </row>
    <row r="208" ht="15" customHeight="1">
      <c r="A208" s="56" t="n"/>
      <c r="B208" s="58" t="n"/>
      <c r="C208" s="56" t="n"/>
      <c r="D208" s="58" t="n"/>
      <c r="E208" s="56" t="n"/>
      <c r="F208" s="58" t="n"/>
      <c r="G208" s="56" t="n"/>
      <c r="H208" s="58" t="n"/>
      <c r="I208" s="56" t="n"/>
      <c r="J208" s="58" t="n"/>
      <c r="K208" s="56" t="inlineStr">
        <is>
          <t>Eda Ayaz</t>
        </is>
      </c>
      <c r="L208" s="65" t="n"/>
      <c r="M208" s="3" t="n"/>
      <c r="N208" s="3" t="n"/>
      <c r="O208" s="3" t="n"/>
      <c r="P208" s="3" t="n"/>
      <c r="Q208" s="3" t="n"/>
      <c r="R208" s="3" t="n"/>
      <c r="S208" s="3" t="n"/>
      <c r="T208" s="3" t="n"/>
    </row>
    <row r="209" ht="15" customHeight="1">
      <c r="A209" s="56" t="n"/>
      <c r="B209" s="58" t="n"/>
      <c r="C209" s="56" t="n"/>
      <c r="D209" s="58" t="n"/>
      <c r="E209" s="56" t="n"/>
      <c r="F209" s="58" t="n"/>
      <c r="G209" s="56" t="n"/>
      <c r="H209" s="58" t="n"/>
      <c r="I209" s="56" t="n"/>
      <c r="J209" s="58" t="n"/>
      <c r="K209" s="56" t="inlineStr">
        <is>
          <t>Eda Ayaz</t>
        </is>
      </c>
      <c r="L209" s="65" t="n"/>
      <c r="M209" s="3" t="n"/>
      <c r="N209" s="3" t="n"/>
      <c r="O209" s="3" t="n"/>
      <c r="P209" s="3" t="n"/>
      <c r="Q209" s="3" t="n"/>
      <c r="R209" s="3" t="n"/>
      <c r="S209" s="3" t="n"/>
      <c r="T209" s="3" t="n"/>
    </row>
    <row r="210" ht="15" customHeight="1">
      <c r="A210" s="56" t="n"/>
      <c r="B210" s="58" t="n"/>
      <c r="C210" s="56" t="n"/>
      <c r="D210" s="58" t="n"/>
      <c r="E210" s="56" t="n"/>
      <c r="F210" s="58" t="n"/>
      <c r="G210" s="56" t="n"/>
      <c r="H210" s="58" t="n"/>
      <c r="I210" s="56" t="n"/>
      <c r="J210" s="58" t="n"/>
      <c r="K210" s="56" t="inlineStr">
        <is>
          <t>Eda Ayaz</t>
        </is>
      </c>
      <c r="L210" s="65" t="n"/>
      <c r="M210" s="3" t="n"/>
      <c r="N210" s="3" t="n"/>
      <c r="O210" s="3" t="n"/>
      <c r="P210" s="3" t="n"/>
      <c r="Q210" s="3" t="n"/>
      <c r="R210" s="3" t="n"/>
      <c r="S210" s="3" t="n"/>
      <c r="T210" s="3" t="n"/>
    </row>
    <row r="211" ht="15" customHeight="1">
      <c r="A211" s="56" t="n"/>
      <c r="B211" s="58" t="n"/>
      <c r="C211" s="56" t="n"/>
      <c r="D211" s="58" t="n"/>
      <c r="E211" s="56" t="n"/>
      <c r="F211" s="58" t="n"/>
      <c r="G211" s="56" t="n"/>
      <c r="H211" s="58" t="n"/>
      <c r="I211" s="56" t="n"/>
      <c r="J211" s="58" t="n"/>
      <c r="K211" s="56" t="inlineStr">
        <is>
          <t>Eda Ayaz</t>
        </is>
      </c>
      <c r="L211" s="65" t="n"/>
      <c r="M211" s="3" t="n"/>
      <c r="N211" s="3" t="n"/>
      <c r="O211" s="3" t="n"/>
      <c r="P211" s="3" t="n"/>
      <c r="Q211" s="3" t="n"/>
      <c r="R211" s="3" t="n"/>
      <c r="S211" s="3" t="n"/>
      <c r="T211" s="3" t="n"/>
    </row>
    <row r="212" ht="15" customHeight="1">
      <c r="A212" s="56" t="n"/>
      <c r="B212" s="58" t="n"/>
      <c r="C212" s="56" t="n"/>
      <c r="D212" s="58" t="n"/>
      <c r="E212" s="56" t="n"/>
      <c r="F212" s="58" t="n"/>
      <c r="G212" s="56" t="n"/>
      <c r="H212" s="58" t="n"/>
      <c r="I212" s="56" t="n"/>
      <c r="J212" s="58" t="n"/>
      <c r="K212" s="56" t="inlineStr">
        <is>
          <t>Eda Ayaz</t>
        </is>
      </c>
      <c r="L212" s="65" t="n"/>
      <c r="M212" s="3" t="n"/>
      <c r="N212" s="3" t="n"/>
      <c r="O212" s="3" t="n"/>
      <c r="P212" s="3" t="n"/>
      <c r="Q212" s="3" t="n"/>
      <c r="R212" s="3" t="n"/>
      <c r="S212" s="3" t="n"/>
      <c r="T212" s="3" t="n"/>
    </row>
    <row r="213" ht="15" customHeight="1">
      <c r="A213" s="56" t="n"/>
      <c r="B213" s="58" t="n"/>
      <c r="C213" s="56" t="n"/>
      <c r="D213" s="58" t="n"/>
      <c r="E213" s="56" t="n"/>
      <c r="F213" s="58" t="n"/>
      <c r="G213" s="56" t="n"/>
      <c r="H213" s="58" t="n"/>
      <c r="I213" s="56" t="n"/>
      <c r="J213" s="58" t="n"/>
      <c r="K213" s="56" t="inlineStr">
        <is>
          <t>Eda Ayaz</t>
        </is>
      </c>
      <c r="L213" s="65" t="n"/>
      <c r="M213" s="3" t="n"/>
      <c r="N213" s="3" t="n"/>
      <c r="O213" s="3" t="n"/>
      <c r="P213" s="3" t="n"/>
      <c r="Q213" s="3" t="n"/>
      <c r="R213" s="3" t="n"/>
      <c r="S213" s="3" t="n"/>
      <c r="T213" s="3" t="n"/>
    </row>
    <row r="214" ht="15" customHeight="1">
      <c r="A214" s="56" t="n"/>
      <c r="B214" s="58" t="n"/>
      <c r="C214" s="56" t="n"/>
      <c r="D214" s="58" t="n"/>
      <c r="E214" s="56" t="n"/>
      <c r="F214" s="58" t="n"/>
      <c r="G214" s="56" t="n"/>
      <c r="H214" s="58" t="n"/>
      <c r="I214" s="56" t="n"/>
      <c r="J214" s="58" t="n"/>
      <c r="K214" s="56" t="inlineStr">
        <is>
          <t>Eda Ayaz</t>
        </is>
      </c>
      <c r="L214" s="65" t="n"/>
      <c r="M214" s="3" t="n"/>
      <c r="N214" s="3" t="n"/>
      <c r="O214" s="3" t="n"/>
      <c r="P214" s="3" t="n"/>
      <c r="Q214" s="3" t="n"/>
      <c r="R214" s="3" t="n"/>
      <c r="S214" s="3" t="n"/>
      <c r="T214" s="3" t="n"/>
    </row>
    <row r="215" ht="15" customHeight="1">
      <c r="A215" s="56" t="n"/>
      <c r="B215" s="58" t="n"/>
      <c r="C215" s="56" t="n"/>
      <c r="D215" s="58" t="n"/>
      <c r="E215" s="56" t="n"/>
      <c r="F215" s="58" t="n"/>
      <c r="G215" s="56" t="n"/>
      <c r="H215" s="58" t="n"/>
      <c r="I215" s="56" t="n"/>
      <c r="J215" s="58" t="n"/>
      <c r="K215" s="56" t="inlineStr">
        <is>
          <t>Eda Ayaz</t>
        </is>
      </c>
      <c r="L215" s="65" t="n"/>
      <c r="M215" s="3" t="n"/>
      <c r="N215" s="3" t="n"/>
      <c r="O215" s="3" t="n"/>
      <c r="P215" s="3" t="n"/>
      <c r="Q215" s="3" t="n"/>
      <c r="R215" s="3" t="n"/>
      <c r="S215" s="3" t="n"/>
      <c r="T215" s="3" t="n"/>
    </row>
    <row r="216" ht="15" customHeight="1">
      <c r="A216" s="56" t="n"/>
      <c r="B216" s="58" t="n"/>
      <c r="C216" s="56" t="n"/>
      <c r="D216" s="58" t="n"/>
      <c r="E216" s="56" t="n"/>
      <c r="F216" s="58" t="n"/>
      <c r="G216" s="56" t="n"/>
      <c r="H216" s="58" t="n"/>
      <c r="I216" s="56" t="n"/>
      <c r="J216" s="58" t="n"/>
      <c r="K216" s="56" t="inlineStr">
        <is>
          <t>Eda Ayaz</t>
        </is>
      </c>
      <c r="L216" s="65" t="n"/>
      <c r="M216" s="3" t="n"/>
      <c r="N216" s="3" t="n"/>
      <c r="O216" s="3" t="n"/>
      <c r="P216" s="3" t="n"/>
      <c r="Q216" s="3" t="n"/>
      <c r="R216" s="3" t="n"/>
      <c r="S216" s="3" t="n"/>
      <c r="T216" s="3" t="n"/>
    </row>
    <row r="217" ht="15" customHeight="1">
      <c r="A217" s="56" t="n"/>
      <c r="B217" s="58" t="n"/>
      <c r="C217" s="56" t="n"/>
      <c r="D217" s="58" t="n"/>
      <c r="E217" s="56" t="n"/>
      <c r="F217" s="58" t="n"/>
      <c r="G217" s="56" t="n"/>
      <c r="H217" s="58" t="n"/>
      <c r="I217" s="56" t="n"/>
      <c r="J217" s="58" t="n"/>
      <c r="K217" s="56" t="inlineStr">
        <is>
          <t>Eda Ayaz</t>
        </is>
      </c>
      <c r="L217" s="65" t="n"/>
      <c r="M217" s="3" t="n"/>
      <c r="N217" s="3" t="n"/>
      <c r="O217" s="3" t="n"/>
      <c r="P217" s="3" t="n"/>
      <c r="Q217" s="3" t="n"/>
      <c r="R217" s="3" t="n"/>
      <c r="S217" s="3" t="n"/>
      <c r="T217" s="3" t="n"/>
    </row>
    <row r="218" ht="15" customHeight="1">
      <c r="A218" s="56" t="n"/>
      <c r="B218" s="58" t="n"/>
      <c r="C218" s="56" t="n"/>
      <c r="D218" s="58" t="n"/>
      <c r="E218" s="56" t="n"/>
      <c r="F218" s="58" t="n"/>
      <c r="G218" s="56" t="n"/>
      <c r="H218" s="58" t="n"/>
      <c r="I218" s="56" t="n"/>
      <c r="J218" s="58" t="n"/>
      <c r="K218" s="56" t="inlineStr">
        <is>
          <t>Eda Ayaz</t>
        </is>
      </c>
      <c r="L218" s="65" t="n"/>
      <c r="M218" s="3" t="n"/>
      <c r="N218" s="3" t="n"/>
      <c r="O218" s="3" t="n"/>
      <c r="P218" s="3" t="n"/>
      <c r="Q218" s="3" t="n"/>
      <c r="R218" s="3" t="n"/>
      <c r="S218" s="3" t="n"/>
      <c r="T218" s="3" t="n"/>
    </row>
    <row r="219" ht="15" customHeight="1">
      <c r="A219" s="56" t="n"/>
      <c r="B219" s="58" t="n"/>
      <c r="C219" s="56" t="n"/>
      <c r="D219" s="58" t="n"/>
      <c r="E219" s="56" t="n"/>
      <c r="F219" s="58" t="n"/>
      <c r="G219" s="56" t="n"/>
      <c r="H219" s="58" t="n"/>
      <c r="I219" s="56" t="n"/>
      <c r="J219" s="58" t="n"/>
      <c r="K219" s="56" t="inlineStr">
        <is>
          <t>Eda Ayaz</t>
        </is>
      </c>
      <c r="L219" s="65" t="n"/>
      <c r="M219" s="3" t="n"/>
      <c r="N219" s="3" t="n"/>
      <c r="O219" s="3" t="n"/>
      <c r="P219" s="3" t="n"/>
      <c r="Q219" s="3" t="n"/>
      <c r="R219" s="3" t="n"/>
      <c r="S219" s="3" t="n"/>
      <c r="T219" s="3" t="n"/>
    </row>
    <row r="220" ht="15" customHeight="1">
      <c r="A220" s="56" t="n"/>
      <c r="B220" s="58" t="n"/>
      <c r="C220" s="56" t="n"/>
      <c r="D220" s="58" t="n"/>
      <c r="E220" s="56" t="n"/>
      <c r="F220" s="58" t="n"/>
      <c r="G220" s="56" t="n"/>
      <c r="H220" s="58" t="n"/>
      <c r="I220" s="56" t="n"/>
      <c r="J220" s="58" t="n"/>
      <c r="K220" s="56" t="inlineStr">
        <is>
          <t>Eda Ayaz</t>
        </is>
      </c>
      <c r="L220" s="65" t="n"/>
      <c r="M220" s="3" t="n"/>
      <c r="N220" s="3" t="n"/>
      <c r="O220" s="3" t="n"/>
      <c r="P220" s="3" t="n"/>
      <c r="Q220" s="3" t="n"/>
      <c r="R220" s="3" t="n"/>
      <c r="S220" s="3" t="n"/>
      <c r="T220" s="3" t="n"/>
    </row>
    <row r="221" ht="15" customHeight="1">
      <c r="A221" s="56" t="n"/>
      <c r="B221" s="58" t="n"/>
      <c r="C221" s="56" t="n"/>
      <c r="D221" s="58" t="n"/>
      <c r="E221" s="56" t="n"/>
      <c r="F221" s="58" t="n"/>
      <c r="G221" s="56" t="n"/>
      <c r="H221" s="58" t="n"/>
      <c r="I221" s="56" t="n"/>
      <c r="J221" s="58" t="n"/>
      <c r="K221" s="56" t="inlineStr">
        <is>
          <t>Eda Ayaz</t>
        </is>
      </c>
      <c r="L221" s="65" t="n"/>
      <c r="M221" s="3" t="n"/>
      <c r="N221" s="3" t="n"/>
      <c r="O221" s="3" t="n"/>
      <c r="P221" s="3" t="n"/>
      <c r="Q221" s="3" t="n"/>
      <c r="R221" s="3" t="n"/>
      <c r="S221" s="3" t="n"/>
      <c r="T221" s="3" t="n"/>
    </row>
    <row r="222" ht="15" customHeight="1">
      <c r="A222" s="56" t="n"/>
      <c r="B222" s="58" t="n"/>
      <c r="C222" s="56" t="n"/>
      <c r="D222" s="58" t="n"/>
      <c r="E222" s="56" t="n"/>
      <c r="F222" s="58" t="n"/>
      <c r="G222" s="56" t="n"/>
      <c r="H222" s="58" t="n"/>
      <c r="I222" s="56" t="n"/>
      <c r="J222" s="58" t="n"/>
      <c r="K222" s="56" t="inlineStr">
        <is>
          <t>Eda Ayaz</t>
        </is>
      </c>
      <c r="L222" s="65" t="n"/>
      <c r="M222" s="3" t="n"/>
      <c r="N222" s="3" t="n"/>
      <c r="O222" s="3" t="n"/>
      <c r="P222" s="3" t="n"/>
      <c r="Q222" s="3" t="n"/>
      <c r="R222" s="3" t="n"/>
      <c r="S222" s="3" t="n"/>
      <c r="T222" s="3" t="n"/>
    </row>
    <row r="223" ht="15" customHeight="1">
      <c r="A223" s="56" t="n"/>
      <c r="B223" s="58" t="n"/>
      <c r="C223" s="56" t="n"/>
      <c r="D223" s="58" t="n"/>
      <c r="E223" s="56" t="n"/>
      <c r="F223" s="58" t="n"/>
      <c r="G223" s="56" t="n"/>
      <c r="H223" s="58" t="n"/>
      <c r="I223" s="56" t="n"/>
      <c r="J223" s="58" t="n"/>
      <c r="K223" s="56" t="inlineStr">
        <is>
          <t>Eda Ayaz</t>
        </is>
      </c>
      <c r="L223" s="65" t="n"/>
      <c r="M223" s="3" t="n"/>
      <c r="N223" s="3" t="n"/>
      <c r="O223" s="3" t="n"/>
      <c r="P223" s="3" t="n"/>
      <c r="Q223" s="3" t="n"/>
      <c r="R223" s="3" t="n"/>
      <c r="S223" s="3" t="n"/>
      <c r="T223" s="3" t="n"/>
    </row>
    <row r="224" ht="15" customHeight="1">
      <c r="A224" s="56" t="n"/>
      <c r="B224" s="58" t="n"/>
      <c r="C224" s="56" t="n"/>
      <c r="D224" s="58" t="n"/>
      <c r="E224" s="56" t="n"/>
      <c r="F224" s="58" t="n"/>
      <c r="G224" s="56" t="n"/>
      <c r="H224" s="58" t="n"/>
      <c r="I224" s="56" t="n"/>
      <c r="J224" s="58" t="n"/>
      <c r="K224" s="56" t="inlineStr">
        <is>
          <t>Eda Ayaz</t>
        </is>
      </c>
      <c r="L224" s="65" t="n"/>
      <c r="M224" s="3" t="n"/>
      <c r="N224" s="3" t="n"/>
      <c r="O224" s="3" t="n"/>
      <c r="P224" s="3" t="n"/>
      <c r="Q224" s="3" t="n"/>
      <c r="R224" s="3" t="n"/>
      <c r="S224" s="3" t="n"/>
      <c r="T224" s="3" t="n"/>
    </row>
    <row r="225" ht="15" customHeight="1">
      <c r="A225" s="56" t="n"/>
      <c r="B225" s="58" t="n"/>
      <c r="C225" s="56" t="n"/>
      <c r="D225" s="58" t="n"/>
      <c r="E225" s="56" t="n"/>
      <c r="F225" s="58" t="n"/>
      <c r="G225" s="56" t="n"/>
      <c r="H225" s="58" t="n"/>
      <c r="I225" s="56" t="n"/>
      <c r="J225" s="58" t="n"/>
      <c r="K225" s="56" t="inlineStr">
        <is>
          <t>Eda Ayaz</t>
        </is>
      </c>
      <c r="L225" s="65" t="n"/>
      <c r="M225" s="3" t="n"/>
      <c r="N225" s="3" t="n"/>
      <c r="O225" s="3" t="n"/>
      <c r="P225" s="3" t="n"/>
      <c r="Q225" s="3" t="n"/>
      <c r="R225" s="3" t="n"/>
      <c r="S225" s="3" t="n"/>
      <c r="T225" s="3" t="n"/>
    </row>
    <row r="226" ht="15" customHeight="1">
      <c r="A226" s="56" t="n"/>
      <c r="B226" s="58" t="n"/>
      <c r="C226" s="56" t="n"/>
      <c r="D226" s="58" t="n"/>
      <c r="E226" s="56" t="n"/>
      <c r="F226" s="58" t="n"/>
      <c r="G226" s="56" t="n"/>
      <c r="H226" s="58" t="n"/>
      <c r="I226" s="56" t="n"/>
      <c r="J226" s="58" t="n"/>
      <c r="K226" s="56" t="inlineStr">
        <is>
          <t>Eda Ayaz</t>
        </is>
      </c>
      <c r="L226" s="65" t="n"/>
      <c r="M226" s="3" t="n"/>
      <c r="N226" s="3" t="n"/>
      <c r="O226" s="3" t="n"/>
      <c r="P226" s="3" t="n"/>
      <c r="Q226" s="3" t="n"/>
      <c r="R226" s="3" t="n"/>
      <c r="S226" s="3" t="n"/>
      <c r="T226" s="3" t="n"/>
    </row>
    <row r="227" ht="15" customHeight="1">
      <c r="A227" s="56" t="n"/>
      <c r="B227" s="58" t="n"/>
      <c r="C227" s="56" t="n"/>
      <c r="D227" s="58" t="n"/>
      <c r="E227" s="56" t="n"/>
      <c r="F227" s="58" t="n"/>
      <c r="G227" s="56" t="n"/>
      <c r="H227" s="58" t="n"/>
      <c r="I227" s="56" t="n"/>
      <c r="J227" s="58" t="n"/>
      <c r="K227" s="56" t="inlineStr">
        <is>
          <t>Eda Ayaz</t>
        </is>
      </c>
      <c r="L227" s="65" t="n"/>
      <c r="M227" s="3" t="n"/>
      <c r="N227" s="3" t="n"/>
      <c r="O227" s="3" t="n"/>
      <c r="P227" s="3" t="n"/>
      <c r="Q227" s="3" t="n"/>
      <c r="R227" s="3" t="n"/>
      <c r="S227" s="3" t="n"/>
      <c r="T227" s="3" t="n"/>
    </row>
    <row r="228" ht="15" customHeight="1">
      <c r="A228" s="56" t="n"/>
      <c r="B228" s="58" t="n"/>
      <c r="C228" s="56" t="n"/>
      <c r="D228" s="58" t="n"/>
      <c r="E228" s="56" t="n"/>
      <c r="F228" s="58" t="n"/>
      <c r="G228" s="56" t="n"/>
      <c r="H228" s="58" t="n"/>
      <c r="I228" s="56" t="n"/>
      <c r="J228" s="58" t="n"/>
      <c r="K228" s="56" t="inlineStr">
        <is>
          <t>Eda Ayaz</t>
        </is>
      </c>
      <c r="L228" s="65" t="n"/>
      <c r="M228" s="3" t="n"/>
      <c r="N228" s="3" t="n"/>
      <c r="O228" s="3" t="n"/>
      <c r="P228" s="3" t="n"/>
      <c r="Q228" s="3" t="n"/>
      <c r="R228" s="3" t="n"/>
      <c r="S228" s="3" t="n"/>
      <c r="T228" s="3" t="n"/>
    </row>
    <row r="229" ht="15" customHeight="1">
      <c r="A229" s="56" t="n"/>
      <c r="B229" s="58" t="n"/>
      <c r="C229" s="56" t="n"/>
      <c r="D229" s="58" t="n"/>
      <c r="E229" s="56" t="n"/>
      <c r="F229" s="58" t="n"/>
      <c r="G229" s="56" t="n"/>
      <c r="H229" s="58" t="n"/>
      <c r="I229" s="56" t="n"/>
      <c r="J229" s="58" t="n"/>
      <c r="K229" s="56" t="inlineStr">
        <is>
          <t>Eda Ayaz</t>
        </is>
      </c>
      <c r="L229" s="65" t="n"/>
      <c r="M229" s="3" t="n"/>
      <c r="N229" s="3" t="n"/>
      <c r="O229" s="3" t="n"/>
      <c r="P229" s="3" t="n"/>
      <c r="Q229" s="3" t="n"/>
      <c r="R229" s="3" t="n"/>
      <c r="S229" s="3" t="n"/>
      <c r="T229" s="3" t="n"/>
    </row>
    <row r="230" ht="15" customHeight="1">
      <c r="A230" s="56" t="n"/>
      <c r="B230" s="58" t="n"/>
      <c r="C230" s="56" t="n"/>
      <c r="D230" s="58" t="n"/>
      <c r="E230" s="56" t="n"/>
      <c r="F230" s="58" t="n"/>
      <c r="G230" s="56" t="n"/>
      <c r="H230" s="58" t="n"/>
      <c r="I230" s="56" t="n"/>
      <c r="J230" s="58" t="n"/>
      <c r="K230" s="56" t="inlineStr">
        <is>
          <t>Eda Ayaz</t>
        </is>
      </c>
      <c r="L230" s="65" t="n"/>
      <c r="M230" s="3" t="n"/>
      <c r="N230" s="3" t="n"/>
      <c r="O230" s="3" t="n"/>
      <c r="P230" s="3" t="n"/>
      <c r="Q230" s="3" t="n"/>
      <c r="R230" s="3" t="n"/>
      <c r="S230" s="3" t="n"/>
      <c r="T230" s="3" t="n"/>
    </row>
    <row r="231" ht="15" customHeight="1">
      <c r="A231" s="56" t="n"/>
      <c r="B231" s="58" t="n"/>
      <c r="C231" s="56" t="n"/>
      <c r="D231" s="58" t="n"/>
      <c r="E231" s="56" t="n"/>
      <c r="F231" s="58" t="n"/>
      <c r="G231" s="56" t="n"/>
      <c r="H231" s="58" t="n"/>
      <c r="I231" s="56" t="n"/>
      <c r="J231" s="58" t="n"/>
      <c r="K231" s="56" t="inlineStr">
        <is>
          <t>Eda Ayaz</t>
        </is>
      </c>
      <c r="L231" s="65" t="n"/>
      <c r="M231" s="3" t="n"/>
      <c r="N231" s="3" t="n"/>
      <c r="O231" s="3" t="n"/>
      <c r="P231" s="3" t="n"/>
      <c r="Q231" s="3" t="n"/>
      <c r="R231" s="3" t="n"/>
      <c r="S231" s="3" t="n"/>
      <c r="T231" s="3" t="n"/>
    </row>
    <row r="232" ht="15" customHeight="1">
      <c r="A232" s="56" t="n"/>
      <c r="B232" s="58" t="n"/>
      <c r="C232" s="56" t="n"/>
      <c r="D232" s="58" t="n"/>
      <c r="E232" s="56" t="n"/>
      <c r="F232" s="58" t="n"/>
      <c r="G232" s="56" t="n"/>
      <c r="H232" s="58" t="n"/>
      <c r="I232" s="56" t="n"/>
      <c r="J232" s="58" t="n"/>
      <c r="K232" s="56" t="inlineStr">
        <is>
          <t>Eda Ayaz</t>
        </is>
      </c>
      <c r="L232" s="65" t="n"/>
      <c r="M232" s="3" t="n"/>
      <c r="N232" s="3" t="n"/>
      <c r="O232" s="3" t="n"/>
      <c r="P232" s="3" t="n"/>
      <c r="Q232" s="3" t="n"/>
      <c r="R232" s="3" t="n"/>
      <c r="S232" s="3" t="n"/>
      <c r="T232" s="3" t="n"/>
    </row>
    <row r="233" ht="15" customHeight="1">
      <c r="A233" s="56" t="n"/>
      <c r="B233" s="58" t="n"/>
      <c r="C233" s="56" t="n"/>
      <c r="D233" s="58" t="n"/>
      <c r="E233" s="56" t="n"/>
      <c r="F233" s="58" t="n"/>
      <c r="G233" s="56" t="n"/>
      <c r="H233" s="58" t="n"/>
      <c r="I233" s="56" t="n"/>
      <c r="J233" s="58" t="n"/>
      <c r="K233" s="56" t="inlineStr">
        <is>
          <t>Eda Ayaz</t>
        </is>
      </c>
      <c r="L233" s="65" t="n"/>
      <c r="M233" s="3" t="n"/>
      <c r="N233" s="3" t="n"/>
      <c r="O233" s="3" t="n"/>
      <c r="P233" s="3" t="n"/>
      <c r="Q233" s="3" t="n"/>
      <c r="R233" s="3" t="n"/>
      <c r="S233" s="3" t="n"/>
      <c r="T233" s="3" t="n"/>
    </row>
    <row r="234" ht="15" customHeight="1">
      <c r="A234" s="56" t="n"/>
      <c r="B234" s="58" t="n"/>
      <c r="C234" s="56" t="n"/>
      <c r="D234" s="58" t="n"/>
      <c r="E234" s="56" t="n"/>
      <c r="F234" s="58" t="n"/>
      <c r="G234" s="56" t="n"/>
      <c r="H234" s="58" t="n"/>
      <c r="I234" s="56" t="n"/>
      <c r="J234" s="58" t="n"/>
      <c r="K234" s="56" t="inlineStr">
        <is>
          <t>Eda Ayaz</t>
        </is>
      </c>
      <c r="L234" s="65" t="n"/>
      <c r="M234" s="3" t="n"/>
      <c r="N234" s="3" t="n"/>
      <c r="O234" s="3" t="n"/>
      <c r="P234" s="3" t="n"/>
      <c r="Q234" s="3" t="n"/>
      <c r="R234" s="3" t="n"/>
      <c r="S234" s="3" t="n"/>
      <c r="T234" s="3" t="n"/>
    </row>
    <row r="235" ht="15" customHeight="1">
      <c r="A235" s="56" t="n"/>
      <c r="B235" s="58" t="n"/>
      <c r="C235" s="56" t="n"/>
      <c r="D235" s="58" t="n"/>
      <c r="E235" s="56" t="n"/>
      <c r="F235" s="58" t="n"/>
      <c r="G235" s="56" t="n"/>
      <c r="H235" s="58" t="n"/>
      <c r="I235" s="56" t="n"/>
      <c r="J235" s="58" t="n"/>
      <c r="K235" s="56" t="inlineStr">
        <is>
          <t>Eda Ayaz</t>
        </is>
      </c>
      <c r="L235" s="65" t="n"/>
      <c r="M235" s="3" t="n"/>
      <c r="N235" s="3" t="n"/>
      <c r="O235" s="3" t="n"/>
      <c r="P235" s="3" t="n"/>
      <c r="Q235" s="3" t="n"/>
      <c r="R235" s="3" t="n"/>
      <c r="S235" s="3" t="n"/>
      <c r="T235" s="3" t="n"/>
    </row>
    <row r="236" ht="15" customHeight="1">
      <c r="A236" s="56" t="n"/>
      <c r="B236" s="58" t="n"/>
      <c r="C236" s="56" t="n"/>
      <c r="D236" s="58" t="n"/>
      <c r="E236" s="56" t="n"/>
      <c r="F236" s="58" t="n"/>
      <c r="G236" s="56" t="n"/>
      <c r="H236" s="58" t="n"/>
      <c r="I236" s="56" t="n"/>
      <c r="J236" s="58" t="n"/>
      <c r="K236" s="56" t="inlineStr">
        <is>
          <t>Eda Ayaz</t>
        </is>
      </c>
      <c r="L236" s="65" t="n"/>
      <c r="M236" s="3" t="n"/>
      <c r="N236" s="3" t="n"/>
      <c r="O236" s="3" t="n"/>
      <c r="P236" s="3" t="n"/>
      <c r="Q236" s="3" t="n"/>
      <c r="R236" s="3" t="n"/>
      <c r="S236" s="3" t="n"/>
      <c r="T236" s="3" t="n"/>
    </row>
    <row r="237" ht="15" customHeight="1">
      <c r="A237" s="56" t="n"/>
      <c r="B237" s="58" t="n"/>
      <c r="C237" s="56" t="n"/>
      <c r="D237" s="58" t="n"/>
      <c r="E237" s="56" t="n"/>
      <c r="F237" s="58" t="n"/>
      <c r="G237" s="56" t="n"/>
      <c r="H237" s="58" t="n"/>
      <c r="I237" s="56" t="n"/>
      <c r="J237" s="58" t="n"/>
      <c r="K237" s="56" t="inlineStr">
        <is>
          <t>Eda Ayaz</t>
        </is>
      </c>
      <c r="L237" s="65" t="n"/>
      <c r="M237" s="3" t="n"/>
      <c r="N237" s="3" t="n"/>
      <c r="O237" s="3" t="n"/>
      <c r="P237" s="3" t="n"/>
      <c r="Q237" s="3" t="n"/>
      <c r="R237" s="3" t="n"/>
      <c r="S237" s="3" t="n"/>
      <c r="T237" s="3" t="n"/>
    </row>
    <row r="238" ht="15" customHeight="1">
      <c r="A238" s="56" t="n"/>
      <c r="B238" s="58" t="n"/>
      <c r="C238" s="56" t="n"/>
      <c r="D238" s="58" t="n"/>
      <c r="E238" s="56" t="n"/>
      <c r="F238" s="58" t="n"/>
      <c r="G238" s="56" t="n"/>
      <c r="H238" s="58" t="n"/>
      <c r="I238" s="56" t="n"/>
      <c r="J238" s="58" t="n"/>
      <c r="K238" s="56" t="inlineStr">
        <is>
          <t>Eda Ayaz</t>
        </is>
      </c>
      <c r="L238" s="65" t="n"/>
      <c r="M238" s="3" t="n"/>
      <c r="N238" s="3" t="n"/>
      <c r="O238" s="3" t="n"/>
      <c r="P238" s="3" t="n"/>
      <c r="Q238" s="3" t="n"/>
      <c r="R238" s="3" t="n"/>
      <c r="S238" s="3" t="n"/>
      <c r="T238" s="3" t="n"/>
    </row>
    <row r="239" ht="15" customHeight="1">
      <c r="A239" s="56" t="n"/>
      <c r="B239" s="58" t="n"/>
      <c r="C239" s="56" t="n"/>
      <c r="D239" s="58" t="n"/>
      <c r="E239" s="56" t="n"/>
      <c r="F239" s="58" t="n"/>
      <c r="G239" s="56" t="n"/>
      <c r="H239" s="58" t="n"/>
      <c r="I239" s="56" t="n"/>
      <c r="J239" s="58" t="n"/>
      <c r="K239" s="56" t="inlineStr">
        <is>
          <t>Eda Ayaz</t>
        </is>
      </c>
      <c r="L239" s="65" t="n"/>
      <c r="M239" s="3" t="n"/>
      <c r="N239" s="3" t="n"/>
      <c r="O239" s="3" t="n"/>
      <c r="P239" s="3" t="n"/>
      <c r="Q239" s="3" t="n"/>
      <c r="R239" s="3" t="n"/>
      <c r="S239" s="3" t="n"/>
      <c r="T239" s="3" t="n"/>
    </row>
    <row r="240" ht="15" customHeight="1">
      <c r="A240" s="56" t="n"/>
      <c r="B240" s="58" t="n"/>
      <c r="C240" s="56" t="n"/>
      <c r="D240" s="58" t="n"/>
      <c r="E240" s="56" t="n"/>
      <c r="F240" s="58" t="n"/>
      <c r="G240" s="56" t="n"/>
      <c r="H240" s="58" t="n"/>
      <c r="I240" s="56" t="n"/>
      <c r="J240" s="58" t="n"/>
      <c r="K240" s="56" t="inlineStr">
        <is>
          <t>Eda Ayaz</t>
        </is>
      </c>
      <c r="L240" s="65" t="n"/>
      <c r="M240" s="3" t="n"/>
      <c r="N240" s="3" t="n"/>
      <c r="O240" s="3" t="n"/>
      <c r="P240" s="3" t="n"/>
      <c r="Q240" s="3" t="n"/>
      <c r="R240" s="3" t="n"/>
      <c r="S240" s="3" t="n"/>
      <c r="T240" s="3" t="n"/>
    </row>
    <row r="241" ht="15" customHeight="1">
      <c r="A241" s="56" t="n"/>
      <c r="B241" s="58" t="n"/>
      <c r="C241" s="56" t="n"/>
      <c r="D241" s="58" t="n"/>
      <c r="E241" s="56" t="n"/>
      <c r="F241" s="58" t="n"/>
      <c r="G241" s="56" t="n"/>
      <c r="H241" s="58" t="n"/>
      <c r="I241" s="56" t="n"/>
      <c r="J241" s="58" t="n"/>
      <c r="K241" s="56" t="inlineStr">
        <is>
          <t>Eda Ayaz</t>
        </is>
      </c>
      <c r="L241" s="65" t="n"/>
      <c r="M241" s="3" t="n"/>
      <c r="N241" s="3" t="n"/>
      <c r="O241" s="3" t="n"/>
      <c r="P241" s="3" t="n"/>
      <c r="Q241" s="3" t="n"/>
      <c r="R241" s="3" t="n"/>
      <c r="S241" s="3" t="n"/>
      <c r="T241" s="3" t="n"/>
    </row>
    <row r="242" ht="15" customHeight="1">
      <c r="A242" s="56" t="n"/>
      <c r="B242" s="58" t="n"/>
      <c r="C242" s="56" t="n"/>
      <c r="D242" s="58" t="n"/>
      <c r="E242" s="56" t="n"/>
      <c r="F242" s="58" t="n"/>
      <c r="G242" s="56" t="n"/>
      <c r="H242" s="58" t="n"/>
      <c r="I242" s="56" t="n"/>
      <c r="J242" s="58" t="n"/>
      <c r="K242" s="56" t="inlineStr">
        <is>
          <t>Eda Ayaz</t>
        </is>
      </c>
      <c r="L242" s="65" t="n"/>
      <c r="M242" s="3" t="n"/>
      <c r="N242" s="3" t="n"/>
      <c r="O242" s="3" t="n"/>
      <c r="P242" s="3" t="n"/>
      <c r="Q242" s="3" t="n"/>
      <c r="R242" s="3" t="n"/>
      <c r="S242" s="3" t="n"/>
      <c r="T242" s="3" t="n"/>
    </row>
    <row r="243" ht="15" customHeight="1">
      <c r="A243" s="56" t="n"/>
      <c r="B243" s="58" t="n"/>
      <c r="C243" s="56" t="n"/>
      <c r="D243" s="58" t="n"/>
      <c r="E243" s="56" t="n"/>
      <c r="F243" s="58" t="n"/>
      <c r="G243" s="56" t="n"/>
      <c r="H243" s="58" t="n"/>
      <c r="I243" s="56" t="n"/>
      <c r="J243" s="58" t="n"/>
      <c r="K243" s="56" t="inlineStr">
        <is>
          <t>Eda Ayaz</t>
        </is>
      </c>
      <c r="L243" s="65" t="n"/>
      <c r="M243" s="3" t="n"/>
      <c r="N243" s="3" t="n"/>
      <c r="O243" s="3" t="n"/>
      <c r="P243" s="3" t="n"/>
      <c r="Q243" s="3" t="n"/>
      <c r="R243" s="3" t="n"/>
      <c r="S243" s="3" t="n"/>
      <c r="T243" s="3" t="n"/>
    </row>
    <row r="244" ht="15" customHeight="1">
      <c r="A244" s="56" t="n"/>
      <c r="B244" s="58" t="n"/>
      <c r="C244" s="56" t="n"/>
      <c r="D244" s="58" t="n"/>
      <c r="E244" s="56" t="n"/>
      <c r="F244" s="58" t="n"/>
      <c r="G244" s="56" t="n"/>
      <c r="H244" s="58" t="n"/>
      <c r="I244" s="56" t="n"/>
      <c r="J244" s="58" t="n"/>
      <c r="K244" s="56" t="inlineStr">
        <is>
          <t>Eda Ayaz</t>
        </is>
      </c>
      <c r="L244" s="65" t="n"/>
      <c r="M244" s="3" t="n"/>
      <c r="N244" s="3" t="n"/>
      <c r="O244" s="3" t="n"/>
      <c r="P244" s="3" t="n"/>
      <c r="Q244" s="3" t="n"/>
      <c r="R244" s="3" t="n"/>
      <c r="S244" s="3" t="n"/>
      <c r="T244" s="3" t="n"/>
    </row>
    <row r="245" ht="15" customHeight="1">
      <c r="A245" s="56" t="n"/>
      <c r="B245" s="58" t="n"/>
      <c r="C245" s="56" t="n"/>
      <c r="D245" s="58" t="n"/>
      <c r="E245" s="56" t="n"/>
      <c r="F245" s="58" t="n"/>
      <c r="G245" s="56" t="n"/>
      <c r="H245" s="58" t="n"/>
      <c r="I245" s="56" t="n"/>
      <c r="J245" s="58" t="n"/>
      <c r="K245" s="56" t="inlineStr">
        <is>
          <t>Eda Ayaz</t>
        </is>
      </c>
      <c r="L245" s="65" t="n"/>
      <c r="M245" s="3" t="n"/>
      <c r="N245" s="3" t="n"/>
      <c r="O245" s="3" t="n"/>
      <c r="P245" s="3" t="n"/>
      <c r="Q245" s="3" t="n"/>
      <c r="R245" s="3" t="n"/>
      <c r="S245" s="3" t="n"/>
      <c r="T245" s="3" t="n"/>
    </row>
    <row r="246" ht="15" customHeight="1">
      <c r="A246" s="56" t="n"/>
      <c r="B246" s="58" t="n"/>
      <c r="C246" s="56" t="n"/>
      <c r="D246" s="58" t="n"/>
      <c r="E246" s="56" t="n"/>
      <c r="F246" s="58" t="n"/>
      <c r="G246" s="56" t="n"/>
      <c r="H246" s="58" t="n"/>
      <c r="I246" s="56" t="n"/>
      <c r="J246" s="58" t="n"/>
      <c r="K246" s="56" t="inlineStr">
        <is>
          <t>Eda Ayaz</t>
        </is>
      </c>
      <c r="L246" s="65" t="n"/>
      <c r="M246" s="3" t="n"/>
      <c r="N246" s="3" t="n"/>
      <c r="O246" s="3" t="n"/>
      <c r="P246" s="3" t="n"/>
      <c r="Q246" s="3" t="n"/>
      <c r="R246" s="3" t="n"/>
      <c r="S246" s="3" t="n"/>
      <c r="T246" s="3" t="n"/>
    </row>
    <row r="247" ht="15" customHeight="1">
      <c r="A247" s="56" t="n"/>
      <c r="B247" s="58" t="n"/>
      <c r="C247" s="56" t="n"/>
      <c r="D247" s="58" t="n"/>
      <c r="E247" s="56" t="n"/>
      <c r="F247" s="58" t="n"/>
      <c r="G247" s="56" t="n"/>
      <c r="H247" s="58" t="n"/>
      <c r="I247" s="56" t="n"/>
      <c r="J247" s="58" t="n"/>
      <c r="K247" s="56" t="inlineStr">
        <is>
          <t>Eda Ayaz</t>
        </is>
      </c>
      <c r="L247" s="65" t="n"/>
      <c r="M247" s="3" t="n"/>
      <c r="N247" s="3" t="n"/>
      <c r="O247" s="3" t="n"/>
      <c r="P247" s="3" t="n"/>
      <c r="Q247" s="3" t="n"/>
      <c r="R247" s="3" t="n"/>
      <c r="S247" s="3" t="n"/>
      <c r="T247" s="3" t="n"/>
    </row>
    <row r="248" ht="15" customHeight="1">
      <c r="A248" s="56" t="n"/>
      <c r="B248" s="58" t="n"/>
      <c r="C248" s="56" t="n"/>
      <c r="D248" s="58" t="n"/>
      <c r="E248" s="56" t="n"/>
      <c r="F248" s="58" t="n"/>
      <c r="G248" s="56" t="n"/>
      <c r="H248" s="58" t="n"/>
      <c r="I248" s="56" t="n"/>
      <c r="J248" s="58" t="n"/>
      <c r="K248" s="56" t="inlineStr">
        <is>
          <t>Eda Ayaz</t>
        </is>
      </c>
      <c r="L248" s="65" t="n"/>
      <c r="M248" s="3" t="n"/>
      <c r="N248" s="3" t="n"/>
      <c r="O248" s="3" t="n"/>
      <c r="P248" s="3" t="n"/>
      <c r="Q248" s="3" t="n"/>
      <c r="R248" s="3" t="n"/>
      <c r="S248" s="3" t="n"/>
      <c r="T248" s="3" t="n"/>
    </row>
    <row r="249" ht="15" customHeight="1">
      <c r="A249" s="56" t="n"/>
      <c r="B249" s="58" t="n"/>
      <c r="C249" s="56" t="n"/>
      <c r="D249" s="58" t="n"/>
      <c r="E249" s="56" t="n"/>
      <c r="F249" s="58" t="n"/>
      <c r="G249" s="56" t="n"/>
      <c r="H249" s="58" t="n"/>
      <c r="I249" s="56" t="n"/>
      <c r="J249" s="58" t="n"/>
      <c r="K249" s="56" t="inlineStr">
        <is>
          <t>Eda Ayaz</t>
        </is>
      </c>
      <c r="L249" s="65" t="n"/>
      <c r="M249" s="3" t="n"/>
      <c r="N249" s="3" t="n"/>
      <c r="O249" s="3" t="n"/>
      <c r="P249" s="3" t="n"/>
      <c r="Q249" s="3" t="n"/>
      <c r="R249" s="3" t="n"/>
      <c r="S249" s="3" t="n"/>
      <c r="T249" s="3" t="n"/>
    </row>
    <row r="250" ht="15" customHeight="1">
      <c r="A250" s="56" t="n"/>
      <c r="B250" s="58" t="n"/>
      <c r="C250" s="56" t="n"/>
      <c r="D250" s="58" t="n"/>
      <c r="E250" s="56" t="n"/>
      <c r="F250" s="58" t="n"/>
      <c r="G250" s="56" t="n"/>
      <c r="H250" s="58" t="n"/>
      <c r="I250" s="56" t="n"/>
      <c r="J250" s="58" t="n"/>
      <c r="K250" s="56" t="inlineStr">
        <is>
          <t>Eda Ayaz</t>
        </is>
      </c>
      <c r="L250" s="65" t="n"/>
      <c r="M250" s="3" t="n"/>
      <c r="N250" s="3" t="n"/>
      <c r="O250" s="3" t="n"/>
      <c r="P250" s="3" t="n"/>
      <c r="Q250" s="3" t="n"/>
      <c r="R250" s="3" t="n"/>
      <c r="S250" s="3" t="n"/>
      <c r="T250" s="3" t="n"/>
    </row>
    <row r="251" ht="15" customHeight="1">
      <c r="A251" s="56" t="n"/>
      <c r="B251" s="58" t="n"/>
      <c r="C251" s="56" t="n"/>
      <c r="D251" s="58" t="n"/>
      <c r="E251" s="56" t="n"/>
      <c r="F251" s="58" t="n"/>
      <c r="G251" s="56" t="n"/>
      <c r="H251" s="58" t="n"/>
      <c r="I251" s="56" t="n"/>
      <c r="J251" s="58" t="n"/>
      <c r="K251" s="56" t="inlineStr">
        <is>
          <t>Eda Ayaz</t>
        </is>
      </c>
      <c r="L251" s="65" t="n"/>
      <c r="M251" s="3" t="n"/>
      <c r="N251" s="3" t="n"/>
      <c r="O251" s="3" t="n"/>
      <c r="P251" s="3" t="n"/>
      <c r="Q251" s="3" t="n"/>
      <c r="R251" s="3" t="n"/>
      <c r="S251" s="3" t="n"/>
      <c r="T251" s="3" t="n"/>
    </row>
    <row r="252" ht="15" customHeight="1">
      <c r="A252" s="56" t="n"/>
      <c r="B252" s="58" t="n"/>
      <c r="C252" s="56" t="n"/>
      <c r="D252" s="58" t="n"/>
      <c r="E252" s="56" t="n"/>
      <c r="F252" s="58" t="n"/>
      <c r="G252" s="56" t="n"/>
      <c r="H252" s="58" t="n"/>
      <c r="I252" s="56" t="n"/>
      <c r="J252" s="58" t="n"/>
      <c r="K252" s="56" t="inlineStr">
        <is>
          <t>Eda Ayaz</t>
        </is>
      </c>
      <c r="L252" s="65" t="n"/>
      <c r="M252" s="3" t="n"/>
      <c r="N252" s="3" t="n"/>
      <c r="O252" s="3" t="n"/>
      <c r="P252" s="3" t="n"/>
      <c r="Q252" s="3" t="n"/>
      <c r="R252" s="3" t="n"/>
      <c r="S252" s="3" t="n"/>
      <c r="T252" s="3" t="n"/>
    </row>
    <row r="253" ht="15" customHeight="1">
      <c r="A253" s="56" t="n"/>
      <c r="B253" s="58" t="n"/>
      <c r="C253" s="56" t="n"/>
      <c r="D253" s="58" t="n"/>
      <c r="E253" s="56" t="n"/>
      <c r="F253" s="58" t="n"/>
      <c r="G253" s="56" t="n"/>
      <c r="H253" s="58" t="n"/>
      <c r="I253" s="56" t="n"/>
      <c r="J253" s="58" t="n"/>
      <c r="K253" s="56" t="inlineStr">
        <is>
          <t>Eda Ayaz</t>
        </is>
      </c>
      <c r="L253" s="65" t="n"/>
      <c r="M253" s="3" t="n"/>
      <c r="N253" s="3" t="n"/>
      <c r="O253" s="3" t="n"/>
      <c r="P253" s="3" t="n"/>
      <c r="Q253" s="3" t="n"/>
      <c r="R253" s="3" t="n"/>
      <c r="S253" s="3" t="n"/>
      <c r="T253" s="3" t="n"/>
    </row>
    <row r="254" ht="15" customHeight="1">
      <c r="A254" s="56" t="n"/>
      <c r="B254" s="58" t="n"/>
      <c r="C254" s="56" t="n"/>
      <c r="D254" s="58" t="n"/>
      <c r="E254" s="56" t="n"/>
      <c r="F254" s="58" t="n"/>
      <c r="G254" s="56" t="n"/>
      <c r="H254" s="58" t="n"/>
      <c r="I254" s="56" t="n"/>
      <c r="J254" s="58" t="n"/>
      <c r="K254" s="56" t="inlineStr">
        <is>
          <t>Eda Ayaz</t>
        </is>
      </c>
      <c r="L254" s="65" t="n"/>
      <c r="M254" s="3" t="n"/>
      <c r="N254" s="3" t="n"/>
      <c r="O254" s="3" t="n"/>
      <c r="P254" s="3" t="n"/>
      <c r="Q254" s="3" t="n"/>
      <c r="R254" s="3" t="n"/>
      <c r="S254" s="3" t="n"/>
      <c r="T254" s="3" t="n"/>
    </row>
    <row r="255" ht="15" customHeight="1">
      <c r="A255" s="56" t="n"/>
      <c r="B255" s="58" t="n"/>
      <c r="C255" s="56" t="n"/>
      <c r="D255" s="58" t="n"/>
      <c r="E255" s="56" t="n"/>
      <c r="F255" s="58" t="n"/>
      <c r="G255" s="56" t="n"/>
      <c r="H255" s="58" t="n"/>
      <c r="I255" s="56" t="n"/>
      <c r="J255" s="58" t="n"/>
      <c r="K255" s="56" t="inlineStr">
        <is>
          <t>Eda Ayaz</t>
        </is>
      </c>
      <c r="L255" s="65" t="n"/>
      <c r="M255" s="3" t="n"/>
      <c r="N255" s="3" t="n"/>
      <c r="O255" s="3" t="n"/>
      <c r="P255" s="3" t="n"/>
      <c r="Q255" s="3" t="n"/>
      <c r="R255" s="3" t="n"/>
      <c r="S255" s="3" t="n"/>
      <c r="T255" s="3" t="n"/>
    </row>
    <row r="256" ht="15" customHeight="1">
      <c r="A256" s="56" t="n"/>
      <c r="B256" s="58" t="n"/>
      <c r="C256" s="56" t="n"/>
      <c r="D256" s="58" t="n"/>
      <c r="E256" s="56" t="n"/>
      <c r="F256" s="58" t="n"/>
      <c r="G256" s="56" t="n"/>
      <c r="H256" s="58" t="n"/>
      <c r="I256" s="56" t="n"/>
      <c r="J256" s="58" t="n"/>
      <c r="K256" s="56" t="inlineStr">
        <is>
          <t>Eda Ayaz</t>
        </is>
      </c>
      <c r="L256" s="65" t="n"/>
      <c r="M256" s="3" t="n"/>
      <c r="N256" s="3" t="n"/>
      <c r="O256" s="3" t="n"/>
      <c r="P256" s="3" t="n"/>
      <c r="Q256" s="3" t="n"/>
      <c r="R256" s="3" t="n"/>
      <c r="S256" s="3" t="n"/>
      <c r="T256" s="3" t="n"/>
    </row>
    <row r="257" ht="15" customHeight="1">
      <c r="A257" s="56" t="n"/>
      <c r="B257" s="58" t="n"/>
      <c r="C257" s="56" t="n"/>
      <c r="D257" s="58" t="n"/>
      <c r="E257" s="56" t="n"/>
      <c r="F257" s="58" t="n"/>
      <c r="G257" s="56" t="n"/>
      <c r="H257" s="58" t="n"/>
      <c r="I257" s="56" t="n"/>
      <c r="J257" s="58" t="n"/>
      <c r="K257" s="56" t="inlineStr">
        <is>
          <t>Eda Ayaz</t>
        </is>
      </c>
      <c r="L257" s="65" t="n"/>
      <c r="M257" s="3" t="n"/>
      <c r="N257" s="3" t="n"/>
      <c r="O257" s="3" t="n"/>
      <c r="P257" s="3" t="n"/>
      <c r="Q257" s="3" t="n"/>
      <c r="R257" s="3" t="n"/>
      <c r="S257" s="3" t="n"/>
      <c r="T257" s="3" t="n"/>
    </row>
    <row r="258" ht="15" customHeight="1">
      <c r="A258" s="56" t="n"/>
      <c r="B258" s="58" t="n"/>
      <c r="C258" s="56" t="n"/>
      <c r="D258" s="58" t="n"/>
      <c r="E258" s="56" t="n"/>
      <c r="F258" s="58" t="n"/>
      <c r="G258" s="56" t="n"/>
      <c r="H258" s="58" t="n"/>
      <c r="I258" s="56" t="n"/>
      <c r="J258" s="58" t="n"/>
      <c r="K258" s="56" t="inlineStr">
        <is>
          <t>Eda Ayaz</t>
        </is>
      </c>
      <c r="L258" s="65" t="n"/>
      <c r="M258" s="3" t="n"/>
      <c r="N258" s="3" t="n"/>
      <c r="O258" s="3" t="n"/>
      <c r="P258" s="3" t="n"/>
      <c r="Q258" s="3" t="n"/>
      <c r="R258" s="3" t="n"/>
      <c r="S258" s="3" t="n"/>
      <c r="T258" s="3" t="n"/>
    </row>
    <row r="259" ht="15" customHeight="1">
      <c r="A259" s="56" t="n"/>
      <c r="B259" s="58" t="n"/>
      <c r="C259" s="56" t="n"/>
      <c r="D259" s="58" t="n"/>
      <c r="E259" s="56" t="n"/>
      <c r="F259" s="58" t="n"/>
      <c r="G259" s="56" t="n"/>
      <c r="H259" s="58" t="n"/>
      <c r="I259" s="56" t="n"/>
      <c r="J259" s="58" t="n"/>
      <c r="K259" s="56" t="inlineStr">
        <is>
          <t>Eda Ayaz</t>
        </is>
      </c>
      <c r="L259" s="65" t="n"/>
      <c r="M259" s="3" t="n"/>
      <c r="N259" s="3" t="n"/>
      <c r="O259" s="3" t="n"/>
      <c r="P259" s="3" t="n"/>
      <c r="Q259" s="3" t="n"/>
      <c r="R259" s="3" t="n"/>
      <c r="S259" s="3" t="n"/>
      <c r="T259" s="3" t="n"/>
    </row>
    <row r="260" ht="15" customHeight="1">
      <c r="A260" s="56" t="n"/>
      <c r="B260" s="58" t="n"/>
      <c r="C260" s="56" t="n"/>
      <c r="D260" s="58" t="n"/>
      <c r="E260" s="56" t="n"/>
      <c r="F260" s="58" t="n"/>
      <c r="G260" s="56" t="n"/>
      <c r="H260" s="58" t="n"/>
      <c r="I260" s="56" t="n"/>
      <c r="J260" s="58" t="n"/>
      <c r="K260" s="56" t="inlineStr">
        <is>
          <t>Eda Ayaz</t>
        </is>
      </c>
      <c r="L260" s="65" t="n"/>
      <c r="M260" s="3" t="n"/>
      <c r="N260" s="3" t="n"/>
      <c r="O260" s="3" t="n"/>
      <c r="P260" s="3" t="n"/>
      <c r="Q260" s="3" t="n"/>
      <c r="R260" s="3" t="n"/>
      <c r="S260" s="3" t="n"/>
      <c r="T260" s="3" t="n"/>
    </row>
    <row r="261" ht="15" customHeight="1">
      <c r="A261" s="56" t="n"/>
      <c r="B261" s="58" t="n"/>
      <c r="C261" s="56" t="n"/>
      <c r="D261" s="58" t="n"/>
      <c r="E261" s="56" t="n"/>
      <c r="F261" s="58" t="n"/>
      <c r="G261" s="56" t="n"/>
      <c r="H261" s="58" t="n"/>
      <c r="I261" s="56" t="n"/>
      <c r="J261" s="58" t="n"/>
      <c r="K261" s="56" t="inlineStr">
        <is>
          <t>Eda Ayaz</t>
        </is>
      </c>
      <c r="L261" s="65" t="n"/>
      <c r="M261" s="3" t="n"/>
      <c r="N261" s="3" t="n"/>
      <c r="O261" s="3" t="n"/>
      <c r="P261" s="3" t="n"/>
      <c r="Q261" s="3" t="n"/>
      <c r="R261" s="3" t="n"/>
      <c r="S261" s="3" t="n"/>
      <c r="T261" s="3" t="n"/>
    </row>
    <row r="262" ht="15" customHeight="1">
      <c r="A262" s="56" t="n"/>
      <c r="B262" s="58" t="n"/>
      <c r="C262" s="56" t="n"/>
      <c r="D262" s="58" t="n"/>
      <c r="E262" s="56" t="n"/>
      <c r="F262" s="58" t="n"/>
      <c r="G262" s="56" t="n"/>
      <c r="H262" s="58" t="n"/>
      <c r="I262" s="56" t="n"/>
      <c r="J262" s="58" t="n"/>
      <c r="K262" s="56" t="inlineStr">
        <is>
          <t>Eda Ayaz</t>
        </is>
      </c>
      <c r="L262" s="65" t="n"/>
      <c r="M262" s="3" t="n"/>
      <c r="N262" s="3" t="n"/>
      <c r="O262" s="3" t="n"/>
      <c r="P262" s="3" t="n"/>
      <c r="Q262" s="3" t="n"/>
      <c r="R262" s="3" t="n"/>
      <c r="S262" s="3" t="n"/>
      <c r="T262" s="3" t="n"/>
    </row>
    <row r="263" ht="15" customHeight="1">
      <c r="A263" s="56" t="n"/>
      <c r="B263" s="58" t="n"/>
      <c r="C263" s="56" t="n"/>
      <c r="D263" s="58" t="n"/>
      <c r="E263" s="56" t="n"/>
      <c r="F263" s="58" t="n"/>
      <c r="G263" s="56" t="n"/>
      <c r="H263" s="58" t="n"/>
      <c r="I263" s="56" t="n"/>
      <c r="J263" s="58" t="n"/>
      <c r="K263" s="56" t="inlineStr">
        <is>
          <t>Eda Ayaz</t>
        </is>
      </c>
      <c r="L263" s="65" t="n"/>
      <c r="M263" s="3" t="n"/>
      <c r="N263" s="3" t="n"/>
      <c r="O263" s="3" t="n"/>
      <c r="P263" s="3" t="n"/>
      <c r="Q263" s="3" t="n"/>
      <c r="R263" s="3" t="n"/>
      <c r="S263" s="3" t="n"/>
      <c r="T263" s="3" t="n"/>
    </row>
    <row r="264" ht="15" customHeight="1">
      <c r="A264" s="56" t="n"/>
      <c r="B264" s="58" t="n"/>
      <c r="C264" s="56" t="n"/>
      <c r="D264" s="58" t="n"/>
      <c r="E264" s="56" t="n"/>
      <c r="F264" s="58" t="n"/>
      <c r="G264" s="56" t="n"/>
      <c r="H264" s="58" t="n"/>
      <c r="I264" s="56" t="n"/>
      <c r="J264" s="58" t="n"/>
      <c r="K264" s="56" t="inlineStr">
        <is>
          <t>Eda Ayaz</t>
        </is>
      </c>
      <c r="L264" s="65" t="n"/>
      <c r="M264" s="3" t="n"/>
      <c r="N264" s="3" t="n"/>
      <c r="O264" s="3" t="n"/>
      <c r="P264" s="3" t="n"/>
      <c r="Q264" s="3" t="n"/>
      <c r="R264" s="3" t="n"/>
      <c r="S264" s="3" t="n"/>
      <c r="T264" s="3" t="n"/>
    </row>
    <row r="265" ht="15" customHeight="1">
      <c r="A265" s="56" t="n"/>
      <c r="B265" s="58" t="n"/>
      <c r="C265" s="56" t="n"/>
      <c r="D265" s="58" t="n"/>
      <c r="E265" s="56" t="n"/>
      <c r="F265" s="58" t="n"/>
      <c r="G265" s="56" t="n"/>
      <c r="H265" s="58" t="n"/>
      <c r="I265" s="56" t="n"/>
      <c r="J265" s="58" t="n"/>
      <c r="K265" s="56" t="inlineStr">
        <is>
          <t>Eda Ayaz</t>
        </is>
      </c>
      <c r="L265" s="65" t="n"/>
      <c r="M265" s="3" t="n"/>
      <c r="N265" s="3" t="n"/>
      <c r="O265" s="3" t="n"/>
      <c r="P265" s="3" t="n"/>
      <c r="Q265" s="3" t="n"/>
      <c r="R265" s="3" t="n"/>
      <c r="S265" s="3" t="n"/>
      <c r="T265" s="3" t="n"/>
    </row>
    <row r="266" ht="15" customHeight="1">
      <c r="A266" s="56" t="n"/>
      <c r="B266" s="58" t="n"/>
      <c r="C266" s="56" t="n"/>
      <c r="D266" s="58" t="n"/>
      <c r="E266" s="56" t="n"/>
      <c r="F266" s="58" t="n"/>
      <c r="G266" s="56" t="n"/>
      <c r="H266" s="58" t="n"/>
      <c r="I266" s="56" t="n"/>
      <c r="J266" s="58" t="n"/>
      <c r="K266" s="56" t="inlineStr">
        <is>
          <t>Eda Ayaz</t>
        </is>
      </c>
      <c r="L266" s="65" t="n"/>
      <c r="M266" s="3" t="n"/>
      <c r="N266" s="3" t="n"/>
      <c r="O266" s="3" t="n"/>
      <c r="P266" s="3" t="n"/>
      <c r="Q266" s="3" t="n"/>
      <c r="R266" s="3" t="n"/>
      <c r="S266" s="3" t="n"/>
      <c r="T266" s="3" t="n"/>
    </row>
    <row r="267" ht="15" customHeight="1">
      <c r="A267" s="56" t="n"/>
      <c r="B267" s="58" t="n"/>
      <c r="C267" s="56" t="n"/>
      <c r="D267" s="58" t="n"/>
      <c r="E267" s="56" t="n"/>
      <c r="F267" s="58" t="n"/>
      <c r="G267" s="56" t="n"/>
      <c r="H267" s="58" t="n"/>
      <c r="I267" s="56" t="n"/>
      <c r="J267" s="58" t="n"/>
      <c r="K267" s="56" t="inlineStr">
        <is>
          <t>Eda Ayaz</t>
        </is>
      </c>
      <c r="L267" s="65" t="n"/>
      <c r="M267" s="3" t="n"/>
      <c r="N267" s="3" t="n"/>
      <c r="O267" s="3" t="n"/>
      <c r="P267" s="3" t="n"/>
      <c r="Q267" s="3" t="n"/>
      <c r="R267" s="3" t="n"/>
      <c r="S267" s="3" t="n"/>
      <c r="T267" s="3" t="n"/>
    </row>
    <row r="268" ht="15" customHeight="1">
      <c r="A268" s="56" t="n"/>
      <c r="B268" s="58" t="n"/>
      <c r="C268" s="56" t="n"/>
      <c r="D268" s="58" t="n"/>
      <c r="E268" s="56" t="n"/>
      <c r="F268" s="58" t="n"/>
      <c r="G268" s="56" t="n"/>
      <c r="H268" s="58" t="n"/>
      <c r="I268" s="56" t="n"/>
      <c r="J268" s="58" t="n"/>
      <c r="K268" s="56" t="inlineStr">
        <is>
          <t>Eda Ayaz</t>
        </is>
      </c>
      <c r="L268" s="65" t="n"/>
      <c r="M268" s="3" t="n"/>
      <c r="N268" s="3" t="n"/>
      <c r="O268" s="3" t="n"/>
      <c r="P268" s="3" t="n"/>
      <c r="Q268" s="3" t="n"/>
      <c r="R268" s="3" t="n"/>
      <c r="S268" s="3" t="n"/>
      <c r="T268" s="3" t="n"/>
    </row>
    <row r="269" ht="15" customHeight="1">
      <c r="A269" s="56" t="n"/>
      <c r="B269" s="58" t="n"/>
      <c r="C269" s="56" t="n"/>
      <c r="D269" s="58" t="n"/>
      <c r="E269" s="56" t="n"/>
      <c r="F269" s="58" t="n"/>
      <c r="G269" s="56" t="n"/>
      <c r="H269" s="58" t="n"/>
      <c r="I269" s="56" t="n"/>
      <c r="J269" s="58" t="n"/>
      <c r="K269" s="56" t="inlineStr">
        <is>
          <t>Eda Ayaz</t>
        </is>
      </c>
      <c r="L269" s="65" t="n"/>
      <c r="M269" s="3" t="n"/>
      <c r="N269" s="3" t="n"/>
      <c r="O269" s="3" t="n"/>
      <c r="P269" s="3" t="n"/>
      <c r="Q269" s="3" t="n"/>
      <c r="R269" s="3" t="n"/>
      <c r="S269" s="3" t="n"/>
      <c r="T269" s="3" t="n"/>
    </row>
    <row r="270" ht="15" customHeight="1">
      <c r="A270" s="56" t="n"/>
      <c r="B270" s="58" t="n"/>
      <c r="C270" s="56" t="n"/>
      <c r="D270" s="58" t="n"/>
      <c r="E270" s="56" t="n"/>
      <c r="F270" s="58" t="n"/>
      <c r="G270" s="56" t="n"/>
      <c r="H270" s="58" t="n"/>
      <c r="I270" s="56" t="n"/>
      <c r="J270" s="58" t="n"/>
      <c r="K270" s="56" t="inlineStr">
        <is>
          <t>Eda Ayaz</t>
        </is>
      </c>
      <c r="L270" s="65" t="n"/>
      <c r="M270" s="3" t="n"/>
      <c r="N270" s="3" t="n"/>
      <c r="O270" s="3" t="n"/>
      <c r="P270" s="3" t="n"/>
      <c r="Q270" s="3" t="n"/>
      <c r="R270" s="3" t="n"/>
      <c r="S270" s="3" t="n"/>
      <c r="T270" s="3" t="n"/>
    </row>
    <row r="271" ht="15" customHeight="1">
      <c r="A271" s="56" t="n"/>
      <c r="B271" s="58" t="n"/>
      <c r="C271" s="56" t="n"/>
      <c r="D271" s="58" t="n"/>
      <c r="E271" s="56" t="n"/>
      <c r="F271" s="58" t="n"/>
      <c r="G271" s="56" t="n"/>
      <c r="H271" s="58" t="n"/>
      <c r="I271" s="56" t="n"/>
      <c r="J271" s="58" t="n"/>
      <c r="K271" s="56" t="inlineStr">
        <is>
          <t>Eda Ayaz</t>
        </is>
      </c>
      <c r="L271" s="65" t="n"/>
      <c r="M271" s="3" t="n"/>
      <c r="N271" s="3" t="n"/>
      <c r="O271" s="3" t="n"/>
      <c r="P271" s="3" t="n"/>
      <c r="Q271" s="3" t="n"/>
      <c r="R271" s="3" t="n"/>
      <c r="S271" s="3" t="n"/>
      <c r="T271" s="3" t="n"/>
    </row>
    <row r="272" ht="15" customHeight="1">
      <c r="A272" s="56" t="n"/>
      <c r="B272" s="58" t="n"/>
      <c r="C272" s="56" t="n"/>
      <c r="D272" s="58" t="n"/>
      <c r="E272" s="56" t="n"/>
      <c r="F272" s="58" t="n"/>
      <c r="G272" s="56" t="n"/>
      <c r="H272" s="58" t="n"/>
      <c r="I272" s="56" t="n"/>
      <c r="J272" s="58" t="n"/>
      <c r="K272" s="56" t="inlineStr">
        <is>
          <t>Eda Ayaz</t>
        </is>
      </c>
      <c r="L272" s="65" t="n"/>
      <c r="M272" s="3" t="n"/>
      <c r="N272" s="3" t="n"/>
      <c r="O272" s="3" t="n"/>
      <c r="P272" s="3" t="n"/>
      <c r="Q272" s="3" t="n"/>
      <c r="R272" s="3" t="n"/>
      <c r="S272" s="3" t="n"/>
      <c r="T272" s="3" t="n"/>
    </row>
    <row r="273" ht="15" customHeight="1">
      <c r="A273" s="56" t="n"/>
      <c r="B273" s="58" t="n"/>
      <c r="C273" s="56" t="n"/>
      <c r="D273" s="58" t="n"/>
      <c r="E273" s="56" t="n"/>
      <c r="F273" s="58" t="n"/>
      <c r="G273" s="56" t="n"/>
      <c r="H273" s="58" t="n"/>
      <c r="I273" s="56" t="n"/>
      <c r="J273" s="58" t="n"/>
      <c r="K273" s="56" t="inlineStr">
        <is>
          <t>Eda Ayaz</t>
        </is>
      </c>
      <c r="L273" s="65" t="n"/>
      <c r="M273" s="3" t="n"/>
      <c r="N273" s="3" t="n"/>
      <c r="O273" s="3" t="n"/>
      <c r="P273" s="3" t="n"/>
      <c r="Q273" s="3" t="n"/>
      <c r="R273" s="3" t="n"/>
      <c r="S273" s="3" t="n"/>
      <c r="T273" s="3" t="n"/>
    </row>
    <row r="274" ht="15" customHeight="1">
      <c r="A274" s="56" t="n"/>
      <c r="B274" s="58" t="n"/>
      <c r="C274" s="56" t="n"/>
      <c r="D274" s="58" t="n"/>
      <c r="E274" s="56" t="n"/>
      <c r="F274" s="58" t="n"/>
      <c r="G274" s="56" t="n"/>
      <c r="H274" s="58" t="n"/>
      <c r="I274" s="56" t="n"/>
      <c r="J274" s="58" t="n"/>
      <c r="K274" s="56" t="inlineStr">
        <is>
          <t>Eda Ayaz</t>
        </is>
      </c>
      <c r="L274" s="65" t="n"/>
      <c r="M274" s="3" t="n"/>
      <c r="N274" s="3" t="n"/>
      <c r="O274" s="3" t="n"/>
      <c r="P274" s="3" t="n"/>
      <c r="Q274" s="3" t="n"/>
      <c r="R274" s="3" t="n"/>
      <c r="S274" s="3" t="n"/>
      <c r="T274" s="3" t="n"/>
    </row>
    <row r="275" ht="15" customHeight="1">
      <c r="A275" s="56" t="n"/>
      <c r="B275" s="58" t="n"/>
      <c r="C275" s="56" t="n"/>
      <c r="D275" s="58" t="n"/>
      <c r="E275" s="56" t="n"/>
      <c r="F275" s="58" t="n"/>
      <c r="G275" s="56" t="n"/>
      <c r="H275" s="58" t="n"/>
      <c r="I275" s="56" t="n"/>
      <c r="J275" s="58" t="n"/>
      <c r="K275" s="56" t="inlineStr">
        <is>
          <t>Eda Ayaz</t>
        </is>
      </c>
      <c r="L275" s="65" t="n"/>
      <c r="M275" s="3" t="n"/>
      <c r="N275" s="3" t="n"/>
      <c r="O275" s="3" t="n"/>
      <c r="P275" s="3" t="n"/>
      <c r="Q275" s="3" t="n"/>
      <c r="R275" s="3" t="n"/>
      <c r="S275" s="3" t="n"/>
      <c r="T275" s="3" t="n"/>
    </row>
    <row r="276" ht="15" customHeight="1">
      <c r="A276" s="56" t="n"/>
      <c r="B276" s="58" t="n"/>
      <c r="C276" s="56" t="n"/>
      <c r="D276" s="58" t="n"/>
      <c r="E276" s="56" t="n"/>
      <c r="F276" s="58" t="n"/>
      <c r="G276" s="56" t="n"/>
      <c r="H276" s="58" t="n"/>
      <c r="I276" s="56" t="n"/>
      <c r="J276" s="58" t="n"/>
      <c r="K276" s="56" t="inlineStr">
        <is>
          <t>Eda Ayaz</t>
        </is>
      </c>
      <c r="L276" s="65" t="n"/>
      <c r="M276" s="3" t="n"/>
      <c r="N276" s="3" t="n"/>
      <c r="O276" s="3" t="n"/>
      <c r="P276" s="3" t="n"/>
      <c r="Q276" s="3" t="n"/>
      <c r="R276" s="3" t="n"/>
      <c r="S276" s="3" t="n"/>
      <c r="T276" s="3" t="n"/>
    </row>
    <row r="277" ht="15" customHeight="1">
      <c r="A277" s="56" t="n"/>
      <c r="B277" s="58" t="n"/>
      <c r="C277" s="56" t="n"/>
      <c r="D277" s="58" t="n"/>
      <c r="E277" s="56" t="n"/>
      <c r="F277" s="58" t="n"/>
      <c r="G277" s="56" t="n"/>
      <c r="H277" s="58" t="n"/>
      <c r="I277" s="56" t="n"/>
      <c r="J277" s="58" t="n"/>
      <c r="K277" s="56" t="inlineStr">
        <is>
          <t>Eda Ayaz</t>
        </is>
      </c>
      <c r="L277" s="65" t="n"/>
      <c r="M277" s="3" t="n"/>
      <c r="N277" s="3" t="n"/>
      <c r="O277" s="3" t="n"/>
      <c r="P277" s="3" t="n"/>
      <c r="Q277" s="3" t="n"/>
      <c r="R277" s="3" t="n"/>
      <c r="S277" s="3" t="n"/>
      <c r="T277" s="3" t="n"/>
    </row>
    <row r="278" ht="15" customHeight="1">
      <c r="A278" s="56" t="n"/>
      <c r="B278" s="58" t="n"/>
      <c r="C278" s="56" t="n"/>
      <c r="D278" s="58" t="n"/>
      <c r="E278" s="56" t="n"/>
      <c r="F278" s="58" t="n"/>
      <c r="G278" s="56" t="n"/>
      <c r="H278" s="58" t="n"/>
      <c r="I278" s="56" t="n"/>
      <c r="J278" s="58" t="n"/>
      <c r="K278" s="56" t="inlineStr">
        <is>
          <t>Eda Ayaz</t>
        </is>
      </c>
      <c r="L278" s="65" t="n"/>
      <c r="M278" s="3" t="n"/>
      <c r="N278" s="3" t="n"/>
      <c r="O278" s="3" t="n"/>
      <c r="P278" s="3" t="n"/>
      <c r="Q278" s="3" t="n"/>
      <c r="R278" s="3" t="n"/>
      <c r="S278" s="3" t="n"/>
      <c r="T278" s="3" t="n"/>
    </row>
    <row r="279" ht="15" customHeight="1">
      <c r="A279" s="56" t="n"/>
      <c r="B279" s="58" t="n"/>
      <c r="C279" s="56" t="n"/>
      <c r="D279" s="58" t="n"/>
      <c r="E279" s="56" t="n"/>
      <c r="F279" s="58" t="n"/>
      <c r="G279" s="56" t="n"/>
      <c r="H279" s="58" t="n"/>
      <c r="I279" s="56" t="n"/>
      <c r="J279" s="58" t="n"/>
      <c r="K279" s="56" t="inlineStr">
        <is>
          <t>Eda Ayaz</t>
        </is>
      </c>
      <c r="L279" s="65" t="n"/>
      <c r="M279" s="3" t="n"/>
      <c r="N279" s="3" t="n"/>
      <c r="O279" s="3" t="n"/>
      <c r="P279" s="3" t="n"/>
      <c r="Q279" s="3" t="n"/>
      <c r="R279" s="3" t="n"/>
      <c r="S279" s="3" t="n"/>
      <c r="T279" s="3" t="n"/>
    </row>
    <row r="280" ht="15" customHeight="1">
      <c r="A280" s="56" t="n"/>
      <c r="B280" s="58" t="n"/>
      <c r="C280" s="56" t="n"/>
      <c r="D280" s="58" t="n"/>
      <c r="E280" s="56" t="n"/>
      <c r="F280" s="58" t="n"/>
      <c r="G280" s="56" t="n"/>
      <c r="H280" s="58" t="n"/>
      <c r="I280" s="56" t="n"/>
      <c r="J280" s="58" t="n"/>
      <c r="K280" s="56" t="inlineStr">
        <is>
          <t>Eda Ayaz</t>
        </is>
      </c>
      <c r="L280" s="65" t="n"/>
      <c r="M280" s="3" t="n"/>
      <c r="N280" s="3" t="n"/>
      <c r="O280" s="3" t="n"/>
      <c r="P280" s="3" t="n"/>
      <c r="Q280" s="3" t="n"/>
      <c r="R280" s="3" t="n"/>
      <c r="S280" s="3" t="n"/>
      <c r="T280" s="3" t="n"/>
    </row>
    <row r="281" ht="15" customHeight="1">
      <c r="A281" s="56" t="n"/>
      <c r="B281" s="58" t="n"/>
      <c r="C281" s="56" t="n"/>
      <c r="D281" s="58" t="n"/>
      <c r="E281" s="56" t="n"/>
      <c r="F281" s="58" t="n"/>
      <c r="G281" s="56" t="n"/>
      <c r="H281" s="58" t="n"/>
      <c r="I281" s="56" t="n"/>
      <c r="J281" s="58" t="n"/>
      <c r="K281" s="56" t="inlineStr">
        <is>
          <t>Eda Ayaz</t>
        </is>
      </c>
      <c r="L281" s="65" t="n"/>
      <c r="M281" s="3" t="n"/>
      <c r="N281" s="3" t="n"/>
      <c r="O281" s="3" t="n"/>
      <c r="P281" s="3" t="n"/>
      <c r="Q281" s="3" t="n"/>
      <c r="R281" s="3" t="n"/>
      <c r="S281" s="3" t="n"/>
      <c r="T281" s="3" t="n"/>
    </row>
    <row r="282" ht="15" customHeight="1">
      <c r="A282" s="56" t="n"/>
      <c r="B282" s="58" t="n"/>
      <c r="C282" s="56" t="n"/>
      <c r="D282" s="58" t="n"/>
      <c r="E282" s="56" t="n"/>
      <c r="F282" s="58" t="n"/>
      <c r="G282" s="56" t="n"/>
      <c r="H282" s="58" t="n"/>
      <c r="I282" s="56" t="n"/>
      <c r="J282" s="58" t="n"/>
      <c r="K282" s="56" t="inlineStr">
        <is>
          <t>Eda Ayaz</t>
        </is>
      </c>
      <c r="L282" s="65" t="n"/>
      <c r="M282" s="3" t="n"/>
      <c r="N282" s="3" t="n"/>
      <c r="O282" s="3" t="n"/>
      <c r="P282" s="3" t="n"/>
      <c r="Q282" s="3" t="n"/>
      <c r="R282" s="3" t="n"/>
      <c r="S282" s="3" t="n"/>
      <c r="T282" s="3" t="n"/>
    </row>
    <row r="283" ht="15" customHeight="1">
      <c r="A283" s="56" t="n"/>
      <c r="B283" s="58" t="n"/>
      <c r="C283" s="56" t="n"/>
      <c r="D283" s="58" t="n"/>
      <c r="E283" s="56" t="n"/>
      <c r="F283" s="58" t="n"/>
      <c r="G283" s="56" t="n"/>
      <c r="H283" s="58" t="n"/>
      <c r="I283" s="56" t="n"/>
      <c r="J283" s="58" t="n"/>
      <c r="K283" s="56" t="inlineStr">
        <is>
          <t>Eda Ayaz</t>
        </is>
      </c>
      <c r="L283" s="65" t="n"/>
      <c r="M283" s="3" t="n"/>
      <c r="N283" s="3" t="n"/>
      <c r="O283" s="3" t="n"/>
      <c r="P283" s="3" t="n"/>
      <c r="Q283" s="3" t="n"/>
      <c r="R283" s="3" t="n"/>
      <c r="S283" s="3" t="n"/>
      <c r="T283" s="3" t="n"/>
    </row>
    <row r="284" ht="15" customHeight="1">
      <c r="A284" s="56" t="n"/>
      <c r="B284" s="58" t="n"/>
      <c r="C284" s="56" t="n"/>
      <c r="D284" s="58" t="n"/>
      <c r="E284" s="56" t="n"/>
      <c r="F284" s="58" t="n"/>
      <c r="G284" s="56" t="n"/>
      <c r="H284" s="58" t="n"/>
      <c r="I284" s="56" t="n"/>
      <c r="J284" s="58" t="n"/>
      <c r="K284" s="56" t="inlineStr">
        <is>
          <t>Eda Ayaz</t>
        </is>
      </c>
      <c r="L284" s="65" t="n"/>
      <c r="M284" s="3" t="n"/>
      <c r="N284" s="3" t="n"/>
      <c r="O284" s="3" t="n"/>
      <c r="P284" s="3" t="n"/>
      <c r="Q284" s="3" t="n"/>
      <c r="R284" s="3" t="n"/>
      <c r="S284" s="3" t="n"/>
      <c r="T284" s="3" t="n"/>
    </row>
    <row r="285" ht="15" customHeight="1">
      <c r="A285" s="56" t="n"/>
      <c r="B285" s="58" t="n"/>
      <c r="C285" s="56" t="n"/>
      <c r="D285" s="58" t="n"/>
      <c r="E285" s="56" t="n"/>
      <c r="F285" s="58" t="n"/>
      <c r="G285" s="56" t="n"/>
      <c r="H285" s="58" t="n"/>
      <c r="I285" s="56" t="n"/>
      <c r="J285" s="58" t="n"/>
      <c r="K285" s="56" t="inlineStr">
        <is>
          <t>Eda Ayaz</t>
        </is>
      </c>
      <c r="L285" s="65" t="n"/>
      <c r="M285" s="3" t="n"/>
      <c r="N285" s="3" t="n"/>
      <c r="O285" s="3" t="n"/>
      <c r="P285" s="3" t="n"/>
      <c r="Q285" s="3" t="n"/>
      <c r="R285" s="3" t="n"/>
      <c r="S285" s="3" t="n"/>
      <c r="T285" s="3" t="n"/>
    </row>
    <row r="286" ht="15" customHeight="1">
      <c r="A286" s="56" t="n"/>
      <c r="B286" s="58" t="n"/>
      <c r="C286" s="56" t="n"/>
      <c r="D286" s="58" t="n"/>
      <c r="E286" s="56" t="n"/>
      <c r="F286" s="58" t="n"/>
      <c r="G286" s="56" t="n"/>
      <c r="H286" s="58" t="n"/>
      <c r="I286" s="56" t="n"/>
      <c r="J286" s="58" t="n"/>
      <c r="K286" s="56" t="inlineStr">
        <is>
          <t>Eda Ayaz</t>
        </is>
      </c>
      <c r="L286" s="65" t="n"/>
      <c r="M286" s="3" t="n"/>
      <c r="N286" s="3" t="n"/>
      <c r="O286" s="3" t="n"/>
      <c r="P286" s="3" t="n"/>
      <c r="Q286" s="3" t="n"/>
      <c r="R286" s="3" t="n"/>
      <c r="S286" s="3" t="n"/>
      <c r="T286" s="3" t="n"/>
    </row>
    <row r="287" ht="15" customHeight="1">
      <c r="A287" s="56" t="n"/>
      <c r="B287" s="58" t="n"/>
      <c r="C287" s="56" t="n"/>
      <c r="D287" s="58" t="n"/>
      <c r="E287" s="56" t="n"/>
      <c r="F287" s="58" t="n"/>
      <c r="G287" s="56" t="n"/>
      <c r="H287" s="58" t="n"/>
      <c r="I287" s="56" t="n"/>
      <c r="J287" s="58" t="n"/>
      <c r="K287" s="56" t="inlineStr">
        <is>
          <t>Eda Ayaz</t>
        </is>
      </c>
      <c r="L287" s="65" t="n"/>
      <c r="M287" s="3" t="n"/>
      <c r="N287" s="3" t="n"/>
      <c r="O287" s="3" t="n"/>
      <c r="P287" s="3" t="n"/>
      <c r="Q287" s="3" t="n"/>
      <c r="R287" s="3" t="n"/>
      <c r="S287" s="3" t="n"/>
      <c r="T287" s="3" t="n"/>
    </row>
    <row r="288" ht="15" customHeight="1">
      <c r="A288" s="56" t="n"/>
      <c r="B288" s="58" t="n"/>
      <c r="C288" s="56" t="n"/>
      <c r="D288" s="58" t="n"/>
      <c r="E288" s="56" t="n"/>
      <c r="F288" s="58" t="n"/>
      <c r="G288" s="56" t="n"/>
      <c r="H288" s="58" t="n"/>
      <c r="I288" s="56" t="n"/>
      <c r="J288" s="58" t="n"/>
      <c r="K288" s="56" t="inlineStr">
        <is>
          <t>Eda Ayaz</t>
        </is>
      </c>
      <c r="L288" s="65" t="n"/>
      <c r="M288" s="3" t="n"/>
      <c r="N288" s="3" t="n"/>
      <c r="O288" s="3" t="n"/>
      <c r="P288" s="3" t="n"/>
      <c r="Q288" s="3" t="n"/>
      <c r="R288" s="3" t="n"/>
      <c r="S288" s="3" t="n"/>
      <c r="T288" s="3" t="n"/>
    </row>
    <row r="289" ht="15" customHeight="1">
      <c r="A289" s="56" t="n"/>
      <c r="B289" s="58" t="n"/>
      <c r="C289" s="56" t="n"/>
      <c r="D289" s="58" t="n"/>
      <c r="E289" s="56" t="n"/>
      <c r="F289" s="58" t="n"/>
      <c r="G289" s="56" t="n"/>
      <c r="H289" s="58" t="n"/>
      <c r="I289" s="56" t="n"/>
      <c r="J289" s="58" t="n"/>
      <c r="K289" s="56" t="inlineStr">
        <is>
          <t>Eda Ayaz</t>
        </is>
      </c>
      <c r="L289" s="65" t="n"/>
      <c r="M289" s="3" t="n"/>
      <c r="N289" s="3" t="n"/>
      <c r="O289" s="3" t="n"/>
      <c r="P289" s="3" t="n"/>
      <c r="Q289" s="3" t="n"/>
      <c r="R289" s="3" t="n"/>
      <c r="S289" s="3" t="n"/>
      <c r="T289" s="3" t="n"/>
    </row>
    <row r="290" ht="15" customHeight="1">
      <c r="A290" s="56" t="n"/>
      <c r="B290" s="58" t="n"/>
      <c r="C290" s="56" t="n"/>
      <c r="D290" s="58" t="n"/>
      <c r="E290" s="56" t="n"/>
      <c r="F290" s="58" t="n"/>
      <c r="G290" s="56" t="n"/>
      <c r="H290" s="58" t="n"/>
      <c r="I290" s="56" t="n"/>
      <c r="J290" s="58" t="n"/>
      <c r="K290" s="56" t="inlineStr">
        <is>
          <t>Eda Ayaz</t>
        </is>
      </c>
      <c r="L290" s="65" t="n"/>
      <c r="M290" s="3" t="n"/>
      <c r="N290" s="3" t="n"/>
      <c r="O290" s="3" t="n"/>
      <c r="P290" s="3" t="n"/>
      <c r="Q290" s="3" t="n"/>
      <c r="R290" s="3" t="n"/>
      <c r="S290" s="3" t="n"/>
      <c r="T290" s="3" t="n"/>
    </row>
    <row r="291" ht="15" customHeight="1">
      <c r="A291" s="56" t="n"/>
      <c r="B291" s="58" t="n"/>
      <c r="C291" s="56" t="n"/>
      <c r="D291" s="58" t="n"/>
      <c r="E291" s="56" t="n"/>
      <c r="F291" s="58" t="n"/>
      <c r="G291" s="56" t="n"/>
      <c r="H291" s="58" t="n"/>
      <c r="I291" s="56" t="n"/>
      <c r="J291" s="58" t="n"/>
      <c r="K291" s="56" t="inlineStr">
        <is>
          <t>Eda Ayaz</t>
        </is>
      </c>
      <c r="L291" s="65" t="n"/>
      <c r="M291" s="3" t="n"/>
      <c r="N291" s="3" t="n"/>
      <c r="O291" s="3" t="n"/>
      <c r="P291" s="3" t="n"/>
      <c r="Q291" s="3" t="n"/>
      <c r="R291" s="3" t="n"/>
      <c r="S291" s="3" t="n"/>
      <c r="T291" s="3" t="n"/>
    </row>
    <row r="292" ht="15" customHeight="1">
      <c r="A292" s="56" t="n"/>
      <c r="B292" s="58" t="n"/>
      <c r="C292" s="56" t="n"/>
      <c r="D292" s="58" t="n"/>
      <c r="E292" s="56" t="n"/>
      <c r="F292" s="58" t="n"/>
      <c r="G292" s="56" t="n"/>
      <c r="H292" s="58" t="n"/>
      <c r="I292" s="56" t="n"/>
      <c r="J292" s="58" t="n"/>
      <c r="K292" s="56" t="inlineStr">
        <is>
          <t>Eda Ayaz</t>
        </is>
      </c>
      <c r="L292" s="65" t="n"/>
      <c r="M292" s="3" t="n"/>
      <c r="N292" s="3" t="n"/>
      <c r="O292" s="3" t="n"/>
      <c r="P292" s="3" t="n"/>
      <c r="Q292" s="3" t="n"/>
      <c r="R292" s="3" t="n"/>
      <c r="S292" s="3" t="n"/>
      <c r="T292" s="3" t="n"/>
    </row>
    <row r="293" ht="15" customHeight="1">
      <c r="A293" s="56" t="n"/>
      <c r="B293" s="58" t="n"/>
      <c r="C293" s="56" t="n"/>
      <c r="D293" s="58" t="n"/>
      <c r="E293" s="56" t="n"/>
      <c r="F293" s="58" t="n"/>
      <c r="G293" s="56" t="n"/>
      <c r="H293" s="58" t="n"/>
      <c r="I293" s="56" t="n"/>
      <c r="J293" s="58" t="n"/>
      <c r="K293" s="56" t="inlineStr">
        <is>
          <t>Eda Ayaz</t>
        </is>
      </c>
      <c r="L293" s="65" t="n"/>
      <c r="M293" s="3" t="n"/>
      <c r="N293" s="3" t="n"/>
      <c r="O293" s="3" t="n"/>
      <c r="P293" s="3" t="n"/>
      <c r="Q293" s="3" t="n"/>
      <c r="R293" s="3" t="n"/>
      <c r="S293" s="3" t="n"/>
      <c r="T293" s="3" t="n"/>
    </row>
    <row r="294" ht="15" customHeight="1">
      <c r="A294" s="56" t="n"/>
      <c r="B294" s="58" t="n"/>
      <c r="C294" s="56" t="n"/>
      <c r="D294" s="58" t="n"/>
      <c r="E294" s="56" t="n"/>
      <c r="F294" s="58" t="n"/>
      <c r="G294" s="56" t="n"/>
      <c r="H294" s="58" t="n"/>
      <c r="I294" s="56" t="n"/>
      <c r="J294" s="58" t="n"/>
      <c r="K294" s="56" t="inlineStr">
        <is>
          <t>Eda Ayaz</t>
        </is>
      </c>
      <c r="L294" s="65" t="n"/>
      <c r="M294" s="3" t="n"/>
      <c r="N294" s="3" t="n"/>
      <c r="O294" s="3" t="n"/>
      <c r="P294" s="3" t="n"/>
      <c r="Q294" s="3" t="n"/>
      <c r="R294" s="3" t="n"/>
      <c r="S294" s="3" t="n"/>
      <c r="T294" s="3" t="n"/>
    </row>
    <row r="295" ht="15" customHeight="1">
      <c r="A295" s="56" t="n"/>
      <c r="B295" s="58" t="n"/>
      <c r="C295" s="56" t="n"/>
      <c r="D295" s="58" t="n"/>
      <c r="E295" s="56" t="n"/>
      <c r="F295" s="58" t="n"/>
      <c r="G295" s="56" t="n"/>
      <c r="H295" s="58" t="n"/>
      <c r="I295" s="56" t="n"/>
      <c r="J295" s="58" t="n"/>
      <c r="K295" s="56" t="inlineStr">
        <is>
          <t>Eda Ayaz</t>
        </is>
      </c>
      <c r="L295" s="65" t="n"/>
      <c r="M295" s="3" t="n"/>
      <c r="N295" s="3" t="n"/>
      <c r="O295" s="3" t="n"/>
      <c r="P295" s="3" t="n"/>
      <c r="Q295" s="3" t="n"/>
      <c r="R295" s="3" t="n"/>
      <c r="S295" s="3" t="n"/>
      <c r="T295" s="3" t="n"/>
    </row>
    <row r="296" ht="15" customHeight="1">
      <c r="A296" s="56" t="n"/>
      <c r="B296" s="58" t="n"/>
      <c r="C296" s="56" t="n"/>
      <c r="D296" s="58" t="n"/>
      <c r="E296" s="56" t="n"/>
      <c r="F296" s="58" t="n"/>
      <c r="G296" s="56" t="n"/>
      <c r="H296" s="58" t="n"/>
      <c r="I296" s="56" t="n"/>
      <c r="J296" s="58" t="n"/>
      <c r="K296" s="56" t="inlineStr">
        <is>
          <t>Eda Ayaz</t>
        </is>
      </c>
      <c r="L296" s="65" t="n"/>
      <c r="M296" s="3" t="n"/>
      <c r="N296" s="3" t="n"/>
      <c r="O296" s="3" t="n"/>
      <c r="P296" s="3" t="n"/>
      <c r="Q296" s="3" t="n"/>
      <c r="R296" s="3" t="n"/>
      <c r="S296" s="3" t="n"/>
      <c r="T296" s="3" t="n"/>
    </row>
    <row r="297" ht="15" customHeight="1">
      <c r="A297" s="56" t="n"/>
      <c r="B297" s="58" t="n"/>
      <c r="C297" s="56" t="n"/>
      <c r="D297" s="58" t="n"/>
      <c r="E297" s="56" t="n"/>
      <c r="F297" s="58" t="n"/>
      <c r="G297" s="56" t="n"/>
      <c r="H297" s="58" t="n"/>
      <c r="I297" s="56" t="n"/>
      <c r="J297" s="58" t="n"/>
      <c r="K297" s="56" t="inlineStr">
        <is>
          <t>Eda Ayaz</t>
        </is>
      </c>
      <c r="L297" s="65" t="n"/>
      <c r="M297" s="3" t="n"/>
      <c r="N297" s="3" t="n"/>
      <c r="O297" s="3" t="n"/>
      <c r="P297" s="3" t="n"/>
      <c r="Q297" s="3" t="n"/>
      <c r="R297" s="3" t="n"/>
      <c r="S297" s="3" t="n"/>
      <c r="T297" s="3" t="n"/>
    </row>
    <row r="298" ht="15" customHeight="1">
      <c r="A298" s="56" t="n"/>
      <c r="B298" s="58" t="n"/>
      <c r="C298" s="56" t="n"/>
      <c r="D298" s="58" t="n"/>
      <c r="E298" s="56" t="n"/>
      <c r="F298" s="58" t="n"/>
      <c r="G298" s="56" t="n"/>
      <c r="H298" s="58" t="n"/>
      <c r="I298" s="56" t="n"/>
      <c r="J298" s="58" t="n"/>
      <c r="K298" s="56" t="inlineStr">
        <is>
          <t>Eda Ayaz</t>
        </is>
      </c>
      <c r="L298" s="65" t="n"/>
      <c r="M298" s="3" t="n"/>
      <c r="N298" s="3" t="n"/>
      <c r="O298" s="3" t="n"/>
      <c r="P298" s="3" t="n"/>
      <c r="Q298" s="3" t="n"/>
      <c r="R298" s="3" t="n"/>
      <c r="S298" s="3" t="n"/>
      <c r="T298" s="3" t="n"/>
    </row>
    <row r="299" ht="15" customHeight="1">
      <c r="A299" s="56" t="n"/>
      <c r="B299" s="58" t="n"/>
      <c r="C299" s="56" t="n"/>
      <c r="D299" s="58" t="n"/>
      <c r="E299" s="56" t="n"/>
      <c r="F299" s="58" t="n"/>
      <c r="G299" s="56" t="n"/>
      <c r="H299" s="58" t="n"/>
      <c r="I299" s="56" t="n"/>
      <c r="J299" s="58" t="n"/>
      <c r="K299" s="56" t="inlineStr">
        <is>
          <t>Eda Ayaz</t>
        </is>
      </c>
      <c r="L299" s="65" t="n"/>
      <c r="M299" s="3" t="n"/>
      <c r="N299" s="3" t="n"/>
      <c r="O299" s="3" t="n"/>
      <c r="P299" s="3" t="n"/>
      <c r="Q299" s="3" t="n"/>
      <c r="R299" s="3" t="n"/>
      <c r="S299" s="3" t="n"/>
      <c r="T299" s="3" t="n"/>
    </row>
    <row r="300" ht="15" customHeight="1">
      <c r="A300" s="56" t="n"/>
      <c r="B300" s="58" t="n"/>
      <c r="C300" s="56" t="n"/>
      <c r="D300" s="58" t="n"/>
      <c r="E300" s="56" t="n"/>
      <c r="F300" s="58" t="n"/>
      <c r="G300" s="56" t="n"/>
      <c r="H300" s="58" t="n"/>
      <c r="I300" s="56" t="n"/>
      <c r="J300" s="58" t="n"/>
      <c r="K300" s="56" t="inlineStr">
        <is>
          <t>Eda Ayaz</t>
        </is>
      </c>
      <c r="L300" s="65" t="n"/>
      <c r="M300" s="3" t="n"/>
      <c r="N300" s="3" t="n"/>
      <c r="O300" s="3" t="n"/>
      <c r="P300" s="3" t="n"/>
      <c r="Q300" s="3" t="n"/>
      <c r="R300" s="3" t="n"/>
      <c r="S300" s="3" t="n"/>
      <c r="T300" s="3" t="n"/>
    </row>
    <row r="301" ht="15" customHeight="1">
      <c r="A301" s="56" t="n"/>
      <c r="B301" s="58" t="n"/>
      <c r="C301" s="56" t="n"/>
      <c r="D301" s="58" t="n"/>
      <c r="E301" s="56" t="n"/>
      <c r="F301" s="58" t="n"/>
      <c r="G301" s="56" t="n"/>
      <c r="H301" s="58" t="n"/>
      <c r="I301" s="56" t="n"/>
      <c r="J301" s="58" t="n"/>
      <c r="K301" s="56" t="inlineStr">
        <is>
          <t>Eda Ayaz</t>
        </is>
      </c>
      <c r="L301" s="65" t="n"/>
      <c r="M301" s="3" t="n"/>
      <c r="N301" s="3" t="n"/>
      <c r="O301" s="3" t="n"/>
      <c r="P301" s="3" t="n"/>
      <c r="Q301" s="3" t="n"/>
      <c r="R301" s="3" t="n"/>
      <c r="S301" s="3" t="n"/>
      <c r="T301" s="3" t="n"/>
    </row>
    <row r="302" ht="15" customHeight="1">
      <c r="A302" s="56" t="n"/>
      <c r="B302" s="58" t="n"/>
      <c r="C302" s="56" t="n"/>
      <c r="D302" s="58" t="n"/>
      <c r="E302" s="56" t="n"/>
      <c r="F302" s="58" t="n"/>
      <c r="G302" s="56" t="n"/>
      <c r="H302" s="58" t="n"/>
      <c r="I302" s="56" t="n"/>
      <c r="J302" s="58" t="n"/>
      <c r="K302" s="56" t="inlineStr">
        <is>
          <t>Eda Ayaz</t>
        </is>
      </c>
      <c r="L302" s="65" t="n"/>
      <c r="M302" s="3" t="n"/>
      <c r="N302" s="3" t="n"/>
      <c r="O302" s="3" t="n"/>
      <c r="P302" s="3" t="n"/>
      <c r="Q302" s="3" t="n"/>
      <c r="R302" s="3" t="n"/>
      <c r="S302" s="3" t="n"/>
      <c r="T302" s="3" t="n"/>
    </row>
    <row r="303" ht="15" customHeight="1">
      <c r="A303" s="56" t="n"/>
      <c r="B303" s="58" t="n"/>
      <c r="C303" s="56" t="n"/>
      <c r="D303" s="58" t="n"/>
      <c r="E303" s="56" t="n"/>
      <c r="F303" s="58" t="n"/>
      <c r="G303" s="56" t="n"/>
      <c r="H303" s="58" t="n"/>
      <c r="I303" s="56" t="n"/>
      <c r="J303" s="58" t="n"/>
      <c r="K303" s="56" t="inlineStr">
        <is>
          <t>Eda Ayaz</t>
        </is>
      </c>
      <c r="L303" s="65" t="n"/>
      <c r="M303" s="3" t="n"/>
      <c r="N303" s="3" t="n"/>
      <c r="O303" s="3" t="n"/>
      <c r="P303" s="3" t="n"/>
      <c r="Q303" s="3" t="n"/>
      <c r="R303" s="3" t="n"/>
      <c r="S303" s="3" t="n"/>
      <c r="T303" s="3" t="n"/>
    </row>
    <row r="304" ht="15" customHeight="1">
      <c r="A304" s="56" t="n"/>
      <c r="B304" s="58" t="n"/>
      <c r="C304" s="56" t="n"/>
      <c r="D304" s="58" t="n"/>
      <c r="E304" s="56" t="n"/>
      <c r="F304" s="58" t="n"/>
      <c r="G304" s="56" t="n"/>
      <c r="H304" s="58" t="n"/>
      <c r="I304" s="56" t="n"/>
      <c r="J304" s="58" t="n"/>
      <c r="K304" s="56" t="inlineStr">
        <is>
          <t>Eda Ayaz</t>
        </is>
      </c>
      <c r="L304" s="65" t="n"/>
      <c r="M304" s="3" t="n"/>
      <c r="N304" s="3" t="n"/>
      <c r="O304" s="3" t="n"/>
      <c r="P304" s="3" t="n"/>
      <c r="Q304" s="3" t="n"/>
      <c r="R304" s="3" t="n"/>
      <c r="S304" s="3" t="n"/>
      <c r="T304" s="3" t="n"/>
    </row>
    <row r="305" ht="15" customHeight="1">
      <c r="A305" s="56" t="n"/>
      <c r="B305" s="58" t="n"/>
      <c r="C305" s="56" t="n"/>
      <c r="D305" s="58" t="n"/>
      <c r="E305" s="56" t="n"/>
      <c r="F305" s="58" t="n"/>
      <c r="G305" s="56" t="n"/>
      <c r="H305" s="58" t="n"/>
      <c r="I305" s="56" t="n"/>
      <c r="J305" s="58" t="n"/>
      <c r="K305" s="56" t="inlineStr">
        <is>
          <t>Eda Ayaz</t>
        </is>
      </c>
      <c r="L305" s="65" t="n"/>
      <c r="M305" s="3" t="n"/>
      <c r="N305" s="3" t="n"/>
      <c r="O305" s="3" t="n"/>
      <c r="P305" s="3" t="n"/>
      <c r="Q305" s="3" t="n"/>
      <c r="R305" s="3" t="n"/>
      <c r="S305" s="3" t="n"/>
      <c r="T305" s="3" t="n"/>
    </row>
    <row r="306" ht="15" customHeight="1">
      <c r="A306" s="56" t="n"/>
      <c r="B306" s="58" t="n"/>
      <c r="C306" s="56" t="n"/>
      <c r="D306" s="58" t="n"/>
      <c r="E306" s="56" t="n"/>
      <c r="F306" s="58" t="n"/>
      <c r="G306" s="56" t="n"/>
      <c r="H306" s="58" t="n"/>
      <c r="I306" s="56" t="n"/>
      <c r="J306" s="58" t="n"/>
      <c r="K306" s="56" t="inlineStr">
        <is>
          <t>Eda Ayaz</t>
        </is>
      </c>
      <c r="L306" s="65" t="n"/>
      <c r="M306" s="3" t="n"/>
      <c r="N306" s="3" t="n"/>
      <c r="O306" s="3" t="n"/>
      <c r="P306" s="3" t="n"/>
      <c r="Q306" s="3" t="n"/>
      <c r="R306" s="3" t="n"/>
      <c r="S306" s="3" t="n"/>
      <c r="T306" s="3" t="n"/>
    </row>
    <row r="307" ht="15" customHeight="1">
      <c r="A307" s="56" t="n"/>
      <c r="B307" s="58" t="n"/>
      <c r="C307" s="56" t="n"/>
      <c r="D307" s="58" t="n"/>
      <c r="E307" s="56" t="n"/>
      <c r="F307" s="58" t="n"/>
      <c r="G307" s="56" t="n"/>
      <c r="H307" s="58" t="n"/>
      <c r="I307" s="56" t="n"/>
      <c r="J307" s="58" t="n"/>
      <c r="K307" s="56" t="inlineStr">
        <is>
          <t>Eda Ayaz</t>
        </is>
      </c>
      <c r="L307" s="65" t="n"/>
      <c r="M307" s="3" t="n"/>
      <c r="N307" s="3" t="n"/>
      <c r="O307" s="3" t="n"/>
      <c r="P307" s="3" t="n"/>
      <c r="Q307" s="3" t="n"/>
      <c r="R307" s="3" t="n"/>
      <c r="S307" s="3" t="n"/>
      <c r="T307" s="3" t="n"/>
    </row>
    <row r="308" ht="15" customHeight="1">
      <c r="A308" s="56" t="n"/>
      <c r="B308" s="58" t="n"/>
      <c r="C308" s="56" t="n"/>
      <c r="D308" s="58" t="n"/>
      <c r="E308" s="56" t="n"/>
      <c r="F308" s="58" t="n"/>
      <c r="G308" s="56" t="n"/>
      <c r="H308" s="58" t="n"/>
      <c r="I308" s="56" t="n"/>
      <c r="J308" s="58" t="n"/>
      <c r="K308" s="56" t="inlineStr">
        <is>
          <t>Eda Ayaz</t>
        </is>
      </c>
      <c r="L308" s="65" t="n"/>
      <c r="M308" s="3" t="n"/>
      <c r="N308" s="3" t="n"/>
      <c r="O308" s="3" t="n"/>
      <c r="P308" s="3" t="n"/>
      <c r="Q308" s="3" t="n"/>
      <c r="R308" s="3" t="n"/>
      <c r="S308" s="3" t="n"/>
      <c r="T308" s="3" t="n"/>
    </row>
    <row r="309" ht="15" customHeight="1">
      <c r="A309" s="56" t="n"/>
      <c r="B309" s="58" t="n"/>
      <c r="C309" s="56" t="n"/>
      <c r="D309" s="58" t="n"/>
      <c r="E309" s="56" t="n"/>
      <c r="F309" s="58" t="n"/>
      <c r="G309" s="56" t="n"/>
      <c r="H309" s="58" t="n"/>
      <c r="I309" s="56" t="n"/>
      <c r="J309" s="58" t="n"/>
      <c r="K309" s="56" t="inlineStr">
        <is>
          <t>Eda Ayaz</t>
        </is>
      </c>
      <c r="L309" s="65" t="n"/>
      <c r="M309" s="3" t="n"/>
      <c r="N309" s="3" t="n"/>
      <c r="O309" s="3" t="n"/>
      <c r="P309" s="3" t="n"/>
      <c r="Q309" s="3" t="n"/>
      <c r="R309" s="3" t="n"/>
      <c r="S309" s="3" t="n"/>
      <c r="T309" s="3" t="n"/>
    </row>
    <row r="310" ht="15" customHeight="1">
      <c r="A310" s="56" t="n"/>
      <c r="B310" s="58" t="n"/>
      <c r="C310" s="56" t="n"/>
      <c r="D310" s="58" t="n"/>
      <c r="E310" s="56" t="n"/>
      <c r="F310" s="58" t="n"/>
      <c r="G310" s="56" t="n"/>
      <c r="H310" s="58" t="n"/>
      <c r="I310" s="56" t="n"/>
      <c r="J310" s="58" t="n"/>
      <c r="K310" s="56" t="inlineStr">
        <is>
          <t>Eda Ayaz</t>
        </is>
      </c>
      <c r="L310" s="65" t="n"/>
      <c r="M310" s="3" t="n"/>
      <c r="N310" s="3" t="n"/>
      <c r="O310" s="3" t="n"/>
      <c r="P310" s="3" t="n"/>
      <c r="Q310" s="3" t="n"/>
      <c r="R310" s="3" t="n"/>
      <c r="S310" s="3" t="n"/>
      <c r="T310" s="3" t="n"/>
    </row>
    <row r="311" ht="15" customHeight="1">
      <c r="A311" s="56" t="n"/>
      <c r="B311" s="58" t="n"/>
      <c r="C311" s="56" t="n"/>
      <c r="D311" s="58" t="n"/>
      <c r="E311" s="56" t="n"/>
      <c r="F311" s="58" t="n"/>
      <c r="G311" s="56" t="n"/>
      <c r="H311" s="58" t="n"/>
      <c r="I311" s="56" t="n"/>
      <c r="J311" s="58" t="n"/>
      <c r="K311" s="56" t="inlineStr">
        <is>
          <t>Eda Ayaz</t>
        </is>
      </c>
      <c r="L311" s="65" t="n"/>
      <c r="M311" s="3" t="n"/>
      <c r="N311" s="3" t="n"/>
      <c r="O311" s="3" t="n"/>
      <c r="P311" s="3" t="n"/>
      <c r="Q311" s="3" t="n"/>
      <c r="R311" s="3" t="n"/>
      <c r="S311" s="3" t="n"/>
      <c r="T311" s="3" t="n"/>
    </row>
    <row r="312" ht="15" customHeight="1">
      <c r="A312" s="56" t="n"/>
      <c r="B312" s="58" t="n"/>
      <c r="C312" s="56" t="n"/>
      <c r="D312" s="58" t="n"/>
      <c r="E312" s="56" t="n"/>
      <c r="F312" s="58" t="n"/>
      <c r="G312" s="56" t="n"/>
      <c r="H312" s="58" t="n"/>
      <c r="I312" s="56" t="n"/>
      <c r="J312" s="58" t="n"/>
      <c r="K312" s="56" t="inlineStr">
        <is>
          <t>Eda Ayaz</t>
        </is>
      </c>
      <c r="L312" s="65" t="n"/>
      <c r="M312" s="3" t="n"/>
      <c r="N312" s="3" t="n"/>
      <c r="O312" s="3" t="n"/>
      <c r="P312" s="3" t="n"/>
      <c r="Q312" s="3" t="n"/>
      <c r="R312" s="3" t="n"/>
      <c r="S312" s="3" t="n"/>
      <c r="T312" s="3" t="n"/>
    </row>
    <row r="313" ht="15" customHeight="1">
      <c r="A313" s="56" t="n"/>
      <c r="B313" s="58" t="n"/>
      <c r="C313" s="56" t="n"/>
      <c r="D313" s="58" t="n"/>
      <c r="E313" s="56" t="n"/>
      <c r="F313" s="58" t="n"/>
      <c r="G313" s="56" t="n"/>
      <c r="H313" s="58" t="n"/>
      <c r="I313" s="56" t="n"/>
      <c r="J313" s="58" t="n"/>
      <c r="K313" s="56" t="inlineStr">
        <is>
          <t>Eda Ayaz</t>
        </is>
      </c>
      <c r="L313" s="65" t="n"/>
      <c r="M313" s="3" t="n"/>
      <c r="N313" s="3" t="n"/>
      <c r="O313" s="3" t="n"/>
      <c r="P313" s="3" t="n"/>
      <c r="Q313" s="3" t="n"/>
      <c r="R313" s="3" t="n"/>
      <c r="S313" s="3" t="n"/>
      <c r="T313" s="3" t="n"/>
    </row>
    <row r="314" ht="15" customHeight="1">
      <c r="A314" s="56" t="n"/>
      <c r="B314" s="58" t="n"/>
      <c r="C314" s="56" t="n"/>
      <c r="D314" s="58" t="n"/>
      <c r="E314" s="56" t="n"/>
      <c r="F314" s="58" t="n"/>
      <c r="G314" s="56" t="n"/>
      <c r="H314" s="58" t="n"/>
      <c r="I314" s="56" t="n"/>
      <c r="J314" s="58" t="n"/>
      <c r="K314" s="56" t="inlineStr">
        <is>
          <t>Eda Ayaz</t>
        </is>
      </c>
      <c r="L314" s="65" t="n"/>
      <c r="M314" s="3" t="n"/>
      <c r="N314" s="3" t="n"/>
      <c r="O314" s="3" t="n"/>
      <c r="P314" s="3" t="n"/>
      <c r="Q314" s="3" t="n"/>
      <c r="R314" s="3" t="n"/>
      <c r="S314" s="3" t="n"/>
      <c r="T314" s="3" t="n"/>
    </row>
    <row r="315" ht="15" customHeight="1">
      <c r="A315" s="56" t="n"/>
      <c r="B315" s="58" t="n"/>
      <c r="C315" s="56" t="n"/>
      <c r="D315" s="58" t="n"/>
      <c r="E315" s="56" t="n"/>
      <c r="F315" s="58" t="n"/>
      <c r="G315" s="56" t="n"/>
      <c r="H315" s="58" t="n"/>
      <c r="I315" s="56" t="n"/>
      <c r="J315" s="58" t="n"/>
      <c r="K315" s="56" t="inlineStr">
        <is>
          <t>Eda Ayaz</t>
        </is>
      </c>
      <c r="L315" s="65" t="n"/>
      <c r="M315" s="3" t="n"/>
      <c r="N315" s="3" t="n"/>
      <c r="O315" s="3" t="n"/>
      <c r="P315" s="3" t="n"/>
      <c r="Q315" s="3" t="n"/>
      <c r="R315" s="3" t="n"/>
      <c r="S315" s="3" t="n"/>
      <c r="T315" s="3" t="n"/>
    </row>
    <row r="316" ht="15" customHeight="1">
      <c r="A316" s="56" t="n"/>
      <c r="B316" s="58" t="n"/>
      <c r="C316" s="56" t="n"/>
      <c r="D316" s="58" t="n"/>
      <c r="E316" s="56" t="n"/>
      <c r="F316" s="58" t="n"/>
      <c r="G316" s="56" t="n"/>
      <c r="H316" s="58" t="n"/>
      <c r="I316" s="56" t="n"/>
      <c r="J316" s="58" t="n"/>
      <c r="K316" s="56" t="inlineStr">
        <is>
          <t>Eda Ayaz</t>
        </is>
      </c>
      <c r="L316" s="65" t="n"/>
      <c r="M316" s="3" t="n"/>
      <c r="N316" s="3" t="n"/>
      <c r="O316" s="3" t="n"/>
      <c r="P316" s="3" t="n"/>
      <c r="Q316" s="3" t="n"/>
      <c r="R316" s="3" t="n"/>
      <c r="S316" s="3" t="n"/>
      <c r="T316" s="3" t="n"/>
    </row>
    <row r="317" ht="15" customHeight="1">
      <c r="A317" s="56" t="n"/>
      <c r="B317" s="58" t="n"/>
      <c r="C317" s="56" t="n"/>
      <c r="D317" s="58" t="n"/>
      <c r="E317" s="56" t="n"/>
      <c r="F317" s="58" t="n"/>
      <c r="G317" s="56" t="n"/>
      <c r="H317" s="58" t="n"/>
      <c r="I317" s="56" t="n"/>
      <c r="J317" s="58" t="n"/>
      <c r="K317" s="56" t="inlineStr">
        <is>
          <t>Eda Ayaz</t>
        </is>
      </c>
      <c r="L317" s="65" t="n"/>
      <c r="M317" s="3" t="n"/>
      <c r="N317" s="3" t="n"/>
      <c r="O317" s="3" t="n"/>
      <c r="P317" s="3" t="n"/>
      <c r="Q317" s="3" t="n"/>
      <c r="R317" s="3" t="n"/>
      <c r="S317" s="3" t="n"/>
      <c r="T317" s="3" t="n"/>
    </row>
    <row r="318" ht="15" customHeight="1">
      <c r="A318" s="56" t="n"/>
      <c r="B318" s="58" t="n"/>
      <c r="C318" s="56" t="n"/>
      <c r="D318" s="58" t="n"/>
      <c r="E318" s="56" t="n"/>
      <c r="F318" s="58" t="n"/>
      <c r="G318" s="56" t="n"/>
      <c r="H318" s="58" t="n"/>
      <c r="I318" s="56" t="n"/>
      <c r="J318" s="58" t="n"/>
      <c r="K318" s="56" t="inlineStr">
        <is>
          <t>Eda Ayaz</t>
        </is>
      </c>
      <c r="L318" s="65" t="n"/>
      <c r="M318" s="3" t="n"/>
      <c r="N318" s="3" t="n"/>
      <c r="O318" s="3" t="n"/>
      <c r="P318" s="3" t="n"/>
      <c r="Q318" s="3" t="n"/>
      <c r="R318" s="3" t="n"/>
      <c r="S318" s="3" t="n"/>
      <c r="T318" s="3" t="n"/>
    </row>
    <row r="319" ht="15" customHeight="1">
      <c r="A319" s="56" t="n"/>
      <c r="B319" s="58" t="n"/>
      <c r="C319" s="56" t="n"/>
      <c r="D319" s="58" t="n"/>
      <c r="E319" s="56" t="n"/>
      <c r="F319" s="58" t="n"/>
      <c r="G319" s="56" t="n"/>
      <c r="H319" s="58" t="n"/>
      <c r="I319" s="56" t="n"/>
      <c r="J319" s="58" t="n"/>
      <c r="K319" s="56" t="inlineStr">
        <is>
          <t>Eda Ayaz</t>
        </is>
      </c>
      <c r="L319" s="65" t="n"/>
      <c r="M319" s="3" t="n"/>
      <c r="N319" s="3" t="n"/>
      <c r="O319" s="3" t="n"/>
      <c r="P319" s="3" t="n"/>
      <c r="Q319" s="3" t="n"/>
      <c r="R319" s="3" t="n"/>
      <c r="S319" s="3" t="n"/>
      <c r="T319" s="3" t="n"/>
    </row>
    <row r="320" ht="15" customHeight="1">
      <c r="A320" s="56" t="n"/>
      <c r="B320" s="58" t="n"/>
      <c r="C320" s="56" t="n"/>
      <c r="D320" s="58" t="n"/>
      <c r="E320" s="56" t="n"/>
      <c r="F320" s="58" t="n"/>
      <c r="G320" s="56" t="n"/>
      <c r="H320" s="58" t="n"/>
      <c r="I320" s="56" t="n"/>
      <c r="J320" s="58" t="n"/>
      <c r="K320" s="56" t="inlineStr">
        <is>
          <t>Eda Ayaz</t>
        </is>
      </c>
      <c r="L320" s="65" t="n"/>
      <c r="M320" s="3" t="n"/>
      <c r="N320" s="3" t="n"/>
      <c r="O320" s="3" t="n"/>
      <c r="P320" s="3" t="n"/>
      <c r="Q320" s="3" t="n"/>
      <c r="R320" s="3" t="n"/>
      <c r="S320" s="3" t="n"/>
      <c r="T320" s="3" t="n"/>
    </row>
    <row r="321" ht="15" customHeight="1">
      <c r="A321" s="56" t="n"/>
      <c r="B321" s="58" t="n"/>
      <c r="C321" s="56" t="n"/>
      <c r="D321" s="58" t="n"/>
      <c r="E321" s="56" t="n"/>
      <c r="F321" s="58" t="n"/>
      <c r="G321" s="56" t="n"/>
      <c r="H321" s="58" t="n"/>
      <c r="I321" s="56" t="n"/>
      <c r="J321" s="58" t="n"/>
      <c r="K321" s="56" t="inlineStr">
        <is>
          <t>Eda Ayaz</t>
        </is>
      </c>
      <c r="L321" s="65" t="n"/>
      <c r="M321" s="3" t="n"/>
      <c r="N321" s="3" t="n"/>
      <c r="O321" s="3" t="n"/>
      <c r="P321" s="3" t="n"/>
      <c r="Q321" s="3" t="n"/>
      <c r="R321" s="3" t="n"/>
      <c r="S321" s="3" t="n"/>
      <c r="T321" s="3" t="n"/>
    </row>
    <row r="322" ht="15" customHeight="1">
      <c r="A322" s="56" t="n"/>
      <c r="B322" s="58" t="n"/>
      <c r="C322" s="56" t="n"/>
      <c r="D322" s="58" t="n"/>
      <c r="E322" s="56" t="n"/>
      <c r="F322" s="58" t="n"/>
      <c r="G322" s="56" t="n"/>
      <c r="H322" s="58" t="n"/>
      <c r="I322" s="56" t="n"/>
      <c r="J322" s="58" t="n"/>
      <c r="K322" s="56" t="inlineStr">
        <is>
          <t>Eda Ayaz</t>
        </is>
      </c>
      <c r="L322" s="65" t="n"/>
      <c r="M322" s="3" t="n"/>
      <c r="N322" s="3" t="n"/>
      <c r="O322" s="3" t="n"/>
      <c r="P322" s="3" t="n"/>
      <c r="Q322" s="3" t="n"/>
      <c r="R322" s="3" t="n"/>
      <c r="S322" s="3" t="n"/>
      <c r="T322" s="3" t="n"/>
    </row>
    <row r="323" ht="15" customHeight="1">
      <c r="A323" s="56" t="n"/>
      <c r="B323" s="58" t="n"/>
      <c r="C323" s="56" t="n"/>
      <c r="D323" s="58" t="n"/>
      <c r="E323" s="56" t="n"/>
      <c r="F323" s="58" t="n"/>
      <c r="G323" s="56" t="n"/>
      <c r="H323" s="58" t="n"/>
      <c r="I323" s="56" t="n"/>
      <c r="J323" s="58" t="n"/>
      <c r="K323" s="56" t="inlineStr">
        <is>
          <t>Eda Ayaz</t>
        </is>
      </c>
      <c r="L323" s="65" t="n"/>
      <c r="M323" s="3" t="n"/>
      <c r="N323" s="3" t="n"/>
      <c r="O323" s="3" t="n"/>
      <c r="P323" s="3" t="n"/>
      <c r="Q323" s="3" t="n"/>
      <c r="R323" s="3" t="n"/>
      <c r="S323" s="3" t="n"/>
      <c r="T323" s="3" t="n"/>
    </row>
    <row r="324" ht="15" customHeight="1">
      <c r="A324" s="56" t="n"/>
      <c r="B324" s="58" t="n"/>
      <c r="C324" s="56" t="n"/>
      <c r="D324" s="58" t="n"/>
      <c r="E324" s="56" t="n"/>
      <c r="F324" s="58" t="n"/>
      <c r="G324" s="56" t="n"/>
      <c r="H324" s="58" t="n"/>
      <c r="I324" s="56" t="n"/>
      <c r="J324" s="58" t="n"/>
      <c r="K324" s="56" t="inlineStr">
        <is>
          <t>Eda Ayaz</t>
        </is>
      </c>
      <c r="L324" s="65" t="n"/>
      <c r="M324" s="3" t="n"/>
      <c r="N324" s="3" t="n"/>
      <c r="O324" s="3" t="n"/>
      <c r="P324" s="3" t="n"/>
      <c r="Q324" s="3" t="n"/>
      <c r="R324" s="3" t="n"/>
      <c r="S324" s="3" t="n"/>
      <c r="T324" s="3" t="n"/>
    </row>
    <row r="325" ht="15" customHeight="1">
      <c r="A325" s="56" t="n"/>
      <c r="B325" s="58" t="n"/>
      <c r="C325" s="56" t="n"/>
      <c r="D325" s="58" t="n"/>
      <c r="E325" s="56" t="n"/>
      <c r="F325" s="58" t="n"/>
      <c r="G325" s="56" t="n"/>
      <c r="H325" s="58" t="n"/>
      <c r="I325" s="56" t="n"/>
      <c r="J325" s="58" t="n"/>
      <c r="K325" s="56" t="inlineStr">
        <is>
          <t>Eda Ayaz</t>
        </is>
      </c>
      <c r="L325" s="65" t="n"/>
      <c r="M325" s="3" t="n"/>
      <c r="N325" s="3" t="n"/>
      <c r="O325" s="3" t="n"/>
      <c r="P325" s="3" t="n"/>
      <c r="Q325" s="3" t="n"/>
      <c r="R325" s="3" t="n"/>
      <c r="S325" s="3" t="n"/>
      <c r="T325" s="3" t="n"/>
    </row>
    <row r="326" ht="15" customHeight="1">
      <c r="A326" s="56" t="n"/>
      <c r="B326" s="58" t="n"/>
      <c r="C326" s="56" t="n"/>
      <c r="D326" s="58" t="n"/>
      <c r="E326" s="56" t="n"/>
      <c r="F326" s="58" t="n"/>
      <c r="G326" s="56" t="n"/>
      <c r="H326" s="58" t="n"/>
      <c r="I326" s="56" t="n"/>
      <c r="J326" s="58" t="n"/>
      <c r="K326" s="56" t="inlineStr">
        <is>
          <t>Eda Ayaz</t>
        </is>
      </c>
      <c r="L326" s="65" t="n"/>
      <c r="M326" s="3" t="n"/>
      <c r="N326" s="3" t="n"/>
      <c r="O326" s="3" t="n"/>
      <c r="P326" s="3" t="n"/>
      <c r="Q326" s="3" t="n"/>
      <c r="R326" s="3" t="n"/>
      <c r="S326" s="3" t="n"/>
      <c r="T326" s="3" t="n"/>
    </row>
    <row r="327" ht="15" customHeight="1">
      <c r="A327" s="56" t="n"/>
      <c r="B327" s="58" t="n"/>
      <c r="C327" s="56" t="n"/>
      <c r="D327" s="58" t="n"/>
      <c r="E327" s="56" t="n"/>
      <c r="F327" s="58" t="n"/>
      <c r="G327" s="56" t="n"/>
      <c r="H327" s="58" t="n"/>
      <c r="I327" s="56" t="n"/>
      <c r="J327" s="58" t="n"/>
      <c r="K327" s="56" t="inlineStr">
        <is>
          <t>Eda Ayaz</t>
        </is>
      </c>
      <c r="L327" s="65" t="n"/>
      <c r="M327" s="3" t="n"/>
      <c r="N327" s="3" t="n"/>
      <c r="O327" s="3" t="n"/>
      <c r="P327" s="3" t="n"/>
      <c r="Q327" s="3" t="n"/>
      <c r="R327" s="3" t="n"/>
      <c r="S327" s="3" t="n"/>
      <c r="T327" s="3" t="n"/>
    </row>
    <row r="328" ht="15" customHeight="1">
      <c r="A328" s="56" t="n"/>
      <c r="B328" s="58" t="n"/>
      <c r="C328" s="56" t="n"/>
      <c r="D328" s="58" t="n"/>
      <c r="E328" s="56" t="n"/>
      <c r="F328" s="58" t="n"/>
      <c r="G328" s="56" t="n"/>
      <c r="H328" s="58" t="n"/>
      <c r="I328" s="56" t="n"/>
      <c r="J328" s="58" t="n"/>
      <c r="K328" s="56" t="inlineStr">
        <is>
          <t>Eda Ayaz</t>
        </is>
      </c>
      <c r="L328" s="65" t="n"/>
      <c r="M328" s="3" t="n"/>
      <c r="N328" s="3" t="n"/>
      <c r="O328" s="3" t="n"/>
      <c r="P328" s="3" t="n"/>
      <c r="Q328" s="3" t="n"/>
      <c r="R328" s="3" t="n"/>
      <c r="S328" s="3" t="n"/>
      <c r="T328" s="3" t="n"/>
    </row>
    <row r="329" ht="15" customHeight="1">
      <c r="A329" s="56" t="n"/>
      <c r="B329" s="58" t="n"/>
      <c r="C329" s="56" t="n"/>
      <c r="D329" s="58" t="n"/>
      <c r="E329" s="56" t="n"/>
      <c r="F329" s="58" t="n"/>
      <c r="G329" s="56" t="n"/>
      <c r="H329" s="58" t="n"/>
      <c r="I329" s="56" t="n"/>
      <c r="J329" s="58" t="n"/>
      <c r="K329" s="56" t="inlineStr">
        <is>
          <t>Eda Ayaz</t>
        </is>
      </c>
      <c r="L329" s="65" t="n"/>
      <c r="M329" s="3" t="n"/>
      <c r="N329" s="3" t="n"/>
      <c r="O329" s="3" t="n"/>
      <c r="P329" s="3" t="n"/>
      <c r="Q329" s="3" t="n"/>
      <c r="R329" s="3" t="n"/>
      <c r="S329" s="3" t="n"/>
      <c r="T329" s="3" t="n"/>
    </row>
    <row r="330" ht="15" customHeight="1">
      <c r="A330" s="56" t="n"/>
      <c r="B330" s="58" t="n"/>
      <c r="C330" s="56" t="n"/>
      <c r="D330" s="58" t="n"/>
      <c r="E330" s="56" t="n"/>
      <c r="F330" s="58" t="n"/>
      <c r="G330" s="56" t="n"/>
      <c r="H330" s="58" t="n"/>
      <c r="I330" s="56" t="n"/>
      <c r="J330" s="58" t="n"/>
      <c r="K330" s="56" t="inlineStr">
        <is>
          <t>Eda Ayaz</t>
        </is>
      </c>
      <c r="L330" s="65" t="n"/>
      <c r="M330" s="3" t="n"/>
      <c r="N330" s="3" t="n"/>
      <c r="O330" s="3" t="n"/>
      <c r="P330" s="3" t="n"/>
      <c r="Q330" s="3" t="n"/>
      <c r="R330" s="3" t="n"/>
      <c r="S330" s="3" t="n"/>
      <c r="T330" s="3" t="n"/>
    </row>
    <row r="331" ht="15" customHeight="1">
      <c r="A331" s="56" t="n"/>
      <c r="B331" s="58" t="n"/>
      <c r="C331" s="56" t="n"/>
      <c r="D331" s="58" t="n"/>
      <c r="E331" s="56" t="n"/>
      <c r="F331" s="58" t="n"/>
      <c r="G331" s="56" t="n"/>
      <c r="H331" s="58" t="n"/>
      <c r="I331" s="56" t="n"/>
      <c r="J331" s="58" t="n"/>
      <c r="K331" s="56" t="inlineStr">
        <is>
          <t>Eda Ayaz</t>
        </is>
      </c>
      <c r="L331" s="65" t="n"/>
      <c r="M331" s="3" t="n"/>
      <c r="N331" s="3" t="n"/>
      <c r="O331" s="3" t="n"/>
      <c r="P331" s="3" t="n"/>
      <c r="Q331" s="3" t="n"/>
      <c r="R331" s="3" t="n"/>
      <c r="S331" s="3" t="n"/>
      <c r="T331" s="3" t="n"/>
    </row>
    <row r="332" ht="15" customHeight="1">
      <c r="A332" s="56" t="n"/>
      <c r="B332" s="58" t="n"/>
      <c r="C332" s="56" t="n"/>
      <c r="D332" s="58" t="n"/>
      <c r="E332" s="56" t="n"/>
      <c r="F332" s="58" t="n"/>
      <c r="G332" s="56" t="n"/>
      <c r="H332" s="58" t="n"/>
      <c r="I332" s="56" t="n"/>
      <c r="J332" s="58" t="n"/>
      <c r="K332" s="56" t="inlineStr">
        <is>
          <t>Eda Ayaz</t>
        </is>
      </c>
      <c r="L332" s="65" t="n"/>
      <c r="M332" s="3" t="n"/>
      <c r="N332" s="3" t="n"/>
      <c r="O332" s="3" t="n"/>
      <c r="P332" s="3" t="n"/>
      <c r="Q332" s="3" t="n"/>
      <c r="R332" s="3" t="n"/>
      <c r="S332" s="3" t="n"/>
      <c r="T332" s="3" t="n"/>
    </row>
    <row r="333" ht="15" customHeight="1">
      <c r="A333" s="56" t="n"/>
      <c r="B333" s="58" t="n"/>
      <c r="C333" s="56" t="n"/>
      <c r="D333" s="58" t="n"/>
      <c r="E333" s="56" t="n"/>
      <c r="F333" s="58" t="n"/>
      <c r="G333" s="56" t="n"/>
      <c r="H333" s="58" t="n"/>
      <c r="I333" s="56" t="n"/>
      <c r="J333" s="58" t="n"/>
      <c r="K333" s="56" t="inlineStr">
        <is>
          <t>Eda Ayaz</t>
        </is>
      </c>
      <c r="L333" s="65" t="n"/>
      <c r="M333" s="3" t="n"/>
      <c r="N333" s="3" t="n"/>
      <c r="O333" s="3" t="n"/>
      <c r="P333" s="3" t="n"/>
      <c r="Q333" s="3" t="n"/>
      <c r="R333" s="3" t="n"/>
      <c r="S333" s="3" t="n"/>
      <c r="T333" s="3" t="n"/>
    </row>
    <row r="334" ht="15" customHeight="1">
      <c r="A334" s="56" t="n"/>
      <c r="B334" s="58" t="n"/>
      <c r="C334" s="56" t="n"/>
      <c r="D334" s="58" t="n"/>
      <c r="E334" s="56" t="n"/>
      <c r="F334" s="58" t="n"/>
      <c r="G334" s="56" t="n"/>
      <c r="H334" s="58" t="n"/>
      <c r="I334" s="56" t="n"/>
      <c r="J334" s="58" t="n"/>
      <c r="K334" s="56" t="inlineStr">
        <is>
          <t>Eda Ayaz</t>
        </is>
      </c>
      <c r="L334" s="65" t="n"/>
      <c r="M334" s="3" t="n"/>
      <c r="N334" s="3" t="n"/>
      <c r="O334" s="3" t="n"/>
      <c r="P334" s="3" t="n"/>
      <c r="Q334" s="3" t="n"/>
      <c r="R334" s="3" t="n"/>
      <c r="S334" s="3" t="n"/>
      <c r="T334" s="3" t="n"/>
    </row>
    <row r="335" ht="15" customHeight="1">
      <c r="A335" s="56" t="n"/>
      <c r="B335" s="58" t="n"/>
      <c r="C335" s="56" t="n"/>
      <c r="D335" s="58" t="n"/>
      <c r="E335" s="56" t="n"/>
      <c r="F335" s="58" t="n"/>
      <c r="G335" s="56" t="n"/>
      <c r="H335" s="58" t="n"/>
      <c r="I335" s="56" t="n"/>
      <c r="J335" s="58" t="n"/>
      <c r="K335" s="56" t="inlineStr">
        <is>
          <t>Eda Ayaz</t>
        </is>
      </c>
      <c r="L335" s="65" t="n"/>
      <c r="M335" s="3" t="n"/>
      <c r="N335" s="3" t="n"/>
      <c r="O335" s="3" t="n"/>
      <c r="P335" s="3" t="n"/>
      <c r="Q335" s="3" t="n"/>
      <c r="R335" s="3" t="n"/>
      <c r="S335" s="3" t="n"/>
      <c r="T335" s="3" t="n"/>
    </row>
    <row r="336" ht="15" customHeight="1">
      <c r="A336" s="56" t="n"/>
      <c r="B336" s="58" t="n"/>
      <c r="C336" s="56" t="n"/>
      <c r="D336" s="58" t="n"/>
      <c r="E336" s="56" t="n"/>
      <c r="F336" s="58" t="n"/>
      <c r="G336" s="56" t="n"/>
      <c r="H336" s="58" t="n"/>
      <c r="I336" s="56" t="n"/>
      <c r="J336" s="58" t="n"/>
      <c r="K336" s="56" t="inlineStr">
        <is>
          <t>Eda Ayaz</t>
        </is>
      </c>
      <c r="L336" s="65" t="n"/>
      <c r="M336" s="3" t="n"/>
      <c r="N336" s="3" t="n"/>
      <c r="O336" s="3" t="n"/>
      <c r="P336" s="3" t="n"/>
      <c r="Q336" s="3" t="n"/>
      <c r="R336" s="3" t="n"/>
      <c r="S336" s="3" t="n"/>
      <c r="T336" s="3" t="n"/>
    </row>
    <row r="337" ht="15" customHeight="1">
      <c r="A337" s="56" t="n"/>
      <c r="B337" s="58" t="n"/>
      <c r="C337" s="56" t="n"/>
      <c r="D337" s="58" t="n"/>
      <c r="E337" s="56" t="n"/>
      <c r="F337" s="58" t="n"/>
      <c r="G337" s="56" t="n"/>
      <c r="H337" s="58" t="n"/>
      <c r="I337" s="56" t="n"/>
      <c r="J337" s="58" t="n"/>
      <c r="K337" s="56" t="inlineStr">
        <is>
          <t>Eda Ayaz</t>
        </is>
      </c>
      <c r="L337" s="65" t="n"/>
      <c r="M337" s="3" t="n"/>
      <c r="N337" s="3" t="n"/>
      <c r="O337" s="3" t="n"/>
      <c r="P337" s="3" t="n"/>
      <c r="Q337" s="3" t="n"/>
      <c r="R337" s="3" t="n"/>
      <c r="S337" s="3" t="n"/>
      <c r="T337" s="3" t="n"/>
    </row>
    <row r="338" ht="15" customHeight="1">
      <c r="A338" s="56" t="n"/>
      <c r="B338" s="58" t="n"/>
      <c r="C338" s="56" t="n"/>
      <c r="D338" s="58" t="n"/>
      <c r="E338" s="56" t="n"/>
      <c r="F338" s="58" t="n"/>
      <c r="G338" s="56" t="n"/>
      <c r="H338" s="58" t="n"/>
      <c r="I338" s="56" t="n"/>
      <c r="J338" s="58" t="n"/>
      <c r="K338" s="56" t="inlineStr">
        <is>
          <t>Eda Ayaz</t>
        </is>
      </c>
      <c r="L338" s="65" t="n"/>
      <c r="M338" s="3" t="n"/>
      <c r="N338" s="3" t="n"/>
      <c r="O338" s="3" t="n"/>
      <c r="P338" s="3" t="n"/>
      <c r="Q338" s="3" t="n"/>
      <c r="R338" s="3" t="n"/>
      <c r="S338" s="3" t="n"/>
      <c r="T338" s="3" t="n"/>
    </row>
    <row r="339" ht="15" customHeight="1">
      <c r="A339" s="56" t="n"/>
      <c r="B339" s="58" t="n"/>
      <c r="C339" s="56" t="n"/>
      <c r="D339" s="58" t="n"/>
      <c r="E339" s="56" t="n"/>
      <c r="F339" s="58" t="n"/>
      <c r="G339" s="56" t="n"/>
      <c r="H339" s="58" t="n"/>
      <c r="I339" s="56" t="n"/>
      <c r="J339" s="58" t="n"/>
      <c r="K339" s="56" t="inlineStr">
        <is>
          <t>Eda Ayaz</t>
        </is>
      </c>
      <c r="L339" s="65" t="n"/>
      <c r="M339" s="3" t="n"/>
      <c r="N339" s="3" t="n"/>
      <c r="O339" s="3" t="n"/>
      <c r="P339" s="3" t="n"/>
      <c r="Q339" s="3" t="n"/>
      <c r="R339" s="3" t="n"/>
      <c r="S339" s="3" t="n"/>
      <c r="T339" s="3" t="n"/>
    </row>
    <row r="340" ht="15" customHeight="1">
      <c r="A340" s="56" t="n"/>
      <c r="B340" s="58" t="n"/>
      <c r="C340" s="56" t="n"/>
      <c r="D340" s="58" t="n"/>
      <c r="E340" s="56" t="n"/>
      <c r="F340" s="58" t="n"/>
      <c r="G340" s="56" t="n"/>
      <c r="H340" s="58" t="n"/>
      <c r="I340" s="56" t="n"/>
      <c r="J340" s="58" t="n"/>
      <c r="K340" s="56" t="inlineStr">
        <is>
          <t>Eda Ayaz</t>
        </is>
      </c>
      <c r="L340" s="65" t="n"/>
      <c r="M340" s="3" t="n"/>
      <c r="N340" s="3" t="n"/>
      <c r="O340" s="3" t="n"/>
      <c r="P340" s="3" t="n"/>
      <c r="Q340" s="3" t="n"/>
      <c r="R340" s="3" t="n"/>
      <c r="S340" s="3" t="n"/>
      <c r="T340" s="3" t="n"/>
    </row>
    <row r="341" ht="15" customHeight="1">
      <c r="A341" s="56" t="n"/>
      <c r="B341" s="58" t="n"/>
      <c r="C341" s="56" t="n"/>
      <c r="D341" s="58" t="n"/>
      <c r="E341" s="56" t="n"/>
      <c r="F341" s="58" t="n"/>
      <c r="G341" s="56" t="n"/>
      <c r="H341" s="58" t="n"/>
      <c r="I341" s="56" t="n"/>
      <c r="J341" s="58" t="n"/>
      <c r="K341" s="56" t="inlineStr">
        <is>
          <t>Eda Ayaz</t>
        </is>
      </c>
      <c r="L341" s="65" t="n"/>
      <c r="M341" s="3" t="n"/>
      <c r="N341" s="3" t="n"/>
      <c r="O341" s="3" t="n"/>
      <c r="P341" s="3" t="n"/>
      <c r="Q341" s="3" t="n"/>
      <c r="R341" s="3" t="n"/>
      <c r="S341" s="3" t="n"/>
      <c r="T341" s="3" t="n"/>
    </row>
    <row r="342" ht="15" customHeight="1">
      <c r="A342" s="56" t="n"/>
      <c r="B342" s="58" t="n"/>
      <c r="C342" s="56" t="n"/>
      <c r="D342" s="58" t="n"/>
      <c r="E342" s="56" t="n"/>
      <c r="F342" s="58" t="n"/>
      <c r="G342" s="56" t="n"/>
      <c r="H342" s="58" t="n"/>
      <c r="I342" s="56" t="n"/>
      <c r="J342" s="58" t="n"/>
      <c r="K342" s="56" t="inlineStr">
        <is>
          <t>Eda Ayaz</t>
        </is>
      </c>
      <c r="L342" s="65" t="n"/>
      <c r="M342" s="3" t="n"/>
      <c r="N342" s="3" t="n"/>
      <c r="O342" s="3" t="n"/>
      <c r="P342" s="3" t="n"/>
      <c r="Q342" s="3" t="n"/>
      <c r="R342" s="3" t="n"/>
      <c r="S342" s="3" t="n"/>
      <c r="T342" s="3" t="n"/>
    </row>
    <row r="343" ht="15" customHeight="1">
      <c r="A343" s="56" t="n"/>
      <c r="B343" s="58" t="n"/>
      <c r="C343" s="56" t="n"/>
      <c r="D343" s="58" t="n"/>
      <c r="E343" s="56" t="n"/>
      <c r="F343" s="58" t="n"/>
      <c r="G343" s="56" t="n"/>
      <c r="H343" s="58" t="n"/>
      <c r="I343" s="56" t="n"/>
      <c r="J343" s="58" t="n"/>
      <c r="K343" s="56" t="inlineStr">
        <is>
          <t>Eda Ayaz</t>
        </is>
      </c>
      <c r="L343" s="65" t="n"/>
      <c r="M343" s="3" t="n"/>
      <c r="N343" s="3" t="n"/>
      <c r="O343" s="3" t="n"/>
      <c r="P343" s="3" t="n"/>
      <c r="Q343" s="3" t="n"/>
      <c r="R343" s="3" t="n"/>
      <c r="S343" s="3" t="n"/>
      <c r="T343" s="3" t="n"/>
    </row>
    <row r="344" ht="15" customHeight="1">
      <c r="A344" s="56" t="n"/>
      <c r="B344" s="58" t="n"/>
      <c r="C344" s="56" t="n"/>
      <c r="D344" s="58" t="n"/>
      <c r="E344" s="56" t="n"/>
      <c r="F344" s="58" t="n"/>
      <c r="G344" s="56" t="n"/>
      <c r="H344" s="58" t="n"/>
      <c r="I344" s="56" t="n"/>
      <c r="J344" s="58" t="n"/>
      <c r="K344" s="56" t="inlineStr">
        <is>
          <t>Eda Ayaz</t>
        </is>
      </c>
      <c r="L344" s="65" t="n"/>
      <c r="M344" s="3" t="n"/>
      <c r="N344" s="3" t="n"/>
      <c r="O344" s="3" t="n"/>
      <c r="P344" s="3" t="n"/>
      <c r="Q344" s="3" t="n"/>
      <c r="R344" s="3" t="n"/>
      <c r="S344" s="3" t="n"/>
      <c r="T344" s="3" t="n"/>
    </row>
    <row r="345" ht="15" customHeight="1">
      <c r="A345" s="56" t="n"/>
      <c r="B345" s="58" t="n"/>
      <c r="C345" s="56" t="n"/>
      <c r="D345" s="58" t="n"/>
      <c r="E345" s="56" t="n"/>
      <c r="F345" s="58" t="n"/>
      <c r="G345" s="56" t="n"/>
      <c r="H345" s="58" t="n"/>
      <c r="I345" s="56" t="n"/>
      <c r="J345" s="58" t="n"/>
      <c r="K345" s="56" t="inlineStr">
        <is>
          <t>Eda Ayaz</t>
        </is>
      </c>
      <c r="L345" s="65" t="n"/>
      <c r="M345" s="3" t="n"/>
      <c r="N345" s="3" t="n"/>
      <c r="O345" s="3" t="n"/>
      <c r="P345" s="3" t="n"/>
      <c r="Q345" s="3" t="n"/>
      <c r="R345" s="3" t="n"/>
      <c r="S345" s="3" t="n"/>
      <c r="T345" s="3" t="n"/>
    </row>
    <row r="346" ht="15" customHeight="1">
      <c r="A346" s="56" t="n"/>
      <c r="B346" s="58" t="n"/>
      <c r="C346" s="56" t="n"/>
      <c r="D346" s="58" t="n"/>
      <c r="E346" s="56" t="n"/>
      <c r="F346" s="58" t="n"/>
      <c r="G346" s="56" t="n"/>
      <c r="H346" s="58" t="n"/>
      <c r="I346" s="56" t="n"/>
      <c r="J346" s="58" t="n"/>
      <c r="K346" s="56" t="inlineStr">
        <is>
          <t>Eda Ayaz</t>
        </is>
      </c>
      <c r="L346" s="65" t="n"/>
      <c r="M346" s="3" t="n"/>
      <c r="N346" s="3" t="n"/>
      <c r="O346" s="3" t="n"/>
      <c r="P346" s="3" t="n"/>
      <c r="Q346" s="3" t="n"/>
      <c r="R346" s="3" t="n"/>
      <c r="S346" s="3" t="n"/>
      <c r="T346" s="3" t="n"/>
    </row>
    <row r="347" ht="15" customHeight="1">
      <c r="A347" s="56" t="n"/>
      <c r="B347" s="58" t="n"/>
      <c r="C347" s="56" t="n"/>
      <c r="D347" s="58" t="n"/>
      <c r="E347" s="56" t="n"/>
      <c r="F347" s="58" t="n"/>
      <c r="G347" s="56" t="n"/>
      <c r="H347" s="58" t="n"/>
      <c r="I347" s="56" t="n"/>
      <c r="J347" s="58" t="n"/>
      <c r="K347" s="56" t="inlineStr">
        <is>
          <t>Eda Ayaz</t>
        </is>
      </c>
      <c r="L347" s="65" t="n"/>
      <c r="M347" s="3" t="n"/>
      <c r="N347" s="3" t="n"/>
      <c r="O347" s="3" t="n"/>
      <c r="P347" s="3" t="n"/>
      <c r="Q347" s="3" t="n"/>
      <c r="R347" s="3" t="n"/>
      <c r="S347" s="3" t="n"/>
      <c r="T347" s="3" t="n"/>
    </row>
    <row r="348" ht="15" customHeight="1">
      <c r="A348" s="56" t="n"/>
      <c r="B348" s="58" t="n"/>
      <c r="C348" s="56" t="n"/>
      <c r="D348" s="58" t="n"/>
      <c r="E348" s="56" t="n"/>
      <c r="F348" s="58" t="n"/>
      <c r="G348" s="56" t="n"/>
      <c r="H348" s="58" t="n"/>
      <c r="I348" s="56" t="n"/>
      <c r="J348" s="58" t="n"/>
      <c r="K348" s="56" t="inlineStr">
        <is>
          <t>Eda Ayaz</t>
        </is>
      </c>
      <c r="L348" s="65" t="n"/>
      <c r="M348" s="3" t="n"/>
      <c r="N348" s="3" t="n"/>
      <c r="O348" s="3" t="n"/>
      <c r="P348" s="3" t="n"/>
      <c r="Q348" s="3" t="n"/>
      <c r="R348" s="3" t="n"/>
      <c r="S348" s="3" t="n"/>
      <c r="T348" s="3" t="n"/>
    </row>
    <row r="349" ht="15" customHeight="1">
      <c r="A349" s="56" t="n"/>
      <c r="B349" s="58" t="n"/>
      <c r="C349" s="56" t="n"/>
      <c r="D349" s="58" t="n"/>
      <c r="E349" s="56" t="n"/>
      <c r="F349" s="58" t="n"/>
      <c r="G349" s="56" t="n"/>
      <c r="H349" s="58" t="n"/>
      <c r="I349" s="56" t="n"/>
      <c r="J349" s="58" t="n"/>
      <c r="K349" s="56" t="inlineStr">
        <is>
          <t>Eda Ayaz</t>
        </is>
      </c>
      <c r="L349" s="65" t="n"/>
      <c r="M349" s="3" t="n"/>
      <c r="N349" s="3" t="n"/>
      <c r="O349" s="3" t="n"/>
      <c r="P349" s="3" t="n"/>
      <c r="Q349" s="3" t="n"/>
      <c r="R349" s="3" t="n"/>
      <c r="S349" s="3" t="n"/>
      <c r="T349" s="3" t="n"/>
    </row>
    <row r="350" ht="15" customHeight="1">
      <c r="A350" s="56" t="n"/>
      <c r="B350" s="58" t="n"/>
      <c r="C350" s="56" t="n"/>
      <c r="D350" s="58" t="n"/>
      <c r="E350" s="56" t="n"/>
      <c r="F350" s="58" t="n"/>
      <c r="G350" s="56" t="n"/>
      <c r="H350" s="58" t="n"/>
      <c r="I350" s="56" t="n"/>
      <c r="J350" s="58" t="n"/>
      <c r="K350" s="56" t="inlineStr">
        <is>
          <t>Eda Ayaz</t>
        </is>
      </c>
      <c r="L350" s="65" t="n"/>
      <c r="M350" s="3" t="n"/>
      <c r="N350" s="3" t="n"/>
      <c r="O350" s="3" t="n"/>
      <c r="P350" s="3" t="n"/>
      <c r="Q350" s="3" t="n"/>
      <c r="R350" s="3" t="n"/>
      <c r="S350" s="3" t="n"/>
      <c r="T350" s="3" t="n"/>
    </row>
    <row r="351" ht="15" customHeight="1">
      <c r="A351" s="56" t="n"/>
      <c r="B351" s="58" t="n"/>
      <c r="C351" s="56" t="n"/>
      <c r="D351" s="58" t="n"/>
      <c r="E351" s="56" t="n"/>
      <c r="F351" s="58" t="n"/>
      <c r="G351" s="56" t="n"/>
      <c r="H351" s="58" t="n"/>
      <c r="I351" s="56" t="n"/>
      <c r="J351" s="58" t="n"/>
      <c r="K351" s="56" t="inlineStr">
        <is>
          <t>Eda Ayaz</t>
        </is>
      </c>
      <c r="L351" s="65" t="n"/>
      <c r="M351" s="3" t="n"/>
      <c r="N351" s="3" t="n"/>
      <c r="O351" s="3" t="n"/>
      <c r="P351" s="3" t="n"/>
      <c r="Q351" s="3" t="n"/>
      <c r="R351" s="3" t="n"/>
      <c r="S351" s="3" t="n"/>
      <c r="T351" s="3" t="n"/>
    </row>
    <row r="352" ht="15" customHeight="1">
      <c r="A352" s="56" t="n"/>
      <c r="B352" s="58" t="n"/>
      <c r="C352" s="56" t="n"/>
      <c r="D352" s="58" t="n"/>
      <c r="E352" s="56" t="n"/>
      <c r="F352" s="58" t="n"/>
      <c r="G352" s="56" t="n"/>
      <c r="H352" s="58" t="n"/>
      <c r="I352" s="56" t="n"/>
      <c r="J352" s="58" t="n"/>
      <c r="K352" s="56" t="inlineStr">
        <is>
          <t>Eda Ayaz</t>
        </is>
      </c>
      <c r="L352" s="65" t="n"/>
      <c r="M352" s="3" t="n"/>
      <c r="N352" s="3" t="n"/>
      <c r="O352" s="3" t="n"/>
      <c r="P352" s="3" t="n"/>
      <c r="Q352" s="3" t="n"/>
      <c r="R352" s="3" t="n"/>
      <c r="S352" s="3" t="n"/>
      <c r="T352" s="3" t="n"/>
    </row>
    <row r="353" ht="15" customHeight="1">
      <c r="A353" s="56" t="n"/>
      <c r="B353" s="58" t="n"/>
      <c r="C353" s="56" t="n"/>
      <c r="D353" s="58" t="n"/>
      <c r="E353" s="56" t="n"/>
      <c r="F353" s="58" t="n"/>
      <c r="G353" s="56" t="n"/>
      <c r="H353" s="58" t="n"/>
      <c r="I353" s="56" t="n"/>
      <c r="J353" s="58" t="n"/>
      <c r="K353" s="56" t="inlineStr">
        <is>
          <t>Eda Ayaz</t>
        </is>
      </c>
      <c r="L353" s="65" t="n"/>
      <c r="M353" s="3" t="n"/>
      <c r="N353" s="3" t="n"/>
      <c r="O353" s="3" t="n"/>
      <c r="P353" s="3" t="n"/>
      <c r="Q353" s="3" t="n"/>
      <c r="R353" s="3" t="n"/>
      <c r="S353" s="3" t="n"/>
      <c r="T353" s="3" t="n"/>
    </row>
    <row r="354" ht="15" customHeight="1">
      <c r="A354" s="56" t="n"/>
      <c r="B354" s="58" t="n"/>
      <c r="C354" s="56" t="n"/>
      <c r="D354" s="58" t="n"/>
      <c r="E354" s="56" t="n"/>
      <c r="F354" s="58" t="n"/>
      <c r="G354" s="56" t="n"/>
      <c r="H354" s="58" t="n"/>
      <c r="I354" s="56" t="n"/>
      <c r="J354" s="58" t="n"/>
      <c r="K354" s="56" t="inlineStr">
        <is>
          <t>Eda Ayaz</t>
        </is>
      </c>
      <c r="L354" s="65" t="n"/>
      <c r="M354" s="3" t="n"/>
      <c r="N354" s="3" t="n"/>
      <c r="O354" s="3" t="n"/>
      <c r="P354" s="3" t="n"/>
      <c r="Q354" s="3" t="n"/>
      <c r="R354" s="3" t="n"/>
      <c r="S354" s="3" t="n"/>
      <c r="T354" s="3" t="n"/>
    </row>
    <row r="355" ht="15" customHeight="1">
      <c r="A355" s="56" t="n"/>
      <c r="B355" s="58" t="n"/>
      <c r="C355" s="56" t="n"/>
      <c r="D355" s="58" t="n"/>
      <c r="E355" s="56" t="n"/>
      <c r="F355" s="58" t="n"/>
      <c r="G355" s="56" t="n"/>
      <c r="H355" s="58" t="n"/>
      <c r="I355" s="56" t="n"/>
      <c r="J355" s="58" t="n"/>
      <c r="K355" s="56" t="inlineStr">
        <is>
          <t>Eda Ayaz</t>
        </is>
      </c>
      <c r="L355" s="65" t="n"/>
      <c r="M355" s="3" t="n"/>
      <c r="N355" s="3" t="n"/>
      <c r="O355" s="3" t="n"/>
      <c r="P355" s="3" t="n"/>
      <c r="Q355" s="3" t="n"/>
      <c r="R355" s="3" t="n"/>
      <c r="S355" s="3" t="n"/>
      <c r="T355" s="3" t="n"/>
    </row>
    <row r="356" ht="15" customHeight="1">
      <c r="A356" s="56" t="n"/>
      <c r="B356" s="58" t="n"/>
      <c r="C356" s="56" t="n"/>
      <c r="D356" s="58" t="n"/>
      <c r="E356" s="56" t="n"/>
      <c r="F356" s="58" t="n"/>
      <c r="G356" s="56" t="n"/>
      <c r="H356" s="58" t="n"/>
      <c r="I356" s="56" t="n"/>
      <c r="J356" s="58" t="n"/>
      <c r="K356" s="56" t="inlineStr">
        <is>
          <t>Eda Ayaz</t>
        </is>
      </c>
      <c r="L356" s="65" t="n"/>
      <c r="M356" s="3" t="n"/>
      <c r="N356" s="3" t="n"/>
      <c r="O356" s="3" t="n"/>
      <c r="P356" s="3" t="n"/>
      <c r="Q356" s="3" t="n"/>
      <c r="R356" s="3" t="n"/>
      <c r="S356" s="3" t="n"/>
      <c r="T356" s="3" t="n"/>
    </row>
    <row r="357" ht="15" customHeight="1">
      <c r="A357" s="56" t="n"/>
      <c r="B357" s="58" t="n"/>
      <c r="C357" s="56" t="n"/>
      <c r="D357" s="58" t="n"/>
      <c r="E357" s="56" t="n"/>
      <c r="F357" s="58" t="n"/>
      <c r="G357" s="56" t="n"/>
      <c r="H357" s="58" t="n"/>
      <c r="I357" s="56" t="n"/>
      <c r="J357" s="58" t="n"/>
      <c r="K357" s="56" t="inlineStr">
        <is>
          <t>Eda Ayaz</t>
        </is>
      </c>
      <c r="L357" s="65" t="n"/>
      <c r="M357" s="3" t="n"/>
      <c r="N357" s="3" t="n"/>
      <c r="O357" s="3" t="n"/>
      <c r="P357" s="3" t="n"/>
      <c r="Q357" s="3" t="n"/>
      <c r="R357" s="3" t="n"/>
      <c r="S357" s="3" t="n"/>
      <c r="T357" s="3" t="n"/>
    </row>
    <row r="358" ht="15" customHeight="1">
      <c r="A358" s="56" t="n"/>
      <c r="B358" s="58" t="n"/>
      <c r="C358" s="56" t="n"/>
      <c r="D358" s="58" t="n"/>
      <c r="E358" s="56" t="n"/>
      <c r="F358" s="58" t="n"/>
      <c r="G358" s="56" t="n"/>
      <c r="H358" s="58" t="n"/>
      <c r="I358" s="56" t="n"/>
      <c r="J358" s="58" t="n"/>
      <c r="K358" s="56" t="inlineStr">
        <is>
          <t>Eda Ayaz</t>
        </is>
      </c>
      <c r="L358" s="65" t="n"/>
      <c r="M358" s="3" t="n"/>
      <c r="N358" s="3" t="n"/>
      <c r="O358" s="3" t="n"/>
      <c r="P358" s="3" t="n"/>
      <c r="Q358" s="3" t="n"/>
      <c r="R358" s="3" t="n"/>
      <c r="S358" s="3" t="n"/>
      <c r="T358" s="3" t="n"/>
    </row>
    <row r="359" ht="15" customHeight="1">
      <c r="A359" s="56" t="n"/>
      <c r="B359" s="58" t="n"/>
      <c r="C359" s="56" t="n"/>
      <c r="D359" s="58" t="n"/>
      <c r="E359" s="56" t="n"/>
      <c r="F359" s="58" t="n"/>
      <c r="G359" s="56" t="n"/>
      <c r="H359" s="58" t="n"/>
      <c r="I359" s="56" t="n"/>
      <c r="J359" s="58" t="n"/>
      <c r="K359" s="56" t="inlineStr">
        <is>
          <t>Eda Ayaz</t>
        </is>
      </c>
      <c r="L359" s="65" t="n"/>
      <c r="M359" s="3" t="n"/>
      <c r="N359" s="3" t="n"/>
      <c r="O359" s="3" t="n"/>
      <c r="P359" s="3" t="n"/>
      <c r="Q359" s="3" t="n"/>
      <c r="R359" s="3" t="n"/>
      <c r="S359" s="3" t="n"/>
      <c r="T359" s="3" t="n"/>
    </row>
    <row r="360" ht="15" customHeight="1">
      <c r="A360" s="56" t="n"/>
      <c r="B360" s="58" t="n"/>
      <c r="C360" s="56" t="n"/>
      <c r="D360" s="58" t="n"/>
      <c r="E360" s="56" t="n"/>
      <c r="F360" s="58" t="n"/>
      <c r="G360" s="56" t="n"/>
      <c r="H360" s="58" t="n"/>
      <c r="I360" s="56" t="n"/>
      <c r="J360" s="58" t="n"/>
      <c r="K360" s="56" t="inlineStr">
        <is>
          <t>Eda Ayaz</t>
        </is>
      </c>
      <c r="L360" s="65" t="n"/>
      <c r="M360" s="3" t="n"/>
      <c r="N360" s="3" t="n"/>
      <c r="O360" s="3" t="n"/>
      <c r="P360" s="3" t="n"/>
      <c r="Q360" s="3" t="n"/>
      <c r="R360" s="3" t="n"/>
      <c r="S360" s="3" t="n"/>
      <c r="T360" s="3" t="n"/>
    </row>
    <row r="361" ht="15" customHeight="1">
      <c r="A361" s="56" t="n"/>
      <c r="B361" s="58" t="n"/>
      <c r="C361" s="56" t="n"/>
      <c r="D361" s="58" t="n"/>
      <c r="E361" s="56" t="n"/>
      <c r="F361" s="58" t="n"/>
      <c r="G361" s="56" t="n"/>
      <c r="H361" s="58" t="n"/>
      <c r="I361" s="56" t="n"/>
      <c r="J361" s="58" t="n"/>
      <c r="K361" s="56" t="inlineStr">
        <is>
          <t>Eda Ayaz</t>
        </is>
      </c>
      <c r="L361" s="65" t="n"/>
      <c r="M361" s="3" t="n"/>
      <c r="N361" s="3" t="n"/>
      <c r="O361" s="3" t="n"/>
      <c r="P361" s="3" t="n"/>
      <c r="Q361" s="3" t="n"/>
      <c r="R361" s="3" t="n"/>
      <c r="S361" s="3" t="n"/>
      <c r="T361" s="3" t="n"/>
    </row>
    <row r="362" ht="15" customHeight="1">
      <c r="A362" s="56" t="n"/>
      <c r="B362" s="58" t="n"/>
      <c r="C362" s="56" t="n"/>
      <c r="D362" s="58" t="n"/>
      <c r="E362" s="56" t="n"/>
      <c r="F362" s="58" t="n"/>
      <c r="G362" s="56" t="n"/>
      <c r="H362" s="58" t="n"/>
      <c r="I362" s="56" t="n"/>
      <c r="J362" s="58" t="n"/>
      <c r="K362" s="56" t="inlineStr">
        <is>
          <t>Eda Ayaz</t>
        </is>
      </c>
      <c r="L362" s="65" t="n"/>
      <c r="M362" s="3" t="n"/>
      <c r="N362" s="3" t="n"/>
      <c r="O362" s="3" t="n"/>
      <c r="P362" s="3" t="n"/>
      <c r="Q362" s="3" t="n"/>
      <c r="R362" s="3" t="n"/>
      <c r="S362" s="3" t="n"/>
      <c r="T362" s="3" t="n"/>
    </row>
    <row r="363" ht="15" customHeight="1">
      <c r="A363" s="56" t="n"/>
      <c r="B363" s="58" t="n"/>
      <c r="C363" s="56" t="n"/>
      <c r="D363" s="58" t="n"/>
      <c r="E363" s="56" t="n"/>
      <c r="F363" s="58" t="n"/>
      <c r="G363" s="56" t="n"/>
      <c r="H363" s="58" t="n"/>
      <c r="I363" s="56" t="n"/>
      <c r="J363" s="58" t="n"/>
      <c r="K363" s="56" t="inlineStr">
        <is>
          <t>Eda Ayaz</t>
        </is>
      </c>
      <c r="L363" s="65" t="n"/>
      <c r="M363" s="3" t="n"/>
      <c r="N363" s="3" t="n"/>
      <c r="O363" s="3" t="n"/>
      <c r="P363" s="3" t="n"/>
      <c r="Q363" s="3" t="n"/>
      <c r="R363" s="3" t="n"/>
      <c r="S363" s="3" t="n"/>
      <c r="T363" s="3" t="n"/>
    </row>
    <row r="364" ht="15" customHeight="1">
      <c r="A364" s="56" t="n"/>
      <c r="B364" s="58" t="n"/>
      <c r="C364" s="56" t="n"/>
      <c r="D364" s="58" t="n"/>
      <c r="E364" s="56" t="n"/>
      <c r="F364" s="58" t="n"/>
      <c r="G364" s="56" t="n"/>
      <c r="H364" s="58" t="n"/>
      <c r="I364" s="56" t="n"/>
      <c r="J364" s="58" t="n"/>
      <c r="K364" s="56" t="inlineStr">
        <is>
          <t>Eda Ayaz</t>
        </is>
      </c>
      <c r="L364" s="65" t="n"/>
      <c r="M364" s="3" t="n"/>
      <c r="N364" s="3" t="n"/>
      <c r="O364" s="3" t="n"/>
      <c r="P364" s="3" t="n"/>
      <c r="Q364" s="3" t="n"/>
      <c r="R364" s="3" t="n"/>
      <c r="S364" s="3" t="n"/>
      <c r="T364" s="3" t="n"/>
    </row>
    <row r="365" ht="15" customHeight="1">
      <c r="A365" s="56" t="n"/>
      <c r="B365" s="58" t="n"/>
      <c r="C365" s="56" t="n"/>
      <c r="D365" s="58" t="n"/>
      <c r="E365" s="56" t="n"/>
      <c r="F365" s="58" t="n"/>
      <c r="G365" s="56" t="n"/>
      <c r="H365" s="58" t="n"/>
      <c r="I365" s="56" t="n"/>
      <c r="J365" s="58" t="n"/>
      <c r="K365" s="56" t="inlineStr">
        <is>
          <t>Eda Ayaz</t>
        </is>
      </c>
      <c r="L365" s="65" t="n"/>
      <c r="M365" s="3" t="n"/>
      <c r="N365" s="3" t="n"/>
      <c r="O365" s="3" t="n"/>
      <c r="P365" s="3" t="n"/>
      <c r="Q365" s="3" t="n"/>
      <c r="R365" s="3" t="n"/>
      <c r="S365" s="3" t="n"/>
      <c r="T365" s="3" t="n"/>
    </row>
    <row r="366" ht="15" customHeight="1">
      <c r="A366" s="56" t="n"/>
      <c r="B366" s="58" t="n"/>
      <c r="C366" s="56" t="n"/>
      <c r="D366" s="58" t="n"/>
      <c r="E366" s="56" t="n"/>
      <c r="F366" s="58" t="n"/>
      <c r="G366" s="56" t="n"/>
      <c r="H366" s="58" t="n"/>
      <c r="I366" s="56" t="n"/>
      <c r="J366" s="58" t="n"/>
      <c r="K366" s="56" t="inlineStr">
        <is>
          <t>Eda Ayaz</t>
        </is>
      </c>
      <c r="L366" s="65" t="n"/>
      <c r="M366" s="3" t="n"/>
      <c r="N366" s="3" t="n"/>
      <c r="O366" s="3" t="n"/>
      <c r="P366" s="3" t="n"/>
      <c r="Q366" s="3" t="n"/>
      <c r="R366" s="3" t="n"/>
      <c r="S366" s="3" t="n"/>
      <c r="T366" s="3" t="n"/>
    </row>
    <row r="367" ht="15" customHeight="1">
      <c r="A367" s="56" t="n"/>
      <c r="B367" s="58" t="n"/>
      <c r="C367" s="56" t="n"/>
      <c r="D367" s="58" t="n"/>
      <c r="E367" s="56" t="n"/>
      <c r="F367" s="58" t="n"/>
      <c r="G367" s="56" t="n"/>
      <c r="H367" s="58" t="n"/>
      <c r="I367" s="56" t="n"/>
      <c r="J367" s="58" t="n"/>
      <c r="K367" s="56" t="inlineStr">
        <is>
          <t>Eda Ayaz</t>
        </is>
      </c>
      <c r="L367" s="65" t="n"/>
      <c r="M367" s="3" t="n"/>
      <c r="N367" s="3" t="n"/>
      <c r="O367" s="3" t="n"/>
      <c r="P367" s="3" t="n"/>
      <c r="Q367" s="3" t="n"/>
      <c r="R367" s="3" t="n"/>
      <c r="S367" s="3" t="n"/>
      <c r="T367" s="3" t="n"/>
    </row>
    <row r="368" ht="15" customHeight="1">
      <c r="A368" s="56" t="n"/>
      <c r="B368" s="58" t="n"/>
      <c r="C368" s="56" t="n"/>
      <c r="D368" s="58" t="n"/>
      <c r="E368" s="56" t="n"/>
      <c r="F368" s="58" t="n"/>
      <c r="G368" s="56" t="n"/>
      <c r="H368" s="58" t="n"/>
      <c r="I368" s="56" t="n"/>
      <c r="J368" s="58" t="n"/>
      <c r="K368" s="56" t="inlineStr">
        <is>
          <t>Eda Ayaz</t>
        </is>
      </c>
      <c r="L368" s="65" t="n"/>
      <c r="M368" s="3" t="n"/>
      <c r="N368" s="3" t="n"/>
      <c r="O368" s="3" t="n"/>
      <c r="P368" s="3" t="n"/>
      <c r="Q368" s="3" t="n"/>
      <c r="R368" s="3" t="n"/>
      <c r="S368" s="3" t="n"/>
      <c r="T368" s="3" t="n"/>
    </row>
    <row r="369" ht="15" customHeight="1">
      <c r="A369" s="56" t="n"/>
      <c r="B369" s="58" t="n"/>
      <c r="C369" s="56" t="n"/>
      <c r="D369" s="58" t="n"/>
      <c r="E369" s="56" t="n"/>
      <c r="F369" s="58" t="n"/>
      <c r="G369" s="56" t="n"/>
      <c r="H369" s="58" t="n"/>
      <c r="I369" s="56" t="n"/>
      <c r="J369" s="58" t="n"/>
      <c r="K369" s="56" t="inlineStr">
        <is>
          <t>Eda Ayaz</t>
        </is>
      </c>
      <c r="L369" s="65" t="n"/>
      <c r="M369" s="3" t="n"/>
      <c r="N369" s="3" t="n"/>
      <c r="O369" s="3" t="n"/>
      <c r="P369" s="3" t="n"/>
      <c r="Q369" s="3" t="n"/>
      <c r="R369" s="3" t="n"/>
      <c r="S369" s="3" t="n"/>
      <c r="T369" s="3" t="n"/>
    </row>
    <row r="370" ht="15" customHeight="1">
      <c r="A370" s="56" t="n"/>
      <c r="B370" s="58" t="n"/>
      <c r="C370" s="56" t="n"/>
      <c r="D370" s="58" t="n"/>
      <c r="E370" s="56" t="n"/>
      <c r="F370" s="58" t="n"/>
      <c r="G370" s="56" t="n"/>
      <c r="H370" s="58" t="n"/>
      <c r="I370" s="56" t="n"/>
      <c r="J370" s="58" t="n"/>
      <c r="K370" s="56" t="inlineStr">
        <is>
          <t>Eda Ayaz</t>
        </is>
      </c>
      <c r="L370" s="65" t="n"/>
      <c r="M370" s="3" t="n"/>
      <c r="N370" s="3" t="n"/>
      <c r="O370" s="3" t="n"/>
      <c r="P370" s="3" t="n"/>
      <c r="Q370" s="3" t="n"/>
      <c r="R370" s="3" t="n"/>
      <c r="S370" s="3" t="n"/>
      <c r="T370" s="3" t="n"/>
    </row>
    <row r="371" ht="15" customHeight="1">
      <c r="A371" s="56" t="n"/>
      <c r="B371" s="58" t="n"/>
      <c r="C371" s="56" t="n"/>
      <c r="D371" s="58" t="n"/>
      <c r="E371" s="56" t="n"/>
      <c r="F371" s="58" t="n"/>
      <c r="G371" s="56" t="n"/>
      <c r="H371" s="58" t="n"/>
      <c r="I371" s="56" t="n"/>
      <c r="J371" s="58" t="n"/>
      <c r="K371" s="56" t="inlineStr">
        <is>
          <t>Eda Ayaz</t>
        </is>
      </c>
      <c r="L371" s="65" t="n"/>
      <c r="M371" s="3" t="n"/>
      <c r="N371" s="3" t="n"/>
      <c r="O371" s="3" t="n"/>
      <c r="P371" s="3" t="n"/>
      <c r="Q371" s="3" t="n"/>
      <c r="R371" s="3" t="n"/>
      <c r="S371" s="3" t="n"/>
      <c r="T371" s="3" t="n"/>
    </row>
    <row r="372" ht="15" customHeight="1">
      <c r="A372" s="56" t="n"/>
      <c r="B372" s="58" t="n"/>
      <c r="C372" s="56" t="n"/>
      <c r="D372" s="58" t="n"/>
      <c r="E372" s="56" t="n"/>
      <c r="F372" s="58" t="n"/>
      <c r="G372" s="56" t="n"/>
      <c r="H372" s="58" t="n"/>
      <c r="I372" s="56" t="n"/>
      <c r="J372" s="58" t="n"/>
      <c r="K372" s="56" t="inlineStr">
        <is>
          <t>Eda Ayaz</t>
        </is>
      </c>
      <c r="L372" s="65" t="n"/>
      <c r="M372" s="3" t="n"/>
      <c r="N372" s="3" t="n"/>
      <c r="O372" s="3" t="n"/>
      <c r="P372" s="3" t="n"/>
      <c r="Q372" s="3" t="n"/>
      <c r="R372" s="3" t="n"/>
      <c r="S372" s="3" t="n"/>
      <c r="T372" s="3" t="n"/>
    </row>
    <row r="373" ht="15" customHeight="1">
      <c r="A373" s="56" t="n"/>
      <c r="B373" s="58" t="n"/>
      <c r="C373" s="56" t="n"/>
      <c r="D373" s="58" t="n"/>
      <c r="E373" s="56" t="n"/>
      <c r="F373" s="58" t="n"/>
      <c r="G373" s="56" t="n"/>
      <c r="H373" s="58" t="n"/>
      <c r="I373" s="56" t="n"/>
      <c r="J373" s="58" t="n"/>
      <c r="K373" s="56" t="inlineStr">
        <is>
          <t>Eda Ayaz</t>
        </is>
      </c>
      <c r="L373" s="65" t="n"/>
      <c r="M373" s="3" t="n"/>
      <c r="N373" s="3" t="n"/>
      <c r="O373" s="3" t="n"/>
      <c r="P373" s="3" t="n"/>
      <c r="Q373" s="3" t="n"/>
      <c r="R373" s="3" t="n"/>
      <c r="S373" s="3" t="n"/>
      <c r="T373" s="3" t="n"/>
    </row>
    <row r="374" ht="15" customHeight="1">
      <c r="A374" s="56" t="n"/>
      <c r="B374" s="58" t="n"/>
      <c r="C374" s="56" t="n"/>
      <c r="D374" s="58" t="n"/>
      <c r="E374" s="56" t="n"/>
      <c r="F374" s="58" t="n"/>
      <c r="G374" s="56" t="n"/>
      <c r="H374" s="58" t="n"/>
      <c r="I374" s="56" t="n"/>
      <c r="J374" s="58" t="n"/>
      <c r="K374" s="56" t="inlineStr">
        <is>
          <t>Eda Ayaz</t>
        </is>
      </c>
      <c r="L374" s="65" t="n"/>
      <c r="M374" s="3" t="n"/>
      <c r="N374" s="3" t="n"/>
      <c r="O374" s="3" t="n"/>
      <c r="P374" s="3" t="n"/>
      <c r="Q374" s="3" t="n"/>
      <c r="R374" s="3" t="n"/>
      <c r="S374" s="3" t="n"/>
      <c r="T374" s="3" t="n"/>
    </row>
    <row r="375" ht="15" customHeight="1">
      <c r="A375" s="56" t="n"/>
      <c r="B375" s="58" t="n"/>
      <c r="C375" s="56" t="n"/>
      <c r="D375" s="58" t="n"/>
      <c r="E375" s="56" t="n"/>
      <c r="F375" s="58" t="n"/>
      <c r="G375" s="56" t="n"/>
      <c r="H375" s="58" t="n"/>
      <c r="I375" s="56" t="n"/>
      <c r="J375" s="58" t="n"/>
      <c r="K375" s="56" t="inlineStr">
        <is>
          <t>Eda Ayaz</t>
        </is>
      </c>
      <c r="L375" s="65" t="n"/>
      <c r="M375" s="3" t="n"/>
      <c r="N375" s="3" t="n"/>
      <c r="O375" s="3" t="n"/>
      <c r="P375" s="3" t="n"/>
      <c r="Q375" s="3" t="n"/>
      <c r="R375" s="3" t="n"/>
      <c r="S375" s="3" t="n"/>
      <c r="T375" s="3" t="n"/>
    </row>
    <row r="376" ht="15" customHeight="1">
      <c r="A376" s="56" t="n"/>
      <c r="B376" s="58" t="n"/>
      <c r="C376" s="56" t="n"/>
      <c r="D376" s="58" t="n"/>
      <c r="E376" s="56" t="n"/>
      <c r="F376" s="58" t="n"/>
      <c r="G376" s="56" t="n"/>
      <c r="H376" s="58" t="n"/>
      <c r="I376" s="56" t="n"/>
      <c r="J376" s="58" t="n"/>
      <c r="K376" s="56" t="inlineStr">
        <is>
          <t>Eda Ayaz</t>
        </is>
      </c>
      <c r="L376" s="65" t="n"/>
      <c r="M376" s="3" t="n"/>
      <c r="N376" s="3" t="n"/>
      <c r="O376" s="3" t="n"/>
      <c r="P376" s="3" t="n"/>
      <c r="Q376" s="3" t="n"/>
      <c r="R376" s="3" t="n"/>
      <c r="S376" s="3" t="n"/>
      <c r="T376" s="3" t="n"/>
    </row>
    <row r="377" ht="15" customHeight="1">
      <c r="A377" s="56" t="n"/>
      <c r="B377" s="58" t="n"/>
      <c r="C377" s="56" t="n"/>
      <c r="D377" s="58" t="n"/>
      <c r="E377" s="56" t="n"/>
      <c r="F377" s="58" t="n"/>
      <c r="G377" s="56" t="n"/>
      <c r="H377" s="58" t="n"/>
      <c r="I377" s="56" t="n"/>
      <c r="J377" s="58" t="n"/>
      <c r="K377" s="56" t="inlineStr">
        <is>
          <t>Eda Ayaz</t>
        </is>
      </c>
      <c r="L377" s="65" t="n"/>
      <c r="M377" s="3" t="n"/>
      <c r="N377" s="3" t="n"/>
      <c r="O377" s="3" t="n"/>
      <c r="P377" s="3" t="n"/>
      <c r="Q377" s="3" t="n"/>
      <c r="R377" s="3" t="n"/>
      <c r="S377" s="3" t="n"/>
      <c r="T377" s="3" t="n"/>
    </row>
    <row r="378" ht="15" customHeight="1">
      <c r="A378" s="56" t="n"/>
      <c r="B378" s="58" t="n"/>
      <c r="C378" s="56" t="n"/>
      <c r="D378" s="58" t="n"/>
      <c r="E378" s="56" t="n"/>
      <c r="F378" s="58" t="n"/>
      <c r="G378" s="56" t="n"/>
      <c r="H378" s="58" t="n"/>
      <c r="I378" s="56" t="n"/>
      <c r="J378" s="58" t="n"/>
      <c r="K378" s="56" t="inlineStr">
        <is>
          <t>Eda Ayaz</t>
        </is>
      </c>
      <c r="L378" s="65" t="n"/>
      <c r="M378" s="3" t="n"/>
      <c r="N378" s="3" t="n"/>
      <c r="O378" s="3" t="n"/>
      <c r="P378" s="3" t="n"/>
      <c r="Q378" s="3" t="n"/>
      <c r="R378" s="3" t="n"/>
      <c r="S378" s="3" t="n"/>
      <c r="T378" s="3" t="n"/>
    </row>
    <row r="379" ht="15" customHeight="1">
      <c r="A379" s="56" t="n"/>
      <c r="B379" s="58" t="n"/>
      <c r="C379" s="56" t="n"/>
      <c r="D379" s="58" t="n"/>
      <c r="E379" s="56" t="n"/>
      <c r="F379" s="58" t="n"/>
      <c r="G379" s="56" t="n"/>
      <c r="H379" s="58" t="n"/>
      <c r="I379" s="56" t="n"/>
      <c r="J379" s="58" t="n"/>
      <c r="K379" s="56" t="inlineStr">
        <is>
          <t>Eda Ayaz</t>
        </is>
      </c>
      <c r="L379" s="65" t="n"/>
      <c r="M379" s="3" t="n"/>
      <c r="N379" s="3" t="n"/>
      <c r="O379" s="3" t="n"/>
      <c r="P379" s="3" t="n"/>
      <c r="Q379" s="3" t="n"/>
      <c r="R379" s="3" t="n"/>
      <c r="S379" s="3" t="n"/>
      <c r="T379" s="3" t="n"/>
    </row>
    <row r="380" ht="15" customHeight="1">
      <c r="A380" s="56" t="n"/>
      <c r="B380" s="58" t="n"/>
      <c r="C380" s="56" t="n"/>
      <c r="D380" s="58" t="n"/>
      <c r="E380" s="56" t="n"/>
      <c r="F380" s="58" t="n"/>
      <c r="G380" s="56" t="n"/>
      <c r="H380" s="58" t="n"/>
      <c r="I380" s="56" t="n"/>
      <c r="J380" s="58" t="n"/>
      <c r="K380" s="56" t="inlineStr">
        <is>
          <t>Eda Ayaz</t>
        </is>
      </c>
      <c r="L380" s="65" t="n"/>
      <c r="M380" s="3" t="n"/>
      <c r="N380" s="3" t="n"/>
      <c r="O380" s="3" t="n"/>
      <c r="P380" s="3" t="n"/>
      <c r="Q380" s="3" t="n"/>
      <c r="R380" s="3" t="n"/>
      <c r="S380" s="3" t="n"/>
      <c r="T380" s="3" t="n"/>
    </row>
    <row r="381" ht="15" customHeight="1">
      <c r="A381" s="56" t="n"/>
      <c r="B381" s="58" t="n"/>
      <c r="C381" s="56" t="n"/>
      <c r="D381" s="58" t="n"/>
      <c r="E381" s="56" t="n"/>
      <c r="F381" s="58" t="n"/>
      <c r="G381" s="56" t="n"/>
      <c r="H381" s="58" t="n"/>
      <c r="I381" s="56" t="n"/>
      <c r="J381" s="58" t="n"/>
      <c r="K381" s="56" t="inlineStr">
        <is>
          <t>Eda Ayaz</t>
        </is>
      </c>
      <c r="L381" s="65" t="n"/>
      <c r="M381" s="3" t="n"/>
      <c r="N381" s="3" t="n"/>
      <c r="O381" s="3" t="n"/>
      <c r="P381" s="3" t="n"/>
      <c r="Q381" s="3" t="n"/>
      <c r="R381" s="3" t="n"/>
      <c r="S381" s="3" t="n"/>
      <c r="T381" s="3" t="n"/>
    </row>
    <row r="382" ht="15" customHeight="1">
      <c r="A382" s="56" t="n"/>
      <c r="B382" s="58" t="n"/>
      <c r="C382" s="56" t="n"/>
      <c r="D382" s="58" t="n"/>
      <c r="E382" s="56" t="n"/>
      <c r="F382" s="58" t="n"/>
      <c r="G382" s="56" t="n"/>
      <c r="H382" s="58" t="n"/>
      <c r="I382" s="56" t="n"/>
      <c r="J382" s="58" t="n"/>
      <c r="K382" s="56" t="inlineStr">
        <is>
          <t>Eda Ayaz</t>
        </is>
      </c>
      <c r="L382" s="65" t="n"/>
      <c r="M382" s="3" t="n"/>
      <c r="N382" s="3" t="n"/>
      <c r="O382" s="3" t="n"/>
      <c r="P382" s="3" t="n"/>
      <c r="Q382" s="3" t="n"/>
      <c r="R382" s="3" t="n"/>
      <c r="S382" s="3" t="n"/>
      <c r="T382" s="3" t="n"/>
    </row>
    <row r="383" ht="15" customHeight="1">
      <c r="A383" s="56" t="n"/>
      <c r="B383" s="58" t="n"/>
      <c r="C383" s="56" t="n"/>
      <c r="D383" s="58" t="n"/>
      <c r="E383" s="56" t="n"/>
      <c r="F383" s="58" t="n"/>
      <c r="G383" s="56" t="n"/>
      <c r="H383" s="58" t="n"/>
      <c r="I383" s="56" t="n"/>
      <c r="J383" s="58" t="n"/>
      <c r="K383" s="56" t="inlineStr">
        <is>
          <t>Eda Ayaz</t>
        </is>
      </c>
      <c r="L383" s="65" t="n"/>
      <c r="M383" s="3" t="n"/>
      <c r="N383" s="3" t="n"/>
      <c r="O383" s="3" t="n"/>
      <c r="P383" s="3" t="n"/>
      <c r="Q383" s="3" t="n"/>
      <c r="R383" s="3" t="n"/>
      <c r="S383" s="3" t="n"/>
      <c r="T383" s="3" t="n"/>
    </row>
    <row r="384" ht="15" customHeight="1">
      <c r="A384" s="56" t="n"/>
      <c r="B384" s="58" t="n"/>
      <c r="C384" s="56" t="n"/>
      <c r="D384" s="58" t="n"/>
      <c r="E384" s="56" t="n"/>
      <c r="F384" s="58" t="n"/>
      <c r="G384" s="56" t="n"/>
      <c r="H384" s="58" t="n"/>
      <c r="I384" s="56" t="n"/>
      <c r="J384" s="58" t="n"/>
      <c r="K384" s="56" t="inlineStr">
        <is>
          <t>Eda Ayaz</t>
        </is>
      </c>
      <c r="L384" s="65" t="n"/>
      <c r="M384" s="3" t="n"/>
      <c r="N384" s="3" t="n"/>
      <c r="O384" s="3" t="n"/>
      <c r="P384" s="3" t="n"/>
      <c r="Q384" s="3" t="n"/>
      <c r="R384" s="3" t="n"/>
      <c r="S384" s="3" t="n"/>
      <c r="T384" s="3" t="n"/>
    </row>
    <row r="385" ht="15" customHeight="1">
      <c r="A385" s="56" t="n"/>
      <c r="B385" s="58" t="n"/>
      <c r="C385" s="56" t="n"/>
      <c r="D385" s="58" t="n"/>
      <c r="E385" s="56" t="n"/>
      <c r="F385" s="58" t="n"/>
      <c r="G385" s="56" t="n"/>
      <c r="H385" s="58" t="n"/>
      <c r="I385" s="56" t="n"/>
      <c r="J385" s="58" t="n"/>
      <c r="K385" s="56" t="inlineStr">
        <is>
          <t>Eda Ayaz</t>
        </is>
      </c>
      <c r="L385" s="65" t="n"/>
      <c r="M385" s="3" t="n"/>
      <c r="N385" s="3" t="n"/>
      <c r="O385" s="3" t="n"/>
      <c r="P385" s="3" t="n"/>
      <c r="Q385" s="3" t="n"/>
      <c r="R385" s="3" t="n"/>
      <c r="S385" s="3" t="n"/>
      <c r="T385" s="3" t="n"/>
    </row>
    <row r="386" ht="15" customHeight="1">
      <c r="A386" s="56" t="n"/>
      <c r="B386" s="58" t="n"/>
      <c r="C386" s="56" t="n"/>
      <c r="D386" s="58" t="n"/>
      <c r="E386" s="56" t="n"/>
      <c r="F386" s="58" t="n"/>
      <c r="G386" s="56" t="n"/>
      <c r="H386" s="58" t="n"/>
      <c r="I386" s="56" t="n"/>
      <c r="J386" s="58" t="n"/>
      <c r="K386" s="56" t="inlineStr">
        <is>
          <t>Eda Ayaz</t>
        </is>
      </c>
      <c r="L386" s="65" t="n"/>
      <c r="M386" s="3" t="n"/>
      <c r="N386" s="3" t="n"/>
      <c r="O386" s="3" t="n"/>
      <c r="P386" s="3" t="n"/>
      <c r="Q386" s="3" t="n"/>
      <c r="R386" s="3" t="n"/>
      <c r="S386" s="3" t="n"/>
      <c r="T386" s="3" t="n"/>
    </row>
    <row r="387" ht="15" customHeight="1">
      <c r="A387" s="56" t="n"/>
      <c r="B387" s="58" t="n"/>
      <c r="C387" s="56" t="n"/>
      <c r="D387" s="58" t="n"/>
      <c r="E387" s="56" t="n"/>
      <c r="F387" s="58" t="n"/>
      <c r="G387" s="56" t="n"/>
      <c r="H387" s="58" t="n"/>
      <c r="I387" s="56" t="n"/>
      <c r="J387" s="58" t="n"/>
      <c r="K387" s="56" t="inlineStr">
        <is>
          <t>Eda Ayaz</t>
        </is>
      </c>
      <c r="L387" s="65" t="n"/>
      <c r="M387" s="3" t="n"/>
      <c r="N387" s="3" t="n"/>
      <c r="O387" s="3" t="n"/>
      <c r="P387" s="3" t="n"/>
      <c r="Q387" s="3" t="n"/>
      <c r="R387" s="3" t="n"/>
      <c r="S387" s="3" t="n"/>
      <c r="T387" s="3" t="n"/>
    </row>
    <row r="388" ht="15" customHeight="1">
      <c r="A388" s="56" t="n"/>
      <c r="B388" s="58" t="n"/>
      <c r="C388" s="56" t="n"/>
      <c r="D388" s="58" t="n"/>
      <c r="E388" s="56" t="n"/>
      <c r="F388" s="58" t="n"/>
      <c r="G388" s="56" t="n"/>
      <c r="H388" s="58" t="n"/>
      <c r="I388" s="56" t="n"/>
      <c r="J388" s="58" t="n"/>
      <c r="K388" s="56" t="inlineStr">
        <is>
          <t>Eda Ayaz</t>
        </is>
      </c>
      <c r="L388" s="65" t="n"/>
      <c r="M388" s="3" t="n"/>
      <c r="N388" s="3" t="n"/>
      <c r="O388" s="3" t="n"/>
      <c r="P388" s="3" t="n"/>
      <c r="Q388" s="3" t="n"/>
      <c r="R388" s="3" t="n"/>
      <c r="S388" s="3" t="n"/>
      <c r="T388" s="3" t="n"/>
    </row>
    <row r="389" ht="15" customHeight="1">
      <c r="A389" s="56" t="n"/>
      <c r="B389" s="58" t="n"/>
      <c r="C389" s="56" t="n"/>
      <c r="D389" s="58" t="n"/>
      <c r="E389" s="56" t="n"/>
      <c r="F389" s="58" t="n"/>
      <c r="G389" s="56" t="n"/>
      <c r="H389" s="58" t="n"/>
      <c r="I389" s="56" t="n"/>
      <c r="J389" s="58" t="n"/>
      <c r="K389" s="56" t="inlineStr">
        <is>
          <t>Eda Ayaz</t>
        </is>
      </c>
      <c r="L389" s="65" t="n"/>
      <c r="M389" s="3" t="n"/>
      <c r="N389" s="3" t="n"/>
      <c r="O389" s="3" t="n"/>
      <c r="P389" s="3" t="n"/>
      <c r="Q389" s="3" t="n"/>
      <c r="R389" s="3" t="n"/>
      <c r="S389" s="3" t="n"/>
      <c r="T389" s="3" t="n"/>
    </row>
    <row r="390" ht="15" customHeight="1">
      <c r="A390" s="56" t="n"/>
      <c r="B390" s="58" t="n"/>
      <c r="C390" s="56" t="n"/>
      <c r="D390" s="58" t="n"/>
      <c r="E390" s="56" t="n"/>
      <c r="F390" s="58" t="n"/>
      <c r="G390" s="56" t="n"/>
      <c r="H390" s="58" t="n"/>
      <c r="I390" s="56" t="n"/>
      <c r="J390" s="58" t="n"/>
      <c r="K390" s="56" t="inlineStr">
        <is>
          <t>Eda Ayaz</t>
        </is>
      </c>
      <c r="L390" s="65" t="n"/>
      <c r="M390" s="3" t="n"/>
      <c r="N390" s="3" t="n"/>
      <c r="O390" s="3" t="n"/>
      <c r="P390" s="3" t="n"/>
      <c r="Q390" s="3" t="n"/>
      <c r="R390" s="3" t="n"/>
      <c r="S390" s="3" t="n"/>
      <c r="T390" s="3" t="n"/>
    </row>
    <row r="391" ht="15" customHeight="1">
      <c r="A391" s="56" t="n"/>
      <c r="B391" s="58" t="n"/>
      <c r="C391" s="56" t="n"/>
      <c r="D391" s="58" t="n"/>
      <c r="E391" s="56" t="n"/>
      <c r="F391" s="58" t="n"/>
      <c r="G391" s="56" t="n"/>
      <c r="H391" s="58" t="n"/>
      <c r="I391" s="56" t="n"/>
      <c r="J391" s="58" t="n"/>
      <c r="K391" s="56" t="inlineStr">
        <is>
          <t>Eda Ayaz</t>
        </is>
      </c>
      <c r="L391" s="65" t="n"/>
      <c r="M391" s="3" t="n"/>
      <c r="N391" s="3" t="n"/>
      <c r="O391" s="3" t="n"/>
      <c r="P391" s="3" t="n"/>
      <c r="Q391" s="3" t="n"/>
      <c r="R391" s="3" t="n"/>
      <c r="S391" s="3" t="n"/>
      <c r="T391" s="3" t="n"/>
    </row>
    <row r="392" ht="15" customHeight="1">
      <c r="A392" s="56" t="n"/>
      <c r="B392" s="58" t="n"/>
      <c r="C392" s="56" t="n"/>
      <c r="D392" s="58" t="n"/>
      <c r="E392" s="56" t="n"/>
      <c r="F392" s="58" t="n"/>
      <c r="G392" s="56" t="n"/>
      <c r="H392" s="58" t="n"/>
      <c r="I392" s="56" t="n"/>
      <c r="J392" s="58" t="n"/>
      <c r="K392" s="56" t="inlineStr">
        <is>
          <t>Eda Ayaz</t>
        </is>
      </c>
      <c r="L392" s="65" t="n"/>
      <c r="M392" s="3" t="n"/>
      <c r="N392" s="3" t="n"/>
      <c r="O392" s="3" t="n"/>
      <c r="P392" s="3" t="n"/>
      <c r="Q392" s="3" t="n"/>
      <c r="R392" s="3" t="n"/>
      <c r="S392" s="3" t="n"/>
      <c r="T392" s="3" t="n"/>
    </row>
    <row r="393" ht="15" customHeight="1">
      <c r="A393" s="56" t="n"/>
      <c r="B393" s="58" t="n"/>
      <c r="C393" s="56" t="n"/>
      <c r="D393" s="58" t="n"/>
      <c r="E393" s="56" t="n"/>
      <c r="F393" s="58" t="n"/>
      <c r="G393" s="56" t="n"/>
      <c r="H393" s="58" t="n"/>
      <c r="I393" s="56" t="n"/>
      <c r="J393" s="58" t="n"/>
      <c r="K393" s="56" t="inlineStr">
        <is>
          <t>Eda Ayaz</t>
        </is>
      </c>
      <c r="L393" s="65" t="n"/>
      <c r="M393" s="3" t="n"/>
      <c r="N393" s="3" t="n"/>
      <c r="O393" s="3" t="n"/>
      <c r="P393" s="3" t="n"/>
      <c r="Q393" s="3" t="n"/>
      <c r="R393" s="3" t="n"/>
      <c r="S393" s="3" t="n"/>
      <c r="T393" s="3" t="n"/>
    </row>
    <row r="394" ht="15" customHeight="1">
      <c r="A394" s="56" t="n"/>
      <c r="B394" s="58" t="n"/>
      <c r="C394" s="56" t="n"/>
      <c r="D394" s="58" t="n"/>
      <c r="E394" s="56" t="n"/>
      <c r="F394" s="58" t="n"/>
      <c r="G394" s="56" t="n"/>
      <c r="H394" s="58" t="n"/>
      <c r="I394" s="56" t="n"/>
      <c r="J394" s="58" t="n"/>
      <c r="K394" s="56" t="inlineStr">
        <is>
          <t>Eda Ayaz</t>
        </is>
      </c>
      <c r="L394" s="65" t="n"/>
      <c r="M394" s="3" t="n"/>
      <c r="N394" s="3" t="n"/>
      <c r="O394" s="3" t="n"/>
      <c r="P394" s="3" t="n"/>
      <c r="Q394" s="3" t="n"/>
      <c r="R394" s="3" t="n"/>
      <c r="S394" s="3" t="n"/>
      <c r="T394" s="3" t="n"/>
    </row>
    <row r="395" ht="15" customHeight="1">
      <c r="A395" s="56" t="n"/>
      <c r="B395" s="58" t="n"/>
      <c r="C395" s="56" t="n"/>
      <c r="D395" s="58" t="n"/>
      <c r="E395" s="56" t="n"/>
      <c r="F395" s="58" t="n"/>
      <c r="G395" s="56" t="n"/>
      <c r="H395" s="58" t="n"/>
      <c r="I395" s="56" t="n"/>
      <c r="J395" s="58" t="n"/>
      <c r="K395" s="56" t="inlineStr">
        <is>
          <t>Eda Ayaz</t>
        </is>
      </c>
      <c r="L395" s="65" t="n"/>
      <c r="M395" s="3" t="n"/>
      <c r="N395" s="3" t="n"/>
      <c r="O395" s="3" t="n"/>
      <c r="P395" s="3" t="n"/>
      <c r="Q395" s="3" t="n"/>
      <c r="R395" s="3" t="n"/>
      <c r="S395" s="3" t="n"/>
      <c r="T395" s="3" t="n"/>
    </row>
    <row r="396" ht="15" customHeight="1">
      <c r="A396" s="56" t="n"/>
      <c r="B396" s="58" t="n"/>
      <c r="C396" s="56" t="n"/>
      <c r="D396" s="58" t="n"/>
      <c r="E396" s="56" t="n"/>
      <c r="F396" s="58" t="n"/>
      <c r="G396" s="56" t="n"/>
      <c r="H396" s="58" t="n"/>
      <c r="I396" s="56" t="n"/>
      <c r="J396" s="58" t="n"/>
      <c r="K396" s="56" t="inlineStr">
        <is>
          <t>Eda Ayaz</t>
        </is>
      </c>
      <c r="L396" s="65" t="n"/>
      <c r="M396" s="3" t="n"/>
      <c r="N396" s="3" t="n"/>
      <c r="O396" s="3" t="n"/>
      <c r="P396" s="3" t="n"/>
      <c r="Q396" s="3" t="n"/>
      <c r="R396" s="3" t="n"/>
      <c r="S396" s="3" t="n"/>
      <c r="T396" s="3" t="n"/>
    </row>
    <row r="397" ht="15" customHeight="1">
      <c r="A397" s="56" t="n"/>
      <c r="B397" s="58" t="n"/>
      <c r="C397" s="56" t="n"/>
      <c r="D397" s="58" t="n"/>
      <c r="E397" s="56" t="n"/>
      <c r="F397" s="58" t="n"/>
      <c r="G397" s="56" t="n"/>
      <c r="H397" s="58" t="n"/>
      <c r="I397" s="56" t="n"/>
      <c r="J397" s="58" t="n"/>
      <c r="K397" s="56" t="inlineStr">
        <is>
          <t>Eda Ayaz</t>
        </is>
      </c>
      <c r="L397" s="65" t="n"/>
      <c r="M397" s="3" t="n"/>
      <c r="N397" s="3" t="n"/>
      <c r="O397" s="3" t="n"/>
      <c r="P397" s="3" t="n"/>
      <c r="Q397" s="3" t="n"/>
      <c r="R397" s="3" t="n"/>
      <c r="S397" s="3" t="n"/>
      <c r="T397" s="3" t="n"/>
    </row>
    <row r="398" ht="15" customHeight="1">
      <c r="A398" s="56" t="n"/>
      <c r="B398" s="58" t="n"/>
      <c r="C398" s="56" t="n"/>
      <c r="D398" s="58" t="n"/>
      <c r="E398" s="56" t="n"/>
      <c r="F398" s="58" t="n"/>
      <c r="G398" s="56" t="n"/>
      <c r="H398" s="58" t="n"/>
      <c r="I398" s="56" t="n"/>
      <c r="J398" s="58" t="n"/>
      <c r="K398" s="56" t="inlineStr">
        <is>
          <t>Eda Ayaz</t>
        </is>
      </c>
      <c r="L398" s="65" t="n"/>
      <c r="M398" s="3" t="n"/>
      <c r="N398" s="3" t="n"/>
      <c r="O398" s="3" t="n"/>
      <c r="P398" s="3" t="n"/>
      <c r="Q398" s="3" t="n"/>
      <c r="R398" s="3" t="n"/>
      <c r="S398" s="3" t="n"/>
      <c r="T398" s="3" t="n"/>
    </row>
    <row r="399" ht="15" customHeight="1">
      <c r="A399" s="56" t="n"/>
      <c r="B399" s="58" t="n"/>
      <c r="C399" s="56" t="n"/>
      <c r="D399" s="58" t="n"/>
      <c r="E399" s="56" t="n"/>
      <c r="F399" s="58" t="n"/>
      <c r="G399" s="56" t="n"/>
      <c r="H399" s="58" t="n"/>
      <c r="I399" s="56" t="n"/>
      <c r="J399" s="58" t="n"/>
      <c r="K399" s="56" t="inlineStr">
        <is>
          <t>Eda Ayaz</t>
        </is>
      </c>
      <c r="L399" s="65" t="n"/>
      <c r="M399" s="3" t="n"/>
      <c r="N399" s="3" t="n"/>
      <c r="O399" s="3" t="n"/>
      <c r="P399" s="3" t="n"/>
      <c r="Q399" s="3" t="n"/>
      <c r="R399" s="3" t="n"/>
      <c r="S399" s="3" t="n"/>
      <c r="T399" s="3" t="n"/>
    </row>
    <row r="400" ht="15" customHeight="1">
      <c r="A400" s="56" t="n"/>
      <c r="B400" s="58" t="n"/>
      <c r="C400" s="56" t="n"/>
      <c r="D400" s="58" t="n"/>
      <c r="E400" s="56" t="n"/>
      <c r="F400" s="58" t="n"/>
      <c r="G400" s="56" t="n"/>
      <c r="H400" s="58" t="n"/>
      <c r="I400" s="56" t="n"/>
      <c r="J400" s="58" t="n"/>
      <c r="K400" s="56" t="inlineStr">
        <is>
          <t>Eda Ayaz</t>
        </is>
      </c>
      <c r="L400" s="65" t="n"/>
      <c r="M400" s="3" t="n"/>
      <c r="N400" s="3" t="n"/>
      <c r="O400" s="3" t="n"/>
      <c r="P400" s="3" t="n"/>
      <c r="Q400" s="3" t="n"/>
      <c r="R400" s="3" t="n"/>
      <c r="S400" s="3" t="n"/>
      <c r="T400" s="3" t="n"/>
    </row>
    <row r="401" ht="15" customHeight="1">
      <c r="A401" s="56" t="n"/>
      <c r="B401" s="58" t="n"/>
      <c r="C401" s="56" t="n"/>
      <c r="D401" s="58" t="n"/>
      <c r="E401" s="56" t="n"/>
      <c r="F401" s="58" t="n"/>
      <c r="G401" s="56" t="n"/>
      <c r="H401" s="58" t="n"/>
      <c r="I401" s="56" t="n"/>
      <c r="J401" s="58" t="n"/>
      <c r="K401" s="56" t="inlineStr">
        <is>
          <t>Eda Ayaz</t>
        </is>
      </c>
      <c r="L401" s="65" t="n"/>
      <c r="M401" s="3" t="n"/>
      <c r="N401" s="3" t="n"/>
      <c r="O401" s="3" t="n"/>
      <c r="P401" s="3" t="n"/>
      <c r="Q401" s="3" t="n"/>
      <c r="R401" s="3" t="n"/>
      <c r="S401" s="3" t="n"/>
      <c r="T401" s="3" t="n"/>
    </row>
    <row r="402" ht="15" customHeight="1">
      <c r="A402" s="56" t="n"/>
      <c r="B402" s="58" t="n"/>
      <c r="C402" s="56" t="n"/>
      <c r="D402" s="58" t="n"/>
      <c r="E402" s="56" t="n"/>
      <c r="F402" s="58" t="n"/>
      <c r="G402" s="56" t="n"/>
      <c r="H402" s="58" t="n"/>
      <c r="I402" s="56" t="n"/>
      <c r="J402" s="58" t="n"/>
      <c r="K402" s="56" t="inlineStr">
        <is>
          <t>Eda Ayaz</t>
        </is>
      </c>
      <c r="L402" s="65" t="n"/>
      <c r="M402" s="3" t="n"/>
      <c r="N402" s="3" t="n"/>
      <c r="O402" s="3" t="n"/>
      <c r="P402" s="3" t="n"/>
      <c r="Q402" s="3" t="n"/>
      <c r="R402" s="3" t="n"/>
      <c r="S402" s="3" t="n"/>
      <c r="T402" s="3" t="n"/>
    </row>
    <row r="403" ht="15" customHeight="1">
      <c r="A403" s="56" t="n"/>
      <c r="B403" s="58" t="n"/>
      <c r="C403" s="56" t="n"/>
      <c r="D403" s="58" t="n"/>
      <c r="E403" s="56" t="n"/>
      <c r="F403" s="58" t="n"/>
      <c r="G403" s="56" t="n"/>
      <c r="H403" s="58" t="n"/>
      <c r="I403" s="56" t="n"/>
      <c r="J403" s="58" t="n"/>
      <c r="K403" s="56" t="inlineStr">
        <is>
          <t>Eda Ayaz</t>
        </is>
      </c>
      <c r="L403" s="65" t="n"/>
      <c r="M403" s="3" t="n"/>
      <c r="N403" s="3" t="n"/>
      <c r="O403" s="3" t="n"/>
      <c r="P403" s="3" t="n"/>
      <c r="Q403" s="3" t="n"/>
      <c r="R403" s="3" t="n"/>
      <c r="S403" s="3" t="n"/>
      <c r="T403" s="3" t="n"/>
    </row>
    <row r="404" ht="15" customHeight="1">
      <c r="A404" s="56" t="n"/>
      <c r="B404" s="58" t="n"/>
      <c r="C404" s="56" t="n"/>
      <c r="D404" s="58" t="n"/>
      <c r="E404" s="56" t="n"/>
      <c r="F404" s="58" t="n"/>
      <c r="G404" s="56" t="n"/>
      <c r="H404" s="58" t="n"/>
      <c r="I404" s="56" t="n"/>
      <c r="J404" s="58" t="n"/>
      <c r="K404" s="56" t="inlineStr">
        <is>
          <t>Eda Ayaz</t>
        </is>
      </c>
      <c r="L404" s="65" t="n"/>
      <c r="M404" s="3" t="n"/>
      <c r="N404" s="3" t="n"/>
      <c r="O404" s="3" t="n"/>
      <c r="P404" s="3" t="n"/>
      <c r="Q404" s="3" t="n"/>
      <c r="R404" s="3" t="n"/>
      <c r="S404" s="3" t="n"/>
      <c r="T404" s="3" t="n"/>
    </row>
    <row r="405" ht="15" customHeight="1">
      <c r="A405" s="56" t="n"/>
      <c r="B405" s="58" t="n"/>
      <c r="C405" s="56" t="n"/>
      <c r="D405" s="58" t="n"/>
      <c r="E405" s="56" t="n"/>
      <c r="F405" s="58" t="n"/>
      <c r="G405" s="56" t="n"/>
      <c r="H405" s="58" t="n"/>
      <c r="I405" s="56" t="n"/>
      <c r="J405" s="58" t="n"/>
      <c r="K405" s="56" t="inlineStr">
        <is>
          <t>Eda Ayaz</t>
        </is>
      </c>
      <c r="L405" s="65" t="n"/>
      <c r="M405" s="3" t="n"/>
      <c r="N405" s="3" t="n"/>
      <c r="O405" s="3" t="n"/>
      <c r="P405" s="3" t="n"/>
      <c r="Q405" s="3" t="n"/>
      <c r="R405" s="3" t="n"/>
      <c r="S405" s="3" t="n"/>
      <c r="T405" s="3" t="n"/>
    </row>
    <row r="406" ht="15" customHeight="1">
      <c r="A406" s="56" t="n"/>
      <c r="B406" s="58" t="n"/>
      <c r="C406" s="56" t="n"/>
      <c r="D406" s="58" t="n"/>
      <c r="E406" s="56" t="n"/>
      <c r="F406" s="58" t="n"/>
      <c r="G406" s="56" t="n"/>
      <c r="H406" s="58" t="n"/>
      <c r="I406" s="56" t="n"/>
      <c r="J406" s="58" t="n"/>
      <c r="K406" s="56" t="inlineStr">
        <is>
          <t>Eda Ayaz</t>
        </is>
      </c>
      <c r="L406" s="65" t="n"/>
      <c r="M406" s="3" t="n"/>
      <c r="N406" s="3" t="n"/>
      <c r="O406" s="3" t="n"/>
      <c r="P406" s="3" t="n"/>
      <c r="Q406" s="3" t="n"/>
      <c r="R406" s="3" t="n"/>
      <c r="S406" s="3" t="n"/>
      <c r="T406" s="3" t="n"/>
    </row>
    <row r="407" ht="15" customHeight="1">
      <c r="A407" s="56" t="n"/>
      <c r="B407" s="58" t="n"/>
      <c r="C407" s="56" t="n"/>
      <c r="D407" s="58" t="n"/>
      <c r="E407" s="56" t="n"/>
      <c r="F407" s="58" t="n"/>
      <c r="G407" s="56" t="n"/>
      <c r="H407" s="58" t="n"/>
      <c r="I407" s="56" t="n"/>
      <c r="J407" s="58" t="n"/>
      <c r="K407" s="56" t="inlineStr">
        <is>
          <t>Eda Ayaz</t>
        </is>
      </c>
      <c r="L407" s="65" t="n"/>
      <c r="M407" s="3" t="n"/>
      <c r="N407" s="3" t="n"/>
      <c r="O407" s="3" t="n"/>
      <c r="P407" s="3" t="n"/>
      <c r="Q407" s="3" t="n"/>
      <c r="R407" s="3" t="n"/>
      <c r="S407" s="3" t="n"/>
      <c r="T407" s="3" t="n"/>
    </row>
    <row r="408" ht="15" customHeight="1">
      <c r="A408" s="56" t="n"/>
      <c r="B408" s="58" t="n"/>
      <c r="C408" s="56" t="n"/>
      <c r="D408" s="58" t="n"/>
      <c r="E408" s="56" t="n"/>
      <c r="F408" s="58" t="n"/>
      <c r="G408" s="56" t="n"/>
      <c r="H408" s="58" t="n"/>
      <c r="I408" s="56" t="n"/>
      <c r="J408" s="58" t="n"/>
      <c r="K408" s="56" t="inlineStr">
        <is>
          <t>Eda Ayaz</t>
        </is>
      </c>
      <c r="L408" s="65" t="n"/>
      <c r="M408" s="3" t="n"/>
      <c r="N408" s="3" t="n"/>
      <c r="O408" s="3" t="n"/>
      <c r="P408" s="3" t="n"/>
      <c r="Q408" s="3" t="n"/>
      <c r="R408" s="3" t="n"/>
      <c r="S408" s="3" t="n"/>
      <c r="T408" s="3" t="n"/>
    </row>
    <row r="409" ht="15" customHeight="1">
      <c r="A409" s="56" t="n"/>
      <c r="B409" s="58" t="n"/>
      <c r="C409" s="56" t="n"/>
      <c r="D409" s="58" t="n"/>
      <c r="E409" s="56" t="n"/>
      <c r="F409" s="58" t="n"/>
      <c r="G409" s="56" t="n"/>
      <c r="H409" s="58" t="n"/>
      <c r="I409" s="56" t="n"/>
      <c r="J409" s="58" t="n"/>
      <c r="K409" s="56" t="inlineStr">
        <is>
          <t>Eda Ayaz</t>
        </is>
      </c>
      <c r="L409" s="65" t="n"/>
      <c r="M409" s="3" t="n"/>
      <c r="N409" s="3" t="n"/>
      <c r="O409" s="3" t="n"/>
      <c r="P409" s="3" t="n"/>
      <c r="Q409" s="3" t="n"/>
      <c r="R409" s="3" t="n"/>
      <c r="S409" s="3" t="n"/>
      <c r="T409" s="3" t="n"/>
    </row>
    <row r="410" ht="15" customHeight="1">
      <c r="A410" s="56" t="n"/>
      <c r="B410" s="58" t="n"/>
      <c r="C410" s="56" t="n"/>
      <c r="D410" s="58" t="n"/>
      <c r="E410" s="56" t="n"/>
      <c r="F410" s="58" t="n"/>
      <c r="G410" s="56" t="n"/>
      <c r="H410" s="58" t="n"/>
      <c r="I410" s="56" t="n"/>
      <c r="J410" s="58" t="n"/>
      <c r="K410" s="56" t="inlineStr">
        <is>
          <t>Eda Ayaz</t>
        </is>
      </c>
      <c r="L410" s="65" t="n"/>
      <c r="M410" s="3" t="n"/>
      <c r="N410" s="3" t="n"/>
      <c r="O410" s="3" t="n"/>
      <c r="P410" s="3" t="n"/>
      <c r="Q410" s="3" t="n"/>
      <c r="R410" s="3" t="n"/>
      <c r="S410" s="3" t="n"/>
      <c r="T410" s="3" t="n"/>
    </row>
    <row r="411" ht="15" customHeight="1">
      <c r="A411" s="56" t="n"/>
      <c r="B411" s="58" t="n"/>
      <c r="C411" s="56" t="n"/>
      <c r="D411" s="58" t="n"/>
      <c r="E411" s="56" t="n"/>
      <c r="F411" s="58" t="n"/>
      <c r="G411" s="56" t="n"/>
      <c r="H411" s="58" t="n"/>
      <c r="I411" s="56" t="n"/>
      <c r="J411" s="58" t="n"/>
      <c r="K411" s="56" t="inlineStr">
        <is>
          <t>Eda Ayaz</t>
        </is>
      </c>
      <c r="L411" s="65" t="n"/>
      <c r="M411" s="3" t="n"/>
      <c r="N411" s="3" t="n"/>
      <c r="O411" s="3" t="n"/>
      <c r="P411" s="3" t="n"/>
      <c r="Q411" s="3" t="n"/>
      <c r="R411" s="3" t="n"/>
      <c r="S411" s="3" t="n"/>
      <c r="T411" s="3" t="n"/>
    </row>
    <row r="412" ht="15" customHeight="1">
      <c r="A412" s="56" t="n"/>
      <c r="B412" s="58" t="n"/>
      <c r="C412" s="56" t="n"/>
      <c r="D412" s="58" t="n"/>
      <c r="E412" s="56" t="n"/>
      <c r="F412" s="58" t="n"/>
      <c r="G412" s="56" t="n"/>
      <c r="H412" s="58" t="n"/>
      <c r="I412" s="56" t="n"/>
      <c r="J412" s="58" t="n"/>
      <c r="K412" s="56" t="inlineStr">
        <is>
          <t>Eda Ayaz</t>
        </is>
      </c>
      <c r="L412" s="65" t="n"/>
      <c r="M412" s="3" t="n"/>
      <c r="N412" s="3" t="n"/>
      <c r="O412" s="3" t="n"/>
      <c r="P412" s="3" t="n"/>
      <c r="Q412" s="3" t="n"/>
      <c r="R412" s="3" t="n"/>
      <c r="S412" s="3" t="n"/>
      <c r="T412" s="3" t="n"/>
    </row>
    <row r="413" ht="15" customHeight="1">
      <c r="A413" s="56" t="n"/>
      <c r="B413" s="58" t="n"/>
      <c r="C413" s="56" t="n"/>
      <c r="D413" s="58" t="n"/>
      <c r="E413" s="56" t="n"/>
      <c r="F413" s="58" t="n"/>
      <c r="G413" s="56" t="n"/>
      <c r="H413" s="58" t="n"/>
      <c r="I413" s="56" t="n"/>
      <c r="J413" s="58" t="n"/>
      <c r="K413" s="56" t="inlineStr">
        <is>
          <t>Eda Ayaz</t>
        </is>
      </c>
      <c r="L413" s="65" t="n"/>
      <c r="M413" s="3" t="n"/>
      <c r="N413" s="3" t="n"/>
      <c r="O413" s="3" t="n"/>
      <c r="P413" s="3" t="n"/>
      <c r="Q413" s="3" t="n"/>
      <c r="R413" s="3" t="n"/>
      <c r="S413" s="3" t="n"/>
      <c r="T413" s="3" t="n"/>
    </row>
    <row r="414" ht="15" customHeight="1">
      <c r="A414" s="56" t="n"/>
      <c r="B414" s="58" t="n"/>
      <c r="C414" s="56" t="n"/>
      <c r="D414" s="58" t="n"/>
      <c r="E414" s="56" t="n"/>
      <c r="F414" s="58" t="n"/>
      <c r="G414" s="56" t="n"/>
      <c r="H414" s="58" t="n"/>
      <c r="I414" s="56" t="n"/>
      <c r="J414" s="58" t="n"/>
      <c r="K414" s="56" t="inlineStr">
        <is>
          <t>Eda Ayaz</t>
        </is>
      </c>
      <c r="L414" s="65" t="n"/>
      <c r="M414" s="3" t="n"/>
      <c r="N414" s="3" t="n"/>
      <c r="O414" s="3" t="n"/>
      <c r="P414" s="3" t="n"/>
      <c r="Q414" s="3" t="n"/>
      <c r="R414" s="3" t="n"/>
      <c r="S414" s="3" t="n"/>
      <c r="T414" s="3" t="n"/>
    </row>
    <row r="415" ht="15" customHeight="1">
      <c r="A415" s="56" t="n"/>
      <c r="B415" s="58" t="n"/>
      <c r="C415" s="56" t="n"/>
      <c r="D415" s="58" t="n"/>
      <c r="E415" s="56" t="n"/>
      <c r="F415" s="58" t="n"/>
      <c r="G415" s="56" t="n"/>
      <c r="H415" s="58" t="n"/>
      <c r="I415" s="56" t="n"/>
      <c r="J415" s="58" t="n"/>
      <c r="K415" s="56" t="inlineStr">
        <is>
          <t>Eda Ayaz</t>
        </is>
      </c>
      <c r="L415" s="65" t="n"/>
      <c r="M415" s="3" t="n"/>
      <c r="N415" s="3" t="n"/>
      <c r="O415" s="3" t="n"/>
      <c r="P415" s="3" t="n"/>
      <c r="Q415" s="3" t="n"/>
      <c r="R415" s="3" t="n"/>
      <c r="S415" s="3" t="n"/>
      <c r="T415" s="3" t="n"/>
    </row>
    <row r="416" ht="15" customHeight="1">
      <c r="A416" s="56" t="n"/>
      <c r="B416" s="58" t="n"/>
      <c r="C416" s="56" t="n"/>
      <c r="D416" s="58" t="n"/>
      <c r="E416" s="56" t="n"/>
      <c r="F416" s="58" t="n"/>
      <c r="G416" s="56" t="n"/>
      <c r="H416" s="58" t="n"/>
      <c r="I416" s="56" t="n"/>
      <c r="J416" s="58" t="n"/>
      <c r="K416" s="56" t="inlineStr">
        <is>
          <t>Eda Ayaz</t>
        </is>
      </c>
      <c r="L416" s="65" t="n"/>
      <c r="M416" s="3" t="n"/>
      <c r="N416" s="3" t="n"/>
      <c r="O416" s="3" t="n"/>
      <c r="P416" s="3" t="n"/>
      <c r="Q416" s="3" t="n"/>
      <c r="R416" s="3" t="n"/>
      <c r="S416" s="3" t="n"/>
      <c r="T416" s="3" t="n"/>
    </row>
    <row r="417" ht="15" customHeight="1">
      <c r="A417" s="56" t="n"/>
      <c r="B417" s="58" t="n"/>
      <c r="C417" s="56" t="n"/>
      <c r="D417" s="58" t="n"/>
      <c r="E417" s="56" t="n"/>
      <c r="F417" s="58" t="n"/>
      <c r="G417" s="56" t="n"/>
      <c r="H417" s="58" t="n"/>
      <c r="I417" s="56" t="n"/>
      <c r="J417" s="58" t="n"/>
      <c r="K417" s="56" t="inlineStr">
        <is>
          <t>Eda Ayaz</t>
        </is>
      </c>
      <c r="L417" s="65" t="n"/>
      <c r="M417" s="3" t="n"/>
      <c r="N417" s="3" t="n"/>
      <c r="O417" s="3" t="n"/>
      <c r="P417" s="3" t="n"/>
      <c r="Q417" s="3" t="n"/>
      <c r="R417" s="3" t="n"/>
      <c r="S417" s="3" t="n"/>
      <c r="T417" s="3" t="n"/>
    </row>
    <row r="418" ht="15" customHeight="1">
      <c r="A418" s="56" t="n"/>
      <c r="B418" s="58" t="n"/>
      <c r="C418" s="56" t="n"/>
      <c r="D418" s="58" t="n"/>
      <c r="E418" s="56" t="n"/>
      <c r="F418" s="58" t="n"/>
      <c r="G418" s="56" t="n"/>
      <c r="H418" s="58" t="n"/>
      <c r="I418" s="56" t="n"/>
      <c r="J418" s="58" t="n"/>
      <c r="K418" s="56" t="inlineStr">
        <is>
          <t>Eda Ayaz</t>
        </is>
      </c>
      <c r="L418" s="65" t="n"/>
      <c r="M418" s="3" t="n"/>
      <c r="N418" s="3" t="n"/>
      <c r="O418" s="3" t="n"/>
      <c r="P418" s="3" t="n"/>
      <c r="Q418" s="3" t="n"/>
      <c r="R418" s="3" t="n"/>
      <c r="S418" s="3" t="n"/>
      <c r="T418" s="3" t="n"/>
    </row>
    <row r="419" ht="15" customHeight="1">
      <c r="A419" s="56" t="n"/>
      <c r="B419" s="58" t="n"/>
      <c r="C419" s="56" t="n"/>
      <c r="D419" s="58" t="n"/>
      <c r="E419" s="56" t="n"/>
      <c r="F419" s="58" t="n"/>
      <c r="G419" s="56" t="n"/>
      <c r="H419" s="58" t="n"/>
      <c r="I419" s="56" t="n"/>
      <c r="J419" s="58" t="n"/>
      <c r="K419" s="56" t="inlineStr">
        <is>
          <t>Eda Ayaz</t>
        </is>
      </c>
      <c r="L419" s="65" t="n"/>
      <c r="M419" s="3" t="n"/>
      <c r="N419" s="3" t="n"/>
      <c r="O419" s="3" t="n"/>
      <c r="P419" s="3" t="n"/>
      <c r="Q419" s="3" t="n"/>
      <c r="R419" s="3" t="n"/>
      <c r="S419" s="3" t="n"/>
      <c r="T419" s="3" t="n"/>
    </row>
    <row r="420" ht="15" customHeight="1">
      <c r="A420" s="56" t="n"/>
      <c r="B420" s="58" t="n"/>
      <c r="C420" s="56" t="n"/>
      <c r="D420" s="58" t="n"/>
      <c r="E420" s="56" t="n"/>
      <c r="F420" s="58" t="n"/>
      <c r="G420" s="56" t="n"/>
      <c r="H420" s="58" t="n"/>
      <c r="I420" s="56" t="n"/>
      <c r="J420" s="58" t="n"/>
      <c r="K420" s="56" t="inlineStr">
        <is>
          <t>Eda Ayaz</t>
        </is>
      </c>
      <c r="L420" s="65" t="n"/>
      <c r="M420" s="3" t="n"/>
      <c r="N420" s="3" t="n"/>
      <c r="O420" s="3" t="n"/>
      <c r="P420" s="3" t="n"/>
      <c r="Q420" s="3" t="n"/>
      <c r="R420" s="3" t="n"/>
      <c r="S420" s="3" t="n"/>
      <c r="T420" s="3" t="n"/>
    </row>
    <row r="421" ht="15" customHeight="1">
      <c r="A421" s="56" t="n"/>
      <c r="B421" s="58" t="n"/>
      <c r="C421" s="56" t="n"/>
      <c r="D421" s="58" t="n"/>
      <c r="E421" s="56" t="n"/>
      <c r="F421" s="58" t="n"/>
      <c r="G421" s="56" t="n"/>
      <c r="H421" s="58" t="n"/>
      <c r="I421" s="56" t="n"/>
      <c r="J421" s="58" t="n"/>
      <c r="K421" s="56" t="inlineStr">
        <is>
          <t>Eda Ayaz</t>
        </is>
      </c>
      <c r="L421" s="65" t="n"/>
      <c r="M421" s="3" t="n"/>
      <c r="N421" s="3" t="n"/>
      <c r="O421" s="3" t="n"/>
      <c r="P421" s="3" t="n"/>
      <c r="Q421" s="3" t="n"/>
      <c r="R421" s="3" t="n"/>
      <c r="S421" s="3" t="n"/>
      <c r="T421" s="3" t="n"/>
    </row>
    <row r="422" ht="15" customHeight="1">
      <c r="A422" s="56" t="n"/>
      <c r="B422" s="58" t="n"/>
      <c r="C422" s="56" t="n"/>
      <c r="D422" s="58" t="n"/>
      <c r="E422" s="56" t="n"/>
      <c r="F422" s="58" t="n"/>
      <c r="G422" s="56" t="n"/>
      <c r="H422" s="58" t="n"/>
      <c r="I422" s="56" t="n"/>
      <c r="J422" s="58" t="n"/>
      <c r="K422" s="56" t="inlineStr">
        <is>
          <t>Eda Ayaz</t>
        </is>
      </c>
      <c r="L422" s="65" t="n"/>
      <c r="M422" s="3" t="n"/>
      <c r="N422" s="3" t="n"/>
      <c r="O422" s="3" t="n"/>
      <c r="P422" s="3" t="n"/>
      <c r="Q422" s="3" t="n"/>
      <c r="R422" s="3" t="n"/>
      <c r="S422" s="3" t="n"/>
      <c r="T422" s="3" t="n"/>
    </row>
    <row r="423" ht="15" customHeight="1">
      <c r="A423" s="56" t="n"/>
      <c r="B423" s="58" t="n"/>
      <c r="C423" s="56" t="n"/>
      <c r="D423" s="58" t="n"/>
      <c r="E423" s="56" t="n"/>
      <c r="F423" s="58" t="n"/>
      <c r="G423" s="56" t="n"/>
      <c r="H423" s="58" t="n"/>
      <c r="I423" s="56" t="n"/>
      <c r="J423" s="58" t="n"/>
      <c r="K423" s="56" t="inlineStr">
        <is>
          <t>Eda Ayaz</t>
        </is>
      </c>
      <c r="L423" s="65" t="n"/>
      <c r="M423" s="3" t="n"/>
      <c r="N423" s="3" t="n"/>
      <c r="O423" s="3" t="n"/>
      <c r="P423" s="3" t="n"/>
      <c r="Q423" s="3" t="n"/>
      <c r="R423" s="3" t="n"/>
      <c r="S423" s="3" t="n"/>
      <c r="T423" s="3" t="n"/>
    </row>
    <row r="424" ht="15" customHeight="1">
      <c r="A424" s="56" t="n"/>
      <c r="B424" s="58" t="n"/>
      <c r="C424" s="56" t="n"/>
      <c r="D424" s="58" t="n"/>
      <c r="E424" s="56" t="n"/>
      <c r="F424" s="58" t="n"/>
      <c r="G424" s="56" t="n"/>
      <c r="H424" s="58" t="n"/>
      <c r="I424" s="56" t="n"/>
      <c r="J424" s="58" t="n"/>
      <c r="K424" s="56" t="inlineStr">
        <is>
          <t>Eda Ayaz</t>
        </is>
      </c>
      <c r="L424" s="65" t="n"/>
      <c r="M424" s="3" t="n"/>
      <c r="N424" s="3" t="n"/>
      <c r="O424" s="3" t="n"/>
      <c r="P424" s="3" t="n"/>
      <c r="Q424" s="3" t="n"/>
      <c r="R424" s="3" t="n"/>
      <c r="S424" s="3" t="n"/>
      <c r="T424" s="3" t="n"/>
    </row>
    <row r="425" ht="15" customHeight="1">
      <c r="A425" s="56" t="n"/>
      <c r="B425" s="58" t="n"/>
      <c r="C425" s="56" t="n"/>
      <c r="D425" s="58" t="n"/>
      <c r="E425" s="56" t="n"/>
      <c r="F425" s="58" t="n"/>
      <c r="G425" s="56" t="n"/>
      <c r="H425" s="58" t="n"/>
      <c r="I425" s="56" t="n"/>
      <c r="J425" s="58" t="n"/>
      <c r="K425" s="56" t="inlineStr">
        <is>
          <t>Eda Ayaz</t>
        </is>
      </c>
      <c r="L425" s="65" t="n"/>
      <c r="M425" s="3" t="n"/>
      <c r="N425" s="3" t="n"/>
      <c r="O425" s="3" t="n"/>
      <c r="P425" s="3" t="n"/>
      <c r="Q425" s="3" t="n"/>
      <c r="R425" s="3" t="n"/>
      <c r="S425" s="3" t="n"/>
      <c r="T425" s="3" t="n"/>
    </row>
    <row r="426" ht="15" customHeight="1">
      <c r="A426" s="56" t="n"/>
      <c r="B426" s="58" t="n"/>
      <c r="C426" s="56" t="n"/>
      <c r="D426" s="58" t="n"/>
      <c r="E426" s="56" t="n"/>
      <c r="F426" s="58" t="n"/>
      <c r="G426" s="56" t="n"/>
      <c r="H426" s="58" t="n"/>
      <c r="I426" s="56" t="n"/>
      <c r="J426" s="58" t="n"/>
      <c r="K426" s="56" t="inlineStr">
        <is>
          <t>Eda Ayaz</t>
        </is>
      </c>
      <c r="L426" s="65" t="n"/>
      <c r="M426" s="3" t="n"/>
      <c r="N426" s="3" t="n"/>
      <c r="O426" s="3" t="n"/>
      <c r="P426" s="3" t="n"/>
      <c r="Q426" s="3" t="n"/>
      <c r="R426" s="3" t="n"/>
      <c r="S426" s="3" t="n"/>
      <c r="T426" s="3" t="n"/>
    </row>
    <row r="427" ht="15" customHeight="1">
      <c r="A427" s="56" t="n"/>
      <c r="B427" s="58" t="n"/>
      <c r="C427" s="56" t="n"/>
      <c r="D427" s="58" t="n"/>
      <c r="E427" s="56" t="n"/>
      <c r="F427" s="58" t="n"/>
      <c r="G427" s="56" t="n"/>
      <c r="H427" s="58" t="n"/>
      <c r="I427" s="56" t="n"/>
      <c r="J427" s="58" t="n"/>
      <c r="K427" s="56" t="inlineStr">
        <is>
          <t>Eda Ayaz</t>
        </is>
      </c>
      <c r="L427" s="65" t="n"/>
      <c r="M427" s="3" t="n"/>
      <c r="N427" s="3" t="n"/>
      <c r="O427" s="3" t="n"/>
      <c r="P427" s="3" t="n"/>
      <c r="Q427" s="3" t="n"/>
      <c r="R427" s="3" t="n"/>
      <c r="S427" s="3" t="n"/>
      <c r="T427" s="3" t="n"/>
    </row>
    <row r="428" ht="15" customHeight="1">
      <c r="A428" s="56" t="n"/>
      <c r="B428" s="58" t="n"/>
      <c r="C428" s="56" t="n"/>
      <c r="D428" s="58" t="n"/>
      <c r="E428" s="56" t="n"/>
      <c r="F428" s="58" t="n"/>
      <c r="G428" s="56" t="n"/>
      <c r="H428" s="58" t="n"/>
      <c r="I428" s="56" t="n"/>
      <c r="J428" s="58" t="n"/>
      <c r="K428" s="56" t="inlineStr">
        <is>
          <t>Eda Ayaz</t>
        </is>
      </c>
      <c r="L428" s="65" t="n"/>
      <c r="M428" s="3" t="n"/>
      <c r="N428" s="3" t="n"/>
      <c r="O428" s="3" t="n"/>
      <c r="P428" s="3" t="n"/>
      <c r="Q428" s="3" t="n"/>
      <c r="R428" s="3" t="n"/>
      <c r="S428" s="3" t="n"/>
      <c r="T428" s="3" t="n"/>
    </row>
    <row r="429" ht="15" customHeight="1">
      <c r="A429" s="56" t="n"/>
      <c r="B429" s="58" t="n"/>
      <c r="C429" s="56" t="n"/>
      <c r="D429" s="58" t="n"/>
      <c r="E429" s="56" t="n"/>
      <c r="F429" s="58" t="n"/>
      <c r="G429" s="56" t="n"/>
      <c r="H429" s="58" t="n"/>
      <c r="I429" s="56" t="n"/>
      <c r="J429" s="58" t="n"/>
      <c r="K429" s="56" t="inlineStr">
        <is>
          <t>Eda Ayaz</t>
        </is>
      </c>
      <c r="L429" s="65" t="n"/>
      <c r="M429" s="3" t="n"/>
      <c r="N429" s="3" t="n"/>
      <c r="O429" s="3" t="n"/>
      <c r="P429" s="3" t="n"/>
      <c r="Q429" s="3" t="n"/>
      <c r="R429" s="3" t="n"/>
      <c r="S429" s="3" t="n"/>
      <c r="T429" s="3" t="n"/>
    </row>
    <row r="430" ht="15" customHeight="1">
      <c r="A430" s="56" t="n"/>
      <c r="B430" s="58" t="n"/>
      <c r="C430" s="56" t="n"/>
      <c r="D430" s="58" t="n"/>
      <c r="E430" s="56" t="n"/>
      <c r="F430" s="58" t="n"/>
      <c r="G430" s="56" t="n"/>
      <c r="H430" s="58" t="n"/>
      <c r="I430" s="56" t="n"/>
      <c r="J430" s="58" t="n"/>
      <c r="K430" s="56" t="inlineStr">
        <is>
          <t>Eda Ayaz</t>
        </is>
      </c>
      <c r="L430" s="65" t="n"/>
      <c r="M430" s="3" t="n"/>
      <c r="N430" s="3" t="n"/>
      <c r="O430" s="3" t="n"/>
      <c r="P430" s="3" t="n"/>
      <c r="Q430" s="3" t="n"/>
      <c r="R430" s="3" t="n"/>
      <c r="S430" s="3" t="n"/>
      <c r="T430" s="3" t="n"/>
    </row>
    <row r="431" ht="15" customHeight="1">
      <c r="A431" s="56" t="n"/>
      <c r="B431" s="58" t="n"/>
      <c r="C431" s="56" t="n"/>
      <c r="D431" s="58" t="n"/>
      <c r="E431" s="56" t="n"/>
      <c r="F431" s="58" t="n"/>
      <c r="G431" s="56" t="n"/>
      <c r="H431" s="58" t="n"/>
      <c r="I431" s="56" t="n"/>
      <c r="J431" s="58" t="n"/>
      <c r="K431" s="56" t="inlineStr">
        <is>
          <t>Eda Ayaz</t>
        </is>
      </c>
      <c r="L431" s="65" t="n"/>
      <c r="M431" s="3" t="n"/>
      <c r="N431" s="3" t="n"/>
      <c r="O431" s="3" t="n"/>
      <c r="P431" s="3" t="n"/>
      <c r="Q431" s="3" t="n"/>
      <c r="R431" s="3" t="n"/>
      <c r="S431" s="3" t="n"/>
      <c r="T431" s="3" t="n"/>
    </row>
    <row r="432" ht="15" customHeight="1">
      <c r="A432" s="56" t="n"/>
      <c r="B432" s="58" t="n"/>
      <c r="C432" s="56" t="n"/>
      <c r="D432" s="58" t="n"/>
      <c r="E432" s="56" t="n"/>
      <c r="F432" s="58" t="n"/>
      <c r="G432" s="56" t="n"/>
      <c r="H432" s="58" t="n"/>
      <c r="I432" s="56" t="n"/>
      <c r="J432" s="58" t="n"/>
      <c r="K432" s="56" t="inlineStr">
        <is>
          <t>Eda Ayaz</t>
        </is>
      </c>
      <c r="L432" s="65" t="n"/>
      <c r="M432" s="3" t="n"/>
      <c r="N432" s="3" t="n"/>
      <c r="O432" s="3" t="n"/>
      <c r="P432" s="3" t="n"/>
      <c r="Q432" s="3" t="n"/>
      <c r="R432" s="3" t="n"/>
      <c r="S432" s="3" t="n"/>
      <c r="T432" s="3" t="n"/>
    </row>
    <row r="433" ht="15" customHeight="1">
      <c r="A433" s="56" t="n"/>
      <c r="B433" s="58" t="n"/>
      <c r="C433" s="56" t="n"/>
      <c r="D433" s="58" t="n"/>
      <c r="E433" s="56" t="n"/>
      <c r="F433" s="58" t="n"/>
      <c r="G433" s="56" t="n"/>
      <c r="H433" s="58" t="n"/>
      <c r="I433" s="56" t="n"/>
      <c r="J433" s="58" t="n"/>
      <c r="K433" s="56" t="inlineStr">
        <is>
          <t>Eda Ayaz</t>
        </is>
      </c>
      <c r="L433" s="65" t="n"/>
      <c r="M433" s="3" t="n"/>
      <c r="N433" s="3" t="n"/>
      <c r="O433" s="3" t="n"/>
      <c r="P433" s="3" t="n"/>
      <c r="Q433" s="3" t="n"/>
      <c r="R433" s="3" t="n"/>
      <c r="S433" s="3" t="n"/>
      <c r="T433" s="3" t="n"/>
    </row>
    <row r="434" ht="15" customHeight="1">
      <c r="A434" s="56" t="n"/>
      <c r="B434" s="58" t="n"/>
      <c r="C434" s="56" t="n"/>
      <c r="D434" s="58" t="n"/>
      <c r="E434" s="56" t="n"/>
      <c r="F434" s="58" t="n"/>
      <c r="G434" s="56" t="n"/>
      <c r="H434" s="58" t="n"/>
      <c r="I434" s="56" t="n"/>
      <c r="J434" s="58" t="n"/>
      <c r="K434" s="56" t="inlineStr">
        <is>
          <t>Eda Ayaz</t>
        </is>
      </c>
      <c r="L434" s="65" t="n"/>
      <c r="M434" s="3" t="n"/>
      <c r="N434" s="3" t="n"/>
      <c r="O434" s="3" t="n"/>
      <c r="P434" s="3" t="n"/>
      <c r="Q434" s="3" t="n"/>
      <c r="R434" s="3" t="n"/>
      <c r="S434" s="3" t="n"/>
      <c r="T434" s="3" t="n"/>
    </row>
    <row r="435" ht="15" customHeight="1">
      <c r="A435" s="56" t="n"/>
      <c r="B435" s="58" t="n"/>
      <c r="C435" s="56" t="n"/>
      <c r="D435" s="58" t="n"/>
      <c r="E435" s="56" t="n"/>
      <c r="F435" s="58" t="n"/>
      <c r="G435" s="56" t="n"/>
      <c r="H435" s="58" t="n"/>
      <c r="I435" s="56" t="n"/>
      <c r="J435" s="58" t="n"/>
      <c r="K435" s="56" t="inlineStr">
        <is>
          <t>Eda Ayaz</t>
        </is>
      </c>
      <c r="L435" s="65" t="n"/>
      <c r="M435" s="3" t="n"/>
      <c r="N435" s="3" t="n"/>
      <c r="O435" s="3" t="n"/>
      <c r="P435" s="3" t="n"/>
      <c r="Q435" s="3" t="n"/>
      <c r="R435" s="3" t="n"/>
      <c r="S435" s="3" t="n"/>
      <c r="T435" s="3" t="n"/>
    </row>
    <row r="436" ht="15" customHeight="1">
      <c r="A436" s="56" t="n"/>
      <c r="B436" s="58" t="n"/>
      <c r="C436" s="56" t="n"/>
      <c r="D436" s="58" t="n"/>
      <c r="E436" s="56" t="n"/>
      <c r="F436" s="58" t="n"/>
      <c r="G436" s="56" t="n"/>
      <c r="H436" s="58" t="n"/>
      <c r="I436" s="56" t="n"/>
      <c r="J436" s="58" t="n"/>
      <c r="K436" s="56" t="inlineStr">
        <is>
          <t>Eda Ayaz</t>
        </is>
      </c>
      <c r="L436" s="65" t="n"/>
      <c r="M436" s="3" t="n"/>
      <c r="N436" s="3" t="n"/>
      <c r="O436" s="3" t="n"/>
      <c r="P436" s="3" t="n"/>
      <c r="Q436" s="3" t="n"/>
      <c r="R436" s="3" t="n"/>
      <c r="S436" s="3" t="n"/>
      <c r="T436" s="3" t="n"/>
    </row>
    <row r="437" ht="15" customHeight="1">
      <c r="A437" s="56" t="n"/>
      <c r="B437" s="58" t="n"/>
      <c r="C437" s="56" t="n"/>
      <c r="D437" s="58" t="n"/>
      <c r="E437" s="56" t="n"/>
      <c r="F437" s="58" t="n"/>
      <c r="G437" s="56" t="n"/>
      <c r="H437" s="58" t="n"/>
      <c r="I437" s="56" t="n"/>
      <c r="J437" s="58" t="n"/>
      <c r="K437" s="56" t="inlineStr">
        <is>
          <t>Eda Ayaz</t>
        </is>
      </c>
      <c r="L437" s="65" t="n"/>
      <c r="M437" s="3" t="n"/>
      <c r="N437" s="3" t="n"/>
      <c r="O437" s="3" t="n"/>
      <c r="P437" s="3" t="n"/>
      <c r="Q437" s="3" t="n"/>
      <c r="R437" s="3" t="n"/>
      <c r="S437" s="3" t="n"/>
      <c r="T437" s="3" t="n"/>
    </row>
    <row r="438" ht="15" customHeight="1">
      <c r="A438" s="56" t="n"/>
      <c r="B438" s="58" t="n"/>
      <c r="C438" s="56" t="n"/>
      <c r="D438" s="58" t="n"/>
      <c r="E438" s="56" t="n"/>
      <c r="F438" s="58" t="n"/>
      <c r="G438" s="56" t="n"/>
      <c r="H438" s="58" t="n"/>
      <c r="I438" s="56" t="n"/>
      <c r="J438" s="58" t="n"/>
      <c r="K438" s="56" t="inlineStr">
        <is>
          <t>Eda Ayaz</t>
        </is>
      </c>
      <c r="L438" s="65" t="n"/>
      <c r="M438" s="3" t="n"/>
      <c r="N438" s="3" t="n"/>
      <c r="O438" s="3" t="n"/>
      <c r="P438" s="3" t="n"/>
      <c r="Q438" s="3" t="n"/>
      <c r="R438" s="3" t="n"/>
      <c r="S438" s="3" t="n"/>
      <c r="T438" s="3" t="n"/>
    </row>
    <row r="439" ht="15" customHeight="1">
      <c r="A439" s="56" t="n"/>
      <c r="B439" s="58" t="n"/>
      <c r="C439" s="56" t="n"/>
      <c r="D439" s="58" t="n"/>
      <c r="E439" s="56" t="n"/>
      <c r="F439" s="58" t="n"/>
      <c r="G439" s="56" t="n"/>
      <c r="H439" s="58" t="n"/>
      <c r="I439" s="56" t="n"/>
      <c r="J439" s="58" t="n"/>
      <c r="K439" s="56" t="inlineStr">
        <is>
          <t>Eda Ayaz</t>
        </is>
      </c>
      <c r="L439" s="65" t="n"/>
      <c r="M439" s="3" t="n"/>
      <c r="N439" s="3" t="n"/>
      <c r="O439" s="3" t="n"/>
      <c r="P439" s="3" t="n"/>
      <c r="Q439" s="3" t="n"/>
      <c r="R439" s="3" t="n"/>
      <c r="S439" s="3" t="n"/>
      <c r="T439" s="3" t="n"/>
    </row>
    <row r="440" ht="15" customHeight="1">
      <c r="A440" s="56" t="n"/>
      <c r="B440" s="58" t="n"/>
      <c r="C440" s="56" t="n"/>
      <c r="D440" s="58" t="n"/>
      <c r="E440" s="56" t="n"/>
      <c r="F440" s="58" t="n"/>
      <c r="G440" s="56" t="n"/>
      <c r="H440" s="58" t="n"/>
      <c r="I440" s="56" t="n"/>
      <c r="J440" s="58" t="n"/>
      <c r="K440" s="56" t="inlineStr">
        <is>
          <t>Eda Ayaz</t>
        </is>
      </c>
      <c r="L440" s="65" t="n"/>
      <c r="M440" s="3" t="n"/>
      <c r="N440" s="3" t="n"/>
      <c r="O440" s="3" t="n"/>
      <c r="P440" s="3" t="n"/>
      <c r="Q440" s="3" t="n"/>
      <c r="R440" s="3" t="n"/>
      <c r="S440" s="3" t="n"/>
      <c r="T440" s="3" t="n"/>
    </row>
    <row r="441" ht="15" customHeight="1">
      <c r="A441" s="56" t="n"/>
      <c r="B441" s="58" t="n"/>
      <c r="C441" s="56" t="n"/>
      <c r="D441" s="58" t="n"/>
      <c r="E441" s="56" t="n"/>
      <c r="F441" s="58" t="n"/>
      <c r="G441" s="56" t="n"/>
      <c r="H441" s="58" t="n"/>
      <c r="I441" s="56" t="n"/>
      <c r="J441" s="58" t="n"/>
      <c r="K441" s="56" t="inlineStr">
        <is>
          <t>Eda Ayaz</t>
        </is>
      </c>
      <c r="L441" s="65" t="n"/>
      <c r="M441" s="3" t="n"/>
      <c r="N441" s="3" t="n"/>
      <c r="O441" s="3" t="n"/>
      <c r="P441" s="3" t="n"/>
      <c r="Q441" s="3" t="n"/>
      <c r="R441" s="3" t="n"/>
      <c r="S441" s="3" t="n"/>
      <c r="T441" s="3" t="n"/>
    </row>
    <row r="442" ht="15" customHeight="1">
      <c r="A442" s="56" t="n"/>
      <c r="B442" s="58" t="n"/>
      <c r="C442" s="56" t="n"/>
      <c r="D442" s="58" t="n"/>
      <c r="E442" s="56" t="n"/>
      <c r="F442" s="58" t="n"/>
      <c r="G442" s="56" t="n"/>
      <c r="H442" s="58" t="n"/>
      <c r="I442" s="56" t="n"/>
      <c r="J442" s="58" t="n"/>
      <c r="K442" s="56" t="inlineStr">
        <is>
          <t>Eda Ayaz</t>
        </is>
      </c>
      <c r="L442" s="65" t="n"/>
      <c r="M442" s="3" t="n"/>
      <c r="N442" s="3" t="n"/>
      <c r="O442" s="3" t="n"/>
      <c r="P442" s="3" t="n"/>
      <c r="Q442" s="3" t="n"/>
      <c r="R442" s="3" t="n"/>
      <c r="S442" s="3" t="n"/>
      <c r="T442" s="3" t="n"/>
    </row>
    <row r="443" ht="15" customHeight="1">
      <c r="A443" s="56" t="n"/>
      <c r="B443" s="58" t="n"/>
      <c r="C443" s="56" t="n"/>
      <c r="D443" s="58" t="n"/>
      <c r="E443" s="56" t="n"/>
      <c r="F443" s="58" t="n"/>
      <c r="G443" s="56" t="n"/>
      <c r="H443" s="58" t="n"/>
      <c r="I443" s="56" t="n"/>
      <c r="J443" s="58" t="n"/>
      <c r="K443" s="56" t="inlineStr">
        <is>
          <t>Eda Ayaz</t>
        </is>
      </c>
      <c r="L443" s="65" t="n"/>
      <c r="M443" s="3" t="n"/>
      <c r="N443" s="3" t="n"/>
      <c r="O443" s="3" t="n"/>
      <c r="P443" s="3" t="n"/>
      <c r="Q443" s="3" t="n"/>
      <c r="R443" s="3" t="n"/>
      <c r="S443" s="3" t="n"/>
      <c r="T443" s="3" t="n"/>
    </row>
    <row r="444" ht="15" customHeight="1">
      <c r="A444" s="56" t="n"/>
      <c r="B444" s="58" t="n"/>
      <c r="C444" s="56" t="n"/>
      <c r="D444" s="58" t="n"/>
      <c r="E444" s="56" t="n"/>
      <c r="F444" s="58" t="n"/>
      <c r="G444" s="56" t="n"/>
      <c r="H444" s="58" t="n"/>
      <c r="I444" s="56" t="n"/>
      <c r="J444" s="58" t="n"/>
      <c r="K444" s="56" t="inlineStr">
        <is>
          <t>Eda Ayaz</t>
        </is>
      </c>
      <c r="L444" s="65" t="n"/>
      <c r="M444" s="3" t="n"/>
      <c r="N444" s="3" t="n"/>
      <c r="O444" s="3" t="n"/>
      <c r="P444" s="3" t="n"/>
      <c r="Q444" s="3" t="n"/>
      <c r="R444" s="3" t="n"/>
      <c r="S444" s="3" t="n"/>
      <c r="T444" s="3" t="n"/>
    </row>
    <row r="445" ht="15" customHeight="1">
      <c r="A445" s="56" t="n"/>
      <c r="B445" s="58" t="n"/>
      <c r="C445" s="56" t="n"/>
      <c r="D445" s="58" t="n"/>
      <c r="E445" s="56" t="n"/>
      <c r="F445" s="58" t="n"/>
      <c r="G445" s="56" t="n"/>
      <c r="H445" s="58" t="n"/>
      <c r="I445" s="56" t="n"/>
      <c r="J445" s="58" t="n"/>
      <c r="K445" s="56" t="inlineStr">
        <is>
          <t>Eda Ayaz</t>
        </is>
      </c>
      <c r="L445" s="65" t="n"/>
      <c r="M445" s="3" t="n"/>
      <c r="N445" s="3" t="n"/>
      <c r="O445" s="3" t="n"/>
      <c r="P445" s="3" t="n"/>
      <c r="Q445" s="3" t="n"/>
      <c r="R445" s="3" t="n"/>
      <c r="S445" s="3" t="n"/>
      <c r="T445" s="3" t="n"/>
    </row>
    <row r="446" ht="15" customHeight="1">
      <c r="A446" s="56" t="n"/>
      <c r="B446" s="58" t="n"/>
      <c r="C446" s="56" t="n"/>
      <c r="D446" s="58" t="n"/>
      <c r="E446" s="56" t="n"/>
      <c r="F446" s="58" t="n"/>
      <c r="G446" s="56" t="n"/>
      <c r="H446" s="58" t="n"/>
      <c r="I446" s="56" t="n"/>
      <c r="J446" s="58" t="n"/>
      <c r="K446" s="56" t="inlineStr">
        <is>
          <t>Eda Ayaz</t>
        </is>
      </c>
      <c r="L446" s="65" t="n"/>
      <c r="M446" s="3" t="n"/>
      <c r="N446" s="3" t="n"/>
      <c r="O446" s="3" t="n"/>
      <c r="P446" s="3" t="n"/>
      <c r="Q446" s="3" t="n"/>
      <c r="R446" s="3" t="n"/>
      <c r="S446" s="3" t="n"/>
      <c r="T446" s="3" t="n"/>
    </row>
    <row r="447" ht="15" customHeight="1">
      <c r="A447" s="56" t="n"/>
      <c r="B447" s="58" t="n"/>
      <c r="C447" s="56" t="n"/>
      <c r="D447" s="58" t="n"/>
      <c r="E447" s="56" t="n"/>
      <c r="F447" s="58" t="n"/>
      <c r="G447" s="56" t="n"/>
      <c r="H447" s="58" t="n"/>
      <c r="I447" s="56" t="n"/>
      <c r="J447" s="58" t="n"/>
      <c r="K447" s="56" t="inlineStr">
        <is>
          <t>Eda Ayaz</t>
        </is>
      </c>
      <c r="L447" s="65" t="n"/>
      <c r="M447" s="3" t="n"/>
      <c r="N447" s="3" t="n"/>
      <c r="O447" s="3" t="n"/>
      <c r="P447" s="3" t="n"/>
      <c r="Q447" s="3" t="n"/>
      <c r="R447" s="3" t="n"/>
      <c r="S447" s="3" t="n"/>
      <c r="T447" s="3" t="n"/>
    </row>
    <row r="448" ht="15" customHeight="1">
      <c r="A448" s="56" t="n"/>
      <c r="B448" s="58" t="n"/>
      <c r="C448" s="56" t="n"/>
      <c r="D448" s="58" t="n"/>
      <c r="E448" s="56" t="n"/>
      <c r="F448" s="58" t="n"/>
      <c r="G448" s="56" t="n"/>
      <c r="H448" s="58" t="n"/>
      <c r="I448" s="56" t="n"/>
      <c r="J448" s="58" t="n"/>
      <c r="K448" s="56" t="inlineStr">
        <is>
          <t>Eda Ayaz</t>
        </is>
      </c>
      <c r="L448" s="65" t="n"/>
      <c r="M448" s="3" t="n"/>
      <c r="N448" s="3" t="n"/>
      <c r="O448" s="3" t="n"/>
      <c r="P448" s="3" t="n"/>
      <c r="Q448" s="3" t="n"/>
      <c r="R448" s="3" t="n"/>
      <c r="S448" s="3" t="n"/>
      <c r="T448" s="3" t="n"/>
    </row>
    <row r="449" ht="15" customHeight="1">
      <c r="A449" s="56" t="n"/>
      <c r="B449" s="58" t="n"/>
      <c r="C449" s="56" t="n"/>
      <c r="D449" s="58" t="n"/>
      <c r="E449" s="56" t="n"/>
      <c r="F449" s="58" t="n"/>
      <c r="G449" s="56" t="n"/>
      <c r="H449" s="58" t="n"/>
      <c r="I449" s="56" t="n"/>
      <c r="J449" s="58" t="n"/>
      <c r="K449" s="56" t="inlineStr">
        <is>
          <t>Eda Ayaz</t>
        </is>
      </c>
      <c r="L449" s="65" t="n"/>
      <c r="M449" s="3" t="n"/>
      <c r="N449" s="3" t="n"/>
      <c r="O449" s="3" t="n"/>
      <c r="P449" s="3" t="n"/>
      <c r="Q449" s="3" t="n"/>
      <c r="R449" s="3" t="n"/>
      <c r="S449" s="3" t="n"/>
      <c r="T449" s="3" t="n"/>
    </row>
    <row r="450" ht="15" customHeight="1">
      <c r="A450" s="56" t="n"/>
      <c r="B450" s="58" t="n"/>
      <c r="C450" s="56" t="n"/>
      <c r="D450" s="58" t="n"/>
      <c r="E450" s="56" t="n"/>
      <c r="F450" s="58" t="n"/>
      <c r="G450" s="56" t="n"/>
      <c r="H450" s="58" t="n"/>
      <c r="I450" s="56" t="n"/>
      <c r="J450" s="58" t="n"/>
      <c r="K450" s="56" t="inlineStr">
        <is>
          <t>Eda Ayaz</t>
        </is>
      </c>
      <c r="L450" s="65" t="n"/>
      <c r="M450" s="3" t="n"/>
      <c r="N450" s="3" t="n"/>
      <c r="O450" s="3" t="n"/>
      <c r="P450" s="3" t="n"/>
      <c r="Q450" s="3" t="n"/>
      <c r="R450" s="3" t="n"/>
      <c r="S450" s="3" t="n"/>
      <c r="T450" s="3" t="n"/>
    </row>
    <row r="451" ht="15" customHeight="1">
      <c r="A451" s="56" t="n"/>
      <c r="B451" s="58" t="n"/>
      <c r="C451" s="56" t="n"/>
      <c r="D451" s="58" t="n"/>
      <c r="E451" s="56" t="n"/>
      <c r="F451" s="58" t="n"/>
      <c r="G451" s="56" t="n"/>
      <c r="H451" s="58" t="n"/>
      <c r="I451" s="56" t="n"/>
      <c r="J451" s="58" t="n"/>
      <c r="K451" s="56" t="inlineStr">
        <is>
          <t>Eda Ayaz</t>
        </is>
      </c>
      <c r="L451" s="65" t="n"/>
      <c r="M451" s="3" t="n"/>
      <c r="N451" s="3" t="n"/>
      <c r="O451" s="3" t="n"/>
      <c r="P451" s="3" t="n"/>
      <c r="Q451" s="3" t="n"/>
      <c r="R451" s="3" t="n"/>
      <c r="S451" s="3" t="n"/>
      <c r="T451" s="3" t="n"/>
    </row>
    <row r="452" ht="15" customHeight="1">
      <c r="A452" s="56" t="n"/>
      <c r="B452" s="58" t="n"/>
      <c r="C452" s="56" t="n"/>
      <c r="D452" s="58" t="n"/>
      <c r="E452" s="56" t="n"/>
      <c r="F452" s="58" t="n"/>
      <c r="G452" s="56" t="n"/>
      <c r="H452" s="58" t="n"/>
      <c r="I452" s="56" t="n"/>
      <c r="J452" s="58" t="n"/>
      <c r="K452" s="56" t="inlineStr">
        <is>
          <t>Eda Ayaz</t>
        </is>
      </c>
      <c r="L452" s="65" t="n"/>
      <c r="M452" s="3" t="n"/>
      <c r="N452" s="3" t="n"/>
      <c r="O452" s="3" t="n"/>
      <c r="P452" s="3" t="n"/>
      <c r="Q452" s="3" t="n"/>
      <c r="R452" s="3" t="n"/>
      <c r="S452" s="3" t="n"/>
      <c r="T452" s="3" t="n"/>
    </row>
    <row r="453" ht="15" customHeight="1">
      <c r="A453" s="56" t="n"/>
      <c r="B453" s="58" t="n"/>
      <c r="C453" s="56" t="n"/>
      <c r="D453" s="58" t="n"/>
      <c r="E453" s="56" t="n"/>
      <c r="F453" s="58" t="n"/>
      <c r="G453" s="56" t="n"/>
      <c r="H453" s="58" t="n"/>
      <c r="I453" s="56" t="n"/>
      <c r="J453" s="58" t="n"/>
      <c r="K453" s="56" t="inlineStr">
        <is>
          <t>Eda Ayaz</t>
        </is>
      </c>
      <c r="L453" s="65" t="n"/>
      <c r="M453" s="3" t="n"/>
      <c r="N453" s="3" t="n"/>
      <c r="O453" s="3" t="n"/>
      <c r="P453" s="3" t="n"/>
      <c r="Q453" s="3" t="n"/>
      <c r="R453" s="3" t="n"/>
      <c r="S453" s="3" t="n"/>
      <c r="T453" s="3" t="n"/>
    </row>
    <row r="454" ht="15" customHeight="1">
      <c r="A454" s="56" t="n"/>
      <c r="B454" s="58" t="n"/>
      <c r="C454" s="56" t="n"/>
      <c r="D454" s="58" t="n"/>
      <c r="E454" s="56" t="n"/>
      <c r="F454" s="58" t="n"/>
      <c r="G454" s="56" t="n"/>
      <c r="H454" s="58" t="n"/>
      <c r="I454" s="56" t="n"/>
      <c r="J454" s="58" t="n"/>
      <c r="K454" s="56" t="inlineStr">
        <is>
          <t>Eda Ayaz</t>
        </is>
      </c>
      <c r="L454" s="65" t="n"/>
      <c r="M454" s="3" t="n"/>
      <c r="N454" s="3" t="n"/>
      <c r="O454" s="3" t="n"/>
      <c r="P454" s="3" t="n"/>
      <c r="Q454" s="3" t="n"/>
      <c r="R454" s="3" t="n"/>
      <c r="S454" s="3" t="n"/>
      <c r="T454" s="3" t="n"/>
    </row>
    <row r="455" ht="15" customHeight="1">
      <c r="A455" s="56" t="n"/>
      <c r="B455" s="58" t="n"/>
      <c r="C455" s="56" t="n"/>
      <c r="D455" s="58" t="n"/>
      <c r="E455" s="56" t="n"/>
      <c r="F455" s="58" t="n"/>
      <c r="G455" s="56" t="n"/>
      <c r="H455" s="58" t="n"/>
      <c r="I455" s="56" t="n"/>
      <c r="J455" s="58" t="n"/>
      <c r="K455" s="56" t="inlineStr">
        <is>
          <t>Eda Ayaz</t>
        </is>
      </c>
      <c r="L455" s="65" t="n"/>
      <c r="M455" s="3" t="n"/>
      <c r="N455" s="3" t="n"/>
      <c r="O455" s="3" t="n"/>
      <c r="P455" s="3" t="n"/>
      <c r="Q455" s="3" t="n"/>
      <c r="R455" s="3" t="n"/>
      <c r="S455" s="3" t="n"/>
      <c r="T455" s="3" t="n"/>
    </row>
    <row r="456" ht="15" customHeight="1">
      <c r="A456" s="56" t="n"/>
      <c r="B456" s="58" t="n"/>
      <c r="C456" s="56" t="n"/>
      <c r="D456" s="58" t="n"/>
      <c r="E456" s="56" t="n"/>
      <c r="F456" s="58" t="n"/>
      <c r="G456" s="56" t="n"/>
      <c r="H456" s="58" t="n"/>
      <c r="I456" s="56" t="n"/>
      <c r="J456" s="58" t="n"/>
      <c r="K456" s="56" t="inlineStr">
        <is>
          <t>Eda Ayaz</t>
        </is>
      </c>
      <c r="L456" s="65" t="n"/>
      <c r="M456" s="3" t="n"/>
      <c r="N456" s="3" t="n"/>
      <c r="O456" s="3" t="n"/>
      <c r="P456" s="3" t="n"/>
      <c r="Q456" s="3" t="n"/>
      <c r="R456" s="3" t="n"/>
      <c r="S456" s="3" t="n"/>
      <c r="T456" s="3" t="n"/>
    </row>
    <row r="457" ht="15" customHeight="1">
      <c r="A457" s="56" t="n"/>
      <c r="B457" s="58" t="n"/>
      <c r="C457" s="56" t="n"/>
      <c r="D457" s="58" t="n"/>
      <c r="E457" s="56" t="n"/>
      <c r="F457" s="58" t="n"/>
      <c r="G457" s="56" t="n"/>
      <c r="H457" s="58" t="n"/>
      <c r="I457" s="56" t="n"/>
      <c r="J457" s="58" t="n"/>
      <c r="K457" s="56" t="inlineStr">
        <is>
          <t>Eda Ayaz</t>
        </is>
      </c>
      <c r="L457" s="65" t="n"/>
      <c r="M457" s="3" t="n"/>
      <c r="N457" s="3" t="n"/>
      <c r="O457" s="3" t="n"/>
      <c r="P457" s="3" t="n"/>
      <c r="Q457" s="3" t="n"/>
      <c r="R457" s="3" t="n"/>
      <c r="S457" s="3" t="n"/>
      <c r="T457" s="3" t="n"/>
    </row>
    <row r="458" ht="15" customHeight="1">
      <c r="A458" s="56" t="n"/>
      <c r="B458" s="58" t="n"/>
      <c r="C458" s="56" t="n"/>
      <c r="D458" s="58" t="n"/>
      <c r="E458" s="56" t="n"/>
      <c r="F458" s="58" t="n"/>
      <c r="G458" s="56" t="n"/>
      <c r="H458" s="58" t="n"/>
      <c r="I458" s="56" t="n"/>
      <c r="J458" s="58" t="n"/>
      <c r="K458" s="56" t="inlineStr">
        <is>
          <t>Eda Ayaz</t>
        </is>
      </c>
      <c r="L458" s="65" t="n"/>
      <c r="M458" s="3" t="n"/>
      <c r="N458" s="3" t="n"/>
      <c r="O458" s="3" t="n"/>
      <c r="P458" s="3" t="n"/>
      <c r="Q458" s="3" t="n"/>
      <c r="R458" s="3" t="n"/>
      <c r="S458" s="3" t="n"/>
      <c r="T458" s="3" t="n"/>
    </row>
    <row r="459" ht="15" customHeight="1">
      <c r="A459" s="56" t="n"/>
      <c r="B459" s="58" t="n"/>
      <c r="C459" s="56" t="n"/>
      <c r="D459" s="58" t="n"/>
      <c r="E459" s="56" t="n"/>
      <c r="F459" s="58" t="n"/>
      <c r="G459" s="56" t="n"/>
      <c r="H459" s="58" t="n"/>
      <c r="I459" s="56" t="n"/>
      <c r="J459" s="58" t="n"/>
      <c r="K459" s="56" t="inlineStr">
        <is>
          <t>Eda Ayaz</t>
        </is>
      </c>
      <c r="L459" s="65" t="n"/>
      <c r="M459" s="3" t="n"/>
      <c r="N459" s="3" t="n"/>
      <c r="O459" s="3" t="n"/>
      <c r="P459" s="3" t="n"/>
      <c r="Q459" s="3" t="n"/>
      <c r="R459" s="3" t="n"/>
      <c r="S459" s="3" t="n"/>
      <c r="T459" s="3" t="n"/>
    </row>
    <row r="460" ht="15" customHeight="1">
      <c r="A460" s="56" t="n"/>
      <c r="B460" s="58" t="n"/>
      <c r="C460" s="56" t="n"/>
      <c r="D460" s="58" t="n"/>
      <c r="E460" s="56" t="n"/>
      <c r="F460" s="58" t="n"/>
      <c r="G460" s="56" t="n"/>
      <c r="H460" s="58" t="n"/>
      <c r="I460" s="56" t="n"/>
      <c r="J460" s="58" t="n"/>
      <c r="K460" s="56" t="inlineStr">
        <is>
          <t>Eda Ayaz</t>
        </is>
      </c>
      <c r="L460" s="65" t="n"/>
      <c r="M460" s="3" t="n"/>
      <c r="N460" s="3" t="n"/>
      <c r="O460" s="3" t="n"/>
      <c r="P460" s="3" t="n"/>
      <c r="Q460" s="3" t="n"/>
      <c r="R460" s="3" t="n"/>
      <c r="S460" s="3" t="n"/>
      <c r="T460" s="3" t="n"/>
    </row>
    <row r="461" ht="15" customHeight="1">
      <c r="A461" s="56" t="n"/>
      <c r="B461" s="58" t="n"/>
      <c r="C461" s="56" t="n"/>
      <c r="D461" s="58" t="n"/>
      <c r="E461" s="56" t="n"/>
      <c r="F461" s="58" t="n"/>
      <c r="G461" s="56" t="n"/>
      <c r="H461" s="58" t="n"/>
      <c r="I461" s="56" t="n"/>
      <c r="J461" s="58" t="n"/>
      <c r="K461" s="56" t="inlineStr">
        <is>
          <t>Eda Ayaz</t>
        </is>
      </c>
      <c r="L461" s="65" t="n"/>
      <c r="M461" s="3" t="n"/>
      <c r="N461" s="3" t="n"/>
      <c r="O461" s="3" t="n"/>
      <c r="P461" s="3" t="n"/>
      <c r="Q461" s="3" t="n"/>
      <c r="R461" s="3" t="n"/>
      <c r="S461" s="3" t="n"/>
      <c r="T461" s="3" t="n"/>
    </row>
    <row r="462" ht="15" customHeight="1">
      <c r="A462" s="56" t="n"/>
      <c r="B462" s="58" t="n"/>
      <c r="C462" s="56" t="n"/>
      <c r="D462" s="58" t="n"/>
      <c r="E462" s="56" t="n"/>
      <c r="F462" s="58" t="n"/>
      <c r="G462" s="56" t="n"/>
      <c r="H462" s="58" t="n"/>
      <c r="I462" s="56" t="n"/>
      <c r="J462" s="58" t="n"/>
      <c r="K462" s="56" t="inlineStr">
        <is>
          <t>Eda Ayaz</t>
        </is>
      </c>
      <c r="L462" s="65" t="n"/>
      <c r="M462" s="3" t="n"/>
      <c r="N462" s="3" t="n"/>
      <c r="O462" s="3" t="n"/>
      <c r="P462" s="3" t="n"/>
      <c r="Q462" s="3" t="n"/>
      <c r="R462" s="3" t="n"/>
      <c r="S462" s="3" t="n"/>
      <c r="T462" s="3" t="n"/>
    </row>
    <row r="463" ht="15" customHeight="1">
      <c r="A463" s="56" t="n"/>
      <c r="B463" s="58" t="n"/>
      <c r="C463" s="56" t="n"/>
      <c r="D463" s="58" t="n"/>
      <c r="E463" s="56" t="n"/>
      <c r="F463" s="58" t="n"/>
      <c r="G463" s="56" t="n"/>
      <c r="H463" s="58" t="n"/>
      <c r="I463" s="56" t="n"/>
      <c r="J463" s="58" t="n"/>
      <c r="K463" s="56" t="inlineStr">
        <is>
          <t>Eda Ayaz</t>
        </is>
      </c>
      <c r="L463" s="65" t="n"/>
      <c r="M463" s="3" t="n"/>
      <c r="N463" s="3" t="n"/>
      <c r="O463" s="3" t="n"/>
      <c r="P463" s="3" t="n"/>
      <c r="Q463" s="3" t="n"/>
      <c r="R463" s="3" t="n"/>
      <c r="S463" s="3" t="n"/>
      <c r="T463" s="3" t="n"/>
    </row>
    <row r="464" ht="15" customHeight="1">
      <c r="A464" s="56" t="n"/>
      <c r="B464" s="58" t="n"/>
      <c r="C464" s="56" t="n"/>
      <c r="D464" s="58" t="n"/>
      <c r="E464" s="56" t="n"/>
      <c r="F464" s="58" t="n"/>
      <c r="G464" s="56" t="n"/>
      <c r="H464" s="58" t="n"/>
      <c r="I464" s="56" t="n"/>
      <c r="J464" s="58" t="n"/>
      <c r="K464" s="56" t="inlineStr">
        <is>
          <t>Eda Ayaz</t>
        </is>
      </c>
      <c r="L464" s="65" t="n"/>
      <c r="M464" s="3" t="n"/>
      <c r="N464" s="3" t="n"/>
      <c r="O464" s="3" t="n"/>
      <c r="P464" s="3" t="n"/>
      <c r="Q464" s="3" t="n"/>
      <c r="R464" s="3" t="n"/>
      <c r="S464" s="3" t="n"/>
      <c r="T464" s="3" t="n"/>
    </row>
    <row r="465" ht="15" customHeight="1">
      <c r="A465" s="56" t="n"/>
      <c r="B465" s="58" t="n"/>
      <c r="C465" s="56" t="n"/>
      <c r="D465" s="58" t="n"/>
      <c r="E465" s="56" t="n"/>
      <c r="F465" s="58" t="n"/>
      <c r="G465" s="56" t="n"/>
      <c r="H465" s="58" t="n"/>
      <c r="I465" s="56" t="n"/>
      <c r="J465" s="58" t="n"/>
      <c r="K465" s="56" t="inlineStr">
        <is>
          <t>Eda Ayaz</t>
        </is>
      </c>
      <c r="L465" s="65" t="n"/>
      <c r="M465" s="3" t="n"/>
      <c r="N465" s="3" t="n"/>
      <c r="O465" s="3" t="n"/>
      <c r="P465" s="3" t="n"/>
      <c r="Q465" s="3" t="n"/>
      <c r="R465" s="3" t="n"/>
      <c r="S465" s="3" t="n"/>
      <c r="T465" s="3" t="n"/>
    </row>
    <row r="466" ht="15" customHeight="1">
      <c r="A466" s="56" t="n"/>
      <c r="B466" s="58" t="n"/>
      <c r="C466" s="56" t="n"/>
      <c r="D466" s="58" t="n"/>
      <c r="E466" s="56" t="n"/>
      <c r="F466" s="58" t="n"/>
      <c r="G466" s="56" t="n"/>
      <c r="H466" s="58" t="n"/>
      <c r="I466" s="56" t="n"/>
      <c r="J466" s="58" t="n"/>
      <c r="K466" s="56" t="inlineStr">
        <is>
          <t>Eda Ayaz</t>
        </is>
      </c>
      <c r="L466" s="65" t="n"/>
      <c r="M466" s="3" t="n"/>
      <c r="N466" s="3" t="n"/>
      <c r="O466" s="3" t="n"/>
      <c r="P466" s="3" t="n"/>
      <c r="Q466" s="3" t="n"/>
      <c r="R466" s="3" t="n"/>
      <c r="S466" s="3" t="n"/>
      <c r="T466" s="3" t="n"/>
    </row>
    <row r="467" ht="15" customHeight="1">
      <c r="A467" s="56" t="n"/>
      <c r="B467" s="58" t="n"/>
      <c r="C467" s="56" t="n"/>
      <c r="D467" s="58" t="n"/>
      <c r="E467" s="56" t="n"/>
      <c r="F467" s="58" t="n"/>
      <c r="G467" s="56" t="n"/>
      <c r="H467" s="58" t="n"/>
      <c r="I467" s="56" t="n"/>
      <c r="J467" s="58" t="n"/>
      <c r="K467" s="56" t="inlineStr">
        <is>
          <t>Eda Ayaz</t>
        </is>
      </c>
      <c r="L467" s="65" t="n"/>
      <c r="M467" s="3" t="n"/>
      <c r="N467" s="3" t="n"/>
      <c r="O467" s="3" t="n"/>
      <c r="P467" s="3" t="n"/>
      <c r="Q467" s="3" t="n"/>
      <c r="R467" s="3" t="n"/>
      <c r="S467" s="3" t="n"/>
      <c r="T467" s="3" t="n"/>
    </row>
    <row r="468" ht="15" customHeight="1">
      <c r="A468" s="56" t="n"/>
      <c r="B468" s="58" t="n"/>
      <c r="C468" s="56" t="n"/>
      <c r="D468" s="58" t="n"/>
      <c r="E468" s="56" t="n"/>
      <c r="F468" s="58" t="n"/>
      <c r="G468" s="56" t="n"/>
      <c r="H468" s="58" t="n"/>
      <c r="I468" s="56" t="n"/>
      <c r="J468" s="58" t="n"/>
      <c r="K468" s="56" t="inlineStr">
        <is>
          <t>Eda Ayaz</t>
        </is>
      </c>
      <c r="L468" s="65" t="n"/>
      <c r="M468" s="3" t="n"/>
      <c r="N468" s="3" t="n"/>
      <c r="O468" s="3" t="n"/>
      <c r="P468" s="3" t="n"/>
      <c r="Q468" s="3" t="n"/>
      <c r="R468" s="3" t="n"/>
      <c r="S468" s="3" t="n"/>
      <c r="T468" s="3" t="n"/>
    </row>
    <row r="469" ht="15" customHeight="1">
      <c r="A469" s="56" t="n"/>
      <c r="B469" s="58" t="n"/>
      <c r="C469" s="56" t="n"/>
      <c r="D469" s="58" t="n"/>
      <c r="E469" s="56" t="n"/>
      <c r="F469" s="58" t="n"/>
      <c r="G469" s="56" t="n"/>
      <c r="H469" s="58" t="n"/>
      <c r="I469" s="56" t="n"/>
      <c r="J469" s="58" t="n"/>
      <c r="K469" s="56" t="inlineStr">
        <is>
          <t>Eda Ayaz</t>
        </is>
      </c>
      <c r="L469" s="65" t="n"/>
      <c r="M469" s="3" t="n"/>
      <c r="N469" s="3" t="n"/>
      <c r="O469" s="3" t="n"/>
      <c r="P469" s="3" t="n"/>
      <c r="Q469" s="3" t="n"/>
      <c r="R469" s="3" t="n"/>
      <c r="S469" s="3" t="n"/>
      <c r="T469" s="3" t="n"/>
    </row>
    <row r="470" ht="15" customHeight="1">
      <c r="A470" s="56" t="n"/>
      <c r="B470" s="58" t="n"/>
      <c r="C470" s="56" t="n"/>
      <c r="D470" s="58" t="n"/>
      <c r="E470" s="56" t="n"/>
      <c r="F470" s="58" t="n"/>
      <c r="G470" s="56" t="n"/>
      <c r="H470" s="58" t="n"/>
      <c r="I470" s="56" t="n"/>
      <c r="J470" s="58" t="n"/>
      <c r="K470" s="56" t="inlineStr">
        <is>
          <t>Eda Ayaz</t>
        </is>
      </c>
      <c r="L470" s="65" t="n"/>
      <c r="M470" s="3" t="n"/>
      <c r="N470" s="3" t="n"/>
      <c r="O470" s="3" t="n"/>
      <c r="P470" s="3" t="n"/>
      <c r="Q470" s="3" t="n"/>
      <c r="R470" s="3" t="n"/>
      <c r="S470" s="3" t="n"/>
      <c r="T470" s="3" t="n"/>
    </row>
    <row r="471" ht="15" customHeight="1">
      <c r="A471" s="56" t="n"/>
      <c r="B471" s="58" t="n"/>
      <c r="C471" s="56" t="n"/>
      <c r="D471" s="58" t="n"/>
      <c r="E471" s="56" t="n"/>
      <c r="F471" s="58" t="n"/>
      <c r="G471" s="56" t="n"/>
      <c r="H471" s="58" t="n"/>
      <c r="I471" s="56" t="n"/>
      <c r="J471" s="58" t="n"/>
      <c r="K471" s="56" t="inlineStr">
        <is>
          <t>Eda Ayaz</t>
        </is>
      </c>
      <c r="L471" s="65" t="n"/>
      <c r="M471" s="3" t="n"/>
      <c r="N471" s="3" t="n"/>
      <c r="O471" s="3" t="n"/>
      <c r="P471" s="3" t="n"/>
      <c r="Q471" s="3" t="n"/>
      <c r="R471" s="3" t="n"/>
      <c r="S471" s="3" t="n"/>
      <c r="T471" s="3" t="n"/>
    </row>
    <row r="472" ht="15" customHeight="1">
      <c r="A472" s="56" t="n"/>
      <c r="B472" s="58" t="n"/>
      <c r="C472" s="56" t="n"/>
      <c r="D472" s="58" t="n"/>
      <c r="E472" s="56" t="n"/>
      <c r="F472" s="58" t="n"/>
      <c r="G472" s="56" t="n"/>
      <c r="H472" s="58" t="n"/>
      <c r="I472" s="56" t="n"/>
      <c r="J472" s="58" t="n"/>
      <c r="K472" s="56" t="inlineStr">
        <is>
          <t>Eda Ayaz</t>
        </is>
      </c>
      <c r="L472" s="65" t="n"/>
      <c r="M472" s="3" t="n"/>
      <c r="N472" s="3" t="n"/>
      <c r="O472" s="3" t="n"/>
      <c r="P472" s="3" t="n"/>
      <c r="Q472" s="3" t="n"/>
      <c r="R472" s="3" t="n"/>
      <c r="S472" s="3" t="n"/>
      <c r="T472" s="3" t="n"/>
    </row>
    <row r="473" ht="15" customHeight="1">
      <c r="A473" s="56" t="n"/>
      <c r="B473" s="58" t="n"/>
      <c r="C473" s="56" t="n"/>
      <c r="D473" s="58" t="n"/>
      <c r="E473" s="56" t="n"/>
      <c r="F473" s="58" t="n"/>
      <c r="G473" s="56" t="n"/>
      <c r="H473" s="58" t="n"/>
      <c r="I473" s="56" t="n"/>
      <c r="J473" s="58" t="n"/>
      <c r="K473" s="56" t="inlineStr">
        <is>
          <t>Eda Ayaz</t>
        </is>
      </c>
      <c r="L473" s="65" t="n"/>
      <c r="M473" s="3" t="n"/>
      <c r="N473" s="3" t="n"/>
      <c r="O473" s="3" t="n"/>
      <c r="P473" s="3" t="n"/>
      <c r="Q473" s="3" t="n"/>
      <c r="R473" s="3" t="n"/>
      <c r="S473" s="3" t="n"/>
      <c r="T473" s="3" t="n"/>
    </row>
    <row r="474" ht="15" customHeight="1">
      <c r="A474" s="56" t="n"/>
      <c r="B474" s="58" t="n"/>
      <c r="C474" s="56" t="n"/>
      <c r="D474" s="58" t="n"/>
      <c r="E474" s="56" t="n"/>
      <c r="F474" s="58" t="n"/>
      <c r="G474" s="56" t="n"/>
      <c r="H474" s="58" t="n"/>
      <c r="I474" s="56" t="n"/>
      <c r="J474" s="58" t="n"/>
      <c r="K474" s="56" t="inlineStr">
        <is>
          <t>Eda Ayaz</t>
        </is>
      </c>
      <c r="L474" s="65" t="n"/>
      <c r="M474" s="3" t="n"/>
      <c r="N474" s="3" t="n"/>
      <c r="O474" s="3" t="n"/>
      <c r="P474" s="3" t="n"/>
      <c r="Q474" s="3" t="n"/>
      <c r="R474" s="3" t="n"/>
      <c r="S474" s="3" t="n"/>
      <c r="T474" s="3" t="n"/>
    </row>
    <row r="475" ht="15" customHeight="1">
      <c r="A475" s="56" t="n"/>
      <c r="B475" s="58" t="n"/>
      <c r="C475" s="56" t="n"/>
      <c r="D475" s="58" t="n"/>
      <c r="E475" s="56" t="n"/>
      <c r="F475" s="58" t="n"/>
      <c r="G475" s="56" t="n"/>
      <c r="H475" s="58" t="n"/>
      <c r="I475" s="56" t="n"/>
      <c r="J475" s="58" t="n"/>
      <c r="K475" s="56" t="inlineStr">
        <is>
          <t>Eda Ayaz</t>
        </is>
      </c>
      <c r="L475" s="65" t="n"/>
      <c r="M475" s="3" t="n"/>
      <c r="N475" s="3" t="n"/>
      <c r="O475" s="3" t="n"/>
      <c r="P475" s="3" t="n"/>
      <c r="Q475" s="3" t="n"/>
      <c r="R475" s="3" t="n"/>
      <c r="S475" s="3" t="n"/>
      <c r="T475" s="3" t="n"/>
    </row>
    <row r="476" ht="15" customHeight="1">
      <c r="A476" s="56" t="n"/>
      <c r="B476" s="58" t="n"/>
      <c r="C476" s="56" t="n"/>
      <c r="D476" s="58" t="n"/>
      <c r="E476" s="56" t="n"/>
      <c r="F476" s="58" t="n"/>
      <c r="G476" s="56" t="n"/>
      <c r="H476" s="58" t="n"/>
      <c r="I476" s="56" t="n"/>
      <c r="J476" s="58" t="n"/>
      <c r="K476" s="56" t="inlineStr">
        <is>
          <t>Eda Ayaz</t>
        </is>
      </c>
      <c r="L476" s="65" t="n"/>
      <c r="M476" s="3" t="n"/>
      <c r="N476" s="3" t="n"/>
      <c r="O476" s="3" t="n"/>
      <c r="P476" s="3" t="n"/>
      <c r="Q476" s="3" t="n"/>
      <c r="R476" s="3" t="n"/>
      <c r="S476" s="3" t="n"/>
      <c r="T476" s="3" t="n"/>
    </row>
    <row r="477" ht="15" customHeight="1">
      <c r="A477" s="56" t="n"/>
      <c r="B477" s="58" t="n"/>
      <c r="C477" s="56" t="n"/>
      <c r="D477" s="58" t="n"/>
      <c r="E477" s="56" t="n"/>
      <c r="F477" s="58" t="n"/>
      <c r="G477" s="56" t="n"/>
      <c r="H477" s="58" t="n"/>
      <c r="I477" s="56" t="n"/>
      <c r="J477" s="58" t="n"/>
      <c r="K477" s="56" t="inlineStr">
        <is>
          <t>Eda Ayaz</t>
        </is>
      </c>
      <c r="L477" s="65" t="n"/>
      <c r="M477" s="3" t="n"/>
      <c r="N477" s="3" t="n"/>
      <c r="O477" s="3" t="n"/>
      <c r="P477" s="3" t="n"/>
      <c r="Q477" s="3" t="n"/>
      <c r="R477" s="3" t="n"/>
      <c r="S477" s="3" t="n"/>
      <c r="T477" s="3" t="n"/>
    </row>
    <row r="478" ht="15" customHeight="1">
      <c r="A478" s="56" t="n"/>
      <c r="B478" s="58" t="n"/>
      <c r="C478" s="56" t="n"/>
      <c r="D478" s="58" t="n"/>
      <c r="E478" s="56" t="n"/>
      <c r="F478" s="58" t="n"/>
      <c r="G478" s="56" t="n"/>
      <c r="H478" s="58" t="n"/>
      <c r="I478" s="56" t="n"/>
      <c r="J478" s="58" t="n"/>
      <c r="K478" s="56" t="inlineStr">
        <is>
          <t>Eda Ayaz</t>
        </is>
      </c>
      <c r="L478" s="65" t="n"/>
      <c r="M478" s="3" t="n"/>
      <c r="N478" s="3" t="n"/>
      <c r="O478" s="3" t="n"/>
      <c r="P478" s="3" t="n"/>
      <c r="Q478" s="3" t="n"/>
      <c r="R478" s="3" t="n"/>
      <c r="S478" s="3" t="n"/>
      <c r="T478" s="3" t="n"/>
    </row>
    <row r="479" ht="15" customHeight="1">
      <c r="A479" s="56" t="n"/>
      <c r="B479" s="58" t="n"/>
      <c r="C479" s="56" t="n"/>
      <c r="D479" s="58" t="n"/>
      <c r="E479" s="56" t="n"/>
      <c r="F479" s="58" t="n"/>
      <c r="G479" s="56" t="n"/>
      <c r="H479" s="58" t="n"/>
      <c r="I479" s="56" t="n"/>
      <c r="J479" s="58" t="n"/>
      <c r="K479" s="56" t="inlineStr">
        <is>
          <t>Eda Ayaz</t>
        </is>
      </c>
      <c r="L479" s="65" t="n"/>
      <c r="M479" s="3" t="n"/>
      <c r="N479" s="3" t="n"/>
      <c r="O479" s="3" t="n"/>
      <c r="P479" s="3" t="n"/>
      <c r="Q479" s="3" t="n"/>
      <c r="R479" s="3" t="n"/>
      <c r="S479" s="3" t="n"/>
      <c r="T479" s="3" t="n"/>
    </row>
    <row r="480" ht="15" customHeight="1">
      <c r="A480" s="56" t="n"/>
      <c r="B480" s="58" t="n"/>
      <c r="C480" s="56" t="n"/>
      <c r="D480" s="58" t="n"/>
      <c r="E480" s="56" t="n"/>
      <c r="F480" s="58" t="n"/>
      <c r="G480" s="56" t="n"/>
      <c r="H480" s="58" t="n"/>
      <c r="I480" s="56" t="n"/>
      <c r="J480" s="58" t="n"/>
      <c r="K480" s="56" t="inlineStr">
        <is>
          <t>Eda Ayaz</t>
        </is>
      </c>
      <c r="L480" s="65" t="n"/>
      <c r="M480" s="3" t="n"/>
      <c r="N480" s="3" t="n"/>
      <c r="O480" s="3" t="n"/>
      <c r="P480" s="3" t="n"/>
      <c r="Q480" s="3" t="n"/>
      <c r="R480" s="3" t="n"/>
      <c r="S480" s="3" t="n"/>
      <c r="T480" s="3" t="n"/>
    </row>
    <row r="481" ht="15" customHeight="1">
      <c r="A481" s="56" t="n"/>
      <c r="B481" s="58" t="n"/>
      <c r="C481" s="56" t="n"/>
      <c r="D481" s="58" t="n"/>
      <c r="E481" s="56" t="n"/>
      <c r="F481" s="58" t="n"/>
      <c r="G481" s="56" t="n"/>
      <c r="H481" s="58" t="n"/>
      <c r="I481" s="56" t="n"/>
      <c r="J481" s="58" t="n"/>
      <c r="K481" s="56" t="inlineStr">
        <is>
          <t>Eda Ayaz</t>
        </is>
      </c>
      <c r="L481" s="65" t="n"/>
      <c r="M481" s="3" t="n"/>
      <c r="N481" s="3" t="n"/>
      <c r="O481" s="3" t="n"/>
      <c r="P481" s="3" t="n"/>
      <c r="Q481" s="3" t="n"/>
      <c r="R481" s="3" t="n"/>
      <c r="S481" s="3" t="n"/>
      <c r="T481" s="3" t="n"/>
    </row>
    <row r="482" ht="15" customHeight="1">
      <c r="A482" s="56" t="n"/>
      <c r="B482" s="58" t="n"/>
      <c r="C482" s="56" t="n"/>
      <c r="D482" s="58" t="n"/>
      <c r="E482" s="56" t="n"/>
      <c r="F482" s="58" t="n"/>
      <c r="G482" s="56" t="n"/>
      <c r="H482" s="58" t="n"/>
      <c r="I482" s="56" t="n"/>
      <c r="J482" s="58" t="n"/>
      <c r="K482" s="56" t="inlineStr">
        <is>
          <t>Eda Ayaz</t>
        </is>
      </c>
      <c r="L482" s="65" t="n"/>
      <c r="M482" s="3" t="n"/>
      <c r="N482" s="3" t="n"/>
      <c r="O482" s="3" t="n"/>
      <c r="P482" s="3" t="n"/>
      <c r="Q482" s="3" t="n"/>
      <c r="R482" s="3" t="n"/>
      <c r="S482" s="3" t="n"/>
      <c r="T482" s="3" t="n"/>
    </row>
    <row r="483" ht="15" customHeight="1">
      <c r="A483" s="56" t="n"/>
      <c r="B483" s="58" t="n"/>
      <c r="C483" s="56" t="n"/>
      <c r="D483" s="58" t="n"/>
      <c r="E483" s="56" t="n"/>
      <c r="F483" s="58" t="n"/>
      <c r="G483" s="56" t="n"/>
      <c r="H483" s="58" t="n"/>
      <c r="I483" s="56" t="n"/>
      <c r="J483" s="58" t="n"/>
      <c r="K483" s="56" t="inlineStr">
        <is>
          <t>Eda Ayaz</t>
        </is>
      </c>
      <c r="L483" s="65" t="n"/>
      <c r="M483" s="3" t="n"/>
      <c r="N483" s="3" t="n"/>
      <c r="O483" s="3" t="n"/>
      <c r="P483" s="3" t="n"/>
      <c r="Q483" s="3" t="n"/>
      <c r="R483" s="3" t="n"/>
      <c r="S483" s="3" t="n"/>
      <c r="T483" s="3" t="n"/>
    </row>
    <row r="484" ht="15" customHeight="1">
      <c r="A484" s="56" t="n"/>
      <c r="B484" s="58" t="n"/>
      <c r="C484" s="56" t="n"/>
      <c r="D484" s="58" t="n"/>
      <c r="E484" s="56" t="n"/>
      <c r="F484" s="58" t="n"/>
      <c r="G484" s="56" t="n"/>
      <c r="H484" s="58" t="n"/>
      <c r="I484" s="56" t="n"/>
      <c r="J484" s="58" t="n"/>
      <c r="K484" s="56" t="inlineStr">
        <is>
          <t>Eda Ayaz</t>
        </is>
      </c>
      <c r="L484" s="65" t="n"/>
      <c r="M484" s="3" t="n"/>
      <c r="N484" s="3" t="n"/>
      <c r="O484" s="3" t="n"/>
      <c r="P484" s="3" t="n"/>
      <c r="Q484" s="3" t="n"/>
      <c r="R484" s="3" t="n"/>
      <c r="S484" s="3" t="n"/>
      <c r="T484" s="3" t="n"/>
    </row>
    <row r="485" ht="15" customHeight="1">
      <c r="A485" s="56" t="n"/>
      <c r="B485" s="58" t="n"/>
      <c r="C485" s="56" t="n"/>
      <c r="D485" s="58" t="n"/>
      <c r="E485" s="56" t="n"/>
      <c r="F485" s="58" t="n"/>
      <c r="G485" s="56" t="n"/>
      <c r="H485" s="58" t="n"/>
      <c r="I485" s="56" t="n"/>
      <c r="J485" s="58" t="n"/>
      <c r="K485" s="56" t="inlineStr">
        <is>
          <t>Eda Ayaz</t>
        </is>
      </c>
      <c r="L485" s="65" t="n"/>
      <c r="M485" s="3" t="n"/>
      <c r="N485" s="3" t="n"/>
      <c r="O485" s="3" t="n"/>
      <c r="P485" s="3" t="n"/>
      <c r="Q485" s="3" t="n"/>
      <c r="R485" s="3" t="n"/>
      <c r="S485" s="3" t="n"/>
      <c r="T485" s="3" t="n"/>
    </row>
    <row r="486" ht="15" customHeight="1">
      <c r="A486" s="56" t="n"/>
      <c r="B486" s="58" t="n"/>
      <c r="C486" s="56" t="n"/>
      <c r="D486" s="58" t="n"/>
      <c r="E486" s="56" t="n"/>
      <c r="F486" s="58" t="n"/>
      <c r="G486" s="56" t="n"/>
      <c r="H486" s="58" t="n"/>
      <c r="I486" s="56" t="n"/>
      <c r="J486" s="58" t="n"/>
      <c r="K486" s="56" t="inlineStr">
        <is>
          <t>Eda Ayaz</t>
        </is>
      </c>
      <c r="L486" s="65" t="n"/>
      <c r="M486" s="3" t="n"/>
      <c r="N486" s="3" t="n"/>
      <c r="O486" s="3" t="n"/>
      <c r="P486" s="3" t="n"/>
      <c r="Q486" s="3" t="n"/>
      <c r="R486" s="3" t="n"/>
      <c r="S486" s="3" t="n"/>
      <c r="T486" s="3" t="n"/>
    </row>
    <row r="487" ht="15" customHeight="1">
      <c r="A487" s="56" t="n"/>
      <c r="B487" s="58" t="n"/>
      <c r="C487" s="56" t="n"/>
      <c r="D487" s="58" t="n"/>
      <c r="E487" s="56" t="n"/>
      <c r="F487" s="58" t="n"/>
      <c r="G487" s="56" t="n"/>
      <c r="H487" s="58" t="n"/>
      <c r="I487" s="56" t="n"/>
      <c r="J487" s="58" t="n"/>
      <c r="K487" s="56" t="inlineStr">
        <is>
          <t>Eda Ayaz</t>
        </is>
      </c>
      <c r="L487" s="65" t="n"/>
      <c r="M487" s="3" t="n"/>
      <c r="N487" s="3" t="n"/>
      <c r="O487" s="3" t="n"/>
      <c r="P487" s="3" t="n"/>
      <c r="Q487" s="3" t="n"/>
      <c r="R487" s="3" t="n"/>
      <c r="S487" s="3" t="n"/>
      <c r="T487" s="3" t="n"/>
    </row>
    <row r="488" ht="15" customHeight="1">
      <c r="A488" s="56" t="n"/>
      <c r="B488" s="58" t="n"/>
      <c r="C488" s="56" t="n"/>
      <c r="D488" s="58" t="n"/>
      <c r="E488" s="56" t="n"/>
      <c r="F488" s="58" t="n"/>
      <c r="G488" s="56" t="n"/>
      <c r="H488" s="58" t="n"/>
      <c r="I488" s="56" t="n"/>
      <c r="J488" s="58" t="n"/>
      <c r="K488" s="56" t="inlineStr">
        <is>
          <t>Eda Ayaz</t>
        </is>
      </c>
      <c r="L488" s="65" t="n"/>
      <c r="M488" s="3" t="n"/>
      <c r="N488" s="3" t="n"/>
      <c r="O488" s="3" t="n"/>
      <c r="P488" s="3" t="n"/>
      <c r="Q488" s="3" t="n"/>
      <c r="R488" s="3" t="n"/>
      <c r="S488" s="3" t="n"/>
      <c r="T488" s="3" t="n"/>
    </row>
    <row r="489" ht="15" customHeight="1">
      <c r="A489" s="56" t="n"/>
      <c r="B489" s="58" t="n"/>
      <c r="C489" s="56" t="n"/>
      <c r="D489" s="58" t="n"/>
      <c r="E489" s="56" t="n"/>
      <c r="F489" s="58" t="n"/>
      <c r="G489" s="56" t="n"/>
      <c r="H489" s="58" t="n"/>
      <c r="I489" s="56" t="n"/>
      <c r="J489" s="58" t="n"/>
      <c r="K489" s="56" t="inlineStr">
        <is>
          <t>Eda Ayaz</t>
        </is>
      </c>
      <c r="L489" s="65" t="n"/>
      <c r="M489" s="3" t="n"/>
      <c r="N489" s="3" t="n"/>
      <c r="O489" s="3" t="n"/>
      <c r="P489" s="3" t="n"/>
      <c r="Q489" s="3" t="n"/>
      <c r="R489" s="3" t="n"/>
      <c r="S489" s="3" t="n"/>
      <c r="T489" s="3" t="n"/>
    </row>
    <row r="490" ht="15" customHeight="1">
      <c r="A490" s="56" t="n"/>
      <c r="B490" s="58" t="n"/>
      <c r="C490" s="56" t="n"/>
      <c r="D490" s="58" t="n"/>
      <c r="E490" s="56" t="n"/>
      <c r="F490" s="58" t="n"/>
      <c r="G490" s="56" t="n"/>
      <c r="H490" s="58" t="n"/>
      <c r="I490" s="56" t="n"/>
      <c r="J490" s="58" t="n"/>
      <c r="K490" s="56" t="inlineStr">
        <is>
          <t>Eda Ayaz</t>
        </is>
      </c>
      <c r="L490" s="65" t="n"/>
      <c r="M490" s="3" t="n"/>
      <c r="N490" s="3" t="n"/>
      <c r="O490" s="3" t="n"/>
      <c r="P490" s="3" t="n"/>
      <c r="Q490" s="3" t="n"/>
      <c r="R490" s="3" t="n"/>
      <c r="S490" s="3" t="n"/>
      <c r="T490" s="3" t="n"/>
    </row>
    <row r="491" ht="15" customHeight="1">
      <c r="A491" s="56" t="n"/>
      <c r="B491" s="58" t="n"/>
      <c r="C491" s="56" t="n"/>
      <c r="D491" s="58" t="n"/>
      <c r="E491" s="56" t="n"/>
      <c r="F491" s="58" t="n"/>
      <c r="G491" s="56" t="n"/>
      <c r="H491" s="58" t="n"/>
      <c r="I491" s="56" t="n"/>
      <c r="J491" s="58" t="n"/>
      <c r="K491" s="56" t="inlineStr">
        <is>
          <t>Eda Ayaz</t>
        </is>
      </c>
      <c r="L491" s="65" t="n"/>
      <c r="M491" s="3" t="n"/>
      <c r="N491" s="3" t="n"/>
      <c r="O491" s="3" t="n"/>
      <c r="P491" s="3" t="n"/>
      <c r="Q491" s="3" t="n"/>
      <c r="R491" s="3" t="n"/>
      <c r="S491" s="3" t="n"/>
      <c r="T491" s="3" t="n"/>
    </row>
    <row r="492" ht="15" customHeight="1">
      <c r="A492" s="56" t="n"/>
      <c r="B492" s="58" t="n"/>
      <c r="C492" s="56" t="n"/>
      <c r="D492" s="58" t="n"/>
      <c r="E492" s="56" t="n"/>
      <c r="F492" s="58" t="n"/>
      <c r="G492" s="56" t="n"/>
      <c r="H492" s="58" t="n"/>
      <c r="I492" s="56" t="n"/>
      <c r="J492" s="58" t="n"/>
      <c r="K492" s="56" t="inlineStr">
        <is>
          <t>Eda Ayaz</t>
        </is>
      </c>
      <c r="L492" s="65" t="n"/>
      <c r="M492" s="3" t="n"/>
      <c r="N492" s="3" t="n"/>
      <c r="O492" s="3" t="n"/>
      <c r="P492" s="3" t="n"/>
      <c r="Q492" s="3" t="n"/>
      <c r="R492" s="3" t="n"/>
      <c r="S492" s="3" t="n"/>
      <c r="T492" s="3" t="n"/>
    </row>
    <row r="493" ht="15" customHeight="1">
      <c r="A493" s="56" t="n"/>
      <c r="B493" s="58" t="n"/>
      <c r="C493" s="56" t="n"/>
      <c r="D493" s="58" t="n"/>
      <c r="E493" s="56" t="n"/>
      <c r="F493" s="58" t="n"/>
      <c r="G493" s="56" t="n"/>
      <c r="H493" s="58" t="n"/>
      <c r="I493" s="56" t="n"/>
      <c r="J493" s="58" t="n"/>
      <c r="K493" s="56" t="inlineStr">
        <is>
          <t>Eda Ayaz</t>
        </is>
      </c>
      <c r="L493" s="65" t="n"/>
      <c r="M493" s="3" t="n"/>
      <c r="N493" s="3" t="n"/>
      <c r="O493" s="3" t="n"/>
      <c r="P493" s="3" t="n"/>
      <c r="Q493" s="3" t="n"/>
      <c r="R493" s="3" t="n"/>
      <c r="S493" s="3" t="n"/>
      <c r="T493" s="3" t="n"/>
    </row>
    <row r="494" ht="15" customHeight="1">
      <c r="A494" s="56" t="n"/>
      <c r="B494" s="58" t="n"/>
      <c r="C494" s="56" t="n"/>
      <c r="D494" s="58" t="n"/>
      <c r="E494" s="56" t="n"/>
      <c r="F494" s="58" t="n"/>
      <c r="G494" s="56" t="n"/>
      <c r="H494" s="58" t="n"/>
      <c r="I494" s="56" t="n"/>
      <c r="J494" s="58" t="n"/>
      <c r="K494" s="56" t="inlineStr">
        <is>
          <t>Eda Ayaz</t>
        </is>
      </c>
      <c r="L494" s="65" t="n"/>
      <c r="M494" s="3" t="n"/>
      <c r="N494" s="3" t="n"/>
      <c r="O494" s="3" t="n"/>
      <c r="P494" s="3" t="n"/>
      <c r="Q494" s="3" t="n"/>
      <c r="R494" s="3" t="n"/>
      <c r="S494" s="3" t="n"/>
      <c r="T494" s="3" t="n"/>
    </row>
    <row r="495" ht="15" customHeight="1">
      <c r="A495" s="56" t="n"/>
      <c r="B495" s="58" t="n"/>
      <c r="C495" s="56" t="n"/>
      <c r="D495" s="58" t="n"/>
      <c r="E495" s="56" t="n"/>
      <c r="F495" s="58" t="n"/>
      <c r="G495" s="56" t="n"/>
      <c r="H495" s="58" t="n"/>
      <c r="I495" s="56" t="n"/>
      <c r="J495" s="58" t="n"/>
      <c r="K495" s="56" t="inlineStr">
        <is>
          <t>Eda Ayaz</t>
        </is>
      </c>
      <c r="L495" s="65" t="n"/>
      <c r="M495" s="3" t="n"/>
      <c r="N495" s="3" t="n"/>
      <c r="O495" s="3" t="n"/>
      <c r="P495" s="3" t="n"/>
      <c r="Q495" s="3" t="n"/>
      <c r="R495" s="3" t="n"/>
      <c r="S495" s="3" t="n"/>
      <c r="T495" s="3" t="n"/>
    </row>
    <row r="496" ht="15" customHeight="1">
      <c r="A496" s="56" t="n"/>
      <c r="B496" s="58" t="n"/>
      <c r="C496" s="56" t="n"/>
      <c r="D496" s="58" t="n"/>
      <c r="E496" s="56" t="n"/>
      <c r="F496" s="58" t="n"/>
      <c r="G496" s="56" t="n"/>
      <c r="H496" s="58" t="n"/>
      <c r="I496" s="56" t="n"/>
      <c r="J496" s="58" t="n"/>
      <c r="K496" s="56" t="inlineStr">
        <is>
          <t>Eda Ayaz</t>
        </is>
      </c>
      <c r="L496" s="65" t="n"/>
      <c r="M496" s="3" t="n"/>
      <c r="N496" s="3" t="n"/>
      <c r="O496" s="3" t="n"/>
      <c r="P496" s="3" t="n"/>
      <c r="Q496" s="3" t="n"/>
      <c r="R496" s="3" t="n"/>
      <c r="S496" s="3" t="n"/>
      <c r="T496" s="3" t="n"/>
    </row>
    <row r="497" ht="15" customHeight="1">
      <c r="A497" s="56" t="n"/>
      <c r="B497" s="58" t="n"/>
      <c r="C497" s="56" t="n"/>
      <c r="D497" s="58" t="n"/>
      <c r="E497" s="56" t="n"/>
      <c r="F497" s="58" t="n"/>
      <c r="G497" s="56" t="n"/>
      <c r="H497" s="58" t="n"/>
      <c r="I497" s="56" t="n"/>
      <c r="J497" s="58" t="n"/>
      <c r="K497" s="56" t="inlineStr">
        <is>
          <t>Eda Ayaz</t>
        </is>
      </c>
      <c r="L497" s="65" t="n"/>
      <c r="M497" s="3" t="n"/>
      <c r="N497" s="3" t="n"/>
      <c r="O497" s="3" t="n"/>
      <c r="P497" s="3" t="n"/>
      <c r="Q497" s="3" t="n"/>
      <c r="R497" s="3" t="n"/>
      <c r="S497" s="3" t="n"/>
      <c r="T497" s="3" t="n"/>
    </row>
    <row r="498" ht="15" customHeight="1">
      <c r="A498" s="56" t="n"/>
      <c r="B498" s="58" t="n"/>
      <c r="C498" s="56" t="n"/>
      <c r="D498" s="58" t="n"/>
      <c r="E498" s="56" t="n"/>
      <c r="F498" s="58" t="n"/>
      <c r="G498" s="56" t="n"/>
      <c r="H498" s="58" t="n"/>
      <c r="I498" s="56" t="n"/>
      <c r="J498" s="58" t="n"/>
      <c r="K498" s="56" t="inlineStr">
        <is>
          <t>Eda Ayaz</t>
        </is>
      </c>
      <c r="L498" s="65" t="n"/>
      <c r="M498" s="3" t="n"/>
      <c r="N498" s="3" t="n"/>
      <c r="O498" s="3" t="n"/>
      <c r="P498" s="3" t="n"/>
      <c r="Q498" s="3" t="n"/>
      <c r="R498" s="3" t="n"/>
      <c r="S498" s="3" t="n"/>
      <c r="T498" s="3" t="n"/>
    </row>
    <row r="499" ht="15" customHeight="1">
      <c r="A499" s="56" t="n"/>
      <c r="B499" s="58" t="n"/>
      <c r="C499" s="56" t="n"/>
      <c r="D499" s="58" t="n"/>
      <c r="E499" s="56" t="n"/>
      <c r="F499" s="58" t="n"/>
      <c r="G499" s="56" t="n"/>
      <c r="H499" s="58" t="n"/>
      <c r="I499" s="56" t="n"/>
      <c r="J499" s="58" t="n"/>
      <c r="K499" s="56" t="inlineStr">
        <is>
          <t>Eda Ayaz</t>
        </is>
      </c>
      <c r="L499" s="65" t="n"/>
      <c r="M499" s="3" t="n"/>
      <c r="N499" s="3" t="n"/>
      <c r="O499" s="3" t="n"/>
      <c r="P499" s="3" t="n"/>
      <c r="Q499" s="3" t="n"/>
      <c r="R499" s="3" t="n"/>
      <c r="S499" s="3" t="n"/>
      <c r="T499" s="3" t="n"/>
    </row>
    <row r="500" ht="15" customHeight="1">
      <c r="A500" s="56" t="n"/>
      <c r="B500" s="58" t="n"/>
      <c r="C500" s="56" t="n"/>
      <c r="D500" s="58" t="n"/>
      <c r="E500" s="56" t="n"/>
      <c r="F500" s="58" t="n"/>
      <c r="G500" s="56" t="n"/>
      <c r="H500" s="58" t="n"/>
      <c r="I500" s="56" t="n"/>
      <c r="J500" s="58" t="n"/>
      <c r="K500" s="56" t="inlineStr">
        <is>
          <t>Eda Ayaz</t>
        </is>
      </c>
      <c r="L500" s="65" t="n"/>
      <c r="M500" s="3" t="n"/>
      <c r="N500" s="3" t="n"/>
      <c r="O500" s="3" t="n"/>
      <c r="P500" s="3" t="n"/>
      <c r="Q500" s="3" t="n"/>
      <c r="R500" s="3" t="n"/>
      <c r="S500" s="3" t="n"/>
      <c r="T500" s="3" t="n"/>
    </row>
    <row r="501" ht="15" customHeight="1">
      <c r="A501" s="56" t="n"/>
      <c r="B501" s="58" t="n"/>
      <c r="C501" s="56" t="n"/>
      <c r="D501" s="58" t="n"/>
      <c r="E501" s="56" t="n"/>
      <c r="F501" s="58" t="n"/>
      <c r="G501" s="56" t="n"/>
      <c r="H501" s="58" t="n"/>
      <c r="I501" s="56" t="n"/>
      <c r="J501" s="58" t="n"/>
      <c r="K501" s="56" t="inlineStr">
        <is>
          <t>Eda Ayaz</t>
        </is>
      </c>
      <c r="L501" s="65" t="n"/>
      <c r="M501" s="3" t="n"/>
      <c r="N501" s="3" t="n"/>
      <c r="O501" s="3" t="n"/>
      <c r="P501" s="3" t="n"/>
      <c r="Q501" s="3" t="n"/>
      <c r="R501" s="3" t="n"/>
      <c r="S501" s="3" t="n"/>
      <c r="T501" s="3" t="n"/>
    </row>
  </sheetData>
  <autoFilter ref="A1:L501"/>
  <dataValidations count="8">
    <dataValidation sqref="C2:C501" showDropDown="0" showInputMessage="1" showErrorMessage="1" allowBlank="1" errorTitle="Geçersiz lot" error="Depo kabulde kayıtlı lotlardan birini seçin." promptTitle="Lot seçimi" prompt="Aşağı oka basarak kayıtlı lotu seçin." type="list">
      <formula1>LOT_PATATES</formula1>
    </dataValidation>
    <dataValidation sqref="D2:D501" showDropDown="0" showInputMessage="1" showErrorMessage="1" allowBlank="1" errorTitle="Geçersiz lot" error="Depo kabulde kayıtlı lotlardan birini seçin." promptTitle="Lot seçimi" prompt="Aşağı oka basarak kayıtlı lotu seçin." type="list">
      <formula1>LOT_NISASTA</formula1>
    </dataValidation>
    <dataValidation sqref="E2:E501" showDropDown="0" showInputMessage="1" showErrorMessage="1" allowBlank="1" errorTitle="Geçersiz lot" error="Depo kabulde kayıtlı lotlardan birini seçin." promptTitle="Lot seçimi" prompt="Aşağı oka basarak kayıtlı lotu seçin." type="list">
      <formula1>LOT_MISIR</formula1>
    </dataValidation>
    <dataValidation sqref="F2:F501" showDropDown="0" showInputMessage="1" showErrorMessage="1" allowBlank="1" errorTitle="Geçersiz lot" error="Depo kabulde kayıtlı lotlardan birini seçin." promptTitle="Lot seçimi" prompt="Aşağı oka basarak kayıtlı lotu seçin." type="list">
      <formula1>LOT_SAVOUR</formula1>
    </dataValidation>
    <dataValidation sqref="G2:G501" showDropDown="0" showInputMessage="1" showErrorMessage="1" allowBlank="1" errorTitle="Geçersiz lot" error="Depo kabulde kayıtlı lotlardan birini seçin." promptTitle="Lot seçimi" prompt="Aşağı oka basarak kayıtlı lotu seçin." type="list">
      <formula1>LOT_SARIMSAK</formula1>
    </dataValidation>
    <dataValidation sqref="H2:H501" showDropDown="0" showInputMessage="1" showErrorMessage="1" allowBlank="1" errorTitle="Geçersiz lot" error="Depo kabulde kayıtlı lotlardan birini seçin." promptTitle="Lot seçimi" prompt="Aşağı oka basarak kayıtlı lotu seçin." type="list">
      <formula1>LOT_KARABIBER</formula1>
    </dataValidation>
    <dataValidation sqref="I2:I501" showDropDown="0" showInputMessage="1" showErrorMessage="1" allowBlank="1" errorTitle="Geçersiz lot" error="Depo kabulde kayıtlı lotlardan birini seçin." promptTitle="Lot seçimi" prompt="Aşağı oka basarak kayıtlı lotu seçin." type="list">
      <formula1>LOT_TUZ</formula1>
    </dataValidation>
    <dataValidation sqref="J2:J501" showDropDown="0" showInputMessage="1" showErrorMessage="1" allowBlank="1" errorTitle="Geçersiz lot" error="Depo kabulde kayıtlı lotlardan birini seçin." promptTitle="Lot seçimi" prompt="Aşağı oka basarak kayıtlı lotu seçin." type="list">
      <formula1>LOT_BENECEL</formula1>
    </dataValidation>
  </dataValidations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FC000"/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A1" sqref="A1:H1"/>
    </sheetView>
  </sheetViews>
  <sheetFormatPr baseColWidth="10" defaultColWidth="8.83203125" defaultRowHeight="15"/>
  <cols>
    <col width="16" customWidth="1" style="49" min="1" max="1"/>
    <col width="20" customWidth="1" style="54" min="2" max="2"/>
    <col width="58" customWidth="1" style="49" min="3" max="3"/>
    <col width="20" customWidth="1" style="54" min="4" max="4"/>
    <col width="32" customWidth="1" style="49" min="5" max="5"/>
    <col width="28" customWidth="1" style="54" min="6" max="6"/>
    <col width="18" customWidth="1" style="49" min="7" max="7"/>
    <col width="40" customWidth="1" style="66" min="8" max="8"/>
    <col width="18" customWidth="1" min="22" max="22"/>
  </cols>
  <sheetData>
    <row r="1" ht="31.5" customHeight="1" thickBot="1">
      <c r="A1" s="45" t="inlineStr">
        <is>
          <t>Tarih</t>
        </is>
      </c>
      <c r="B1" s="50" t="inlineStr">
        <is>
          <t>Bağlı Üretim Lotu</t>
        </is>
      </c>
      <c r="C1" s="45" t="inlineStr">
        <is>
          <t>Alan / Ekipman</t>
        </is>
      </c>
      <c r="D1" s="50" t="inlineStr">
        <is>
          <t>Temizlik Zamanı</t>
        </is>
      </c>
      <c r="E1" s="45" t="inlineStr">
        <is>
          <t>Kullanılan Kimyasal</t>
        </is>
      </c>
      <c r="F1" s="50" t="inlineStr">
        <is>
          <t>Temizliği Yapan</t>
        </is>
      </c>
      <c r="G1" s="45" t="inlineStr">
        <is>
          <t>Durum</t>
        </is>
      </c>
      <c r="H1" s="69" t="inlineStr">
        <is>
          <t>Açıklama</t>
        </is>
      </c>
      <c r="V1" s="19" t="inlineStr">
        <is>
          <t>⌂ ANA SAYFA</t>
        </is>
      </c>
    </row>
    <row r="2" ht="28.25" customHeight="1">
      <c r="A2" s="46" t="inlineStr">
        <is>
          <t>15.04.2026</t>
        </is>
      </c>
      <c r="B2" s="51" t="inlineStr">
        <is>
          <t>270415</t>
        </is>
      </c>
      <c r="C2" s="46" t="inlineStr">
        <is>
          <t>Mikser/hamur yoğurma, şekillendirme makinesi, tepsileme makinesi, çalışma yüzeyleri ve üretim yapılan zemin</t>
        </is>
      </c>
      <c r="D2" s="51" t="inlineStr">
        <is>
          <t>Üretim sonrası</t>
        </is>
      </c>
      <c r="E2" s="46" t="inlineStr">
        <is>
          <t>Köpük deterjan ve dezenfektan</t>
        </is>
      </c>
      <c r="F2" s="51" t="inlineStr">
        <is>
          <t>Fatih Ayaz / Eda Ayaz</t>
        </is>
      </c>
      <c r="G2" s="46" t="inlineStr">
        <is>
          <t>Tamamlandı</t>
        </is>
      </c>
      <c r="H2" s="68" t="inlineStr">
        <is>
          <t>Üretim yapılan alan ve ekipmanlar</t>
        </is>
      </c>
      <c r="V2" s="20" t="inlineStr">
        <is>
          <t>→ ÜRETİM</t>
        </is>
      </c>
    </row>
    <row r="3" ht="28.25" customHeight="1">
      <c r="A3" s="47" t="inlineStr">
        <is>
          <t>27.04.2026</t>
        </is>
      </c>
      <c r="B3" s="52" t="inlineStr">
        <is>
          <t>270427</t>
        </is>
      </c>
      <c r="C3" s="47" t="inlineStr">
        <is>
          <t>Mikser/hamur yoğurma, şekillendirme makinesi, tepsileme makinesi, çalışma yüzeyleri ve üretim yapılan zemin</t>
        </is>
      </c>
      <c r="D3" s="52" t="inlineStr">
        <is>
          <t>Üretim sonrası</t>
        </is>
      </c>
      <c r="E3" s="47" t="inlineStr">
        <is>
          <t>Köpük deterjan ve dezenfektan</t>
        </is>
      </c>
      <c r="F3" s="52" t="inlineStr">
        <is>
          <t>Fatih Ayaz / Eda Ayaz</t>
        </is>
      </c>
      <c r="G3" s="47" t="inlineStr">
        <is>
          <t>Tamamlandı</t>
        </is>
      </c>
      <c r="H3" s="64" t="inlineStr">
        <is>
          <t>Üretim yapılan alan ve ekipmanlar</t>
        </is>
      </c>
      <c r="V3" s="21" t="inlineStr">
        <is>
          <t>→ LOT BAĞI</t>
        </is>
      </c>
    </row>
    <row r="4" ht="28.25" customHeight="1">
      <c r="A4" s="47" t="inlineStr">
        <is>
          <t>04.05.2026</t>
        </is>
      </c>
      <c r="B4" s="52" t="inlineStr">
        <is>
          <t>270504</t>
        </is>
      </c>
      <c r="C4" s="47" t="inlineStr">
        <is>
          <t>Mikser/hamur yoğurma, şekillendirme makinesi, tepsileme makinesi, çalışma yüzeyleri ve üretim yapılan zemin</t>
        </is>
      </c>
      <c r="D4" s="52" t="inlineStr">
        <is>
          <t>Üretim sonrası</t>
        </is>
      </c>
      <c r="E4" s="47" t="inlineStr">
        <is>
          <t>Köpük deterjan ve dezenfektan</t>
        </is>
      </c>
      <c r="F4" s="52" t="inlineStr">
        <is>
          <t>Fatih Ayaz / Eda Ayaz</t>
        </is>
      </c>
      <c r="G4" s="47" t="inlineStr">
        <is>
          <t>Tamamlandı</t>
        </is>
      </c>
      <c r="H4" s="64" t="inlineStr">
        <is>
          <t>Üretim yapılan alan ve ekipmanlar</t>
        </is>
      </c>
    </row>
    <row r="5" ht="28.25" customHeight="1">
      <c r="A5" s="47" t="inlineStr">
        <is>
          <t>05.05.2026</t>
        </is>
      </c>
      <c r="B5" s="52" t="inlineStr">
        <is>
          <t>270505</t>
        </is>
      </c>
      <c r="C5" s="47" t="inlineStr">
        <is>
          <t>Mikser/hamur yoğurma, şekillendirme makinesi, tepsileme makinesi, çalışma yüzeyleri ve üretim yapılan zemin</t>
        </is>
      </c>
      <c r="D5" s="52" t="inlineStr">
        <is>
          <t>Üretim sonrası</t>
        </is>
      </c>
      <c r="E5" s="47" t="inlineStr">
        <is>
          <t>Köpük deterjan ve dezenfektan</t>
        </is>
      </c>
      <c r="F5" s="52" t="inlineStr">
        <is>
          <t>Fatih Ayaz / Eda Ayaz</t>
        </is>
      </c>
      <c r="G5" s="47" t="inlineStr">
        <is>
          <t>Tamamlandı</t>
        </is>
      </c>
      <c r="H5" s="64" t="inlineStr">
        <is>
          <t>Üretim yapılan alan ve ekipmanlar</t>
        </is>
      </c>
    </row>
    <row r="6" ht="28.25" customHeight="1">
      <c r="A6" s="47" t="inlineStr">
        <is>
          <t>07.05.2026</t>
        </is>
      </c>
      <c r="B6" s="52" t="inlineStr">
        <is>
          <t>270507</t>
        </is>
      </c>
      <c r="C6" s="47" t="inlineStr">
        <is>
          <t>Mikser/hamur yoğurma, şekillendirme makinesi, tepsileme makinesi, çalışma yüzeyleri ve üretim yapılan zemin</t>
        </is>
      </c>
      <c r="D6" s="52" t="inlineStr">
        <is>
          <t>Üretim sonrası</t>
        </is>
      </c>
      <c r="E6" s="47" t="inlineStr">
        <is>
          <t>Köpük deterjan ve dezenfektan</t>
        </is>
      </c>
      <c r="F6" s="52" t="inlineStr">
        <is>
          <t>Fatih Ayaz / Eda Ayaz</t>
        </is>
      </c>
      <c r="G6" s="47" t="inlineStr">
        <is>
          <t>Tamamlandı</t>
        </is>
      </c>
      <c r="H6" s="64" t="inlineStr">
        <is>
          <t>Üretim yapılan alan ve ekipmanlar</t>
        </is>
      </c>
    </row>
    <row r="7" ht="28.25" customHeight="1">
      <c r="A7" s="47" t="inlineStr">
        <is>
          <t>12.05.2026</t>
        </is>
      </c>
      <c r="B7" s="52" t="inlineStr">
        <is>
          <t>270512</t>
        </is>
      </c>
      <c r="C7" s="47" t="inlineStr">
        <is>
          <t>Mikser/hamur yoğurma, şekillendirme makinesi, tepsileme makinesi, çalışma yüzeyleri ve üretim yapılan zemin</t>
        </is>
      </c>
      <c r="D7" s="52" t="inlineStr">
        <is>
          <t>Üretim sonrası</t>
        </is>
      </c>
      <c r="E7" s="47" t="inlineStr">
        <is>
          <t>Köpük deterjan ve dezenfektan</t>
        </is>
      </c>
      <c r="F7" s="52" t="inlineStr">
        <is>
          <t>Fatih Ayaz / Eda Ayaz</t>
        </is>
      </c>
      <c r="G7" s="47" t="inlineStr">
        <is>
          <t>Tamamlandı</t>
        </is>
      </c>
      <c r="H7" s="64" t="inlineStr">
        <is>
          <t>Üretim yapılan alan ve ekipmanlar</t>
        </is>
      </c>
    </row>
    <row r="8" ht="28.25" customHeight="1">
      <c r="A8" s="47" t="inlineStr">
        <is>
          <t>15.06.2026</t>
        </is>
      </c>
      <c r="B8" s="52" t="inlineStr">
        <is>
          <t>270615</t>
        </is>
      </c>
      <c r="C8" s="47" t="inlineStr">
        <is>
          <t>Mikser/hamur yoğurma, şekillendirme makinesi, tepsileme makinesi, çalışma yüzeyleri ve üretim yapılan zemin</t>
        </is>
      </c>
      <c r="D8" s="52" t="inlineStr">
        <is>
          <t>Üretim sonrası</t>
        </is>
      </c>
      <c r="E8" s="47" t="inlineStr">
        <is>
          <t>Köpük deterjan ve dezenfektan</t>
        </is>
      </c>
      <c r="F8" s="52" t="inlineStr">
        <is>
          <t>Fatih Ayaz / Eda Ayaz</t>
        </is>
      </c>
      <c r="G8" s="47" t="inlineStr">
        <is>
          <t>Tamamlandı</t>
        </is>
      </c>
      <c r="H8" s="64" t="inlineStr">
        <is>
          <t>Üretim yapılan alan ve ekipmanlar</t>
        </is>
      </c>
    </row>
    <row r="9" ht="28.25" customHeight="1">
      <c r="A9" s="47" t="inlineStr">
        <is>
          <t>17.06.2026</t>
        </is>
      </c>
      <c r="B9" s="52" t="inlineStr">
        <is>
          <t>270617</t>
        </is>
      </c>
      <c r="C9" s="47" t="inlineStr">
        <is>
          <t>Mikser/hamur yoğurma, şekillendirme makinesi, tepsileme makinesi, çalışma yüzeyleri ve üretim yapılan zemin</t>
        </is>
      </c>
      <c r="D9" s="52" t="inlineStr">
        <is>
          <t>Üretim sonrası</t>
        </is>
      </c>
      <c r="E9" s="47" t="inlineStr">
        <is>
          <t>Köpük deterjan ve dezenfektan</t>
        </is>
      </c>
      <c r="F9" s="52" t="inlineStr">
        <is>
          <t>Fatih Ayaz / Eda Ayaz</t>
        </is>
      </c>
      <c r="G9" s="47" t="inlineStr">
        <is>
          <t>Tamamlandı</t>
        </is>
      </c>
      <c r="H9" s="64" t="inlineStr">
        <is>
          <t>Üretim yapılan alan ve ekipmanlar</t>
        </is>
      </c>
    </row>
    <row r="10" ht="28.25" customHeight="1">
      <c r="A10" s="47" t="inlineStr">
        <is>
          <t>23.06.2026</t>
        </is>
      </c>
      <c r="B10" s="52" t="inlineStr">
        <is>
          <t>270623</t>
        </is>
      </c>
      <c r="C10" s="47" t="inlineStr">
        <is>
          <t>Mikser/hamur yoğurma, şekillendirme makinesi, tepsileme makinesi, çalışma yüzeyleri ve üretim yapılan zemin</t>
        </is>
      </c>
      <c r="D10" s="52" t="inlineStr">
        <is>
          <t>Üretim sonrası</t>
        </is>
      </c>
      <c r="E10" s="47" t="inlineStr">
        <is>
          <t>Köpük deterjan ve dezenfektan</t>
        </is>
      </c>
      <c r="F10" s="52" t="inlineStr">
        <is>
          <t>Fatih Ayaz / Eda Ayaz</t>
        </is>
      </c>
      <c r="G10" s="47" t="inlineStr">
        <is>
          <t>Tamamlandı</t>
        </is>
      </c>
      <c r="H10" s="64" t="inlineStr">
        <is>
          <t>Üretim yapılan alan ve ekipmanlar</t>
        </is>
      </c>
    </row>
    <row r="11" ht="28.25" customHeight="1">
      <c r="A11" s="56">
        <f>IF(B11="","",IFERROR(INDEX('21 2026 ÜRETİM'!$A$2:$A$501,MATCH(B11,'21 2026 ÜRETİM'!$G$2:$G$501,0)),""))</f>
        <v/>
      </c>
      <c r="B11" s="58" t="n"/>
      <c r="C11" s="56" t="n"/>
      <c r="D11" s="58" t="n"/>
      <c r="E11" s="56" t="n"/>
      <c r="F11" s="58" t="n"/>
      <c r="G11" s="56" t="n"/>
      <c r="H11" s="65" t="n"/>
    </row>
    <row r="12" ht="28.25" customHeight="1">
      <c r="A12" s="56">
        <f>IF(B12="","",IFERROR(INDEX('21 2026 ÜRETİM'!$A$2:$A$501,MATCH(B12,'21 2026 ÜRETİM'!$G$2:$G$501,0)),""))</f>
        <v/>
      </c>
      <c r="B12" s="58" t="n"/>
      <c r="C12" s="56" t="n"/>
      <c r="D12" s="58" t="n"/>
      <c r="E12" s="56" t="n"/>
      <c r="F12" s="58" t="n"/>
      <c r="G12" s="56" t="n"/>
      <c r="H12" s="65" t="n"/>
    </row>
    <row r="13" ht="28.25" customHeight="1">
      <c r="A13" s="56">
        <f>IF(B13="","",IFERROR(INDEX('21 2026 ÜRETİM'!$A$2:$A$501,MATCH(B13,'21 2026 ÜRETİM'!$G$2:$G$501,0)),""))</f>
        <v/>
      </c>
      <c r="B13" s="58" t="n"/>
      <c r="C13" s="56" t="n"/>
      <c r="D13" s="58" t="n"/>
      <c r="E13" s="56" t="n"/>
      <c r="F13" s="58" t="n"/>
      <c r="G13" s="56" t="n"/>
      <c r="H13" s="65" t="n"/>
    </row>
    <row r="14" ht="28.25" customHeight="1">
      <c r="A14" s="56">
        <f>IF(B14="","",IFERROR(INDEX('21 2026 ÜRETİM'!$A$2:$A$501,MATCH(B14,'21 2026 ÜRETİM'!$G$2:$G$501,0)),""))</f>
        <v/>
      </c>
      <c r="B14" s="58" t="n"/>
      <c r="C14" s="56" t="n"/>
      <c r="D14" s="58" t="n"/>
      <c r="E14" s="56" t="n"/>
      <c r="F14" s="58" t="n"/>
      <c r="G14" s="56" t="n"/>
      <c r="H14" s="65" t="n"/>
    </row>
    <row r="15" ht="28.25" customHeight="1">
      <c r="A15" s="56">
        <f>IF(B15="","",IFERROR(INDEX('21 2026 ÜRETİM'!$A$2:$A$501,MATCH(B15,'21 2026 ÜRETİM'!$G$2:$G$501,0)),""))</f>
        <v/>
      </c>
      <c r="B15" s="58" t="n"/>
      <c r="C15" s="56" t="n"/>
      <c r="D15" s="58" t="n"/>
      <c r="E15" s="56" t="n"/>
      <c r="F15" s="58" t="n"/>
      <c r="G15" s="56" t="n"/>
      <c r="H15" s="65" t="n"/>
    </row>
    <row r="16" ht="28.25" customHeight="1">
      <c r="A16" s="56">
        <f>IF(B16="","",IFERROR(INDEX('21 2026 ÜRETİM'!$A$2:$A$501,MATCH(B16,'21 2026 ÜRETİM'!$G$2:$G$501,0)),""))</f>
        <v/>
      </c>
      <c r="B16" s="58" t="n"/>
      <c r="C16" s="56" t="n"/>
      <c r="D16" s="58" t="n"/>
      <c r="E16" s="56" t="n"/>
      <c r="F16" s="58" t="n"/>
      <c r="G16" s="56" t="n"/>
      <c r="H16" s="65" t="n"/>
    </row>
    <row r="17" ht="28.25" customHeight="1">
      <c r="A17" s="56">
        <f>IF(B17="","",IFERROR(INDEX('21 2026 ÜRETİM'!$A$2:$A$501,MATCH(B17,'21 2026 ÜRETİM'!$G$2:$G$501,0)),""))</f>
        <v/>
      </c>
      <c r="B17" s="58" t="n"/>
      <c r="C17" s="56" t="n"/>
      <c r="D17" s="58" t="n"/>
      <c r="E17" s="56" t="n"/>
      <c r="F17" s="58" t="n"/>
      <c r="G17" s="56" t="n"/>
      <c r="H17" s="65" t="n"/>
    </row>
    <row r="18" ht="28.25" customHeight="1">
      <c r="A18" s="56">
        <f>IF(B18="","",IFERROR(INDEX('21 2026 ÜRETİM'!$A$2:$A$501,MATCH(B18,'21 2026 ÜRETİM'!$G$2:$G$501,0)),""))</f>
        <v/>
      </c>
      <c r="B18" s="58" t="n"/>
      <c r="C18" s="56" t="n"/>
      <c r="D18" s="58" t="n"/>
      <c r="E18" s="56" t="n"/>
      <c r="F18" s="58" t="n"/>
      <c r="G18" s="56" t="n"/>
      <c r="H18" s="65" t="n"/>
    </row>
    <row r="19" ht="28.25" customHeight="1">
      <c r="A19" s="56">
        <f>IF(B19="","",IFERROR(INDEX('21 2026 ÜRETİM'!$A$2:$A$501,MATCH(B19,'21 2026 ÜRETİM'!$G$2:$G$501,0)),""))</f>
        <v/>
      </c>
      <c r="B19" s="58" t="n"/>
      <c r="C19" s="56" t="n"/>
      <c r="D19" s="58" t="n"/>
      <c r="E19" s="56" t="n"/>
      <c r="F19" s="58" t="n"/>
      <c r="G19" s="56" t="n"/>
      <c r="H19" s="65" t="n"/>
    </row>
    <row r="20" ht="28.25" customHeight="1">
      <c r="A20" s="56">
        <f>IF(B20="","",IFERROR(INDEX('21 2026 ÜRETİM'!$A$2:$A$501,MATCH(B20,'21 2026 ÜRETİM'!$G$2:$G$501,0)),""))</f>
        <v/>
      </c>
      <c r="B20" s="58" t="n"/>
      <c r="C20" s="56" t="n"/>
      <c r="D20" s="58" t="n"/>
      <c r="E20" s="56" t="n"/>
      <c r="F20" s="58" t="n"/>
      <c r="G20" s="56" t="n"/>
      <c r="H20" s="65" t="n"/>
    </row>
    <row r="21" ht="28.25" customHeight="1">
      <c r="A21" s="56">
        <f>IF(B21="","",IFERROR(INDEX('21 2026 ÜRETİM'!$A$2:$A$501,MATCH(B21,'21 2026 ÜRETİM'!$G$2:$G$501,0)),""))</f>
        <v/>
      </c>
      <c r="B21" s="58" t="n"/>
      <c r="C21" s="56" t="n"/>
      <c r="D21" s="58" t="n"/>
      <c r="E21" s="56" t="n"/>
      <c r="F21" s="58" t="n"/>
      <c r="G21" s="56" t="n"/>
      <c r="H21" s="65" t="n"/>
    </row>
    <row r="22" ht="28.25" customHeight="1">
      <c r="A22" s="56">
        <f>IF(B22="","",IFERROR(INDEX('21 2026 ÜRETİM'!$A$2:$A$501,MATCH(B22,'21 2026 ÜRETİM'!$G$2:$G$501,0)),""))</f>
        <v/>
      </c>
      <c r="B22" s="58" t="n"/>
      <c r="C22" s="56" t="n"/>
      <c r="D22" s="58" t="n"/>
      <c r="E22" s="56" t="n"/>
      <c r="F22" s="58" t="n"/>
      <c r="G22" s="56" t="n"/>
      <c r="H22" s="65" t="n"/>
    </row>
    <row r="23" ht="28.25" customHeight="1">
      <c r="A23" s="56">
        <f>IF(B23="","",IFERROR(INDEX('21 2026 ÜRETİM'!$A$2:$A$501,MATCH(B23,'21 2026 ÜRETİM'!$G$2:$G$501,0)),""))</f>
        <v/>
      </c>
      <c r="B23" s="58" t="n"/>
      <c r="C23" s="56" t="n"/>
      <c r="D23" s="58" t="n"/>
      <c r="E23" s="56" t="n"/>
      <c r="F23" s="58" t="n"/>
      <c r="G23" s="56" t="n"/>
      <c r="H23" s="65" t="n"/>
    </row>
    <row r="24" ht="28.25" customHeight="1">
      <c r="A24" s="56">
        <f>IF(B24="","",IFERROR(INDEX('21 2026 ÜRETİM'!$A$2:$A$501,MATCH(B24,'21 2026 ÜRETİM'!$G$2:$G$501,0)),""))</f>
        <v/>
      </c>
      <c r="B24" s="58" t="n"/>
      <c r="C24" s="56" t="n"/>
      <c r="D24" s="58" t="n"/>
      <c r="E24" s="56" t="n"/>
      <c r="F24" s="58" t="n"/>
      <c r="G24" s="56" t="n"/>
      <c r="H24" s="65" t="n"/>
    </row>
    <row r="25" ht="28.25" customHeight="1">
      <c r="A25" s="56">
        <f>IF(B25="","",IFERROR(INDEX('21 2026 ÜRETİM'!$A$2:$A$501,MATCH(B25,'21 2026 ÜRETİM'!$G$2:$G$501,0)),""))</f>
        <v/>
      </c>
      <c r="B25" s="58" t="n"/>
      <c r="C25" s="56" t="n"/>
      <c r="D25" s="58" t="n"/>
      <c r="E25" s="56" t="n"/>
      <c r="F25" s="58" t="n"/>
      <c r="G25" s="56" t="n"/>
      <c r="H25" s="65" t="n"/>
    </row>
    <row r="26" ht="28.25" customHeight="1">
      <c r="A26" s="56">
        <f>IF(B26="","",IFERROR(INDEX('21 2026 ÜRETİM'!$A$2:$A$501,MATCH(B26,'21 2026 ÜRETİM'!$G$2:$G$501,0)),""))</f>
        <v/>
      </c>
      <c r="B26" s="58" t="n"/>
      <c r="C26" s="56" t="n"/>
      <c r="D26" s="58" t="n"/>
      <c r="E26" s="56" t="n"/>
      <c r="F26" s="58" t="n"/>
      <c r="G26" s="56" t="n"/>
      <c r="H26" s="65" t="n"/>
    </row>
    <row r="27" ht="28.25" customHeight="1">
      <c r="A27" s="56">
        <f>IF(B27="","",IFERROR(INDEX('21 2026 ÜRETİM'!$A$2:$A$501,MATCH(B27,'21 2026 ÜRETİM'!$G$2:$G$501,0)),""))</f>
        <v/>
      </c>
      <c r="B27" s="58" t="n"/>
      <c r="C27" s="56" t="n"/>
      <c r="D27" s="58" t="n"/>
      <c r="E27" s="56" t="n"/>
      <c r="F27" s="58" t="n"/>
      <c r="G27" s="56" t="n"/>
      <c r="H27" s="65" t="n"/>
    </row>
    <row r="28" ht="28.25" customHeight="1">
      <c r="A28" s="56">
        <f>IF(B28="","",IFERROR(INDEX('21 2026 ÜRETİM'!$A$2:$A$501,MATCH(B28,'21 2026 ÜRETİM'!$G$2:$G$501,0)),""))</f>
        <v/>
      </c>
      <c r="B28" s="58" t="n"/>
      <c r="C28" s="56" t="n"/>
      <c r="D28" s="58" t="n"/>
      <c r="E28" s="56" t="n"/>
      <c r="F28" s="58" t="n"/>
      <c r="G28" s="56" t="n"/>
      <c r="H28" s="65" t="n"/>
    </row>
    <row r="29" ht="28.25" customHeight="1">
      <c r="A29" s="56">
        <f>IF(B29="","",IFERROR(INDEX('21 2026 ÜRETİM'!$A$2:$A$501,MATCH(B29,'21 2026 ÜRETİM'!$G$2:$G$501,0)),""))</f>
        <v/>
      </c>
      <c r="B29" s="58" t="n"/>
      <c r="C29" s="56" t="n"/>
      <c r="D29" s="58" t="n"/>
      <c r="E29" s="56" t="n"/>
      <c r="F29" s="58" t="n"/>
      <c r="G29" s="56" t="n"/>
      <c r="H29" s="65" t="n"/>
    </row>
    <row r="30" ht="28.25" customHeight="1">
      <c r="A30" s="56">
        <f>IF(B30="","",IFERROR(INDEX('21 2026 ÜRETİM'!$A$2:$A$501,MATCH(B30,'21 2026 ÜRETİM'!$G$2:$G$501,0)),""))</f>
        <v/>
      </c>
      <c r="B30" s="58" t="n"/>
      <c r="C30" s="56" t="n"/>
      <c r="D30" s="58" t="n"/>
      <c r="E30" s="56" t="n"/>
      <c r="F30" s="58" t="n"/>
      <c r="G30" s="56" t="n"/>
      <c r="H30" s="65" t="n"/>
    </row>
    <row r="31" ht="28.25" customHeight="1">
      <c r="A31" s="56">
        <f>IF(B31="","",IFERROR(INDEX('21 2026 ÜRETİM'!$A$2:$A$501,MATCH(B31,'21 2026 ÜRETİM'!$G$2:$G$501,0)),""))</f>
        <v/>
      </c>
      <c r="B31" s="58" t="n"/>
      <c r="C31" s="56" t="n"/>
      <c r="D31" s="58" t="n"/>
      <c r="E31" s="56" t="n"/>
      <c r="F31" s="58" t="n"/>
      <c r="G31" s="56" t="n"/>
      <c r="H31" s="65" t="n"/>
    </row>
    <row r="32" ht="28.25" customHeight="1">
      <c r="A32" s="56">
        <f>IF(B32="","",IFERROR(INDEX('21 2026 ÜRETİM'!$A$2:$A$501,MATCH(B32,'21 2026 ÜRETİM'!$G$2:$G$501,0)),""))</f>
        <v/>
      </c>
      <c r="B32" s="58" t="n"/>
      <c r="C32" s="56" t="n"/>
      <c r="D32" s="58" t="n"/>
      <c r="E32" s="56" t="n"/>
      <c r="F32" s="58" t="n"/>
      <c r="G32" s="56" t="n"/>
      <c r="H32" s="65" t="n"/>
    </row>
    <row r="33" ht="28.25" customHeight="1">
      <c r="A33" s="56">
        <f>IF(B33="","",IFERROR(INDEX('21 2026 ÜRETİM'!$A$2:$A$501,MATCH(B33,'21 2026 ÜRETİM'!$G$2:$G$501,0)),""))</f>
        <v/>
      </c>
      <c r="B33" s="58" t="n"/>
      <c r="C33" s="56" t="n"/>
      <c r="D33" s="58" t="n"/>
      <c r="E33" s="56" t="n"/>
      <c r="F33" s="58" t="n"/>
      <c r="G33" s="56" t="n"/>
      <c r="H33" s="65" t="n"/>
    </row>
    <row r="34" ht="28.25" customHeight="1">
      <c r="A34" s="56">
        <f>IF(B34="","",IFERROR(INDEX('21 2026 ÜRETİM'!$A$2:$A$501,MATCH(B34,'21 2026 ÜRETİM'!$G$2:$G$501,0)),""))</f>
        <v/>
      </c>
      <c r="B34" s="58" t="n"/>
      <c r="C34" s="56" t="n"/>
      <c r="D34" s="58" t="n"/>
      <c r="E34" s="56" t="n"/>
      <c r="F34" s="58" t="n"/>
      <c r="G34" s="56" t="n"/>
      <c r="H34" s="65" t="n"/>
    </row>
    <row r="35" ht="28.25" customHeight="1">
      <c r="A35" s="56">
        <f>IF(B35="","",IFERROR(INDEX('21 2026 ÜRETİM'!$A$2:$A$501,MATCH(B35,'21 2026 ÜRETİM'!$G$2:$G$501,0)),""))</f>
        <v/>
      </c>
      <c r="B35" s="58" t="n"/>
      <c r="C35" s="56" t="n"/>
      <c r="D35" s="58" t="n"/>
      <c r="E35" s="56" t="n"/>
      <c r="F35" s="58" t="n"/>
      <c r="G35" s="56" t="n"/>
      <c r="H35" s="65" t="n"/>
    </row>
    <row r="36" ht="28.25" customHeight="1">
      <c r="A36" s="56">
        <f>IF(B36="","",IFERROR(INDEX('21 2026 ÜRETİM'!$A$2:$A$501,MATCH(B36,'21 2026 ÜRETİM'!$G$2:$G$501,0)),""))</f>
        <v/>
      </c>
      <c r="B36" s="58" t="n"/>
      <c r="C36" s="56" t="n"/>
      <c r="D36" s="58" t="n"/>
      <c r="E36" s="56" t="n"/>
      <c r="F36" s="58" t="n"/>
      <c r="G36" s="56" t="n"/>
      <c r="H36" s="65" t="n"/>
    </row>
    <row r="37" ht="28.25" customHeight="1">
      <c r="A37" s="56">
        <f>IF(B37="","",IFERROR(INDEX('21 2026 ÜRETİM'!$A$2:$A$501,MATCH(B37,'21 2026 ÜRETİM'!$G$2:$G$501,0)),""))</f>
        <v/>
      </c>
      <c r="B37" s="58" t="n"/>
      <c r="C37" s="56" t="n"/>
      <c r="D37" s="58" t="n"/>
      <c r="E37" s="56" t="n"/>
      <c r="F37" s="58" t="n"/>
      <c r="G37" s="56" t="n"/>
      <c r="H37" s="65" t="n"/>
    </row>
    <row r="38" ht="28.25" customHeight="1">
      <c r="A38" s="56">
        <f>IF(B38="","",IFERROR(INDEX('21 2026 ÜRETİM'!$A$2:$A$501,MATCH(B38,'21 2026 ÜRETİM'!$G$2:$G$501,0)),""))</f>
        <v/>
      </c>
      <c r="B38" s="58" t="n"/>
      <c r="C38" s="56" t="n"/>
      <c r="D38" s="58" t="n"/>
      <c r="E38" s="56" t="n"/>
      <c r="F38" s="58" t="n"/>
      <c r="G38" s="56" t="n"/>
      <c r="H38" s="65" t="n"/>
    </row>
    <row r="39" ht="28.25" customHeight="1">
      <c r="A39" s="56">
        <f>IF(B39="","",IFERROR(INDEX('21 2026 ÜRETİM'!$A$2:$A$501,MATCH(B39,'21 2026 ÜRETİM'!$G$2:$G$501,0)),""))</f>
        <v/>
      </c>
      <c r="B39" s="58" t="n"/>
      <c r="C39" s="56" t="n"/>
      <c r="D39" s="58" t="n"/>
      <c r="E39" s="56" t="n"/>
      <c r="F39" s="58" t="n"/>
      <c r="G39" s="56" t="n"/>
      <c r="H39" s="65" t="n"/>
    </row>
    <row r="40" ht="28.25" customHeight="1">
      <c r="A40" s="56">
        <f>IF(B40="","",IFERROR(INDEX('21 2026 ÜRETİM'!$A$2:$A$501,MATCH(B40,'21 2026 ÜRETİM'!$G$2:$G$501,0)),""))</f>
        <v/>
      </c>
      <c r="B40" s="58" t="n"/>
      <c r="C40" s="56" t="n"/>
      <c r="D40" s="58" t="n"/>
      <c r="E40" s="56" t="n"/>
      <c r="F40" s="58" t="n"/>
      <c r="G40" s="56" t="n"/>
      <c r="H40" s="65" t="n"/>
    </row>
    <row r="41" ht="28.25" customHeight="1">
      <c r="A41" s="56">
        <f>IF(B41="","",IFERROR(INDEX('21 2026 ÜRETİM'!$A$2:$A$501,MATCH(B41,'21 2026 ÜRETİM'!$G$2:$G$501,0)),""))</f>
        <v/>
      </c>
      <c r="B41" s="58" t="n"/>
      <c r="C41" s="56" t="n"/>
      <c r="D41" s="58" t="n"/>
      <c r="E41" s="56" t="n"/>
      <c r="F41" s="58" t="n"/>
      <c r="G41" s="56" t="n"/>
      <c r="H41" s="65" t="n"/>
    </row>
    <row r="42" ht="28.25" customHeight="1">
      <c r="A42" s="56">
        <f>IF(B42="","",IFERROR(INDEX('21 2026 ÜRETİM'!$A$2:$A$501,MATCH(B42,'21 2026 ÜRETİM'!$G$2:$G$501,0)),""))</f>
        <v/>
      </c>
      <c r="B42" s="58" t="n"/>
      <c r="C42" s="56" t="n"/>
      <c r="D42" s="58" t="n"/>
      <c r="E42" s="56" t="n"/>
      <c r="F42" s="58" t="n"/>
      <c r="G42" s="56" t="n"/>
      <c r="H42" s="65" t="n"/>
    </row>
    <row r="43" ht="28.25" customHeight="1">
      <c r="A43" s="56">
        <f>IF(B43="","",IFERROR(INDEX('21 2026 ÜRETİM'!$A$2:$A$501,MATCH(B43,'21 2026 ÜRETİM'!$G$2:$G$501,0)),""))</f>
        <v/>
      </c>
      <c r="B43" s="58" t="n"/>
      <c r="C43" s="56" t="n"/>
      <c r="D43" s="58" t="n"/>
      <c r="E43" s="56" t="n"/>
      <c r="F43" s="58" t="n"/>
      <c r="G43" s="56" t="n"/>
      <c r="H43" s="65" t="n"/>
    </row>
    <row r="44" ht="28.25" customHeight="1">
      <c r="A44" s="56">
        <f>IF(B44="","",IFERROR(INDEX('21 2026 ÜRETİM'!$A$2:$A$501,MATCH(B44,'21 2026 ÜRETİM'!$G$2:$G$501,0)),""))</f>
        <v/>
      </c>
      <c r="B44" s="58" t="n"/>
      <c r="C44" s="56" t="n"/>
      <c r="D44" s="58" t="n"/>
      <c r="E44" s="56" t="n"/>
      <c r="F44" s="58" t="n"/>
      <c r="G44" s="56" t="n"/>
      <c r="H44" s="65" t="n"/>
    </row>
    <row r="45" ht="28.25" customHeight="1">
      <c r="A45" s="56">
        <f>IF(B45="","",IFERROR(INDEX('21 2026 ÜRETİM'!$A$2:$A$501,MATCH(B45,'21 2026 ÜRETİM'!$G$2:$G$501,0)),""))</f>
        <v/>
      </c>
      <c r="B45" s="58" t="n"/>
      <c r="C45" s="56" t="n"/>
      <c r="D45" s="58" t="n"/>
      <c r="E45" s="56" t="n"/>
      <c r="F45" s="58" t="n"/>
      <c r="G45" s="56" t="n"/>
      <c r="H45" s="65" t="n"/>
    </row>
    <row r="46" ht="28.25" customHeight="1">
      <c r="A46" s="56">
        <f>IF(B46="","",IFERROR(INDEX('21 2026 ÜRETİM'!$A$2:$A$501,MATCH(B46,'21 2026 ÜRETİM'!$G$2:$G$501,0)),""))</f>
        <v/>
      </c>
      <c r="B46" s="58" t="n"/>
      <c r="C46" s="56" t="n"/>
      <c r="D46" s="58" t="n"/>
      <c r="E46" s="56" t="n"/>
      <c r="F46" s="58" t="n"/>
      <c r="G46" s="56" t="n"/>
      <c r="H46" s="65" t="n"/>
    </row>
    <row r="47" ht="28.25" customHeight="1">
      <c r="A47" s="56">
        <f>IF(B47="","",IFERROR(INDEX('21 2026 ÜRETİM'!$A$2:$A$501,MATCH(B47,'21 2026 ÜRETİM'!$G$2:$G$501,0)),""))</f>
        <v/>
      </c>
      <c r="B47" s="58" t="n"/>
      <c r="C47" s="56" t="n"/>
      <c r="D47" s="58" t="n"/>
      <c r="E47" s="56" t="n"/>
      <c r="F47" s="58" t="n"/>
      <c r="G47" s="56" t="n"/>
      <c r="H47" s="65" t="n"/>
    </row>
    <row r="48" ht="28.25" customHeight="1">
      <c r="A48" s="56">
        <f>IF(B48="","",IFERROR(INDEX('21 2026 ÜRETİM'!$A$2:$A$501,MATCH(B48,'21 2026 ÜRETİM'!$G$2:$G$501,0)),""))</f>
        <v/>
      </c>
      <c r="B48" s="58" t="n"/>
      <c r="C48" s="56" t="n"/>
      <c r="D48" s="58" t="n"/>
      <c r="E48" s="56" t="n"/>
      <c r="F48" s="58" t="n"/>
      <c r="G48" s="56" t="n"/>
      <c r="H48" s="65" t="n"/>
    </row>
    <row r="49" ht="28.25" customHeight="1">
      <c r="A49" s="56">
        <f>IF(B49="","",IFERROR(INDEX('21 2026 ÜRETİM'!$A$2:$A$501,MATCH(B49,'21 2026 ÜRETİM'!$G$2:$G$501,0)),""))</f>
        <v/>
      </c>
      <c r="B49" s="58" t="n"/>
      <c r="C49" s="56" t="n"/>
      <c r="D49" s="58" t="n"/>
      <c r="E49" s="56" t="n"/>
      <c r="F49" s="58" t="n"/>
      <c r="G49" s="56" t="n"/>
      <c r="H49" s="65" t="n"/>
    </row>
    <row r="50" ht="28.25" customHeight="1">
      <c r="A50" s="56">
        <f>IF(B50="","",IFERROR(INDEX('21 2026 ÜRETİM'!$A$2:$A$501,MATCH(B50,'21 2026 ÜRETİM'!$G$2:$G$501,0)),""))</f>
        <v/>
      </c>
      <c r="B50" s="58" t="n"/>
      <c r="C50" s="56" t="n"/>
      <c r="D50" s="58" t="n"/>
      <c r="E50" s="56" t="n"/>
      <c r="F50" s="58" t="n"/>
      <c r="G50" s="56" t="n"/>
      <c r="H50" s="65" t="n"/>
    </row>
    <row r="51" ht="28.25" customHeight="1">
      <c r="A51" s="56">
        <f>IF(B51="","",IFERROR(INDEX('21 2026 ÜRETİM'!$A$2:$A$501,MATCH(B51,'21 2026 ÜRETİM'!$G$2:$G$501,0)),""))</f>
        <v/>
      </c>
      <c r="B51" s="58" t="n"/>
      <c r="C51" s="56" t="n"/>
      <c r="D51" s="58" t="n"/>
      <c r="E51" s="56" t="n"/>
      <c r="F51" s="58" t="n"/>
      <c r="G51" s="56" t="n"/>
      <c r="H51" s="65" t="n"/>
    </row>
    <row r="52" ht="28.25" customHeight="1">
      <c r="A52" s="56">
        <f>IF(B52="","",IFERROR(INDEX('21 2026 ÜRETİM'!$A$2:$A$501,MATCH(B52,'21 2026 ÜRETİM'!$G$2:$G$501,0)),""))</f>
        <v/>
      </c>
      <c r="B52" s="58" t="n"/>
      <c r="C52" s="56" t="n"/>
      <c r="D52" s="58" t="n"/>
      <c r="E52" s="56" t="n"/>
      <c r="F52" s="58" t="n"/>
      <c r="G52" s="56" t="n"/>
      <c r="H52" s="65" t="n"/>
    </row>
    <row r="53" ht="28.25" customHeight="1">
      <c r="A53" s="56">
        <f>IF(B53="","",IFERROR(INDEX('21 2026 ÜRETİM'!$A$2:$A$501,MATCH(B53,'21 2026 ÜRETİM'!$G$2:$G$501,0)),""))</f>
        <v/>
      </c>
      <c r="B53" s="58" t="n"/>
      <c r="C53" s="56" t="n"/>
      <c r="D53" s="58" t="n"/>
      <c r="E53" s="56" t="n"/>
      <c r="F53" s="58" t="n"/>
      <c r="G53" s="56" t="n"/>
      <c r="H53" s="65" t="n"/>
    </row>
    <row r="54" ht="28.25" customHeight="1">
      <c r="A54" s="56">
        <f>IF(B54="","",IFERROR(INDEX('21 2026 ÜRETİM'!$A$2:$A$501,MATCH(B54,'21 2026 ÜRETİM'!$G$2:$G$501,0)),""))</f>
        <v/>
      </c>
      <c r="B54" s="58" t="n"/>
      <c r="C54" s="56" t="n"/>
      <c r="D54" s="58" t="n"/>
      <c r="E54" s="56" t="n"/>
      <c r="F54" s="58" t="n"/>
      <c r="G54" s="56" t="n"/>
      <c r="H54" s="65" t="n"/>
    </row>
    <row r="55" ht="28.25" customHeight="1">
      <c r="A55" s="56">
        <f>IF(B55="","",IFERROR(INDEX('21 2026 ÜRETİM'!$A$2:$A$501,MATCH(B55,'21 2026 ÜRETİM'!$G$2:$G$501,0)),""))</f>
        <v/>
      </c>
      <c r="B55" s="58" t="n"/>
      <c r="C55" s="56" t="n"/>
      <c r="D55" s="58" t="n"/>
      <c r="E55" s="56" t="n"/>
      <c r="F55" s="58" t="n"/>
      <c r="G55" s="56" t="n"/>
      <c r="H55" s="65" t="n"/>
    </row>
    <row r="56" ht="28.25" customHeight="1">
      <c r="A56" s="56">
        <f>IF(B56="","",IFERROR(INDEX('21 2026 ÜRETİM'!$A$2:$A$501,MATCH(B56,'21 2026 ÜRETİM'!$G$2:$G$501,0)),""))</f>
        <v/>
      </c>
      <c r="B56" s="58" t="n"/>
      <c r="C56" s="56" t="n"/>
      <c r="D56" s="58" t="n"/>
      <c r="E56" s="56" t="n"/>
      <c r="F56" s="58" t="n"/>
      <c r="G56" s="56" t="n"/>
      <c r="H56" s="65" t="n"/>
    </row>
    <row r="57" ht="28.25" customHeight="1">
      <c r="A57" s="56">
        <f>IF(B57="","",IFERROR(INDEX('21 2026 ÜRETİM'!$A$2:$A$501,MATCH(B57,'21 2026 ÜRETİM'!$G$2:$G$501,0)),""))</f>
        <v/>
      </c>
      <c r="B57" s="58" t="n"/>
      <c r="C57" s="56" t="n"/>
      <c r="D57" s="58" t="n"/>
      <c r="E57" s="56" t="n"/>
      <c r="F57" s="58" t="n"/>
      <c r="G57" s="56" t="n"/>
      <c r="H57" s="65" t="n"/>
    </row>
    <row r="58" ht="28.25" customHeight="1">
      <c r="A58" s="56">
        <f>IF(B58="","",IFERROR(INDEX('21 2026 ÜRETİM'!$A$2:$A$501,MATCH(B58,'21 2026 ÜRETİM'!$G$2:$G$501,0)),""))</f>
        <v/>
      </c>
      <c r="B58" s="58" t="n"/>
      <c r="C58" s="56" t="n"/>
      <c r="D58" s="58" t="n"/>
      <c r="E58" s="56" t="n"/>
      <c r="F58" s="58" t="n"/>
      <c r="G58" s="56" t="n"/>
      <c r="H58" s="65" t="n"/>
    </row>
    <row r="59" ht="28.25" customHeight="1">
      <c r="A59" s="56">
        <f>IF(B59="","",IFERROR(INDEX('21 2026 ÜRETİM'!$A$2:$A$501,MATCH(B59,'21 2026 ÜRETİM'!$G$2:$G$501,0)),""))</f>
        <v/>
      </c>
      <c r="B59" s="58" t="n"/>
      <c r="C59" s="56" t="n"/>
      <c r="D59" s="58" t="n"/>
      <c r="E59" s="56" t="n"/>
      <c r="F59" s="58" t="n"/>
      <c r="G59" s="56" t="n"/>
      <c r="H59" s="65" t="n"/>
    </row>
    <row r="60" ht="28.25" customHeight="1">
      <c r="A60" s="56">
        <f>IF(B60="","",IFERROR(INDEX('21 2026 ÜRETİM'!$A$2:$A$501,MATCH(B60,'21 2026 ÜRETİM'!$G$2:$G$501,0)),""))</f>
        <v/>
      </c>
      <c r="B60" s="58" t="n"/>
      <c r="C60" s="56" t="n"/>
      <c r="D60" s="58" t="n"/>
      <c r="E60" s="56" t="n"/>
      <c r="F60" s="58" t="n"/>
      <c r="G60" s="56" t="n"/>
      <c r="H60" s="65" t="n"/>
    </row>
    <row r="61" ht="28.25" customHeight="1">
      <c r="A61" s="56">
        <f>IF(B61="","",IFERROR(INDEX('21 2026 ÜRETİM'!$A$2:$A$501,MATCH(B61,'21 2026 ÜRETİM'!$G$2:$G$501,0)),""))</f>
        <v/>
      </c>
      <c r="B61" s="58" t="n"/>
      <c r="C61" s="56" t="n"/>
      <c r="D61" s="58" t="n"/>
      <c r="E61" s="56" t="n"/>
      <c r="F61" s="58" t="n"/>
      <c r="G61" s="56" t="n"/>
      <c r="H61" s="65" t="n"/>
    </row>
    <row r="62" ht="28.25" customHeight="1">
      <c r="A62" s="56">
        <f>IF(B62="","",IFERROR(INDEX('21 2026 ÜRETİM'!$A$2:$A$501,MATCH(B62,'21 2026 ÜRETİM'!$G$2:$G$501,0)),""))</f>
        <v/>
      </c>
      <c r="B62" s="58" t="n"/>
      <c r="C62" s="56" t="n"/>
      <c r="D62" s="58" t="n"/>
      <c r="E62" s="56" t="n"/>
      <c r="F62" s="58" t="n"/>
      <c r="G62" s="56" t="n"/>
      <c r="H62" s="65" t="n"/>
    </row>
    <row r="63" ht="28.25" customHeight="1">
      <c r="A63" s="56">
        <f>IF(B63="","",IFERROR(INDEX('21 2026 ÜRETİM'!$A$2:$A$501,MATCH(B63,'21 2026 ÜRETİM'!$G$2:$G$501,0)),""))</f>
        <v/>
      </c>
      <c r="B63" s="58" t="n"/>
      <c r="C63" s="56" t="n"/>
      <c r="D63" s="58" t="n"/>
      <c r="E63" s="56" t="n"/>
      <c r="F63" s="58" t="n"/>
      <c r="G63" s="56" t="n"/>
      <c r="H63" s="65" t="n"/>
    </row>
    <row r="64" ht="28.25" customHeight="1">
      <c r="A64" s="56">
        <f>IF(B64="","",IFERROR(INDEX('21 2026 ÜRETİM'!$A$2:$A$501,MATCH(B64,'21 2026 ÜRETİM'!$G$2:$G$501,0)),""))</f>
        <v/>
      </c>
      <c r="B64" s="58" t="n"/>
      <c r="C64" s="56" t="n"/>
      <c r="D64" s="58" t="n"/>
      <c r="E64" s="56" t="n"/>
      <c r="F64" s="58" t="n"/>
      <c r="G64" s="56" t="n"/>
      <c r="H64" s="65" t="n"/>
    </row>
    <row r="65" ht="28.25" customHeight="1">
      <c r="A65" s="56">
        <f>IF(B65="","",IFERROR(INDEX('21 2026 ÜRETİM'!$A$2:$A$501,MATCH(B65,'21 2026 ÜRETİM'!$G$2:$G$501,0)),""))</f>
        <v/>
      </c>
      <c r="B65" s="58" t="n"/>
      <c r="C65" s="56" t="n"/>
      <c r="D65" s="58" t="n"/>
      <c r="E65" s="56" t="n"/>
      <c r="F65" s="58" t="n"/>
      <c r="G65" s="56" t="n"/>
      <c r="H65" s="65" t="n"/>
    </row>
    <row r="66" ht="28.25" customHeight="1">
      <c r="A66" s="56">
        <f>IF(B66="","",IFERROR(INDEX('21 2026 ÜRETİM'!$A$2:$A$501,MATCH(B66,'21 2026 ÜRETİM'!$G$2:$G$501,0)),""))</f>
        <v/>
      </c>
      <c r="B66" s="58" t="n"/>
      <c r="C66" s="56" t="n"/>
      <c r="D66" s="58" t="n"/>
      <c r="E66" s="56" t="n"/>
      <c r="F66" s="58" t="n"/>
      <c r="G66" s="56" t="n"/>
      <c r="H66" s="65" t="n"/>
    </row>
    <row r="67" ht="28.25" customHeight="1">
      <c r="A67" s="56">
        <f>IF(B67="","",IFERROR(INDEX('21 2026 ÜRETİM'!$A$2:$A$501,MATCH(B67,'21 2026 ÜRETİM'!$G$2:$G$501,0)),""))</f>
        <v/>
      </c>
      <c r="B67" s="58" t="n"/>
      <c r="C67" s="56" t="n"/>
      <c r="D67" s="58" t="n"/>
      <c r="E67" s="56" t="n"/>
      <c r="F67" s="58" t="n"/>
      <c r="G67" s="56" t="n"/>
      <c r="H67" s="65" t="n"/>
    </row>
    <row r="68" ht="28.25" customHeight="1">
      <c r="A68" s="56">
        <f>IF(B68="","",IFERROR(INDEX('21 2026 ÜRETİM'!$A$2:$A$501,MATCH(B68,'21 2026 ÜRETİM'!$G$2:$G$501,0)),""))</f>
        <v/>
      </c>
      <c r="B68" s="58" t="n"/>
      <c r="C68" s="56" t="n"/>
      <c r="D68" s="58" t="n"/>
      <c r="E68" s="56" t="n"/>
      <c r="F68" s="58" t="n"/>
      <c r="G68" s="56" t="n"/>
      <c r="H68" s="65" t="n"/>
    </row>
    <row r="69" ht="28.25" customHeight="1">
      <c r="A69" s="56">
        <f>IF(B69="","",IFERROR(INDEX('21 2026 ÜRETİM'!$A$2:$A$501,MATCH(B69,'21 2026 ÜRETİM'!$G$2:$G$501,0)),""))</f>
        <v/>
      </c>
      <c r="B69" s="58" t="n"/>
      <c r="C69" s="56" t="n"/>
      <c r="D69" s="58" t="n"/>
      <c r="E69" s="56" t="n"/>
      <c r="F69" s="58" t="n"/>
      <c r="G69" s="56" t="n"/>
      <c r="H69" s="65" t="n"/>
    </row>
    <row r="70" ht="28.25" customHeight="1">
      <c r="A70" s="56">
        <f>IF(B70="","",IFERROR(INDEX('21 2026 ÜRETİM'!$A$2:$A$501,MATCH(B70,'21 2026 ÜRETİM'!$G$2:$G$501,0)),""))</f>
        <v/>
      </c>
      <c r="B70" s="58" t="n"/>
      <c r="C70" s="56" t="n"/>
      <c r="D70" s="58" t="n"/>
      <c r="E70" s="56" t="n"/>
      <c r="F70" s="58" t="n"/>
      <c r="G70" s="56" t="n"/>
      <c r="H70" s="65" t="n"/>
    </row>
    <row r="71" ht="28.25" customHeight="1">
      <c r="A71" s="56">
        <f>IF(B71="","",IFERROR(INDEX('21 2026 ÜRETİM'!$A$2:$A$501,MATCH(B71,'21 2026 ÜRETİM'!$G$2:$G$501,0)),""))</f>
        <v/>
      </c>
      <c r="B71" s="58" t="n"/>
      <c r="C71" s="56" t="n"/>
      <c r="D71" s="58" t="n"/>
      <c r="E71" s="56" t="n"/>
      <c r="F71" s="58" t="n"/>
      <c r="G71" s="56" t="n"/>
      <c r="H71" s="65" t="n"/>
    </row>
    <row r="72" ht="28.25" customHeight="1">
      <c r="A72" s="56">
        <f>IF(B72="","",IFERROR(INDEX('21 2026 ÜRETİM'!$A$2:$A$501,MATCH(B72,'21 2026 ÜRETİM'!$G$2:$G$501,0)),""))</f>
        <v/>
      </c>
      <c r="B72" s="58" t="n"/>
      <c r="C72" s="56" t="n"/>
      <c r="D72" s="58" t="n"/>
      <c r="E72" s="56" t="n"/>
      <c r="F72" s="58" t="n"/>
      <c r="G72" s="56" t="n"/>
      <c r="H72" s="65" t="n"/>
    </row>
    <row r="73" ht="28.25" customHeight="1">
      <c r="A73" s="56">
        <f>IF(B73="","",IFERROR(INDEX('21 2026 ÜRETİM'!$A$2:$A$501,MATCH(B73,'21 2026 ÜRETİM'!$G$2:$G$501,0)),""))</f>
        <v/>
      </c>
      <c r="B73" s="58" t="n"/>
      <c r="C73" s="56" t="n"/>
      <c r="D73" s="58" t="n"/>
      <c r="E73" s="56" t="n"/>
      <c r="F73" s="58" t="n"/>
      <c r="G73" s="56" t="n"/>
      <c r="H73" s="65" t="n"/>
    </row>
    <row r="74" ht="28.25" customHeight="1">
      <c r="A74" s="56">
        <f>IF(B74="","",IFERROR(INDEX('21 2026 ÜRETİM'!$A$2:$A$501,MATCH(B74,'21 2026 ÜRETİM'!$G$2:$G$501,0)),""))</f>
        <v/>
      </c>
      <c r="B74" s="58" t="n"/>
      <c r="C74" s="56" t="n"/>
      <c r="D74" s="58" t="n"/>
      <c r="E74" s="56" t="n"/>
      <c r="F74" s="58" t="n"/>
      <c r="G74" s="56" t="n"/>
      <c r="H74" s="65" t="n"/>
    </row>
    <row r="75" ht="28.25" customHeight="1">
      <c r="A75" s="56">
        <f>IF(B75="","",IFERROR(INDEX('21 2026 ÜRETİM'!$A$2:$A$501,MATCH(B75,'21 2026 ÜRETİM'!$G$2:$G$501,0)),""))</f>
        <v/>
      </c>
      <c r="B75" s="58" t="n"/>
      <c r="C75" s="56" t="n"/>
      <c r="D75" s="58" t="n"/>
      <c r="E75" s="56" t="n"/>
      <c r="F75" s="58" t="n"/>
      <c r="G75" s="56" t="n"/>
      <c r="H75" s="65" t="n"/>
    </row>
    <row r="76" ht="28.25" customHeight="1">
      <c r="A76" s="56">
        <f>IF(B76="","",IFERROR(INDEX('21 2026 ÜRETİM'!$A$2:$A$501,MATCH(B76,'21 2026 ÜRETİM'!$G$2:$G$501,0)),""))</f>
        <v/>
      </c>
      <c r="B76" s="58" t="n"/>
      <c r="C76" s="56" t="n"/>
      <c r="D76" s="58" t="n"/>
      <c r="E76" s="56" t="n"/>
      <c r="F76" s="58" t="n"/>
      <c r="G76" s="56" t="n"/>
      <c r="H76" s="65" t="n"/>
    </row>
    <row r="77" ht="28.25" customHeight="1">
      <c r="A77" s="56">
        <f>IF(B77="","",IFERROR(INDEX('21 2026 ÜRETİM'!$A$2:$A$501,MATCH(B77,'21 2026 ÜRETİM'!$G$2:$G$501,0)),""))</f>
        <v/>
      </c>
      <c r="B77" s="58" t="n"/>
      <c r="C77" s="56" t="n"/>
      <c r="D77" s="58" t="n"/>
      <c r="E77" s="56" t="n"/>
      <c r="F77" s="58" t="n"/>
      <c r="G77" s="56" t="n"/>
      <c r="H77" s="65" t="n"/>
    </row>
    <row r="78" ht="28.25" customHeight="1">
      <c r="A78" s="56">
        <f>IF(B78="","",IFERROR(INDEX('21 2026 ÜRETİM'!$A$2:$A$501,MATCH(B78,'21 2026 ÜRETİM'!$G$2:$G$501,0)),""))</f>
        <v/>
      </c>
      <c r="B78" s="58" t="n"/>
      <c r="C78" s="56" t="n"/>
      <c r="D78" s="58" t="n"/>
      <c r="E78" s="56" t="n"/>
      <c r="F78" s="58" t="n"/>
      <c r="G78" s="56" t="n"/>
      <c r="H78" s="65" t="n"/>
    </row>
    <row r="79" ht="28.25" customHeight="1">
      <c r="A79" s="56">
        <f>IF(B79="","",IFERROR(INDEX('21 2026 ÜRETİM'!$A$2:$A$501,MATCH(B79,'21 2026 ÜRETİM'!$G$2:$G$501,0)),""))</f>
        <v/>
      </c>
      <c r="B79" s="58" t="n"/>
      <c r="C79" s="56" t="n"/>
      <c r="D79" s="58" t="n"/>
      <c r="E79" s="56" t="n"/>
      <c r="F79" s="58" t="n"/>
      <c r="G79" s="56" t="n"/>
      <c r="H79" s="65" t="n"/>
    </row>
    <row r="80" ht="28.25" customHeight="1">
      <c r="A80" s="56">
        <f>IF(B80="","",IFERROR(INDEX('21 2026 ÜRETİM'!$A$2:$A$501,MATCH(B80,'21 2026 ÜRETİM'!$G$2:$G$501,0)),""))</f>
        <v/>
      </c>
      <c r="B80" s="58" t="n"/>
      <c r="C80" s="56" t="n"/>
      <c r="D80" s="58" t="n"/>
      <c r="E80" s="56" t="n"/>
      <c r="F80" s="58" t="n"/>
      <c r="G80" s="56" t="n"/>
      <c r="H80" s="65" t="n"/>
    </row>
    <row r="81" ht="28.25" customHeight="1">
      <c r="A81" s="56">
        <f>IF(B81="","",IFERROR(INDEX('21 2026 ÜRETİM'!$A$2:$A$501,MATCH(B81,'21 2026 ÜRETİM'!$G$2:$G$501,0)),""))</f>
        <v/>
      </c>
      <c r="B81" s="58" t="n"/>
      <c r="C81" s="56" t="n"/>
      <c r="D81" s="58" t="n"/>
      <c r="E81" s="56" t="n"/>
      <c r="F81" s="58" t="n"/>
      <c r="G81" s="56" t="n"/>
      <c r="H81" s="65" t="n"/>
    </row>
    <row r="82" ht="28.25" customHeight="1">
      <c r="A82" s="56">
        <f>IF(B82="","",IFERROR(INDEX('21 2026 ÜRETİM'!$A$2:$A$501,MATCH(B82,'21 2026 ÜRETİM'!$G$2:$G$501,0)),""))</f>
        <v/>
      </c>
      <c r="B82" s="58" t="n"/>
      <c r="C82" s="56" t="n"/>
      <c r="D82" s="58" t="n"/>
      <c r="E82" s="56" t="n"/>
      <c r="F82" s="58" t="n"/>
      <c r="G82" s="56" t="n"/>
      <c r="H82" s="65" t="n"/>
    </row>
    <row r="83" ht="28.25" customHeight="1">
      <c r="A83" s="56">
        <f>IF(B83="","",IFERROR(INDEX('21 2026 ÜRETİM'!$A$2:$A$501,MATCH(B83,'21 2026 ÜRETİM'!$G$2:$G$501,0)),""))</f>
        <v/>
      </c>
      <c r="B83" s="58" t="n"/>
      <c r="C83" s="56" t="n"/>
      <c r="D83" s="58" t="n"/>
      <c r="E83" s="56" t="n"/>
      <c r="F83" s="58" t="n"/>
      <c r="G83" s="56" t="n"/>
      <c r="H83" s="65" t="n"/>
    </row>
    <row r="84" ht="28.25" customHeight="1">
      <c r="A84" s="56">
        <f>IF(B84="","",IFERROR(INDEX('21 2026 ÜRETİM'!$A$2:$A$501,MATCH(B84,'21 2026 ÜRETİM'!$G$2:$G$501,0)),""))</f>
        <v/>
      </c>
      <c r="B84" s="58" t="n"/>
      <c r="C84" s="56" t="n"/>
      <c r="D84" s="58" t="n"/>
      <c r="E84" s="56" t="n"/>
      <c r="F84" s="58" t="n"/>
      <c r="G84" s="56" t="n"/>
      <c r="H84" s="65" t="n"/>
    </row>
    <row r="85" ht="28.25" customHeight="1">
      <c r="A85" s="56">
        <f>IF(B85="","",IFERROR(INDEX('21 2026 ÜRETİM'!$A$2:$A$501,MATCH(B85,'21 2026 ÜRETİM'!$G$2:$G$501,0)),""))</f>
        <v/>
      </c>
      <c r="B85" s="58" t="n"/>
      <c r="C85" s="56" t="n"/>
      <c r="D85" s="58" t="n"/>
      <c r="E85" s="56" t="n"/>
      <c r="F85" s="58" t="n"/>
      <c r="G85" s="56" t="n"/>
      <c r="H85" s="65" t="n"/>
    </row>
    <row r="86" ht="28.25" customHeight="1">
      <c r="A86" s="56">
        <f>IF(B86="","",IFERROR(INDEX('21 2026 ÜRETİM'!$A$2:$A$501,MATCH(B86,'21 2026 ÜRETİM'!$G$2:$G$501,0)),""))</f>
        <v/>
      </c>
      <c r="B86" s="58" t="n"/>
      <c r="C86" s="56" t="n"/>
      <c r="D86" s="58" t="n"/>
      <c r="E86" s="56" t="n"/>
      <c r="F86" s="58" t="n"/>
      <c r="G86" s="56" t="n"/>
      <c r="H86" s="65" t="n"/>
    </row>
    <row r="87" ht="28.25" customHeight="1">
      <c r="A87" s="56">
        <f>IF(B87="","",IFERROR(INDEX('21 2026 ÜRETİM'!$A$2:$A$501,MATCH(B87,'21 2026 ÜRETİM'!$G$2:$G$501,0)),""))</f>
        <v/>
      </c>
      <c r="B87" s="58" t="n"/>
      <c r="C87" s="56" t="n"/>
      <c r="D87" s="58" t="n"/>
      <c r="E87" s="56" t="n"/>
      <c r="F87" s="58" t="n"/>
      <c r="G87" s="56" t="n"/>
      <c r="H87" s="65" t="n"/>
    </row>
    <row r="88" ht="28.25" customHeight="1">
      <c r="A88" s="56">
        <f>IF(B88="","",IFERROR(INDEX('21 2026 ÜRETİM'!$A$2:$A$501,MATCH(B88,'21 2026 ÜRETİM'!$G$2:$G$501,0)),""))</f>
        <v/>
      </c>
      <c r="B88" s="58" t="n"/>
      <c r="C88" s="56" t="n"/>
      <c r="D88" s="58" t="n"/>
      <c r="E88" s="56" t="n"/>
      <c r="F88" s="58" t="n"/>
      <c r="G88" s="56" t="n"/>
      <c r="H88" s="65" t="n"/>
    </row>
    <row r="89" ht="28.25" customHeight="1">
      <c r="A89" s="56">
        <f>IF(B89="","",IFERROR(INDEX('21 2026 ÜRETİM'!$A$2:$A$501,MATCH(B89,'21 2026 ÜRETİM'!$G$2:$G$501,0)),""))</f>
        <v/>
      </c>
      <c r="B89" s="58" t="n"/>
      <c r="C89" s="56" t="n"/>
      <c r="D89" s="58" t="n"/>
      <c r="E89" s="56" t="n"/>
      <c r="F89" s="58" t="n"/>
      <c r="G89" s="56" t="n"/>
      <c r="H89" s="65" t="n"/>
    </row>
    <row r="90" ht="28.25" customHeight="1">
      <c r="A90" s="56">
        <f>IF(B90="","",IFERROR(INDEX('21 2026 ÜRETİM'!$A$2:$A$501,MATCH(B90,'21 2026 ÜRETİM'!$G$2:$G$501,0)),""))</f>
        <v/>
      </c>
      <c r="B90" s="58" t="n"/>
      <c r="C90" s="56" t="n"/>
      <c r="D90" s="58" t="n"/>
      <c r="E90" s="56" t="n"/>
      <c r="F90" s="58" t="n"/>
      <c r="G90" s="56" t="n"/>
      <c r="H90" s="65" t="n"/>
    </row>
    <row r="91" ht="28.25" customHeight="1">
      <c r="A91" s="56">
        <f>IF(B91="","",IFERROR(INDEX('21 2026 ÜRETİM'!$A$2:$A$501,MATCH(B91,'21 2026 ÜRETİM'!$G$2:$G$501,0)),""))</f>
        <v/>
      </c>
      <c r="B91" s="58" t="n"/>
      <c r="C91" s="56" t="n"/>
      <c r="D91" s="58" t="n"/>
      <c r="E91" s="56" t="n"/>
      <c r="F91" s="58" t="n"/>
      <c r="G91" s="56" t="n"/>
      <c r="H91" s="65" t="n"/>
    </row>
    <row r="92" ht="28.25" customHeight="1">
      <c r="A92" s="56">
        <f>IF(B92="","",IFERROR(INDEX('21 2026 ÜRETİM'!$A$2:$A$501,MATCH(B92,'21 2026 ÜRETİM'!$G$2:$G$501,0)),""))</f>
        <v/>
      </c>
      <c r="B92" s="58" t="n"/>
      <c r="C92" s="56" t="n"/>
      <c r="D92" s="58" t="n"/>
      <c r="E92" s="56" t="n"/>
      <c r="F92" s="58" t="n"/>
      <c r="G92" s="56" t="n"/>
      <c r="H92" s="65" t="n"/>
    </row>
    <row r="93" ht="28.25" customHeight="1">
      <c r="A93" s="56">
        <f>IF(B93="","",IFERROR(INDEX('21 2026 ÜRETİM'!$A$2:$A$501,MATCH(B93,'21 2026 ÜRETİM'!$G$2:$G$501,0)),""))</f>
        <v/>
      </c>
      <c r="B93" s="58" t="n"/>
      <c r="C93" s="56" t="n"/>
      <c r="D93" s="58" t="n"/>
      <c r="E93" s="56" t="n"/>
      <c r="F93" s="58" t="n"/>
      <c r="G93" s="56" t="n"/>
      <c r="H93" s="65" t="n"/>
    </row>
    <row r="94" ht="28.25" customHeight="1">
      <c r="A94" s="56">
        <f>IF(B94="","",IFERROR(INDEX('21 2026 ÜRETİM'!$A$2:$A$501,MATCH(B94,'21 2026 ÜRETİM'!$G$2:$G$501,0)),""))</f>
        <v/>
      </c>
      <c r="B94" s="58" t="n"/>
      <c r="C94" s="56" t="n"/>
      <c r="D94" s="58" t="n"/>
      <c r="E94" s="56" t="n"/>
      <c r="F94" s="58" t="n"/>
      <c r="G94" s="56" t="n"/>
      <c r="H94" s="65" t="n"/>
    </row>
    <row r="95" ht="28.25" customHeight="1">
      <c r="A95" s="56">
        <f>IF(B95="","",IFERROR(INDEX('21 2026 ÜRETİM'!$A$2:$A$501,MATCH(B95,'21 2026 ÜRETİM'!$G$2:$G$501,0)),""))</f>
        <v/>
      </c>
      <c r="B95" s="58" t="n"/>
      <c r="C95" s="56" t="n"/>
      <c r="D95" s="58" t="n"/>
      <c r="E95" s="56" t="n"/>
      <c r="F95" s="58" t="n"/>
      <c r="G95" s="56" t="n"/>
      <c r="H95" s="65" t="n"/>
    </row>
    <row r="96" ht="28.25" customHeight="1">
      <c r="A96" s="56">
        <f>IF(B96="","",IFERROR(INDEX('21 2026 ÜRETİM'!$A$2:$A$501,MATCH(B96,'21 2026 ÜRETİM'!$G$2:$G$501,0)),""))</f>
        <v/>
      </c>
      <c r="B96" s="58" t="n"/>
      <c r="C96" s="56" t="n"/>
      <c r="D96" s="58" t="n"/>
      <c r="E96" s="56" t="n"/>
      <c r="F96" s="58" t="n"/>
      <c r="G96" s="56" t="n"/>
      <c r="H96" s="65" t="n"/>
    </row>
    <row r="97" ht="28.25" customHeight="1">
      <c r="A97" s="56">
        <f>IF(B97="","",IFERROR(INDEX('21 2026 ÜRETİM'!$A$2:$A$501,MATCH(B97,'21 2026 ÜRETİM'!$G$2:$G$501,0)),""))</f>
        <v/>
      </c>
      <c r="B97" s="58" t="n"/>
      <c r="C97" s="56" t="n"/>
      <c r="D97" s="58" t="n"/>
      <c r="E97" s="56" t="n"/>
      <c r="F97" s="58" t="n"/>
      <c r="G97" s="56" t="n"/>
      <c r="H97" s="65" t="n"/>
    </row>
    <row r="98" ht="28.25" customHeight="1">
      <c r="A98" s="56">
        <f>IF(B98="","",IFERROR(INDEX('21 2026 ÜRETİM'!$A$2:$A$501,MATCH(B98,'21 2026 ÜRETİM'!$G$2:$G$501,0)),""))</f>
        <v/>
      </c>
      <c r="B98" s="58" t="n"/>
      <c r="C98" s="56" t="n"/>
      <c r="D98" s="58" t="n"/>
      <c r="E98" s="56" t="n"/>
      <c r="F98" s="58" t="n"/>
      <c r="G98" s="56" t="n"/>
      <c r="H98" s="65" t="n"/>
    </row>
    <row r="99" ht="28.25" customHeight="1">
      <c r="A99" s="56">
        <f>IF(B99="","",IFERROR(INDEX('21 2026 ÜRETİM'!$A$2:$A$501,MATCH(B99,'21 2026 ÜRETİM'!$G$2:$G$501,0)),""))</f>
        <v/>
      </c>
      <c r="B99" s="58" t="n"/>
      <c r="C99" s="56" t="n"/>
      <c r="D99" s="58" t="n"/>
      <c r="E99" s="56" t="n"/>
      <c r="F99" s="58" t="n"/>
      <c r="G99" s="56" t="n"/>
      <c r="H99" s="65" t="n"/>
    </row>
    <row r="100" ht="28.25" customHeight="1">
      <c r="A100" s="56">
        <f>IF(B100="","",IFERROR(INDEX('21 2026 ÜRETİM'!$A$2:$A$501,MATCH(B100,'21 2026 ÜRETİM'!$G$2:$G$501,0)),""))</f>
        <v/>
      </c>
      <c r="B100" s="58" t="n"/>
      <c r="C100" s="56" t="n"/>
      <c r="D100" s="58" t="n"/>
      <c r="E100" s="56" t="n"/>
      <c r="F100" s="58" t="n"/>
      <c r="G100" s="56" t="n"/>
      <c r="H100" s="65" t="n"/>
    </row>
    <row r="101" ht="28.25" customHeight="1">
      <c r="A101" s="56">
        <f>IF(B101="","",IFERROR(INDEX('21 2026 ÜRETİM'!$A$2:$A$501,MATCH(B101,'21 2026 ÜRETİM'!$G$2:$G$501,0)),""))</f>
        <v/>
      </c>
      <c r="B101" s="58" t="n"/>
      <c r="C101" s="56" t="n"/>
      <c r="D101" s="58" t="n"/>
      <c r="E101" s="56" t="n"/>
      <c r="F101" s="58" t="n"/>
      <c r="G101" s="56" t="n"/>
      <c r="H101" s="65" t="n"/>
    </row>
    <row r="102" ht="28.25" customHeight="1">
      <c r="A102" s="56">
        <f>IF(B102="","",IFERROR(INDEX('21 2026 ÜRETİM'!$A$2:$A$501,MATCH(B102,'21 2026 ÜRETİM'!$G$2:$G$501,0)),""))</f>
        <v/>
      </c>
      <c r="B102" s="58" t="n"/>
      <c r="C102" s="56" t="n"/>
      <c r="D102" s="58" t="n"/>
      <c r="E102" s="56" t="n"/>
      <c r="F102" s="58" t="n"/>
      <c r="G102" s="56" t="n"/>
      <c r="H102" s="65" t="n"/>
    </row>
    <row r="103" ht="28.25" customHeight="1">
      <c r="A103" s="56">
        <f>IF(B103="","",IFERROR(INDEX('21 2026 ÜRETİM'!$A$2:$A$501,MATCH(B103,'21 2026 ÜRETİM'!$G$2:$G$501,0)),""))</f>
        <v/>
      </c>
      <c r="B103" s="58" t="n"/>
      <c r="C103" s="56" t="n"/>
      <c r="D103" s="58" t="n"/>
      <c r="E103" s="56" t="n"/>
      <c r="F103" s="58" t="n"/>
      <c r="G103" s="56" t="n"/>
      <c r="H103" s="65" t="n"/>
    </row>
    <row r="104" ht="28.25" customHeight="1">
      <c r="A104" s="56">
        <f>IF(B104="","",IFERROR(INDEX('21 2026 ÜRETİM'!$A$2:$A$501,MATCH(B104,'21 2026 ÜRETİM'!$G$2:$G$501,0)),""))</f>
        <v/>
      </c>
      <c r="B104" s="58" t="n"/>
      <c r="C104" s="56" t="n"/>
      <c r="D104" s="58" t="n"/>
      <c r="E104" s="56" t="n"/>
      <c r="F104" s="58" t="n"/>
      <c r="G104" s="56" t="n"/>
      <c r="H104" s="65" t="n"/>
    </row>
    <row r="105" ht="28.25" customHeight="1">
      <c r="A105" s="56">
        <f>IF(B105="","",IFERROR(INDEX('21 2026 ÜRETİM'!$A$2:$A$501,MATCH(B105,'21 2026 ÜRETİM'!$G$2:$G$501,0)),""))</f>
        <v/>
      </c>
      <c r="B105" s="58" t="n"/>
      <c r="C105" s="56" t="n"/>
      <c r="D105" s="58" t="n"/>
      <c r="E105" s="56" t="n"/>
      <c r="F105" s="58" t="n"/>
      <c r="G105" s="56" t="n"/>
      <c r="H105" s="65" t="n"/>
    </row>
    <row r="106" ht="28.25" customHeight="1">
      <c r="A106" s="56">
        <f>IF(B106="","",IFERROR(INDEX('21 2026 ÜRETİM'!$A$2:$A$501,MATCH(B106,'21 2026 ÜRETİM'!$G$2:$G$501,0)),""))</f>
        <v/>
      </c>
      <c r="B106" s="58" t="n"/>
      <c r="C106" s="56" t="n"/>
      <c r="D106" s="58" t="n"/>
      <c r="E106" s="56" t="n"/>
      <c r="F106" s="58" t="n"/>
      <c r="G106" s="56" t="n"/>
      <c r="H106" s="65" t="n"/>
    </row>
    <row r="107" ht="28.25" customHeight="1">
      <c r="A107" s="56">
        <f>IF(B107="","",IFERROR(INDEX('21 2026 ÜRETİM'!$A$2:$A$501,MATCH(B107,'21 2026 ÜRETİM'!$G$2:$G$501,0)),""))</f>
        <v/>
      </c>
      <c r="B107" s="58" t="n"/>
      <c r="C107" s="56" t="n"/>
      <c r="D107" s="58" t="n"/>
      <c r="E107" s="56" t="n"/>
      <c r="F107" s="58" t="n"/>
      <c r="G107" s="56" t="n"/>
      <c r="H107" s="65" t="n"/>
    </row>
    <row r="108" ht="28.25" customHeight="1">
      <c r="A108" s="56">
        <f>IF(B108="","",IFERROR(INDEX('21 2026 ÜRETİM'!$A$2:$A$501,MATCH(B108,'21 2026 ÜRETİM'!$G$2:$G$501,0)),""))</f>
        <v/>
      </c>
      <c r="B108" s="58" t="n"/>
      <c r="C108" s="56" t="n"/>
      <c r="D108" s="58" t="n"/>
      <c r="E108" s="56" t="n"/>
      <c r="F108" s="58" t="n"/>
      <c r="G108" s="56" t="n"/>
      <c r="H108" s="65" t="n"/>
    </row>
    <row r="109" ht="28.25" customHeight="1">
      <c r="A109" s="56">
        <f>IF(B109="","",IFERROR(INDEX('21 2026 ÜRETİM'!$A$2:$A$501,MATCH(B109,'21 2026 ÜRETİM'!$G$2:$G$501,0)),""))</f>
        <v/>
      </c>
      <c r="B109" s="58" t="n"/>
      <c r="C109" s="56" t="n"/>
      <c r="D109" s="58" t="n"/>
      <c r="E109" s="56" t="n"/>
      <c r="F109" s="58" t="n"/>
      <c r="G109" s="56" t="n"/>
      <c r="H109" s="65" t="n"/>
    </row>
    <row r="110" ht="28.25" customHeight="1">
      <c r="A110" s="56">
        <f>IF(B110="","",IFERROR(INDEX('21 2026 ÜRETİM'!$A$2:$A$501,MATCH(B110,'21 2026 ÜRETİM'!$G$2:$G$501,0)),""))</f>
        <v/>
      </c>
      <c r="B110" s="58" t="n"/>
      <c r="C110" s="56" t="n"/>
      <c r="D110" s="58" t="n"/>
      <c r="E110" s="56" t="n"/>
      <c r="F110" s="58" t="n"/>
      <c r="G110" s="56" t="n"/>
      <c r="H110" s="65" t="n"/>
    </row>
    <row r="111" ht="28.25" customHeight="1">
      <c r="A111" s="56">
        <f>IF(B111="","",IFERROR(INDEX('21 2026 ÜRETİM'!$A$2:$A$501,MATCH(B111,'21 2026 ÜRETİM'!$G$2:$G$501,0)),""))</f>
        <v/>
      </c>
      <c r="B111" s="58" t="n"/>
      <c r="C111" s="56" t="n"/>
      <c r="D111" s="58" t="n"/>
      <c r="E111" s="56" t="n"/>
      <c r="F111" s="58" t="n"/>
      <c r="G111" s="56" t="n"/>
      <c r="H111" s="65" t="n"/>
    </row>
    <row r="112" ht="28.25" customHeight="1">
      <c r="A112" s="56">
        <f>IF(B112="","",IFERROR(INDEX('21 2026 ÜRETİM'!$A$2:$A$501,MATCH(B112,'21 2026 ÜRETİM'!$G$2:$G$501,0)),""))</f>
        <v/>
      </c>
      <c r="B112" s="58" t="n"/>
      <c r="C112" s="56" t="n"/>
      <c r="D112" s="58" t="n"/>
      <c r="E112" s="56" t="n"/>
      <c r="F112" s="58" t="n"/>
      <c r="G112" s="56" t="n"/>
      <c r="H112" s="65" t="n"/>
    </row>
    <row r="113" ht="28.25" customHeight="1">
      <c r="A113" s="56">
        <f>IF(B113="","",IFERROR(INDEX('21 2026 ÜRETİM'!$A$2:$A$501,MATCH(B113,'21 2026 ÜRETİM'!$G$2:$G$501,0)),""))</f>
        <v/>
      </c>
      <c r="B113" s="58" t="n"/>
      <c r="C113" s="56" t="n"/>
      <c r="D113" s="58" t="n"/>
      <c r="E113" s="56" t="n"/>
      <c r="F113" s="58" t="n"/>
      <c r="G113" s="56" t="n"/>
      <c r="H113" s="65" t="n"/>
    </row>
    <row r="114" ht="28.25" customHeight="1">
      <c r="A114" s="56">
        <f>IF(B114="","",IFERROR(INDEX('21 2026 ÜRETİM'!$A$2:$A$501,MATCH(B114,'21 2026 ÜRETİM'!$G$2:$G$501,0)),""))</f>
        <v/>
      </c>
      <c r="B114" s="58" t="n"/>
      <c r="C114" s="56" t="n"/>
      <c r="D114" s="58" t="n"/>
      <c r="E114" s="56" t="n"/>
      <c r="F114" s="58" t="n"/>
      <c r="G114" s="56" t="n"/>
      <c r="H114" s="65" t="n"/>
    </row>
    <row r="115" ht="28.25" customHeight="1">
      <c r="A115" s="56">
        <f>IF(B115="","",IFERROR(INDEX('21 2026 ÜRETİM'!$A$2:$A$501,MATCH(B115,'21 2026 ÜRETİM'!$G$2:$G$501,0)),""))</f>
        <v/>
      </c>
      <c r="B115" s="58" t="n"/>
      <c r="C115" s="56" t="n"/>
      <c r="D115" s="58" t="n"/>
      <c r="E115" s="56" t="n"/>
      <c r="F115" s="58" t="n"/>
      <c r="G115" s="56" t="n"/>
      <c r="H115" s="65" t="n"/>
    </row>
    <row r="116" ht="28.25" customHeight="1">
      <c r="A116" s="56">
        <f>IF(B116="","",IFERROR(INDEX('21 2026 ÜRETİM'!$A$2:$A$501,MATCH(B116,'21 2026 ÜRETİM'!$G$2:$G$501,0)),""))</f>
        <v/>
      </c>
      <c r="B116" s="58" t="n"/>
      <c r="C116" s="56" t="n"/>
      <c r="D116" s="58" t="n"/>
      <c r="E116" s="56" t="n"/>
      <c r="F116" s="58" t="n"/>
      <c r="G116" s="56" t="n"/>
      <c r="H116" s="65" t="n"/>
    </row>
    <row r="117" ht="28.25" customHeight="1">
      <c r="A117" s="56">
        <f>IF(B117="","",IFERROR(INDEX('21 2026 ÜRETİM'!$A$2:$A$501,MATCH(B117,'21 2026 ÜRETİM'!$G$2:$G$501,0)),""))</f>
        <v/>
      </c>
      <c r="B117" s="58" t="n"/>
      <c r="C117" s="56" t="n"/>
      <c r="D117" s="58" t="n"/>
      <c r="E117" s="56" t="n"/>
      <c r="F117" s="58" t="n"/>
      <c r="G117" s="56" t="n"/>
      <c r="H117" s="65" t="n"/>
    </row>
    <row r="118" ht="28.25" customHeight="1">
      <c r="A118" s="56">
        <f>IF(B118="","",IFERROR(INDEX('21 2026 ÜRETİM'!$A$2:$A$501,MATCH(B118,'21 2026 ÜRETİM'!$G$2:$G$501,0)),""))</f>
        <v/>
      </c>
      <c r="B118" s="58" t="n"/>
      <c r="C118" s="56" t="n"/>
      <c r="D118" s="58" t="n"/>
      <c r="E118" s="56" t="n"/>
      <c r="F118" s="58" t="n"/>
      <c r="G118" s="56" t="n"/>
      <c r="H118" s="65" t="n"/>
    </row>
    <row r="119" ht="28.25" customHeight="1">
      <c r="A119" s="56">
        <f>IF(B119="","",IFERROR(INDEX('21 2026 ÜRETİM'!$A$2:$A$501,MATCH(B119,'21 2026 ÜRETİM'!$G$2:$G$501,0)),""))</f>
        <v/>
      </c>
      <c r="B119" s="58" t="n"/>
      <c r="C119" s="56" t="n"/>
      <c r="D119" s="58" t="n"/>
      <c r="E119" s="56" t="n"/>
      <c r="F119" s="58" t="n"/>
      <c r="G119" s="56" t="n"/>
      <c r="H119" s="65" t="n"/>
    </row>
    <row r="120" ht="28.25" customHeight="1">
      <c r="A120" s="56">
        <f>IF(B120="","",IFERROR(INDEX('21 2026 ÜRETİM'!$A$2:$A$501,MATCH(B120,'21 2026 ÜRETİM'!$G$2:$G$501,0)),""))</f>
        <v/>
      </c>
      <c r="B120" s="58" t="n"/>
      <c r="C120" s="56" t="n"/>
      <c r="D120" s="58" t="n"/>
      <c r="E120" s="56" t="n"/>
      <c r="F120" s="58" t="n"/>
      <c r="G120" s="56" t="n"/>
      <c r="H120" s="65" t="n"/>
    </row>
    <row r="121" ht="28.25" customHeight="1">
      <c r="A121" s="56">
        <f>IF(B121="","",IFERROR(INDEX('21 2026 ÜRETİM'!$A$2:$A$501,MATCH(B121,'21 2026 ÜRETİM'!$G$2:$G$501,0)),""))</f>
        <v/>
      </c>
      <c r="B121" s="58" t="n"/>
      <c r="C121" s="56" t="n"/>
      <c r="D121" s="58" t="n"/>
      <c r="E121" s="56" t="n"/>
      <c r="F121" s="58" t="n"/>
      <c r="G121" s="56" t="n"/>
      <c r="H121" s="65" t="n"/>
    </row>
    <row r="122" ht="28.25" customHeight="1">
      <c r="A122" s="56">
        <f>IF(B122="","",IFERROR(INDEX('21 2026 ÜRETİM'!$A$2:$A$501,MATCH(B122,'21 2026 ÜRETİM'!$G$2:$G$501,0)),""))</f>
        <v/>
      </c>
      <c r="B122" s="58" t="n"/>
      <c r="C122" s="56" t="n"/>
      <c r="D122" s="58" t="n"/>
      <c r="E122" s="56" t="n"/>
      <c r="F122" s="58" t="n"/>
      <c r="G122" s="56" t="n"/>
      <c r="H122" s="65" t="n"/>
    </row>
    <row r="123" ht="28.25" customHeight="1">
      <c r="A123" s="56">
        <f>IF(B123="","",IFERROR(INDEX('21 2026 ÜRETİM'!$A$2:$A$501,MATCH(B123,'21 2026 ÜRETİM'!$G$2:$G$501,0)),""))</f>
        <v/>
      </c>
      <c r="B123" s="58" t="n"/>
      <c r="C123" s="56" t="n"/>
      <c r="D123" s="58" t="n"/>
      <c r="E123" s="56" t="n"/>
      <c r="F123" s="58" t="n"/>
      <c r="G123" s="56" t="n"/>
      <c r="H123" s="65" t="n"/>
    </row>
    <row r="124" ht="28.25" customHeight="1">
      <c r="A124" s="56">
        <f>IF(B124="","",IFERROR(INDEX('21 2026 ÜRETİM'!$A$2:$A$501,MATCH(B124,'21 2026 ÜRETİM'!$G$2:$G$501,0)),""))</f>
        <v/>
      </c>
      <c r="B124" s="58" t="n"/>
      <c r="C124" s="56" t="n"/>
      <c r="D124" s="58" t="n"/>
      <c r="E124" s="56" t="n"/>
      <c r="F124" s="58" t="n"/>
      <c r="G124" s="56" t="n"/>
      <c r="H124" s="65" t="n"/>
    </row>
    <row r="125" ht="28.25" customHeight="1">
      <c r="A125" s="56">
        <f>IF(B125="","",IFERROR(INDEX('21 2026 ÜRETİM'!$A$2:$A$501,MATCH(B125,'21 2026 ÜRETİM'!$G$2:$G$501,0)),""))</f>
        <v/>
      </c>
      <c r="B125" s="58" t="n"/>
      <c r="C125" s="56" t="n"/>
      <c r="D125" s="58" t="n"/>
      <c r="E125" s="56" t="n"/>
      <c r="F125" s="58" t="n"/>
      <c r="G125" s="56" t="n"/>
      <c r="H125" s="65" t="n"/>
    </row>
    <row r="126" ht="28.25" customHeight="1">
      <c r="A126" s="56">
        <f>IF(B126="","",IFERROR(INDEX('21 2026 ÜRETİM'!$A$2:$A$501,MATCH(B126,'21 2026 ÜRETİM'!$G$2:$G$501,0)),""))</f>
        <v/>
      </c>
      <c r="B126" s="58" t="n"/>
      <c r="C126" s="56" t="n"/>
      <c r="D126" s="58" t="n"/>
      <c r="E126" s="56" t="n"/>
      <c r="F126" s="58" t="n"/>
      <c r="G126" s="56" t="n"/>
      <c r="H126" s="65" t="n"/>
    </row>
    <row r="127" ht="28.25" customHeight="1">
      <c r="A127" s="56">
        <f>IF(B127="","",IFERROR(INDEX('21 2026 ÜRETİM'!$A$2:$A$501,MATCH(B127,'21 2026 ÜRETİM'!$G$2:$G$501,0)),""))</f>
        <v/>
      </c>
      <c r="B127" s="58" t="n"/>
      <c r="C127" s="56" t="n"/>
      <c r="D127" s="58" t="n"/>
      <c r="E127" s="56" t="n"/>
      <c r="F127" s="58" t="n"/>
      <c r="G127" s="56" t="n"/>
      <c r="H127" s="65" t="n"/>
    </row>
    <row r="128" ht="28.25" customHeight="1">
      <c r="A128" s="56">
        <f>IF(B128="","",IFERROR(INDEX('21 2026 ÜRETİM'!$A$2:$A$501,MATCH(B128,'21 2026 ÜRETİM'!$G$2:$G$501,0)),""))</f>
        <v/>
      </c>
      <c r="B128" s="58" t="n"/>
      <c r="C128" s="56" t="n"/>
      <c r="D128" s="58" t="n"/>
      <c r="E128" s="56" t="n"/>
      <c r="F128" s="58" t="n"/>
      <c r="G128" s="56" t="n"/>
      <c r="H128" s="65" t="n"/>
    </row>
    <row r="129" ht="28.25" customHeight="1">
      <c r="A129" s="56">
        <f>IF(B129="","",IFERROR(INDEX('21 2026 ÜRETİM'!$A$2:$A$501,MATCH(B129,'21 2026 ÜRETİM'!$G$2:$G$501,0)),""))</f>
        <v/>
      </c>
      <c r="B129" s="58" t="n"/>
      <c r="C129" s="56" t="n"/>
      <c r="D129" s="58" t="n"/>
      <c r="E129" s="56" t="n"/>
      <c r="F129" s="58" t="n"/>
      <c r="G129" s="56" t="n"/>
      <c r="H129" s="65" t="n"/>
    </row>
    <row r="130" ht="28.25" customHeight="1">
      <c r="A130" s="56">
        <f>IF(B130="","",IFERROR(INDEX('21 2026 ÜRETİM'!$A$2:$A$501,MATCH(B130,'21 2026 ÜRETİM'!$G$2:$G$501,0)),""))</f>
        <v/>
      </c>
      <c r="B130" s="58" t="n"/>
      <c r="C130" s="56" t="n"/>
      <c r="D130" s="58" t="n"/>
      <c r="E130" s="56" t="n"/>
      <c r="F130" s="58" t="n"/>
      <c r="G130" s="56" t="n"/>
      <c r="H130" s="65" t="n"/>
    </row>
    <row r="131" ht="28.25" customHeight="1">
      <c r="A131" s="56">
        <f>IF(B131="","",IFERROR(INDEX('21 2026 ÜRETİM'!$A$2:$A$501,MATCH(B131,'21 2026 ÜRETİM'!$G$2:$G$501,0)),""))</f>
        <v/>
      </c>
      <c r="B131" s="58" t="n"/>
      <c r="C131" s="56" t="n"/>
      <c r="D131" s="58" t="n"/>
      <c r="E131" s="56" t="n"/>
      <c r="F131" s="58" t="n"/>
      <c r="G131" s="56" t="n"/>
      <c r="H131" s="65" t="n"/>
    </row>
    <row r="132" ht="28.25" customHeight="1">
      <c r="A132" s="56">
        <f>IF(B132="","",IFERROR(INDEX('21 2026 ÜRETİM'!$A$2:$A$501,MATCH(B132,'21 2026 ÜRETİM'!$G$2:$G$501,0)),""))</f>
        <v/>
      </c>
      <c r="B132" s="58" t="n"/>
      <c r="C132" s="56" t="n"/>
      <c r="D132" s="58" t="n"/>
      <c r="E132" s="56" t="n"/>
      <c r="F132" s="58" t="n"/>
      <c r="G132" s="56" t="n"/>
      <c r="H132" s="65" t="n"/>
    </row>
    <row r="133" ht="28.25" customHeight="1">
      <c r="A133" s="56">
        <f>IF(B133="","",IFERROR(INDEX('21 2026 ÜRETİM'!$A$2:$A$501,MATCH(B133,'21 2026 ÜRETİM'!$G$2:$G$501,0)),""))</f>
        <v/>
      </c>
      <c r="B133" s="58" t="n"/>
      <c r="C133" s="56" t="n"/>
      <c r="D133" s="58" t="n"/>
      <c r="E133" s="56" t="n"/>
      <c r="F133" s="58" t="n"/>
      <c r="G133" s="56" t="n"/>
      <c r="H133" s="65" t="n"/>
    </row>
    <row r="134" ht="28.25" customHeight="1">
      <c r="A134" s="56">
        <f>IF(B134="","",IFERROR(INDEX('21 2026 ÜRETİM'!$A$2:$A$501,MATCH(B134,'21 2026 ÜRETİM'!$G$2:$G$501,0)),""))</f>
        <v/>
      </c>
      <c r="B134" s="58" t="n"/>
      <c r="C134" s="56" t="n"/>
      <c r="D134" s="58" t="n"/>
      <c r="E134" s="56" t="n"/>
      <c r="F134" s="58" t="n"/>
      <c r="G134" s="56" t="n"/>
      <c r="H134" s="65" t="n"/>
    </row>
    <row r="135" ht="28.25" customHeight="1">
      <c r="A135" s="56">
        <f>IF(B135="","",IFERROR(INDEX('21 2026 ÜRETİM'!$A$2:$A$501,MATCH(B135,'21 2026 ÜRETİM'!$G$2:$G$501,0)),""))</f>
        <v/>
      </c>
      <c r="B135" s="58" t="n"/>
      <c r="C135" s="56" t="n"/>
      <c r="D135" s="58" t="n"/>
      <c r="E135" s="56" t="n"/>
      <c r="F135" s="58" t="n"/>
      <c r="G135" s="56" t="n"/>
      <c r="H135" s="65" t="n"/>
    </row>
    <row r="136" ht="28.25" customHeight="1">
      <c r="A136" s="56">
        <f>IF(B136="","",IFERROR(INDEX('21 2026 ÜRETİM'!$A$2:$A$501,MATCH(B136,'21 2026 ÜRETİM'!$G$2:$G$501,0)),""))</f>
        <v/>
      </c>
      <c r="B136" s="58" t="n"/>
      <c r="C136" s="56" t="n"/>
      <c r="D136" s="58" t="n"/>
      <c r="E136" s="56" t="n"/>
      <c r="F136" s="58" t="n"/>
      <c r="G136" s="56" t="n"/>
      <c r="H136" s="65" t="n"/>
    </row>
    <row r="137" ht="28.25" customHeight="1">
      <c r="A137" s="56">
        <f>IF(B137="","",IFERROR(INDEX('21 2026 ÜRETİM'!$A$2:$A$501,MATCH(B137,'21 2026 ÜRETİM'!$G$2:$G$501,0)),""))</f>
        <v/>
      </c>
      <c r="B137" s="58" t="n"/>
      <c r="C137" s="56" t="n"/>
      <c r="D137" s="58" t="n"/>
      <c r="E137" s="56" t="n"/>
      <c r="F137" s="58" t="n"/>
      <c r="G137" s="56" t="n"/>
      <c r="H137" s="65" t="n"/>
    </row>
    <row r="138" ht="28.25" customHeight="1">
      <c r="A138" s="56">
        <f>IF(B138="","",IFERROR(INDEX('21 2026 ÜRETİM'!$A$2:$A$501,MATCH(B138,'21 2026 ÜRETİM'!$G$2:$G$501,0)),""))</f>
        <v/>
      </c>
      <c r="B138" s="58" t="n"/>
      <c r="C138" s="56" t="n"/>
      <c r="D138" s="58" t="n"/>
      <c r="E138" s="56" t="n"/>
      <c r="F138" s="58" t="n"/>
      <c r="G138" s="56" t="n"/>
      <c r="H138" s="65" t="n"/>
    </row>
    <row r="139" ht="28.25" customHeight="1">
      <c r="A139" s="56">
        <f>IF(B139="","",IFERROR(INDEX('21 2026 ÜRETİM'!$A$2:$A$501,MATCH(B139,'21 2026 ÜRETİM'!$G$2:$G$501,0)),""))</f>
        <v/>
      </c>
      <c r="B139" s="58" t="n"/>
      <c r="C139" s="56" t="n"/>
      <c r="D139" s="58" t="n"/>
      <c r="E139" s="56" t="n"/>
      <c r="F139" s="58" t="n"/>
      <c r="G139" s="56" t="n"/>
      <c r="H139" s="65" t="n"/>
    </row>
    <row r="140" ht="28.25" customHeight="1">
      <c r="A140" s="56">
        <f>IF(B140="","",IFERROR(INDEX('21 2026 ÜRETİM'!$A$2:$A$501,MATCH(B140,'21 2026 ÜRETİM'!$G$2:$G$501,0)),""))</f>
        <v/>
      </c>
      <c r="B140" s="58" t="n"/>
      <c r="C140" s="56" t="n"/>
      <c r="D140" s="58" t="n"/>
      <c r="E140" s="56" t="n"/>
      <c r="F140" s="58" t="n"/>
      <c r="G140" s="56" t="n"/>
      <c r="H140" s="65" t="n"/>
    </row>
    <row r="141" ht="28.25" customHeight="1">
      <c r="A141" s="56">
        <f>IF(B141="","",IFERROR(INDEX('21 2026 ÜRETİM'!$A$2:$A$501,MATCH(B141,'21 2026 ÜRETİM'!$G$2:$G$501,0)),""))</f>
        <v/>
      </c>
      <c r="B141" s="58" t="n"/>
      <c r="C141" s="56" t="n"/>
      <c r="D141" s="58" t="n"/>
      <c r="E141" s="56" t="n"/>
      <c r="F141" s="58" t="n"/>
      <c r="G141" s="56" t="n"/>
      <c r="H141" s="65" t="n"/>
    </row>
    <row r="142" ht="28.25" customHeight="1">
      <c r="A142" s="56">
        <f>IF(B142="","",IFERROR(INDEX('21 2026 ÜRETİM'!$A$2:$A$501,MATCH(B142,'21 2026 ÜRETİM'!$G$2:$G$501,0)),""))</f>
        <v/>
      </c>
      <c r="B142" s="58" t="n"/>
      <c r="C142" s="56" t="n"/>
      <c r="D142" s="58" t="n"/>
      <c r="E142" s="56" t="n"/>
      <c r="F142" s="58" t="n"/>
      <c r="G142" s="56" t="n"/>
      <c r="H142" s="65" t="n"/>
    </row>
    <row r="143" ht="28.25" customHeight="1">
      <c r="A143" s="56">
        <f>IF(B143="","",IFERROR(INDEX('21 2026 ÜRETİM'!$A$2:$A$501,MATCH(B143,'21 2026 ÜRETİM'!$G$2:$G$501,0)),""))</f>
        <v/>
      </c>
      <c r="B143" s="58" t="n"/>
      <c r="C143" s="56" t="n"/>
      <c r="D143" s="58" t="n"/>
      <c r="E143" s="56" t="n"/>
      <c r="F143" s="58" t="n"/>
      <c r="G143" s="56" t="n"/>
      <c r="H143" s="65" t="n"/>
    </row>
    <row r="144" ht="28.25" customHeight="1">
      <c r="A144" s="56">
        <f>IF(B144="","",IFERROR(INDEX('21 2026 ÜRETİM'!$A$2:$A$501,MATCH(B144,'21 2026 ÜRETİM'!$G$2:$G$501,0)),""))</f>
        <v/>
      </c>
      <c r="B144" s="58" t="n"/>
      <c r="C144" s="56" t="n"/>
      <c r="D144" s="58" t="n"/>
      <c r="E144" s="56" t="n"/>
      <c r="F144" s="58" t="n"/>
      <c r="G144" s="56" t="n"/>
      <c r="H144" s="65" t="n"/>
    </row>
    <row r="145" ht="28.25" customHeight="1">
      <c r="A145" s="56">
        <f>IF(B145="","",IFERROR(INDEX('21 2026 ÜRETİM'!$A$2:$A$501,MATCH(B145,'21 2026 ÜRETİM'!$G$2:$G$501,0)),""))</f>
        <v/>
      </c>
      <c r="B145" s="58" t="n"/>
      <c r="C145" s="56" t="n"/>
      <c r="D145" s="58" t="n"/>
      <c r="E145" s="56" t="n"/>
      <c r="F145" s="58" t="n"/>
      <c r="G145" s="56" t="n"/>
      <c r="H145" s="65" t="n"/>
    </row>
    <row r="146" ht="28.25" customHeight="1">
      <c r="A146" s="56">
        <f>IF(B146="","",IFERROR(INDEX('21 2026 ÜRETİM'!$A$2:$A$501,MATCH(B146,'21 2026 ÜRETİM'!$G$2:$G$501,0)),""))</f>
        <v/>
      </c>
      <c r="B146" s="58" t="n"/>
      <c r="C146" s="56" t="n"/>
      <c r="D146" s="58" t="n"/>
      <c r="E146" s="56" t="n"/>
      <c r="F146" s="58" t="n"/>
      <c r="G146" s="56" t="n"/>
      <c r="H146" s="65" t="n"/>
    </row>
    <row r="147" ht="28.25" customHeight="1">
      <c r="A147" s="56">
        <f>IF(B147="","",IFERROR(INDEX('21 2026 ÜRETİM'!$A$2:$A$501,MATCH(B147,'21 2026 ÜRETİM'!$G$2:$G$501,0)),""))</f>
        <v/>
      </c>
      <c r="B147" s="58" t="n"/>
      <c r="C147" s="56" t="n"/>
      <c r="D147" s="58" t="n"/>
      <c r="E147" s="56" t="n"/>
      <c r="F147" s="58" t="n"/>
      <c r="G147" s="56" t="n"/>
      <c r="H147" s="65" t="n"/>
    </row>
    <row r="148" ht="28.25" customHeight="1">
      <c r="A148" s="56">
        <f>IF(B148="","",IFERROR(INDEX('21 2026 ÜRETİM'!$A$2:$A$501,MATCH(B148,'21 2026 ÜRETİM'!$G$2:$G$501,0)),""))</f>
        <v/>
      </c>
      <c r="B148" s="58" t="n"/>
      <c r="C148" s="56" t="n"/>
      <c r="D148" s="58" t="n"/>
      <c r="E148" s="56" t="n"/>
      <c r="F148" s="58" t="n"/>
      <c r="G148" s="56" t="n"/>
      <c r="H148" s="65" t="n"/>
    </row>
    <row r="149" ht="28.25" customHeight="1">
      <c r="A149" s="56">
        <f>IF(B149="","",IFERROR(INDEX('21 2026 ÜRETİM'!$A$2:$A$501,MATCH(B149,'21 2026 ÜRETİM'!$G$2:$G$501,0)),""))</f>
        <v/>
      </c>
      <c r="B149" s="58" t="n"/>
      <c r="C149" s="56" t="n"/>
      <c r="D149" s="58" t="n"/>
      <c r="E149" s="56" t="n"/>
      <c r="F149" s="58" t="n"/>
      <c r="G149" s="56" t="n"/>
      <c r="H149" s="65" t="n"/>
    </row>
    <row r="150" ht="28.25" customHeight="1">
      <c r="A150" s="56">
        <f>IF(B150="","",IFERROR(INDEX('21 2026 ÜRETİM'!$A$2:$A$501,MATCH(B150,'21 2026 ÜRETİM'!$G$2:$G$501,0)),""))</f>
        <v/>
      </c>
      <c r="B150" s="58" t="n"/>
      <c r="C150" s="56" t="n"/>
      <c r="D150" s="58" t="n"/>
      <c r="E150" s="56" t="n"/>
      <c r="F150" s="58" t="n"/>
      <c r="G150" s="56" t="n"/>
      <c r="H150" s="65" t="n"/>
    </row>
    <row r="151" ht="28.25" customHeight="1">
      <c r="A151" s="56">
        <f>IF(B151="","",IFERROR(INDEX('21 2026 ÜRETİM'!$A$2:$A$501,MATCH(B151,'21 2026 ÜRETİM'!$G$2:$G$501,0)),""))</f>
        <v/>
      </c>
      <c r="B151" s="58" t="n"/>
      <c r="C151" s="56" t="n"/>
      <c r="D151" s="58" t="n"/>
      <c r="E151" s="56" t="n"/>
      <c r="F151" s="58" t="n"/>
      <c r="G151" s="56" t="n"/>
      <c r="H151" s="65" t="n"/>
    </row>
    <row r="152" ht="28.25" customHeight="1">
      <c r="A152" s="56">
        <f>IF(B152="","",IFERROR(INDEX('21 2026 ÜRETİM'!$A$2:$A$501,MATCH(B152,'21 2026 ÜRETİM'!$G$2:$G$501,0)),""))</f>
        <v/>
      </c>
      <c r="B152" s="58" t="n"/>
      <c r="C152" s="56" t="n"/>
      <c r="D152" s="58" t="n"/>
      <c r="E152" s="56" t="n"/>
      <c r="F152" s="58" t="n"/>
      <c r="G152" s="56" t="n"/>
      <c r="H152" s="65" t="n"/>
    </row>
    <row r="153" ht="28.25" customHeight="1">
      <c r="A153" s="56">
        <f>IF(B153="","",IFERROR(INDEX('21 2026 ÜRETİM'!$A$2:$A$501,MATCH(B153,'21 2026 ÜRETİM'!$G$2:$G$501,0)),""))</f>
        <v/>
      </c>
      <c r="B153" s="58" t="n"/>
      <c r="C153" s="56" t="n"/>
      <c r="D153" s="58" t="n"/>
      <c r="E153" s="56" t="n"/>
      <c r="F153" s="58" t="n"/>
      <c r="G153" s="56" t="n"/>
      <c r="H153" s="65" t="n"/>
    </row>
    <row r="154" ht="28.25" customHeight="1">
      <c r="A154" s="56">
        <f>IF(B154="","",IFERROR(INDEX('21 2026 ÜRETİM'!$A$2:$A$501,MATCH(B154,'21 2026 ÜRETİM'!$G$2:$G$501,0)),""))</f>
        <v/>
      </c>
      <c r="B154" s="58" t="n"/>
      <c r="C154" s="56" t="n"/>
      <c r="D154" s="58" t="n"/>
      <c r="E154" s="56" t="n"/>
      <c r="F154" s="58" t="n"/>
      <c r="G154" s="56" t="n"/>
      <c r="H154" s="65" t="n"/>
    </row>
    <row r="155" ht="28.25" customHeight="1">
      <c r="A155" s="56">
        <f>IF(B155="","",IFERROR(INDEX('21 2026 ÜRETİM'!$A$2:$A$501,MATCH(B155,'21 2026 ÜRETİM'!$G$2:$G$501,0)),""))</f>
        <v/>
      </c>
      <c r="B155" s="58" t="n"/>
      <c r="C155" s="56" t="n"/>
      <c r="D155" s="58" t="n"/>
      <c r="E155" s="56" t="n"/>
      <c r="F155" s="58" t="n"/>
      <c r="G155" s="56" t="n"/>
      <c r="H155" s="65" t="n"/>
    </row>
    <row r="156" ht="28.25" customHeight="1">
      <c r="A156" s="56">
        <f>IF(B156="","",IFERROR(INDEX('21 2026 ÜRETİM'!$A$2:$A$501,MATCH(B156,'21 2026 ÜRETİM'!$G$2:$G$501,0)),""))</f>
        <v/>
      </c>
      <c r="B156" s="58" t="n"/>
      <c r="C156" s="56" t="n"/>
      <c r="D156" s="58" t="n"/>
      <c r="E156" s="56" t="n"/>
      <c r="F156" s="58" t="n"/>
      <c r="G156" s="56" t="n"/>
      <c r="H156" s="65" t="n"/>
    </row>
    <row r="157" ht="28.25" customHeight="1">
      <c r="A157" s="56">
        <f>IF(B157="","",IFERROR(INDEX('21 2026 ÜRETİM'!$A$2:$A$501,MATCH(B157,'21 2026 ÜRETİM'!$G$2:$G$501,0)),""))</f>
        <v/>
      </c>
      <c r="B157" s="58" t="n"/>
      <c r="C157" s="56" t="n"/>
      <c r="D157" s="58" t="n"/>
      <c r="E157" s="56" t="n"/>
      <c r="F157" s="58" t="n"/>
      <c r="G157" s="56" t="n"/>
      <c r="H157" s="65" t="n"/>
    </row>
    <row r="158" ht="28.25" customHeight="1">
      <c r="A158" s="56">
        <f>IF(B158="","",IFERROR(INDEX('21 2026 ÜRETİM'!$A$2:$A$501,MATCH(B158,'21 2026 ÜRETİM'!$G$2:$G$501,0)),""))</f>
        <v/>
      </c>
      <c r="B158" s="58" t="n"/>
      <c r="C158" s="56" t="n"/>
      <c r="D158" s="58" t="n"/>
      <c r="E158" s="56" t="n"/>
      <c r="F158" s="58" t="n"/>
      <c r="G158" s="56" t="n"/>
      <c r="H158" s="65" t="n"/>
    </row>
    <row r="159" ht="28.25" customHeight="1">
      <c r="A159" s="56">
        <f>IF(B159="","",IFERROR(INDEX('21 2026 ÜRETİM'!$A$2:$A$501,MATCH(B159,'21 2026 ÜRETİM'!$G$2:$G$501,0)),""))</f>
        <v/>
      </c>
      <c r="B159" s="58" t="n"/>
      <c r="C159" s="56" t="n"/>
      <c r="D159" s="58" t="n"/>
      <c r="E159" s="56" t="n"/>
      <c r="F159" s="58" t="n"/>
      <c r="G159" s="56" t="n"/>
      <c r="H159" s="65" t="n"/>
    </row>
    <row r="160" ht="28.25" customHeight="1">
      <c r="A160" s="56">
        <f>IF(B160="","",IFERROR(INDEX('21 2026 ÜRETİM'!$A$2:$A$501,MATCH(B160,'21 2026 ÜRETİM'!$G$2:$G$501,0)),""))</f>
        <v/>
      </c>
      <c r="B160" s="58" t="n"/>
      <c r="C160" s="56" t="n"/>
      <c r="D160" s="58" t="n"/>
      <c r="E160" s="56" t="n"/>
      <c r="F160" s="58" t="n"/>
      <c r="G160" s="56" t="n"/>
      <c r="H160" s="65" t="n"/>
    </row>
    <row r="161" ht="28.25" customHeight="1">
      <c r="A161" s="56">
        <f>IF(B161="","",IFERROR(INDEX('21 2026 ÜRETİM'!$A$2:$A$501,MATCH(B161,'21 2026 ÜRETİM'!$G$2:$G$501,0)),""))</f>
        <v/>
      </c>
      <c r="B161" s="58" t="n"/>
      <c r="C161" s="56" t="n"/>
      <c r="D161" s="58" t="n"/>
      <c r="E161" s="56" t="n"/>
      <c r="F161" s="58" t="n"/>
      <c r="G161" s="56" t="n"/>
      <c r="H161" s="65" t="n"/>
    </row>
    <row r="162" ht="28.25" customHeight="1">
      <c r="A162" s="56">
        <f>IF(B162="","",IFERROR(INDEX('21 2026 ÜRETİM'!$A$2:$A$501,MATCH(B162,'21 2026 ÜRETİM'!$G$2:$G$501,0)),""))</f>
        <v/>
      </c>
      <c r="B162" s="58" t="n"/>
      <c r="C162" s="56" t="n"/>
      <c r="D162" s="58" t="n"/>
      <c r="E162" s="56" t="n"/>
      <c r="F162" s="58" t="n"/>
      <c r="G162" s="56" t="n"/>
      <c r="H162" s="65" t="n"/>
    </row>
    <row r="163" ht="28.25" customHeight="1">
      <c r="A163" s="56">
        <f>IF(B163="","",IFERROR(INDEX('21 2026 ÜRETİM'!$A$2:$A$501,MATCH(B163,'21 2026 ÜRETİM'!$G$2:$G$501,0)),""))</f>
        <v/>
      </c>
      <c r="B163" s="58" t="n"/>
      <c r="C163" s="56" t="n"/>
      <c r="D163" s="58" t="n"/>
      <c r="E163" s="56" t="n"/>
      <c r="F163" s="58" t="n"/>
      <c r="G163" s="56" t="n"/>
      <c r="H163" s="65" t="n"/>
    </row>
    <row r="164" ht="28.25" customHeight="1">
      <c r="A164" s="56">
        <f>IF(B164="","",IFERROR(INDEX('21 2026 ÜRETİM'!$A$2:$A$501,MATCH(B164,'21 2026 ÜRETİM'!$G$2:$G$501,0)),""))</f>
        <v/>
      </c>
      <c r="B164" s="58" t="n"/>
      <c r="C164" s="56" t="n"/>
      <c r="D164" s="58" t="n"/>
      <c r="E164" s="56" t="n"/>
      <c r="F164" s="58" t="n"/>
      <c r="G164" s="56" t="n"/>
      <c r="H164" s="65" t="n"/>
    </row>
    <row r="165" ht="28.25" customHeight="1">
      <c r="A165" s="56">
        <f>IF(B165="","",IFERROR(INDEX('21 2026 ÜRETİM'!$A$2:$A$501,MATCH(B165,'21 2026 ÜRETİM'!$G$2:$G$501,0)),""))</f>
        <v/>
      </c>
      <c r="B165" s="58" t="n"/>
      <c r="C165" s="56" t="n"/>
      <c r="D165" s="58" t="n"/>
      <c r="E165" s="56" t="n"/>
      <c r="F165" s="58" t="n"/>
      <c r="G165" s="56" t="n"/>
      <c r="H165" s="65" t="n"/>
    </row>
    <row r="166" ht="28.25" customHeight="1">
      <c r="A166" s="56">
        <f>IF(B166="","",IFERROR(INDEX('21 2026 ÜRETİM'!$A$2:$A$501,MATCH(B166,'21 2026 ÜRETİM'!$G$2:$G$501,0)),""))</f>
        <v/>
      </c>
      <c r="B166" s="58" t="n"/>
      <c r="C166" s="56" t="n"/>
      <c r="D166" s="58" t="n"/>
      <c r="E166" s="56" t="n"/>
      <c r="F166" s="58" t="n"/>
      <c r="G166" s="56" t="n"/>
      <c r="H166" s="65" t="n"/>
    </row>
    <row r="167" ht="28.25" customHeight="1">
      <c r="A167" s="56">
        <f>IF(B167="","",IFERROR(INDEX('21 2026 ÜRETİM'!$A$2:$A$501,MATCH(B167,'21 2026 ÜRETİM'!$G$2:$G$501,0)),""))</f>
        <v/>
      </c>
      <c r="B167" s="58" t="n"/>
      <c r="C167" s="56" t="n"/>
      <c r="D167" s="58" t="n"/>
      <c r="E167" s="56" t="n"/>
      <c r="F167" s="58" t="n"/>
      <c r="G167" s="56" t="n"/>
      <c r="H167" s="65" t="n"/>
    </row>
    <row r="168" ht="28.25" customHeight="1">
      <c r="A168" s="56">
        <f>IF(B168="","",IFERROR(INDEX('21 2026 ÜRETİM'!$A$2:$A$501,MATCH(B168,'21 2026 ÜRETİM'!$G$2:$G$501,0)),""))</f>
        <v/>
      </c>
      <c r="B168" s="58" t="n"/>
      <c r="C168" s="56" t="n"/>
      <c r="D168" s="58" t="n"/>
      <c r="E168" s="56" t="n"/>
      <c r="F168" s="58" t="n"/>
      <c r="G168" s="56" t="n"/>
      <c r="H168" s="65" t="n"/>
    </row>
    <row r="169" ht="28.25" customHeight="1">
      <c r="A169" s="56">
        <f>IF(B169="","",IFERROR(INDEX('21 2026 ÜRETİM'!$A$2:$A$501,MATCH(B169,'21 2026 ÜRETİM'!$G$2:$G$501,0)),""))</f>
        <v/>
      </c>
      <c r="B169" s="58" t="n"/>
      <c r="C169" s="56" t="n"/>
      <c r="D169" s="58" t="n"/>
      <c r="E169" s="56" t="n"/>
      <c r="F169" s="58" t="n"/>
      <c r="G169" s="56" t="n"/>
      <c r="H169" s="65" t="n"/>
    </row>
    <row r="170" ht="28.25" customHeight="1">
      <c r="A170" s="56">
        <f>IF(B170="","",IFERROR(INDEX('21 2026 ÜRETİM'!$A$2:$A$501,MATCH(B170,'21 2026 ÜRETİM'!$G$2:$G$501,0)),""))</f>
        <v/>
      </c>
      <c r="B170" s="58" t="n"/>
      <c r="C170" s="56" t="n"/>
      <c r="D170" s="58" t="n"/>
      <c r="E170" s="56" t="n"/>
      <c r="F170" s="58" t="n"/>
      <c r="G170" s="56" t="n"/>
      <c r="H170" s="65" t="n"/>
    </row>
    <row r="171" ht="28.25" customHeight="1">
      <c r="A171" s="56">
        <f>IF(B171="","",IFERROR(INDEX('21 2026 ÜRETİM'!$A$2:$A$501,MATCH(B171,'21 2026 ÜRETİM'!$G$2:$G$501,0)),""))</f>
        <v/>
      </c>
      <c r="B171" s="58" t="n"/>
      <c r="C171" s="56" t="n"/>
      <c r="D171" s="58" t="n"/>
      <c r="E171" s="56" t="n"/>
      <c r="F171" s="58" t="n"/>
      <c r="G171" s="56" t="n"/>
      <c r="H171" s="65" t="n"/>
    </row>
    <row r="172" ht="28.25" customHeight="1">
      <c r="A172" s="56">
        <f>IF(B172="","",IFERROR(INDEX('21 2026 ÜRETİM'!$A$2:$A$501,MATCH(B172,'21 2026 ÜRETİM'!$G$2:$G$501,0)),""))</f>
        <v/>
      </c>
      <c r="B172" s="58" t="n"/>
      <c r="C172" s="56" t="n"/>
      <c r="D172" s="58" t="n"/>
      <c r="E172" s="56" t="n"/>
      <c r="F172" s="58" t="n"/>
      <c r="G172" s="56" t="n"/>
      <c r="H172" s="65" t="n"/>
    </row>
    <row r="173" ht="28.25" customHeight="1">
      <c r="A173" s="56">
        <f>IF(B173="","",IFERROR(INDEX('21 2026 ÜRETİM'!$A$2:$A$501,MATCH(B173,'21 2026 ÜRETİM'!$G$2:$G$501,0)),""))</f>
        <v/>
      </c>
      <c r="B173" s="58" t="n"/>
      <c r="C173" s="56" t="n"/>
      <c r="D173" s="58" t="n"/>
      <c r="E173" s="56" t="n"/>
      <c r="F173" s="58" t="n"/>
      <c r="G173" s="56" t="n"/>
      <c r="H173" s="65" t="n"/>
    </row>
    <row r="174" ht="28.25" customHeight="1">
      <c r="A174" s="56">
        <f>IF(B174="","",IFERROR(INDEX('21 2026 ÜRETİM'!$A$2:$A$501,MATCH(B174,'21 2026 ÜRETİM'!$G$2:$G$501,0)),""))</f>
        <v/>
      </c>
      <c r="B174" s="58" t="n"/>
      <c r="C174" s="56" t="n"/>
      <c r="D174" s="58" t="n"/>
      <c r="E174" s="56" t="n"/>
      <c r="F174" s="58" t="n"/>
      <c r="G174" s="56" t="n"/>
      <c r="H174" s="65" t="n"/>
    </row>
    <row r="175" ht="28.25" customHeight="1">
      <c r="A175" s="56">
        <f>IF(B175="","",IFERROR(INDEX('21 2026 ÜRETİM'!$A$2:$A$501,MATCH(B175,'21 2026 ÜRETİM'!$G$2:$G$501,0)),""))</f>
        <v/>
      </c>
      <c r="B175" s="58" t="n"/>
      <c r="C175" s="56" t="n"/>
      <c r="D175" s="58" t="n"/>
      <c r="E175" s="56" t="n"/>
      <c r="F175" s="58" t="n"/>
      <c r="G175" s="56" t="n"/>
      <c r="H175" s="65" t="n"/>
    </row>
    <row r="176" ht="28.25" customHeight="1">
      <c r="A176" s="56">
        <f>IF(B176="","",IFERROR(INDEX('21 2026 ÜRETİM'!$A$2:$A$501,MATCH(B176,'21 2026 ÜRETİM'!$G$2:$G$501,0)),""))</f>
        <v/>
      </c>
      <c r="B176" s="58" t="n"/>
      <c r="C176" s="56" t="n"/>
      <c r="D176" s="58" t="n"/>
      <c r="E176" s="56" t="n"/>
      <c r="F176" s="58" t="n"/>
      <c r="G176" s="56" t="n"/>
      <c r="H176" s="65" t="n"/>
    </row>
    <row r="177" ht="28.25" customHeight="1">
      <c r="A177" s="56">
        <f>IF(B177="","",IFERROR(INDEX('21 2026 ÜRETİM'!$A$2:$A$501,MATCH(B177,'21 2026 ÜRETİM'!$G$2:$G$501,0)),""))</f>
        <v/>
      </c>
      <c r="B177" s="58" t="n"/>
      <c r="C177" s="56" t="n"/>
      <c r="D177" s="58" t="n"/>
      <c r="E177" s="56" t="n"/>
      <c r="F177" s="58" t="n"/>
      <c r="G177" s="56" t="n"/>
      <c r="H177" s="65" t="n"/>
    </row>
    <row r="178" ht="28.25" customHeight="1">
      <c r="A178" s="56">
        <f>IF(B178="","",IFERROR(INDEX('21 2026 ÜRETİM'!$A$2:$A$501,MATCH(B178,'21 2026 ÜRETİM'!$G$2:$G$501,0)),""))</f>
        <v/>
      </c>
      <c r="B178" s="58" t="n"/>
      <c r="C178" s="56" t="n"/>
      <c r="D178" s="58" t="n"/>
      <c r="E178" s="56" t="n"/>
      <c r="F178" s="58" t="n"/>
      <c r="G178" s="56" t="n"/>
      <c r="H178" s="65" t="n"/>
    </row>
    <row r="179" ht="28.25" customHeight="1">
      <c r="A179" s="56">
        <f>IF(B179="","",IFERROR(INDEX('21 2026 ÜRETİM'!$A$2:$A$501,MATCH(B179,'21 2026 ÜRETİM'!$G$2:$G$501,0)),""))</f>
        <v/>
      </c>
      <c r="B179" s="58" t="n"/>
      <c r="C179" s="56" t="n"/>
      <c r="D179" s="58" t="n"/>
      <c r="E179" s="56" t="n"/>
      <c r="F179" s="58" t="n"/>
      <c r="G179" s="56" t="n"/>
      <c r="H179" s="65" t="n"/>
    </row>
    <row r="180" ht="28.25" customHeight="1">
      <c r="A180" s="56">
        <f>IF(B180="","",IFERROR(INDEX('21 2026 ÜRETİM'!$A$2:$A$501,MATCH(B180,'21 2026 ÜRETİM'!$G$2:$G$501,0)),""))</f>
        <v/>
      </c>
      <c r="B180" s="58" t="n"/>
      <c r="C180" s="56" t="n"/>
      <c r="D180" s="58" t="n"/>
      <c r="E180" s="56" t="n"/>
      <c r="F180" s="58" t="n"/>
      <c r="G180" s="56" t="n"/>
      <c r="H180" s="65" t="n"/>
    </row>
    <row r="181" ht="28.25" customHeight="1">
      <c r="A181" s="56">
        <f>IF(B181="","",IFERROR(INDEX('21 2026 ÜRETİM'!$A$2:$A$501,MATCH(B181,'21 2026 ÜRETİM'!$G$2:$G$501,0)),""))</f>
        <v/>
      </c>
      <c r="B181" s="58" t="n"/>
      <c r="C181" s="56" t="n"/>
      <c r="D181" s="58" t="n"/>
      <c r="E181" s="56" t="n"/>
      <c r="F181" s="58" t="n"/>
      <c r="G181" s="56" t="n"/>
      <c r="H181" s="65" t="n"/>
    </row>
    <row r="182" ht="28.25" customHeight="1">
      <c r="A182" s="56">
        <f>IF(B182="","",IFERROR(INDEX('21 2026 ÜRETİM'!$A$2:$A$501,MATCH(B182,'21 2026 ÜRETİM'!$G$2:$G$501,0)),""))</f>
        <v/>
      </c>
      <c r="B182" s="58" t="n"/>
      <c r="C182" s="56" t="n"/>
      <c r="D182" s="58" t="n"/>
      <c r="E182" s="56" t="n"/>
      <c r="F182" s="58" t="n"/>
      <c r="G182" s="56" t="n"/>
      <c r="H182" s="65" t="n"/>
    </row>
    <row r="183" ht="28.25" customHeight="1">
      <c r="A183" s="56">
        <f>IF(B183="","",IFERROR(INDEX('21 2026 ÜRETİM'!$A$2:$A$501,MATCH(B183,'21 2026 ÜRETİM'!$G$2:$G$501,0)),""))</f>
        <v/>
      </c>
      <c r="B183" s="58" t="n"/>
      <c r="C183" s="56" t="n"/>
      <c r="D183" s="58" t="n"/>
      <c r="E183" s="56" t="n"/>
      <c r="F183" s="58" t="n"/>
      <c r="G183" s="56" t="n"/>
      <c r="H183" s="65" t="n"/>
    </row>
    <row r="184" ht="28.25" customHeight="1">
      <c r="A184" s="56">
        <f>IF(B184="","",IFERROR(INDEX('21 2026 ÜRETİM'!$A$2:$A$501,MATCH(B184,'21 2026 ÜRETİM'!$G$2:$G$501,0)),""))</f>
        <v/>
      </c>
      <c r="B184" s="58" t="n"/>
      <c r="C184" s="56" t="n"/>
      <c r="D184" s="58" t="n"/>
      <c r="E184" s="56" t="n"/>
      <c r="F184" s="58" t="n"/>
      <c r="G184" s="56" t="n"/>
      <c r="H184" s="65" t="n"/>
    </row>
    <row r="185" ht="28.25" customHeight="1">
      <c r="A185" s="56">
        <f>IF(B185="","",IFERROR(INDEX('21 2026 ÜRETİM'!$A$2:$A$501,MATCH(B185,'21 2026 ÜRETİM'!$G$2:$G$501,0)),""))</f>
        <v/>
      </c>
      <c r="B185" s="58" t="n"/>
      <c r="C185" s="56" t="n"/>
      <c r="D185" s="58" t="n"/>
      <c r="E185" s="56" t="n"/>
      <c r="F185" s="58" t="n"/>
      <c r="G185" s="56" t="n"/>
      <c r="H185" s="65" t="n"/>
    </row>
    <row r="186" ht="28.25" customHeight="1">
      <c r="A186" s="56">
        <f>IF(B186="","",IFERROR(INDEX('21 2026 ÜRETİM'!$A$2:$A$501,MATCH(B186,'21 2026 ÜRETİM'!$G$2:$G$501,0)),""))</f>
        <v/>
      </c>
      <c r="B186" s="58" t="n"/>
      <c r="C186" s="56" t="n"/>
      <c r="D186" s="58" t="n"/>
      <c r="E186" s="56" t="n"/>
      <c r="F186" s="58" t="n"/>
      <c r="G186" s="56" t="n"/>
      <c r="H186" s="65" t="n"/>
    </row>
    <row r="187" ht="28.25" customHeight="1">
      <c r="A187" s="56">
        <f>IF(B187="","",IFERROR(INDEX('21 2026 ÜRETİM'!$A$2:$A$501,MATCH(B187,'21 2026 ÜRETİM'!$G$2:$G$501,0)),""))</f>
        <v/>
      </c>
      <c r="B187" s="58" t="n"/>
      <c r="C187" s="56" t="n"/>
      <c r="D187" s="58" t="n"/>
      <c r="E187" s="56" t="n"/>
      <c r="F187" s="58" t="n"/>
      <c r="G187" s="56" t="n"/>
      <c r="H187" s="65" t="n"/>
    </row>
    <row r="188" ht="28.25" customHeight="1">
      <c r="A188" s="56">
        <f>IF(B188="","",IFERROR(INDEX('21 2026 ÜRETİM'!$A$2:$A$501,MATCH(B188,'21 2026 ÜRETİM'!$G$2:$G$501,0)),""))</f>
        <v/>
      </c>
      <c r="B188" s="58" t="n"/>
      <c r="C188" s="56" t="n"/>
      <c r="D188" s="58" t="n"/>
      <c r="E188" s="56" t="n"/>
      <c r="F188" s="58" t="n"/>
      <c r="G188" s="56" t="n"/>
      <c r="H188" s="65" t="n"/>
    </row>
    <row r="189" ht="28.25" customHeight="1">
      <c r="A189" s="56">
        <f>IF(B189="","",IFERROR(INDEX('21 2026 ÜRETİM'!$A$2:$A$501,MATCH(B189,'21 2026 ÜRETİM'!$G$2:$G$501,0)),""))</f>
        <v/>
      </c>
      <c r="B189" s="58" t="n"/>
      <c r="C189" s="56" t="n"/>
      <c r="D189" s="58" t="n"/>
      <c r="E189" s="56" t="n"/>
      <c r="F189" s="58" t="n"/>
      <c r="G189" s="56" t="n"/>
      <c r="H189" s="65" t="n"/>
    </row>
    <row r="190" ht="28.25" customHeight="1">
      <c r="A190" s="56">
        <f>IF(B190="","",IFERROR(INDEX('21 2026 ÜRETİM'!$A$2:$A$501,MATCH(B190,'21 2026 ÜRETİM'!$G$2:$G$501,0)),""))</f>
        <v/>
      </c>
      <c r="B190" s="58" t="n"/>
      <c r="C190" s="56" t="n"/>
      <c r="D190" s="58" t="n"/>
      <c r="E190" s="56" t="n"/>
      <c r="F190" s="58" t="n"/>
      <c r="G190" s="56" t="n"/>
      <c r="H190" s="65" t="n"/>
    </row>
    <row r="191" ht="28.25" customHeight="1">
      <c r="A191" s="56">
        <f>IF(B191="","",IFERROR(INDEX('21 2026 ÜRETİM'!$A$2:$A$501,MATCH(B191,'21 2026 ÜRETİM'!$G$2:$G$501,0)),""))</f>
        <v/>
      </c>
      <c r="B191" s="58" t="n"/>
      <c r="C191" s="56" t="n"/>
      <c r="D191" s="58" t="n"/>
      <c r="E191" s="56" t="n"/>
      <c r="F191" s="58" t="n"/>
      <c r="G191" s="56" t="n"/>
      <c r="H191" s="65" t="n"/>
    </row>
    <row r="192" ht="28.25" customHeight="1">
      <c r="A192" s="56">
        <f>IF(B192="","",IFERROR(INDEX('21 2026 ÜRETİM'!$A$2:$A$501,MATCH(B192,'21 2026 ÜRETİM'!$G$2:$G$501,0)),""))</f>
        <v/>
      </c>
      <c r="B192" s="58" t="n"/>
      <c r="C192" s="56" t="n"/>
      <c r="D192" s="58" t="n"/>
      <c r="E192" s="56" t="n"/>
      <c r="F192" s="58" t="n"/>
      <c r="G192" s="56" t="n"/>
      <c r="H192" s="65" t="n"/>
    </row>
    <row r="193" ht="28.25" customHeight="1">
      <c r="A193" s="56">
        <f>IF(B193="","",IFERROR(INDEX('21 2026 ÜRETİM'!$A$2:$A$501,MATCH(B193,'21 2026 ÜRETİM'!$G$2:$G$501,0)),""))</f>
        <v/>
      </c>
      <c r="B193" s="58" t="n"/>
      <c r="C193" s="56" t="n"/>
      <c r="D193" s="58" t="n"/>
      <c r="E193" s="56" t="n"/>
      <c r="F193" s="58" t="n"/>
      <c r="G193" s="56" t="n"/>
      <c r="H193" s="65" t="n"/>
    </row>
    <row r="194" ht="28.25" customHeight="1">
      <c r="A194" s="56">
        <f>IF(B194="","",IFERROR(INDEX('21 2026 ÜRETİM'!$A$2:$A$501,MATCH(B194,'21 2026 ÜRETİM'!$G$2:$G$501,0)),""))</f>
        <v/>
      </c>
      <c r="B194" s="58" t="n"/>
      <c r="C194" s="56" t="n"/>
      <c r="D194" s="58" t="n"/>
      <c r="E194" s="56" t="n"/>
      <c r="F194" s="58" t="n"/>
      <c r="G194" s="56" t="n"/>
      <c r="H194" s="65" t="n"/>
    </row>
    <row r="195" ht="28.25" customHeight="1">
      <c r="A195" s="56">
        <f>IF(B195="","",IFERROR(INDEX('21 2026 ÜRETİM'!$A$2:$A$501,MATCH(B195,'21 2026 ÜRETİM'!$G$2:$G$501,0)),""))</f>
        <v/>
      </c>
      <c r="B195" s="58" t="n"/>
      <c r="C195" s="56" t="n"/>
      <c r="D195" s="58" t="n"/>
      <c r="E195" s="56" t="n"/>
      <c r="F195" s="58" t="n"/>
      <c r="G195" s="56" t="n"/>
      <c r="H195" s="65" t="n"/>
    </row>
    <row r="196" ht="28.25" customHeight="1">
      <c r="A196" s="56">
        <f>IF(B196="","",IFERROR(INDEX('21 2026 ÜRETİM'!$A$2:$A$501,MATCH(B196,'21 2026 ÜRETİM'!$G$2:$G$501,0)),""))</f>
        <v/>
      </c>
      <c r="B196" s="58" t="n"/>
      <c r="C196" s="56" t="n"/>
      <c r="D196" s="58" t="n"/>
      <c r="E196" s="56" t="n"/>
      <c r="F196" s="58" t="n"/>
      <c r="G196" s="56" t="n"/>
      <c r="H196" s="65" t="n"/>
    </row>
    <row r="197" ht="28.25" customHeight="1">
      <c r="A197" s="56">
        <f>IF(B197="","",IFERROR(INDEX('21 2026 ÜRETİM'!$A$2:$A$501,MATCH(B197,'21 2026 ÜRETİM'!$G$2:$G$501,0)),""))</f>
        <v/>
      </c>
      <c r="B197" s="58" t="n"/>
      <c r="C197" s="56" t="n"/>
      <c r="D197" s="58" t="n"/>
      <c r="E197" s="56" t="n"/>
      <c r="F197" s="58" t="n"/>
      <c r="G197" s="56" t="n"/>
      <c r="H197" s="65" t="n"/>
    </row>
    <row r="198" ht="28.25" customHeight="1">
      <c r="A198" s="56">
        <f>IF(B198="","",IFERROR(INDEX('21 2026 ÜRETİM'!$A$2:$A$501,MATCH(B198,'21 2026 ÜRETİM'!$G$2:$G$501,0)),""))</f>
        <v/>
      </c>
      <c r="B198" s="58" t="n"/>
      <c r="C198" s="56" t="n"/>
      <c r="D198" s="58" t="n"/>
      <c r="E198" s="56" t="n"/>
      <c r="F198" s="58" t="n"/>
      <c r="G198" s="56" t="n"/>
      <c r="H198" s="65" t="n"/>
    </row>
    <row r="199" ht="28.25" customHeight="1">
      <c r="A199" s="56">
        <f>IF(B199="","",IFERROR(INDEX('21 2026 ÜRETİM'!$A$2:$A$501,MATCH(B199,'21 2026 ÜRETİM'!$G$2:$G$501,0)),""))</f>
        <v/>
      </c>
      <c r="B199" s="58" t="n"/>
      <c r="C199" s="56" t="n"/>
      <c r="D199" s="58" t="n"/>
      <c r="E199" s="56" t="n"/>
      <c r="F199" s="58" t="n"/>
      <c r="G199" s="56" t="n"/>
      <c r="H199" s="65" t="n"/>
    </row>
    <row r="200" ht="28.25" customHeight="1">
      <c r="A200" s="56">
        <f>IF(B200="","",IFERROR(INDEX('21 2026 ÜRETİM'!$A$2:$A$501,MATCH(B200,'21 2026 ÜRETİM'!$G$2:$G$501,0)),""))</f>
        <v/>
      </c>
      <c r="B200" s="58" t="n"/>
      <c r="C200" s="56" t="n"/>
      <c r="D200" s="58" t="n"/>
      <c r="E200" s="56" t="n"/>
      <c r="F200" s="58" t="n"/>
      <c r="G200" s="56" t="n"/>
      <c r="H200" s="65" t="n"/>
    </row>
    <row r="201" ht="28.25" customHeight="1">
      <c r="A201" s="56">
        <f>IF(B201="","",IFERROR(INDEX('21 2026 ÜRETİM'!$A$2:$A$501,MATCH(B201,'21 2026 ÜRETİM'!$G$2:$G$501,0)),""))</f>
        <v/>
      </c>
      <c r="B201" s="58" t="n"/>
      <c r="C201" s="56" t="n"/>
      <c r="D201" s="58" t="n"/>
      <c r="E201" s="56" t="n"/>
      <c r="F201" s="58" t="n"/>
      <c r="G201" s="56" t="n"/>
      <c r="H201" s="65" t="n"/>
    </row>
    <row r="202" ht="28.25" customHeight="1">
      <c r="A202" s="56">
        <f>IF(B202="","",IFERROR(INDEX('21 2026 ÜRETİM'!$A$2:$A$501,MATCH(B202,'21 2026 ÜRETİM'!$G$2:$G$501,0)),""))</f>
        <v/>
      </c>
      <c r="B202" s="58" t="n"/>
      <c r="C202" s="56" t="n"/>
      <c r="D202" s="58" t="n"/>
      <c r="E202" s="56" t="n"/>
      <c r="F202" s="58" t="n"/>
      <c r="G202" s="56" t="n"/>
      <c r="H202" s="65" t="n"/>
    </row>
    <row r="203" ht="28.25" customHeight="1">
      <c r="A203" s="56">
        <f>IF(B203="","",IFERROR(INDEX('21 2026 ÜRETİM'!$A$2:$A$501,MATCH(B203,'21 2026 ÜRETİM'!$G$2:$G$501,0)),""))</f>
        <v/>
      </c>
      <c r="B203" s="58" t="n"/>
      <c r="C203" s="56" t="n"/>
      <c r="D203" s="58" t="n"/>
      <c r="E203" s="56" t="n"/>
      <c r="F203" s="58" t="n"/>
      <c r="G203" s="56" t="n"/>
      <c r="H203" s="65" t="n"/>
    </row>
    <row r="204" ht="28.25" customHeight="1">
      <c r="A204" s="56">
        <f>IF(B204="","",IFERROR(INDEX('21 2026 ÜRETİM'!$A$2:$A$501,MATCH(B204,'21 2026 ÜRETİM'!$G$2:$G$501,0)),""))</f>
        <v/>
      </c>
      <c r="B204" s="58" t="n"/>
      <c r="C204" s="56" t="n"/>
      <c r="D204" s="58" t="n"/>
      <c r="E204" s="56" t="n"/>
      <c r="F204" s="58" t="n"/>
      <c r="G204" s="56" t="n"/>
      <c r="H204" s="65" t="n"/>
    </row>
    <row r="205" ht="28.25" customHeight="1">
      <c r="A205" s="56">
        <f>IF(B205="","",IFERROR(INDEX('21 2026 ÜRETİM'!$A$2:$A$501,MATCH(B205,'21 2026 ÜRETİM'!$G$2:$G$501,0)),""))</f>
        <v/>
      </c>
      <c r="B205" s="58" t="n"/>
      <c r="C205" s="56" t="n"/>
      <c r="D205" s="58" t="n"/>
      <c r="E205" s="56" t="n"/>
      <c r="F205" s="58" t="n"/>
      <c r="G205" s="56" t="n"/>
      <c r="H205" s="65" t="n"/>
    </row>
    <row r="206" ht="28.25" customHeight="1">
      <c r="A206" s="56">
        <f>IF(B206="","",IFERROR(INDEX('21 2026 ÜRETİM'!$A$2:$A$501,MATCH(B206,'21 2026 ÜRETİM'!$G$2:$G$501,0)),""))</f>
        <v/>
      </c>
      <c r="B206" s="58" t="n"/>
      <c r="C206" s="56" t="n"/>
      <c r="D206" s="58" t="n"/>
      <c r="E206" s="56" t="n"/>
      <c r="F206" s="58" t="n"/>
      <c r="G206" s="56" t="n"/>
      <c r="H206" s="65" t="n"/>
    </row>
    <row r="207" ht="28.25" customHeight="1">
      <c r="A207" s="56">
        <f>IF(B207="","",IFERROR(INDEX('21 2026 ÜRETİM'!$A$2:$A$501,MATCH(B207,'21 2026 ÜRETİM'!$G$2:$G$501,0)),""))</f>
        <v/>
      </c>
      <c r="B207" s="58" t="n"/>
      <c r="C207" s="56" t="n"/>
      <c r="D207" s="58" t="n"/>
      <c r="E207" s="56" t="n"/>
      <c r="F207" s="58" t="n"/>
      <c r="G207" s="56" t="n"/>
      <c r="H207" s="65" t="n"/>
    </row>
    <row r="208" ht="28.25" customHeight="1">
      <c r="A208" s="56">
        <f>IF(B208="","",IFERROR(INDEX('21 2026 ÜRETİM'!$A$2:$A$501,MATCH(B208,'21 2026 ÜRETİM'!$G$2:$G$501,0)),""))</f>
        <v/>
      </c>
      <c r="B208" s="58" t="n"/>
      <c r="C208" s="56" t="n"/>
      <c r="D208" s="58" t="n"/>
      <c r="E208" s="56" t="n"/>
      <c r="F208" s="58" t="n"/>
      <c r="G208" s="56" t="n"/>
      <c r="H208" s="65" t="n"/>
    </row>
    <row r="209" ht="28.25" customHeight="1">
      <c r="A209" s="56">
        <f>IF(B209="","",IFERROR(INDEX('21 2026 ÜRETİM'!$A$2:$A$501,MATCH(B209,'21 2026 ÜRETİM'!$G$2:$G$501,0)),""))</f>
        <v/>
      </c>
      <c r="B209" s="58" t="n"/>
      <c r="C209" s="56" t="n"/>
      <c r="D209" s="58" t="n"/>
      <c r="E209" s="56" t="n"/>
      <c r="F209" s="58" t="n"/>
      <c r="G209" s="56" t="n"/>
      <c r="H209" s="65" t="n"/>
    </row>
    <row r="210" ht="28.25" customHeight="1">
      <c r="A210" s="56">
        <f>IF(B210="","",IFERROR(INDEX('21 2026 ÜRETİM'!$A$2:$A$501,MATCH(B210,'21 2026 ÜRETİM'!$G$2:$G$501,0)),""))</f>
        <v/>
      </c>
      <c r="B210" s="58" t="n"/>
      <c r="C210" s="56" t="n"/>
      <c r="D210" s="58" t="n"/>
      <c r="E210" s="56" t="n"/>
      <c r="F210" s="58" t="n"/>
      <c r="G210" s="56" t="n"/>
      <c r="H210" s="65" t="n"/>
    </row>
    <row r="211" ht="28.25" customHeight="1">
      <c r="A211" s="56">
        <f>IF(B211="","",IFERROR(INDEX('21 2026 ÜRETİM'!$A$2:$A$501,MATCH(B211,'21 2026 ÜRETİM'!$G$2:$G$501,0)),""))</f>
        <v/>
      </c>
      <c r="B211" s="58" t="n"/>
      <c r="C211" s="56" t="n"/>
      <c r="D211" s="58" t="n"/>
      <c r="E211" s="56" t="n"/>
      <c r="F211" s="58" t="n"/>
      <c r="G211" s="56" t="n"/>
      <c r="H211" s="65" t="n"/>
    </row>
    <row r="212" ht="28.25" customHeight="1">
      <c r="A212" s="56">
        <f>IF(B212="","",IFERROR(INDEX('21 2026 ÜRETİM'!$A$2:$A$501,MATCH(B212,'21 2026 ÜRETİM'!$G$2:$G$501,0)),""))</f>
        <v/>
      </c>
      <c r="B212" s="58" t="n"/>
      <c r="C212" s="56" t="n"/>
      <c r="D212" s="58" t="n"/>
      <c r="E212" s="56" t="n"/>
      <c r="F212" s="58" t="n"/>
      <c r="G212" s="56" t="n"/>
      <c r="H212" s="65" t="n"/>
    </row>
    <row r="213" ht="28.25" customHeight="1">
      <c r="A213" s="56">
        <f>IF(B213="","",IFERROR(INDEX('21 2026 ÜRETİM'!$A$2:$A$501,MATCH(B213,'21 2026 ÜRETİM'!$G$2:$G$501,0)),""))</f>
        <v/>
      </c>
      <c r="B213" s="58" t="n"/>
      <c r="C213" s="56" t="n"/>
      <c r="D213" s="58" t="n"/>
      <c r="E213" s="56" t="n"/>
      <c r="F213" s="58" t="n"/>
      <c r="G213" s="56" t="n"/>
      <c r="H213" s="65" t="n"/>
    </row>
    <row r="214" ht="28.25" customHeight="1">
      <c r="A214" s="56">
        <f>IF(B214="","",IFERROR(INDEX('21 2026 ÜRETİM'!$A$2:$A$501,MATCH(B214,'21 2026 ÜRETİM'!$G$2:$G$501,0)),""))</f>
        <v/>
      </c>
      <c r="B214" s="58" t="n"/>
      <c r="C214" s="56" t="n"/>
      <c r="D214" s="58" t="n"/>
      <c r="E214" s="56" t="n"/>
      <c r="F214" s="58" t="n"/>
      <c r="G214" s="56" t="n"/>
      <c r="H214" s="65" t="n"/>
    </row>
    <row r="215" ht="28.25" customHeight="1">
      <c r="A215" s="56">
        <f>IF(B215="","",IFERROR(INDEX('21 2026 ÜRETİM'!$A$2:$A$501,MATCH(B215,'21 2026 ÜRETİM'!$G$2:$G$501,0)),""))</f>
        <v/>
      </c>
      <c r="B215" s="58" t="n"/>
      <c r="C215" s="56" t="n"/>
      <c r="D215" s="58" t="n"/>
      <c r="E215" s="56" t="n"/>
      <c r="F215" s="58" t="n"/>
      <c r="G215" s="56" t="n"/>
      <c r="H215" s="65" t="n"/>
    </row>
    <row r="216" ht="28.25" customHeight="1">
      <c r="A216" s="56">
        <f>IF(B216="","",IFERROR(INDEX('21 2026 ÜRETİM'!$A$2:$A$501,MATCH(B216,'21 2026 ÜRETİM'!$G$2:$G$501,0)),""))</f>
        <v/>
      </c>
      <c r="B216" s="58" t="n"/>
      <c r="C216" s="56" t="n"/>
      <c r="D216" s="58" t="n"/>
      <c r="E216" s="56" t="n"/>
      <c r="F216" s="58" t="n"/>
      <c r="G216" s="56" t="n"/>
      <c r="H216" s="65" t="n"/>
    </row>
    <row r="217" ht="28.25" customHeight="1">
      <c r="A217" s="56">
        <f>IF(B217="","",IFERROR(INDEX('21 2026 ÜRETİM'!$A$2:$A$501,MATCH(B217,'21 2026 ÜRETİM'!$G$2:$G$501,0)),""))</f>
        <v/>
      </c>
      <c r="B217" s="58" t="n"/>
      <c r="C217" s="56" t="n"/>
      <c r="D217" s="58" t="n"/>
      <c r="E217" s="56" t="n"/>
      <c r="F217" s="58" t="n"/>
      <c r="G217" s="56" t="n"/>
      <c r="H217" s="65" t="n"/>
    </row>
    <row r="218" ht="28.25" customHeight="1">
      <c r="A218" s="56">
        <f>IF(B218="","",IFERROR(INDEX('21 2026 ÜRETİM'!$A$2:$A$501,MATCH(B218,'21 2026 ÜRETİM'!$G$2:$G$501,0)),""))</f>
        <v/>
      </c>
      <c r="B218" s="58" t="n"/>
      <c r="C218" s="56" t="n"/>
      <c r="D218" s="58" t="n"/>
      <c r="E218" s="56" t="n"/>
      <c r="F218" s="58" t="n"/>
      <c r="G218" s="56" t="n"/>
      <c r="H218" s="65" t="n"/>
    </row>
    <row r="219" ht="28.25" customHeight="1">
      <c r="A219" s="56">
        <f>IF(B219="","",IFERROR(INDEX('21 2026 ÜRETİM'!$A$2:$A$501,MATCH(B219,'21 2026 ÜRETİM'!$G$2:$G$501,0)),""))</f>
        <v/>
      </c>
      <c r="B219" s="58" t="n"/>
      <c r="C219" s="56" t="n"/>
      <c r="D219" s="58" t="n"/>
      <c r="E219" s="56" t="n"/>
      <c r="F219" s="58" t="n"/>
      <c r="G219" s="56" t="n"/>
      <c r="H219" s="65" t="n"/>
    </row>
    <row r="220" ht="28.25" customHeight="1">
      <c r="A220" s="56">
        <f>IF(B220="","",IFERROR(INDEX('21 2026 ÜRETİM'!$A$2:$A$501,MATCH(B220,'21 2026 ÜRETİM'!$G$2:$G$501,0)),""))</f>
        <v/>
      </c>
      <c r="B220" s="58" t="n"/>
      <c r="C220" s="56" t="n"/>
      <c r="D220" s="58" t="n"/>
      <c r="E220" s="56" t="n"/>
      <c r="F220" s="58" t="n"/>
      <c r="G220" s="56" t="n"/>
      <c r="H220" s="65" t="n"/>
    </row>
    <row r="221" ht="28.25" customHeight="1">
      <c r="A221" s="56">
        <f>IF(B221="","",IFERROR(INDEX('21 2026 ÜRETİM'!$A$2:$A$501,MATCH(B221,'21 2026 ÜRETİM'!$G$2:$G$501,0)),""))</f>
        <v/>
      </c>
      <c r="B221" s="58" t="n"/>
      <c r="C221" s="56" t="n"/>
      <c r="D221" s="58" t="n"/>
      <c r="E221" s="56" t="n"/>
      <c r="F221" s="58" t="n"/>
      <c r="G221" s="56" t="n"/>
      <c r="H221" s="65" t="n"/>
    </row>
    <row r="222" ht="28.25" customHeight="1">
      <c r="A222" s="56">
        <f>IF(B222="","",IFERROR(INDEX('21 2026 ÜRETİM'!$A$2:$A$501,MATCH(B222,'21 2026 ÜRETİM'!$G$2:$G$501,0)),""))</f>
        <v/>
      </c>
      <c r="B222" s="58" t="n"/>
      <c r="C222" s="56" t="n"/>
      <c r="D222" s="58" t="n"/>
      <c r="E222" s="56" t="n"/>
      <c r="F222" s="58" t="n"/>
      <c r="G222" s="56" t="n"/>
      <c r="H222" s="65" t="n"/>
    </row>
    <row r="223" ht="28.25" customHeight="1">
      <c r="A223" s="56">
        <f>IF(B223="","",IFERROR(INDEX('21 2026 ÜRETİM'!$A$2:$A$501,MATCH(B223,'21 2026 ÜRETİM'!$G$2:$G$501,0)),""))</f>
        <v/>
      </c>
      <c r="B223" s="58" t="n"/>
      <c r="C223" s="56" t="n"/>
      <c r="D223" s="58" t="n"/>
      <c r="E223" s="56" t="n"/>
      <c r="F223" s="58" t="n"/>
      <c r="G223" s="56" t="n"/>
      <c r="H223" s="65" t="n"/>
    </row>
    <row r="224" ht="28.25" customHeight="1">
      <c r="A224" s="56">
        <f>IF(B224="","",IFERROR(INDEX('21 2026 ÜRETİM'!$A$2:$A$501,MATCH(B224,'21 2026 ÜRETİM'!$G$2:$G$501,0)),""))</f>
        <v/>
      </c>
      <c r="B224" s="58" t="n"/>
      <c r="C224" s="56" t="n"/>
      <c r="D224" s="58" t="n"/>
      <c r="E224" s="56" t="n"/>
      <c r="F224" s="58" t="n"/>
      <c r="G224" s="56" t="n"/>
      <c r="H224" s="65" t="n"/>
    </row>
    <row r="225" ht="28.25" customHeight="1">
      <c r="A225" s="56">
        <f>IF(B225="","",IFERROR(INDEX('21 2026 ÜRETİM'!$A$2:$A$501,MATCH(B225,'21 2026 ÜRETİM'!$G$2:$G$501,0)),""))</f>
        <v/>
      </c>
      <c r="B225" s="58" t="n"/>
      <c r="C225" s="56" t="n"/>
      <c r="D225" s="58" t="n"/>
      <c r="E225" s="56" t="n"/>
      <c r="F225" s="58" t="n"/>
      <c r="G225" s="56" t="n"/>
      <c r="H225" s="65" t="n"/>
    </row>
    <row r="226" ht="28.25" customHeight="1">
      <c r="A226" s="56">
        <f>IF(B226="","",IFERROR(INDEX('21 2026 ÜRETİM'!$A$2:$A$501,MATCH(B226,'21 2026 ÜRETİM'!$G$2:$G$501,0)),""))</f>
        <v/>
      </c>
      <c r="B226" s="58" t="n"/>
      <c r="C226" s="56" t="n"/>
      <c r="D226" s="58" t="n"/>
      <c r="E226" s="56" t="n"/>
      <c r="F226" s="58" t="n"/>
      <c r="G226" s="56" t="n"/>
      <c r="H226" s="65" t="n"/>
    </row>
    <row r="227" ht="28.25" customHeight="1">
      <c r="A227" s="56">
        <f>IF(B227="","",IFERROR(INDEX('21 2026 ÜRETİM'!$A$2:$A$501,MATCH(B227,'21 2026 ÜRETİM'!$G$2:$G$501,0)),""))</f>
        <v/>
      </c>
      <c r="B227" s="58" t="n"/>
      <c r="C227" s="56" t="n"/>
      <c r="D227" s="58" t="n"/>
      <c r="E227" s="56" t="n"/>
      <c r="F227" s="58" t="n"/>
      <c r="G227" s="56" t="n"/>
      <c r="H227" s="65" t="n"/>
    </row>
    <row r="228" ht="28.25" customHeight="1">
      <c r="A228" s="56">
        <f>IF(B228="","",IFERROR(INDEX('21 2026 ÜRETİM'!$A$2:$A$501,MATCH(B228,'21 2026 ÜRETİM'!$G$2:$G$501,0)),""))</f>
        <v/>
      </c>
      <c r="B228" s="58" t="n"/>
      <c r="C228" s="56" t="n"/>
      <c r="D228" s="58" t="n"/>
      <c r="E228" s="56" t="n"/>
      <c r="F228" s="58" t="n"/>
      <c r="G228" s="56" t="n"/>
      <c r="H228" s="65" t="n"/>
    </row>
    <row r="229" ht="28.25" customHeight="1">
      <c r="A229" s="56">
        <f>IF(B229="","",IFERROR(INDEX('21 2026 ÜRETİM'!$A$2:$A$501,MATCH(B229,'21 2026 ÜRETİM'!$G$2:$G$501,0)),""))</f>
        <v/>
      </c>
      <c r="B229" s="58" t="n"/>
      <c r="C229" s="56" t="n"/>
      <c r="D229" s="58" t="n"/>
      <c r="E229" s="56" t="n"/>
      <c r="F229" s="58" t="n"/>
      <c r="G229" s="56" t="n"/>
      <c r="H229" s="65" t="n"/>
    </row>
    <row r="230" ht="28.25" customHeight="1">
      <c r="A230" s="56">
        <f>IF(B230="","",IFERROR(INDEX('21 2026 ÜRETİM'!$A$2:$A$501,MATCH(B230,'21 2026 ÜRETİM'!$G$2:$G$501,0)),""))</f>
        <v/>
      </c>
      <c r="B230" s="58" t="n"/>
      <c r="C230" s="56" t="n"/>
      <c r="D230" s="58" t="n"/>
      <c r="E230" s="56" t="n"/>
      <c r="F230" s="58" t="n"/>
      <c r="G230" s="56" t="n"/>
      <c r="H230" s="65" t="n"/>
    </row>
    <row r="231" ht="28.25" customHeight="1">
      <c r="A231" s="56">
        <f>IF(B231="","",IFERROR(INDEX('21 2026 ÜRETİM'!$A$2:$A$501,MATCH(B231,'21 2026 ÜRETİM'!$G$2:$G$501,0)),""))</f>
        <v/>
      </c>
      <c r="B231" s="58" t="n"/>
      <c r="C231" s="56" t="n"/>
      <c r="D231" s="58" t="n"/>
      <c r="E231" s="56" t="n"/>
      <c r="F231" s="58" t="n"/>
      <c r="G231" s="56" t="n"/>
      <c r="H231" s="65" t="n"/>
    </row>
    <row r="232" ht="28.25" customHeight="1">
      <c r="A232" s="56">
        <f>IF(B232="","",IFERROR(INDEX('21 2026 ÜRETİM'!$A$2:$A$501,MATCH(B232,'21 2026 ÜRETİM'!$G$2:$G$501,0)),""))</f>
        <v/>
      </c>
      <c r="B232" s="58" t="n"/>
      <c r="C232" s="56" t="n"/>
      <c r="D232" s="58" t="n"/>
      <c r="E232" s="56" t="n"/>
      <c r="F232" s="58" t="n"/>
      <c r="G232" s="56" t="n"/>
      <c r="H232" s="65" t="n"/>
    </row>
    <row r="233" ht="28.25" customHeight="1">
      <c r="A233" s="56">
        <f>IF(B233="","",IFERROR(INDEX('21 2026 ÜRETİM'!$A$2:$A$501,MATCH(B233,'21 2026 ÜRETİM'!$G$2:$G$501,0)),""))</f>
        <v/>
      </c>
      <c r="B233" s="58" t="n"/>
      <c r="C233" s="56" t="n"/>
      <c r="D233" s="58" t="n"/>
      <c r="E233" s="56" t="n"/>
      <c r="F233" s="58" t="n"/>
      <c r="G233" s="56" t="n"/>
      <c r="H233" s="65" t="n"/>
    </row>
    <row r="234" ht="28.25" customHeight="1">
      <c r="A234" s="56">
        <f>IF(B234="","",IFERROR(INDEX('21 2026 ÜRETİM'!$A$2:$A$501,MATCH(B234,'21 2026 ÜRETİM'!$G$2:$G$501,0)),""))</f>
        <v/>
      </c>
      <c r="B234" s="58" t="n"/>
      <c r="C234" s="56" t="n"/>
      <c r="D234" s="58" t="n"/>
      <c r="E234" s="56" t="n"/>
      <c r="F234" s="58" t="n"/>
      <c r="G234" s="56" t="n"/>
      <c r="H234" s="65" t="n"/>
    </row>
    <row r="235" ht="28.25" customHeight="1">
      <c r="A235" s="56">
        <f>IF(B235="","",IFERROR(INDEX('21 2026 ÜRETİM'!$A$2:$A$501,MATCH(B235,'21 2026 ÜRETİM'!$G$2:$G$501,0)),""))</f>
        <v/>
      </c>
      <c r="B235" s="58" t="n"/>
      <c r="C235" s="56" t="n"/>
      <c r="D235" s="58" t="n"/>
      <c r="E235" s="56" t="n"/>
      <c r="F235" s="58" t="n"/>
      <c r="G235" s="56" t="n"/>
      <c r="H235" s="65" t="n"/>
    </row>
    <row r="236" ht="28.25" customHeight="1">
      <c r="A236" s="56">
        <f>IF(B236="","",IFERROR(INDEX('21 2026 ÜRETİM'!$A$2:$A$501,MATCH(B236,'21 2026 ÜRETİM'!$G$2:$G$501,0)),""))</f>
        <v/>
      </c>
      <c r="B236" s="58" t="n"/>
      <c r="C236" s="56" t="n"/>
      <c r="D236" s="58" t="n"/>
      <c r="E236" s="56" t="n"/>
      <c r="F236" s="58" t="n"/>
      <c r="G236" s="56" t="n"/>
      <c r="H236" s="65" t="n"/>
    </row>
    <row r="237" ht="28.25" customHeight="1">
      <c r="A237" s="56">
        <f>IF(B237="","",IFERROR(INDEX('21 2026 ÜRETİM'!$A$2:$A$501,MATCH(B237,'21 2026 ÜRETİM'!$G$2:$G$501,0)),""))</f>
        <v/>
      </c>
      <c r="B237" s="58" t="n"/>
      <c r="C237" s="56" t="n"/>
      <c r="D237" s="58" t="n"/>
      <c r="E237" s="56" t="n"/>
      <c r="F237" s="58" t="n"/>
      <c r="G237" s="56" t="n"/>
      <c r="H237" s="65" t="n"/>
    </row>
    <row r="238" ht="28.25" customHeight="1">
      <c r="A238" s="56">
        <f>IF(B238="","",IFERROR(INDEX('21 2026 ÜRETİM'!$A$2:$A$501,MATCH(B238,'21 2026 ÜRETİM'!$G$2:$G$501,0)),""))</f>
        <v/>
      </c>
      <c r="B238" s="58" t="n"/>
      <c r="C238" s="56" t="n"/>
      <c r="D238" s="58" t="n"/>
      <c r="E238" s="56" t="n"/>
      <c r="F238" s="58" t="n"/>
      <c r="G238" s="56" t="n"/>
      <c r="H238" s="65" t="n"/>
    </row>
    <row r="239" ht="28.25" customHeight="1">
      <c r="A239" s="56">
        <f>IF(B239="","",IFERROR(INDEX('21 2026 ÜRETİM'!$A$2:$A$501,MATCH(B239,'21 2026 ÜRETİM'!$G$2:$G$501,0)),""))</f>
        <v/>
      </c>
      <c r="B239" s="58" t="n"/>
      <c r="C239" s="56" t="n"/>
      <c r="D239" s="58" t="n"/>
      <c r="E239" s="56" t="n"/>
      <c r="F239" s="58" t="n"/>
      <c r="G239" s="56" t="n"/>
      <c r="H239" s="65" t="n"/>
    </row>
    <row r="240" ht="28.25" customHeight="1">
      <c r="A240" s="56">
        <f>IF(B240="","",IFERROR(INDEX('21 2026 ÜRETİM'!$A$2:$A$501,MATCH(B240,'21 2026 ÜRETİM'!$G$2:$G$501,0)),""))</f>
        <v/>
      </c>
      <c r="B240" s="58" t="n"/>
      <c r="C240" s="56" t="n"/>
      <c r="D240" s="58" t="n"/>
      <c r="E240" s="56" t="n"/>
      <c r="F240" s="58" t="n"/>
      <c r="G240" s="56" t="n"/>
      <c r="H240" s="65" t="n"/>
    </row>
    <row r="241" ht="28.25" customHeight="1">
      <c r="A241" s="56">
        <f>IF(B241="","",IFERROR(INDEX('21 2026 ÜRETİM'!$A$2:$A$501,MATCH(B241,'21 2026 ÜRETİM'!$G$2:$G$501,0)),""))</f>
        <v/>
      </c>
      <c r="B241" s="58" t="n"/>
      <c r="C241" s="56" t="n"/>
      <c r="D241" s="58" t="n"/>
      <c r="E241" s="56" t="n"/>
      <c r="F241" s="58" t="n"/>
      <c r="G241" s="56" t="n"/>
      <c r="H241" s="65" t="n"/>
    </row>
    <row r="242" ht="28.25" customHeight="1">
      <c r="A242" s="56">
        <f>IF(B242="","",IFERROR(INDEX('21 2026 ÜRETİM'!$A$2:$A$501,MATCH(B242,'21 2026 ÜRETİM'!$G$2:$G$501,0)),""))</f>
        <v/>
      </c>
      <c r="B242" s="58" t="n"/>
      <c r="C242" s="56" t="n"/>
      <c r="D242" s="58" t="n"/>
      <c r="E242" s="56" t="n"/>
      <c r="F242" s="58" t="n"/>
      <c r="G242" s="56" t="n"/>
      <c r="H242" s="65" t="n"/>
    </row>
    <row r="243" ht="28.25" customHeight="1">
      <c r="A243" s="56">
        <f>IF(B243="","",IFERROR(INDEX('21 2026 ÜRETİM'!$A$2:$A$501,MATCH(B243,'21 2026 ÜRETİM'!$G$2:$G$501,0)),""))</f>
        <v/>
      </c>
      <c r="B243" s="58" t="n"/>
      <c r="C243" s="56" t="n"/>
      <c r="D243" s="58" t="n"/>
      <c r="E243" s="56" t="n"/>
      <c r="F243" s="58" t="n"/>
      <c r="G243" s="56" t="n"/>
      <c r="H243" s="65" t="n"/>
    </row>
    <row r="244" ht="28.25" customHeight="1">
      <c r="A244" s="56">
        <f>IF(B244="","",IFERROR(INDEX('21 2026 ÜRETİM'!$A$2:$A$501,MATCH(B244,'21 2026 ÜRETİM'!$G$2:$G$501,0)),""))</f>
        <v/>
      </c>
      <c r="B244" s="58" t="n"/>
      <c r="C244" s="56" t="n"/>
      <c r="D244" s="58" t="n"/>
      <c r="E244" s="56" t="n"/>
      <c r="F244" s="58" t="n"/>
      <c r="G244" s="56" t="n"/>
      <c r="H244" s="65" t="n"/>
    </row>
    <row r="245" ht="28.25" customHeight="1">
      <c r="A245" s="56">
        <f>IF(B245="","",IFERROR(INDEX('21 2026 ÜRETİM'!$A$2:$A$501,MATCH(B245,'21 2026 ÜRETİM'!$G$2:$G$501,0)),""))</f>
        <v/>
      </c>
      <c r="B245" s="58" t="n"/>
      <c r="C245" s="56" t="n"/>
      <c r="D245" s="58" t="n"/>
      <c r="E245" s="56" t="n"/>
      <c r="F245" s="58" t="n"/>
      <c r="G245" s="56" t="n"/>
      <c r="H245" s="65" t="n"/>
    </row>
    <row r="246" ht="28.25" customHeight="1">
      <c r="A246" s="56">
        <f>IF(B246="","",IFERROR(INDEX('21 2026 ÜRETİM'!$A$2:$A$501,MATCH(B246,'21 2026 ÜRETİM'!$G$2:$G$501,0)),""))</f>
        <v/>
      </c>
      <c r="B246" s="58" t="n"/>
      <c r="C246" s="56" t="n"/>
      <c r="D246" s="58" t="n"/>
      <c r="E246" s="56" t="n"/>
      <c r="F246" s="58" t="n"/>
      <c r="G246" s="56" t="n"/>
      <c r="H246" s="65" t="n"/>
    </row>
    <row r="247" ht="28.25" customHeight="1">
      <c r="A247" s="56">
        <f>IF(B247="","",IFERROR(INDEX('21 2026 ÜRETİM'!$A$2:$A$501,MATCH(B247,'21 2026 ÜRETİM'!$G$2:$G$501,0)),""))</f>
        <v/>
      </c>
      <c r="B247" s="58" t="n"/>
      <c r="C247" s="56" t="n"/>
      <c r="D247" s="58" t="n"/>
      <c r="E247" s="56" t="n"/>
      <c r="F247" s="58" t="n"/>
      <c r="G247" s="56" t="n"/>
      <c r="H247" s="65" t="n"/>
    </row>
    <row r="248" ht="28.25" customHeight="1">
      <c r="A248" s="56">
        <f>IF(B248="","",IFERROR(INDEX('21 2026 ÜRETİM'!$A$2:$A$501,MATCH(B248,'21 2026 ÜRETİM'!$G$2:$G$501,0)),""))</f>
        <v/>
      </c>
      <c r="B248" s="58" t="n"/>
      <c r="C248" s="56" t="n"/>
      <c r="D248" s="58" t="n"/>
      <c r="E248" s="56" t="n"/>
      <c r="F248" s="58" t="n"/>
      <c r="G248" s="56" t="n"/>
      <c r="H248" s="65" t="n"/>
    </row>
    <row r="249" ht="28.25" customHeight="1">
      <c r="A249" s="56">
        <f>IF(B249="","",IFERROR(INDEX('21 2026 ÜRETİM'!$A$2:$A$501,MATCH(B249,'21 2026 ÜRETİM'!$G$2:$G$501,0)),""))</f>
        <v/>
      </c>
      <c r="B249" s="58" t="n"/>
      <c r="C249" s="56" t="n"/>
      <c r="D249" s="58" t="n"/>
      <c r="E249" s="56" t="n"/>
      <c r="F249" s="58" t="n"/>
      <c r="G249" s="56" t="n"/>
      <c r="H249" s="65" t="n"/>
    </row>
    <row r="250" ht="28.25" customHeight="1">
      <c r="A250" s="56">
        <f>IF(B250="","",IFERROR(INDEX('21 2026 ÜRETİM'!$A$2:$A$501,MATCH(B250,'21 2026 ÜRETİM'!$G$2:$G$501,0)),""))</f>
        <v/>
      </c>
      <c r="B250" s="58" t="n"/>
      <c r="C250" s="56" t="n"/>
      <c r="D250" s="58" t="n"/>
      <c r="E250" s="56" t="n"/>
      <c r="F250" s="58" t="n"/>
      <c r="G250" s="56" t="n"/>
      <c r="H250" s="65" t="n"/>
    </row>
    <row r="251" ht="28.25" customHeight="1">
      <c r="A251" s="56">
        <f>IF(B251="","",IFERROR(INDEX('21 2026 ÜRETİM'!$A$2:$A$501,MATCH(B251,'21 2026 ÜRETİM'!$G$2:$G$501,0)),""))</f>
        <v/>
      </c>
      <c r="B251" s="58" t="n"/>
      <c r="C251" s="56" t="n"/>
      <c r="D251" s="58" t="n"/>
      <c r="E251" s="56" t="n"/>
      <c r="F251" s="58" t="n"/>
      <c r="G251" s="56" t="n"/>
      <c r="H251" s="65" t="n"/>
    </row>
    <row r="252" ht="28.25" customHeight="1">
      <c r="A252" s="56">
        <f>IF(B252="","",IFERROR(INDEX('21 2026 ÜRETİM'!$A$2:$A$501,MATCH(B252,'21 2026 ÜRETİM'!$G$2:$G$501,0)),""))</f>
        <v/>
      </c>
      <c r="B252" s="58" t="n"/>
      <c r="C252" s="56" t="n"/>
      <c r="D252" s="58" t="n"/>
      <c r="E252" s="56" t="n"/>
      <c r="F252" s="58" t="n"/>
      <c r="G252" s="56" t="n"/>
      <c r="H252" s="65" t="n"/>
    </row>
    <row r="253" ht="28.25" customHeight="1">
      <c r="A253" s="56">
        <f>IF(B253="","",IFERROR(INDEX('21 2026 ÜRETİM'!$A$2:$A$501,MATCH(B253,'21 2026 ÜRETİM'!$G$2:$G$501,0)),""))</f>
        <v/>
      </c>
      <c r="B253" s="58" t="n"/>
      <c r="C253" s="56" t="n"/>
      <c r="D253" s="58" t="n"/>
      <c r="E253" s="56" t="n"/>
      <c r="F253" s="58" t="n"/>
      <c r="G253" s="56" t="n"/>
      <c r="H253" s="65" t="n"/>
    </row>
    <row r="254" ht="28.25" customHeight="1">
      <c r="A254" s="56">
        <f>IF(B254="","",IFERROR(INDEX('21 2026 ÜRETİM'!$A$2:$A$501,MATCH(B254,'21 2026 ÜRETİM'!$G$2:$G$501,0)),""))</f>
        <v/>
      </c>
      <c r="B254" s="58" t="n"/>
      <c r="C254" s="56" t="n"/>
      <c r="D254" s="58" t="n"/>
      <c r="E254" s="56" t="n"/>
      <c r="F254" s="58" t="n"/>
      <c r="G254" s="56" t="n"/>
      <c r="H254" s="65" t="n"/>
    </row>
    <row r="255" ht="28.25" customHeight="1">
      <c r="A255" s="56">
        <f>IF(B255="","",IFERROR(INDEX('21 2026 ÜRETİM'!$A$2:$A$501,MATCH(B255,'21 2026 ÜRETİM'!$G$2:$G$501,0)),""))</f>
        <v/>
      </c>
      <c r="B255" s="58" t="n"/>
      <c r="C255" s="56" t="n"/>
      <c r="D255" s="58" t="n"/>
      <c r="E255" s="56" t="n"/>
      <c r="F255" s="58" t="n"/>
      <c r="G255" s="56" t="n"/>
      <c r="H255" s="65" t="n"/>
    </row>
    <row r="256" ht="28.25" customHeight="1">
      <c r="A256" s="56">
        <f>IF(B256="","",IFERROR(INDEX('21 2026 ÜRETİM'!$A$2:$A$501,MATCH(B256,'21 2026 ÜRETİM'!$G$2:$G$501,0)),""))</f>
        <v/>
      </c>
      <c r="B256" s="58" t="n"/>
      <c r="C256" s="56" t="n"/>
      <c r="D256" s="58" t="n"/>
      <c r="E256" s="56" t="n"/>
      <c r="F256" s="58" t="n"/>
      <c r="G256" s="56" t="n"/>
      <c r="H256" s="65" t="n"/>
    </row>
    <row r="257" ht="28.25" customHeight="1">
      <c r="A257" s="56">
        <f>IF(B257="","",IFERROR(INDEX('21 2026 ÜRETİM'!$A$2:$A$501,MATCH(B257,'21 2026 ÜRETİM'!$G$2:$G$501,0)),""))</f>
        <v/>
      </c>
      <c r="B257" s="58" t="n"/>
      <c r="C257" s="56" t="n"/>
      <c r="D257" s="58" t="n"/>
      <c r="E257" s="56" t="n"/>
      <c r="F257" s="58" t="n"/>
      <c r="G257" s="56" t="n"/>
      <c r="H257" s="65" t="n"/>
    </row>
    <row r="258" ht="28.25" customHeight="1">
      <c r="A258" s="56">
        <f>IF(B258="","",IFERROR(INDEX('21 2026 ÜRETİM'!$A$2:$A$501,MATCH(B258,'21 2026 ÜRETİM'!$G$2:$G$501,0)),""))</f>
        <v/>
      </c>
      <c r="B258" s="58" t="n"/>
      <c r="C258" s="56" t="n"/>
      <c r="D258" s="58" t="n"/>
      <c r="E258" s="56" t="n"/>
      <c r="F258" s="58" t="n"/>
      <c r="G258" s="56" t="n"/>
      <c r="H258" s="65" t="n"/>
    </row>
    <row r="259" ht="28.25" customHeight="1">
      <c r="A259" s="56">
        <f>IF(B259="","",IFERROR(INDEX('21 2026 ÜRETİM'!$A$2:$A$501,MATCH(B259,'21 2026 ÜRETİM'!$G$2:$G$501,0)),""))</f>
        <v/>
      </c>
      <c r="B259" s="58" t="n"/>
      <c r="C259" s="56" t="n"/>
      <c r="D259" s="58" t="n"/>
      <c r="E259" s="56" t="n"/>
      <c r="F259" s="58" t="n"/>
      <c r="G259" s="56" t="n"/>
      <c r="H259" s="65" t="n"/>
    </row>
    <row r="260" ht="28.25" customHeight="1">
      <c r="A260" s="56">
        <f>IF(B260="","",IFERROR(INDEX('21 2026 ÜRETİM'!$A$2:$A$501,MATCH(B260,'21 2026 ÜRETİM'!$G$2:$G$501,0)),""))</f>
        <v/>
      </c>
      <c r="B260" s="58" t="n"/>
      <c r="C260" s="56" t="n"/>
      <c r="D260" s="58" t="n"/>
      <c r="E260" s="56" t="n"/>
      <c r="F260" s="58" t="n"/>
      <c r="G260" s="56" t="n"/>
      <c r="H260" s="65" t="n"/>
    </row>
    <row r="261" ht="28.25" customHeight="1">
      <c r="A261" s="56">
        <f>IF(B261="","",IFERROR(INDEX('21 2026 ÜRETİM'!$A$2:$A$501,MATCH(B261,'21 2026 ÜRETİM'!$G$2:$G$501,0)),""))</f>
        <v/>
      </c>
      <c r="B261" s="58" t="n"/>
      <c r="C261" s="56" t="n"/>
      <c r="D261" s="58" t="n"/>
      <c r="E261" s="56" t="n"/>
      <c r="F261" s="58" t="n"/>
      <c r="G261" s="56" t="n"/>
      <c r="H261" s="65" t="n"/>
    </row>
    <row r="262" ht="28.25" customHeight="1">
      <c r="A262" s="56">
        <f>IF(B262="","",IFERROR(INDEX('21 2026 ÜRETİM'!$A$2:$A$501,MATCH(B262,'21 2026 ÜRETİM'!$G$2:$G$501,0)),""))</f>
        <v/>
      </c>
      <c r="B262" s="58" t="n"/>
      <c r="C262" s="56" t="n"/>
      <c r="D262" s="58" t="n"/>
      <c r="E262" s="56" t="n"/>
      <c r="F262" s="58" t="n"/>
      <c r="G262" s="56" t="n"/>
      <c r="H262" s="65" t="n"/>
    </row>
    <row r="263" ht="28.25" customHeight="1">
      <c r="A263" s="56">
        <f>IF(B263="","",IFERROR(INDEX('21 2026 ÜRETİM'!$A$2:$A$501,MATCH(B263,'21 2026 ÜRETİM'!$G$2:$G$501,0)),""))</f>
        <v/>
      </c>
      <c r="B263" s="58" t="n"/>
      <c r="C263" s="56" t="n"/>
      <c r="D263" s="58" t="n"/>
      <c r="E263" s="56" t="n"/>
      <c r="F263" s="58" t="n"/>
      <c r="G263" s="56" t="n"/>
      <c r="H263" s="65" t="n"/>
    </row>
    <row r="264" ht="28.25" customHeight="1">
      <c r="A264" s="56">
        <f>IF(B264="","",IFERROR(INDEX('21 2026 ÜRETİM'!$A$2:$A$501,MATCH(B264,'21 2026 ÜRETİM'!$G$2:$G$501,0)),""))</f>
        <v/>
      </c>
      <c r="B264" s="58" t="n"/>
      <c r="C264" s="56" t="n"/>
      <c r="D264" s="58" t="n"/>
      <c r="E264" s="56" t="n"/>
      <c r="F264" s="58" t="n"/>
      <c r="G264" s="56" t="n"/>
      <c r="H264" s="65" t="n"/>
    </row>
    <row r="265" ht="28.25" customHeight="1">
      <c r="A265" s="56">
        <f>IF(B265="","",IFERROR(INDEX('21 2026 ÜRETİM'!$A$2:$A$501,MATCH(B265,'21 2026 ÜRETİM'!$G$2:$G$501,0)),""))</f>
        <v/>
      </c>
      <c r="B265" s="58" t="n"/>
      <c r="C265" s="56" t="n"/>
      <c r="D265" s="58" t="n"/>
      <c r="E265" s="56" t="n"/>
      <c r="F265" s="58" t="n"/>
      <c r="G265" s="56" t="n"/>
      <c r="H265" s="65" t="n"/>
    </row>
    <row r="266" ht="28.25" customHeight="1">
      <c r="A266" s="56">
        <f>IF(B266="","",IFERROR(INDEX('21 2026 ÜRETİM'!$A$2:$A$501,MATCH(B266,'21 2026 ÜRETİM'!$G$2:$G$501,0)),""))</f>
        <v/>
      </c>
      <c r="B266" s="58" t="n"/>
      <c r="C266" s="56" t="n"/>
      <c r="D266" s="58" t="n"/>
      <c r="E266" s="56" t="n"/>
      <c r="F266" s="58" t="n"/>
      <c r="G266" s="56" t="n"/>
      <c r="H266" s="65" t="n"/>
    </row>
    <row r="267" ht="28.25" customHeight="1">
      <c r="A267" s="56">
        <f>IF(B267="","",IFERROR(INDEX('21 2026 ÜRETİM'!$A$2:$A$501,MATCH(B267,'21 2026 ÜRETİM'!$G$2:$G$501,0)),""))</f>
        <v/>
      </c>
      <c r="B267" s="58" t="n"/>
      <c r="C267" s="56" t="n"/>
      <c r="D267" s="58" t="n"/>
      <c r="E267" s="56" t="n"/>
      <c r="F267" s="58" t="n"/>
      <c r="G267" s="56" t="n"/>
      <c r="H267" s="65" t="n"/>
    </row>
    <row r="268" ht="28.25" customHeight="1">
      <c r="A268" s="56">
        <f>IF(B268="","",IFERROR(INDEX('21 2026 ÜRETİM'!$A$2:$A$501,MATCH(B268,'21 2026 ÜRETİM'!$G$2:$G$501,0)),""))</f>
        <v/>
      </c>
      <c r="B268" s="58" t="n"/>
      <c r="C268" s="56" t="n"/>
      <c r="D268" s="58" t="n"/>
      <c r="E268" s="56" t="n"/>
      <c r="F268" s="58" t="n"/>
      <c r="G268" s="56" t="n"/>
      <c r="H268" s="65" t="n"/>
    </row>
    <row r="269" ht="28.25" customHeight="1">
      <c r="A269" s="56">
        <f>IF(B269="","",IFERROR(INDEX('21 2026 ÜRETİM'!$A$2:$A$501,MATCH(B269,'21 2026 ÜRETİM'!$G$2:$G$501,0)),""))</f>
        <v/>
      </c>
      <c r="B269" s="58" t="n"/>
      <c r="C269" s="56" t="n"/>
      <c r="D269" s="58" t="n"/>
      <c r="E269" s="56" t="n"/>
      <c r="F269" s="58" t="n"/>
      <c r="G269" s="56" t="n"/>
      <c r="H269" s="65" t="n"/>
    </row>
    <row r="270" ht="28.25" customHeight="1">
      <c r="A270" s="56">
        <f>IF(B270="","",IFERROR(INDEX('21 2026 ÜRETİM'!$A$2:$A$501,MATCH(B270,'21 2026 ÜRETİM'!$G$2:$G$501,0)),""))</f>
        <v/>
      </c>
      <c r="B270" s="58" t="n"/>
      <c r="C270" s="56" t="n"/>
      <c r="D270" s="58" t="n"/>
      <c r="E270" s="56" t="n"/>
      <c r="F270" s="58" t="n"/>
      <c r="G270" s="56" t="n"/>
      <c r="H270" s="65" t="n"/>
    </row>
    <row r="271" ht="28.25" customHeight="1">
      <c r="A271" s="56">
        <f>IF(B271="","",IFERROR(INDEX('21 2026 ÜRETİM'!$A$2:$A$501,MATCH(B271,'21 2026 ÜRETİM'!$G$2:$G$501,0)),""))</f>
        <v/>
      </c>
      <c r="B271" s="58" t="n"/>
      <c r="C271" s="56" t="n"/>
      <c r="D271" s="58" t="n"/>
      <c r="E271" s="56" t="n"/>
      <c r="F271" s="58" t="n"/>
      <c r="G271" s="56" t="n"/>
      <c r="H271" s="65" t="n"/>
    </row>
    <row r="272" ht="28.25" customHeight="1">
      <c r="A272" s="56">
        <f>IF(B272="","",IFERROR(INDEX('21 2026 ÜRETİM'!$A$2:$A$501,MATCH(B272,'21 2026 ÜRETİM'!$G$2:$G$501,0)),""))</f>
        <v/>
      </c>
      <c r="B272" s="58" t="n"/>
      <c r="C272" s="56" t="n"/>
      <c r="D272" s="58" t="n"/>
      <c r="E272" s="56" t="n"/>
      <c r="F272" s="58" t="n"/>
      <c r="G272" s="56" t="n"/>
      <c r="H272" s="65" t="n"/>
    </row>
    <row r="273" ht="28.25" customHeight="1">
      <c r="A273" s="56">
        <f>IF(B273="","",IFERROR(INDEX('21 2026 ÜRETİM'!$A$2:$A$501,MATCH(B273,'21 2026 ÜRETİM'!$G$2:$G$501,0)),""))</f>
        <v/>
      </c>
      <c r="B273" s="58" t="n"/>
      <c r="C273" s="56" t="n"/>
      <c r="D273" s="58" t="n"/>
      <c r="E273" s="56" t="n"/>
      <c r="F273" s="58" t="n"/>
      <c r="G273" s="56" t="n"/>
      <c r="H273" s="65" t="n"/>
    </row>
    <row r="274" ht="28.25" customHeight="1">
      <c r="A274" s="56">
        <f>IF(B274="","",IFERROR(INDEX('21 2026 ÜRETİM'!$A$2:$A$501,MATCH(B274,'21 2026 ÜRETİM'!$G$2:$G$501,0)),""))</f>
        <v/>
      </c>
      <c r="B274" s="58" t="n"/>
      <c r="C274" s="56" t="n"/>
      <c r="D274" s="58" t="n"/>
      <c r="E274" s="56" t="n"/>
      <c r="F274" s="58" t="n"/>
      <c r="G274" s="56" t="n"/>
      <c r="H274" s="65" t="n"/>
    </row>
    <row r="275" ht="28.25" customHeight="1">
      <c r="A275" s="56">
        <f>IF(B275="","",IFERROR(INDEX('21 2026 ÜRETİM'!$A$2:$A$501,MATCH(B275,'21 2026 ÜRETİM'!$G$2:$G$501,0)),""))</f>
        <v/>
      </c>
      <c r="B275" s="58" t="n"/>
      <c r="C275" s="56" t="n"/>
      <c r="D275" s="58" t="n"/>
      <c r="E275" s="56" t="n"/>
      <c r="F275" s="58" t="n"/>
      <c r="G275" s="56" t="n"/>
      <c r="H275" s="65" t="n"/>
    </row>
    <row r="276" ht="28.25" customHeight="1">
      <c r="A276" s="56">
        <f>IF(B276="","",IFERROR(INDEX('21 2026 ÜRETİM'!$A$2:$A$501,MATCH(B276,'21 2026 ÜRETİM'!$G$2:$G$501,0)),""))</f>
        <v/>
      </c>
      <c r="B276" s="58" t="n"/>
      <c r="C276" s="56" t="n"/>
      <c r="D276" s="58" t="n"/>
      <c r="E276" s="56" t="n"/>
      <c r="F276" s="58" t="n"/>
      <c r="G276" s="56" t="n"/>
      <c r="H276" s="65" t="n"/>
    </row>
    <row r="277" ht="28.25" customHeight="1">
      <c r="A277" s="56">
        <f>IF(B277="","",IFERROR(INDEX('21 2026 ÜRETİM'!$A$2:$A$501,MATCH(B277,'21 2026 ÜRETİM'!$G$2:$G$501,0)),""))</f>
        <v/>
      </c>
      <c r="B277" s="58" t="n"/>
      <c r="C277" s="56" t="n"/>
      <c r="D277" s="58" t="n"/>
      <c r="E277" s="56" t="n"/>
      <c r="F277" s="58" t="n"/>
      <c r="G277" s="56" t="n"/>
      <c r="H277" s="65" t="n"/>
    </row>
    <row r="278" ht="28.25" customHeight="1">
      <c r="A278" s="56">
        <f>IF(B278="","",IFERROR(INDEX('21 2026 ÜRETİM'!$A$2:$A$501,MATCH(B278,'21 2026 ÜRETİM'!$G$2:$G$501,0)),""))</f>
        <v/>
      </c>
      <c r="B278" s="58" t="n"/>
      <c r="C278" s="56" t="n"/>
      <c r="D278" s="58" t="n"/>
      <c r="E278" s="56" t="n"/>
      <c r="F278" s="58" t="n"/>
      <c r="G278" s="56" t="n"/>
      <c r="H278" s="65" t="n"/>
    </row>
    <row r="279" ht="28.25" customHeight="1">
      <c r="A279" s="56">
        <f>IF(B279="","",IFERROR(INDEX('21 2026 ÜRETİM'!$A$2:$A$501,MATCH(B279,'21 2026 ÜRETİM'!$G$2:$G$501,0)),""))</f>
        <v/>
      </c>
      <c r="B279" s="58" t="n"/>
      <c r="C279" s="56" t="n"/>
      <c r="D279" s="58" t="n"/>
      <c r="E279" s="56" t="n"/>
      <c r="F279" s="58" t="n"/>
      <c r="G279" s="56" t="n"/>
      <c r="H279" s="65" t="n"/>
    </row>
    <row r="280" ht="28.25" customHeight="1">
      <c r="A280" s="56">
        <f>IF(B280="","",IFERROR(INDEX('21 2026 ÜRETİM'!$A$2:$A$501,MATCH(B280,'21 2026 ÜRETİM'!$G$2:$G$501,0)),""))</f>
        <v/>
      </c>
      <c r="B280" s="58" t="n"/>
      <c r="C280" s="56" t="n"/>
      <c r="D280" s="58" t="n"/>
      <c r="E280" s="56" t="n"/>
      <c r="F280" s="58" t="n"/>
      <c r="G280" s="56" t="n"/>
      <c r="H280" s="65" t="n"/>
    </row>
    <row r="281" ht="28.25" customHeight="1">
      <c r="A281" s="56">
        <f>IF(B281="","",IFERROR(INDEX('21 2026 ÜRETİM'!$A$2:$A$501,MATCH(B281,'21 2026 ÜRETİM'!$G$2:$G$501,0)),""))</f>
        <v/>
      </c>
      <c r="B281" s="58" t="n"/>
      <c r="C281" s="56" t="n"/>
      <c r="D281" s="58" t="n"/>
      <c r="E281" s="56" t="n"/>
      <c r="F281" s="58" t="n"/>
      <c r="G281" s="56" t="n"/>
      <c r="H281" s="65" t="n"/>
    </row>
    <row r="282" ht="28.25" customHeight="1">
      <c r="A282" s="56">
        <f>IF(B282="","",IFERROR(INDEX('21 2026 ÜRETİM'!$A$2:$A$501,MATCH(B282,'21 2026 ÜRETİM'!$G$2:$G$501,0)),""))</f>
        <v/>
      </c>
      <c r="B282" s="58" t="n"/>
      <c r="C282" s="56" t="n"/>
      <c r="D282" s="58" t="n"/>
      <c r="E282" s="56" t="n"/>
      <c r="F282" s="58" t="n"/>
      <c r="G282" s="56" t="n"/>
      <c r="H282" s="65" t="n"/>
    </row>
    <row r="283" ht="28.25" customHeight="1">
      <c r="A283" s="56">
        <f>IF(B283="","",IFERROR(INDEX('21 2026 ÜRETİM'!$A$2:$A$501,MATCH(B283,'21 2026 ÜRETİM'!$G$2:$G$501,0)),""))</f>
        <v/>
      </c>
      <c r="B283" s="58" t="n"/>
      <c r="C283" s="56" t="n"/>
      <c r="D283" s="58" t="n"/>
      <c r="E283" s="56" t="n"/>
      <c r="F283" s="58" t="n"/>
      <c r="G283" s="56" t="n"/>
      <c r="H283" s="65" t="n"/>
    </row>
    <row r="284" ht="28.25" customHeight="1">
      <c r="A284" s="56">
        <f>IF(B284="","",IFERROR(INDEX('21 2026 ÜRETİM'!$A$2:$A$501,MATCH(B284,'21 2026 ÜRETİM'!$G$2:$G$501,0)),""))</f>
        <v/>
      </c>
      <c r="B284" s="58" t="n"/>
      <c r="C284" s="56" t="n"/>
      <c r="D284" s="58" t="n"/>
      <c r="E284" s="56" t="n"/>
      <c r="F284" s="58" t="n"/>
      <c r="G284" s="56" t="n"/>
      <c r="H284" s="65" t="n"/>
    </row>
    <row r="285" ht="28.25" customHeight="1">
      <c r="A285" s="56">
        <f>IF(B285="","",IFERROR(INDEX('21 2026 ÜRETİM'!$A$2:$A$501,MATCH(B285,'21 2026 ÜRETİM'!$G$2:$G$501,0)),""))</f>
        <v/>
      </c>
      <c r="B285" s="58" t="n"/>
      <c r="C285" s="56" t="n"/>
      <c r="D285" s="58" t="n"/>
      <c r="E285" s="56" t="n"/>
      <c r="F285" s="58" t="n"/>
      <c r="G285" s="56" t="n"/>
      <c r="H285" s="65" t="n"/>
    </row>
    <row r="286" ht="28.25" customHeight="1">
      <c r="A286" s="56">
        <f>IF(B286="","",IFERROR(INDEX('21 2026 ÜRETİM'!$A$2:$A$501,MATCH(B286,'21 2026 ÜRETİM'!$G$2:$G$501,0)),""))</f>
        <v/>
      </c>
      <c r="B286" s="58" t="n"/>
      <c r="C286" s="56" t="n"/>
      <c r="D286" s="58" t="n"/>
      <c r="E286" s="56" t="n"/>
      <c r="F286" s="58" t="n"/>
      <c r="G286" s="56" t="n"/>
      <c r="H286" s="65" t="n"/>
    </row>
    <row r="287" ht="28.25" customHeight="1">
      <c r="A287" s="56">
        <f>IF(B287="","",IFERROR(INDEX('21 2026 ÜRETİM'!$A$2:$A$501,MATCH(B287,'21 2026 ÜRETİM'!$G$2:$G$501,0)),""))</f>
        <v/>
      </c>
      <c r="B287" s="58" t="n"/>
      <c r="C287" s="56" t="n"/>
      <c r="D287" s="58" t="n"/>
      <c r="E287" s="56" t="n"/>
      <c r="F287" s="58" t="n"/>
      <c r="G287" s="56" t="n"/>
      <c r="H287" s="65" t="n"/>
    </row>
    <row r="288" ht="28.25" customHeight="1">
      <c r="A288" s="56">
        <f>IF(B288="","",IFERROR(INDEX('21 2026 ÜRETİM'!$A$2:$A$501,MATCH(B288,'21 2026 ÜRETİM'!$G$2:$G$501,0)),""))</f>
        <v/>
      </c>
      <c r="B288" s="58" t="n"/>
      <c r="C288" s="56" t="n"/>
      <c r="D288" s="58" t="n"/>
      <c r="E288" s="56" t="n"/>
      <c r="F288" s="58" t="n"/>
      <c r="G288" s="56" t="n"/>
      <c r="H288" s="65" t="n"/>
    </row>
    <row r="289" ht="28.25" customHeight="1">
      <c r="A289" s="56">
        <f>IF(B289="","",IFERROR(INDEX('21 2026 ÜRETİM'!$A$2:$A$501,MATCH(B289,'21 2026 ÜRETİM'!$G$2:$G$501,0)),""))</f>
        <v/>
      </c>
      <c r="B289" s="58" t="n"/>
      <c r="C289" s="56" t="n"/>
      <c r="D289" s="58" t="n"/>
      <c r="E289" s="56" t="n"/>
      <c r="F289" s="58" t="n"/>
      <c r="G289" s="56" t="n"/>
      <c r="H289" s="65" t="n"/>
    </row>
    <row r="290" ht="28.25" customHeight="1">
      <c r="A290" s="56">
        <f>IF(B290="","",IFERROR(INDEX('21 2026 ÜRETİM'!$A$2:$A$501,MATCH(B290,'21 2026 ÜRETİM'!$G$2:$G$501,0)),""))</f>
        <v/>
      </c>
      <c r="B290" s="58" t="n"/>
      <c r="C290" s="56" t="n"/>
      <c r="D290" s="58" t="n"/>
      <c r="E290" s="56" t="n"/>
      <c r="F290" s="58" t="n"/>
      <c r="G290" s="56" t="n"/>
      <c r="H290" s="65" t="n"/>
    </row>
    <row r="291" ht="28.25" customHeight="1">
      <c r="A291" s="56">
        <f>IF(B291="","",IFERROR(INDEX('21 2026 ÜRETİM'!$A$2:$A$501,MATCH(B291,'21 2026 ÜRETİM'!$G$2:$G$501,0)),""))</f>
        <v/>
      </c>
      <c r="B291" s="58" t="n"/>
      <c r="C291" s="56" t="n"/>
      <c r="D291" s="58" t="n"/>
      <c r="E291" s="56" t="n"/>
      <c r="F291" s="58" t="n"/>
      <c r="G291" s="56" t="n"/>
      <c r="H291" s="65" t="n"/>
    </row>
    <row r="292" ht="28.25" customHeight="1">
      <c r="A292" s="56">
        <f>IF(B292="","",IFERROR(INDEX('21 2026 ÜRETİM'!$A$2:$A$501,MATCH(B292,'21 2026 ÜRETİM'!$G$2:$G$501,0)),""))</f>
        <v/>
      </c>
      <c r="B292" s="58" t="n"/>
      <c r="C292" s="56" t="n"/>
      <c r="D292" s="58" t="n"/>
      <c r="E292" s="56" t="n"/>
      <c r="F292" s="58" t="n"/>
      <c r="G292" s="56" t="n"/>
      <c r="H292" s="65" t="n"/>
    </row>
    <row r="293" ht="28.25" customHeight="1">
      <c r="A293" s="56">
        <f>IF(B293="","",IFERROR(INDEX('21 2026 ÜRETİM'!$A$2:$A$501,MATCH(B293,'21 2026 ÜRETİM'!$G$2:$G$501,0)),""))</f>
        <v/>
      </c>
      <c r="B293" s="58" t="n"/>
      <c r="C293" s="56" t="n"/>
      <c r="D293" s="58" t="n"/>
      <c r="E293" s="56" t="n"/>
      <c r="F293" s="58" t="n"/>
      <c r="G293" s="56" t="n"/>
      <c r="H293" s="65" t="n"/>
    </row>
    <row r="294" ht="28.25" customHeight="1">
      <c r="A294" s="56">
        <f>IF(B294="","",IFERROR(INDEX('21 2026 ÜRETİM'!$A$2:$A$501,MATCH(B294,'21 2026 ÜRETİM'!$G$2:$G$501,0)),""))</f>
        <v/>
      </c>
      <c r="B294" s="58" t="n"/>
      <c r="C294" s="56" t="n"/>
      <c r="D294" s="58" t="n"/>
      <c r="E294" s="56" t="n"/>
      <c r="F294" s="58" t="n"/>
      <c r="G294" s="56" t="n"/>
      <c r="H294" s="65" t="n"/>
    </row>
    <row r="295" ht="28.25" customHeight="1">
      <c r="A295" s="56">
        <f>IF(B295="","",IFERROR(INDEX('21 2026 ÜRETİM'!$A$2:$A$501,MATCH(B295,'21 2026 ÜRETİM'!$G$2:$G$501,0)),""))</f>
        <v/>
      </c>
      <c r="B295" s="58" t="n"/>
      <c r="C295" s="56" t="n"/>
      <c r="D295" s="58" t="n"/>
      <c r="E295" s="56" t="n"/>
      <c r="F295" s="58" t="n"/>
      <c r="G295" s="56" t="n"/>
      <c r="H295" s="65" t="n"/>
    </row>
    <row r="296" ht="28.25" customHeight="1">
      <c r="A296" s="56">
        <f>IF(B296="","",IFERROR(INDEX('21 2026 ÜRETİM'!$A$2:$A$501,MATCH(B296,'21 2026 ÜRETİM'!$G$2:$G$501,0)),""))</f>
        <v/>
      </c>
      <c r="B296" s="58" t="n"/>
      <c r="C296" s="56" t="n"/>
      <c r="D296" s="58" t="n"/>
      <c r="E296" s="56" t="n"/>
      <c r="F296" s="58" t="n"/>
      <c r="G296" s="56" t="n"/>
      <c r="H296" s="65" t="n"/>
    </row>
    <row r="297" ht="28.25" customHeight="1">
      <c r="A297" s="56">
        <f>IF(B297="","",IFERROR(INDEX('21 2026 ÜRETİM'!$A$2:$A$501,MATCH(B297,'21 2026 ÜRETİM'!$G$2:$G$501,0)),""))</f>
        <v/>
      </c>
      <c r="B297" s="58" t="n"/>
      <c r="C297" s="56" t="n"/>
      <c r="D297" s="58" t="n"/>
      <c r="E297" s="56" t="n"/>
      <c r="F297" s="58" t="n"/>
      <c r="G297" s="56" t="n"/>
      <c r="H297" s="65" t="n"/>
    </row>
    <row r="298" ht="28.25" customHeight="1">
      <c r="A298" s="56">
        <f>IF(B298="","",IFERROR(INDEX('21 2026 ÜRETİM'!$A$2:$A$501,MATCH(B298,'21 2026 ÜRETİM'!$G$2:$G$501,0)),""))</f>
        <v/>
      </c>
      <c r="B298" s="58" t="n"/>
      <c r="C298" s="56" t="n"/>
      <c r="D298" s="58" t="n"/>
      <c r="E298" s="56" t="n"/>
      <c r="F298" s="58" t="n"/>
      <c r="G298" s="56" t="n"/>
      <c r="H298" s="65" t="n"/>
    </row>
    <row r="299" ht="28.25" customHeight="1">
      <c r="A299" s="56">
        <f>IF(B299="","",IFERROR(INDEX('21 2026 ÜRETİM'!$A$2:$A$501,MATCH(B299,'21 2026 ÜRETİM'!$G$2:$G$501,0)),""))</f>
        <v/>
      </c>
      <c r="B299" s="58" t="n"/>
      <c r="C299" s="56" t="n"/>
      <c r="D299" s="58" t="n"/>
      <c r="E299" s="56" t="n"/>
      <c r="F299" s="58" t="n"/>
      <c r="G299" s="56" t="n"/>
      <c r="H299" s="65" t="n"/>
    </row>
    <row r="300" ht="28.25" customHeight="1">
      <c r="A300" s="56">
        <f>IF(B300="","",IFERROR(INDEX('21 2026 ÜRETİM'!$A$2:$A$501,MATCH(B300,'21 2026 ÜRETİM'!$G$2:$G$501,0)),""))</f>
        <v/>
      </c>
      <c r="B300" s="58" t="n"/>
      <c r="C300" s="56" t="n"/>
      <c r="D300" s="58" t="n"/>
      <c r="E300" s="56" t="n"/>
      <c r="F300" s="58" t="n"/>
      <c r="G300" s="56" t="n"/>
      <c r="H300" s="65" t="n"/>
    </row>
    <row r="301" ht="28.25" customHeight="1">
      <c r="A301" s="56">
        <f>IF(B301="","",IFERROR(INDEX('21 2026 ÜRETİM'!$A$2:$A$501,MATCH(B301,'21 2026 ÜRETİM'!$G$2:$G$501,0)),""))</f>
        <v/>
      </c>
      <c r="B301" s="58" t="n"/>
      <c r="C301" s="56" t="n"/>
      <c r="D301" s="58" t="n"/>
      <c r="E301" s="56" t="n"/>
      <c r="F301" s="58" t="n"/>
      <c r="G301" s="56" t="n"/>
      <c r="H301" s="65" t="n"/>
    </row>
    <row r="302" ht="28.25" customHeight="1">
      <c r="A302" s="56">
        <f>IF(B302="","",IFERROR(INDEX('21 2026 ÜRETİM'!$A$2:$A$501,MATCH(B302,'21 2026 ÜRETİM'!$G$2:$G$501,0)),""))</f>
        <v/>
      </c>
      <c r="B302" s="58" t="n"/>
      <c r="C302" s="56" t="n"/>
      <c r="D302" s="58" t="n"/>
      <c r="E302" s="56" t="n"/>
      <c r="F302" s="58" t="n"/>
      <c r="G302" s="56" t="n"/>
      <c r="H302" s="65" t="n"/>
    </row>
    <row r="303" ht="28.25" customHeight="1">
      <c r="A303" s="56">
        <f>IF(B303="","",IFERROR(INDEX('21 2026 ÜRETİM'!$A$2:$A$501,MATCH(B303,'21 2026 ÜRETİM'!$G$2:$G$501,0)),""))</f>
        <v/>
      </c>
      <c r="B303" s="58" t="n"/>
      <c r="C303" s="56" t="n"/>
      <c r="D303" s="58" t="n"/>
      <c r="E303" s="56" t="n"/>
      <c r="F303" s="58" t="n"/>
      <c r="G303" s="56" t="n"/>
      <c r="H303" s="65" t="n"/>
    </row>
    <row r="304" ht="28.25" customHeight="1">
      <c r="A304" s="56">
        <f>IF(B304="","",IFERROR(INDEX('21 2026 ÜRETİM'!$A$2:$A$501,MATCH(B304,'21 2026 ÜRETİM'!$G$2:$G$501,0)),""))</f>
        <v/>
      </c>
      <c r="B304" s="58" t="n"/>
      <c r="C304" s="56" t="n"/>
      <c r="D304" s="58" t="n"/>
      <c r="E304" s="56" t="n"/>
      <c r="F304" s="58" t="n"/>
      <c r="G304" s="56" t="n"/>
      <c r="H304" s="65" t="n"/>
    </row>
    <row r="305" ht="28.25" customHeight="1">
      <c r="A305" s="56">
        <f>IF(B305="","",IFERROR(INDEX('21 2026 ÜRETİM'!$A$2:$A$501,MATCH(B305,'21 2026 ÜRETİM'!$G$2:$G$501,0)),""))</f>
        <v/>
      </c>
      <c r="B305" s="58" t="n"/>
      <c r="C305" s="56" t="n"/>
      <c r="D305" s="58" t="n"/>
      <c r="E305" s="56" t="n"/>
      <c r="F305" s="58" t="n"/>
      <c r="G305" s="56" t="n"/>
      <c r="H305" s="65" t="n"/>
    </row>
    <row r="306" ht="28.25" customHeight="1">
      <c r="A306" s="56">
        <f>IF(B306="","",IFERROR(INDEX('21 2026 ÜRETİM'!$A$2:$A$501,MATCH(B306,'21 2026 ÜRETİM'!$G$2:$G$501,0)),""))</f>
        <v/>
      </c>
      <c r="B306" s="58" t="n"/>
      <c r="C306" s="56" t="n"/>
      <c r="D306" s="58" t="n"/>
      <c r="E306" s="56" t="n"/>
      <c r="F306" s="58" t="n"/>
      <c r="G306" s="56" t="n"/>
      <c r="H306" s="65" t="n"/>
    </row>
    <row r="307" ht="28.25" customHeight="1">
      <c r="A307" s="56">
        <f>IF(B307="","",IFERROR(INDEX('21 2026 ÜRETİM'!$A$2:$A$501,MATCH(B307,'21 2026 ÜRETİM'!$G$2:$G$501,0)),""))</f>
        <v/>
      </c>
      <c r="B307" s="58" t="n"/>
      <c r="C307" s="56" t="n"/>
      <c r="D307" s="58" t="n"/>
      <c r="E307" s="56" t="n"/>
      <c r="F307" s="58" t="n"/>
      <c r="G307" s="56" t="n"/>
      <c r="H307" s="65" t="n"/>
    </row>
    <row r="308" ht="28.25" customHeight="1">
      <c r="A308" s="56">
        <f>IF(B308="","",IFERROR(INDEX('21 2026 ÜRETİM'!$A$2:$A$501,MATCH(B308,'21 2026 ÜRETİM'!$G$2:$G$501,0)),""))</f>
        <v/>
      </c>
      <c r="B308" s="58" t="n"/>
      <c r="C308" s="56" t="n"/>
      <c r="D308" s="58" t="n"/>
      <c r="E308" s="56" t="n"/>
      <c r="F308" s="58" t="n"/>
      <c r="G308" s="56" t="n"/>
      <c r="H308" s="65" t="n"/>
    </row>
    <row r="309" ht="28.25" customHeight="1">
      <c r="A309" s="56">
        <f>IF(B309="","",IFERROR(INDEX('21 2026 ÜRETİM'!$A$2:$A$501,MATCH(B309,'21 2026 ÜRETİM'!$G$2:$G$501,0)),""))</f>
        <v/>
      </c>
      <c r="B309" s="58" t="n"/>
      <c r="C309" s="56" t="n"/>
      <c r="D309" s="58" t="n"/>
      <c r="E309" s="56" t="n"/>
      <c r="F309" s="58" t="n"/>
      <c r="G309" s="56" t="n"/>
      <c r="H309" s="65" t="n"/>
    </row>
    <row r="310" ht="28.25" customHeight="1">
      <c r="A310" s="56">
        <f>IF(B310="","",IFERROR(INDEX('21 2026 ÜRETİM'!$A$2:$A$501,MATCH(B310,'21 2026 ÜRETİM'!$G$2:$G$501,0)),""))</f>
        <v/>
      </c>
      <c r="B310" s="58" t="n"/>
      <c r="C310" s="56" t="n"/>
      <c r="D310" s="58" t="n"/>
      <c r="E310" s="56" t="n"/>
      <c r="F310" s="58" t="n"/>
      <c r="G310" s="56" t="n"/>
      <c r="H310" s="65" t="n"/>
    </row>
    <row r="311" ht="28.25" customHeight="1">
      <c r="A311" s="56">
        <f>IF(B311="","",IFERROR(INDEX('21 2026 ÜRETİM'!$A$2:$A$501,MATCH(B311,'21 2026 ÜRETİM'!$G$2:$G$501,0)),""))</f>
        <v/>
      </c>
      <c r="B311" s="58" t="n"/>
      <c r="C311" s="56" t="n"/>
      <c r="D311" s="58" t="n"/>
      <c r="E311" s="56" t="n"/>
      <c r="F311" s="58" t="n"/>
      <c r="G311" s="56" t="n"/>
      <c r="H311" s="65" t="n"/>
    </row>
    <row r="312" ht="28.25" customHeight="1">
      <c r="A312" s="56">
        <f>IF(B312="","",IFERROR(INDEX('21 2026 ÜRETİM'!$A$2:$A$501,MATCH(B312,'21 2026 ÜRETİM'!$G$2:$G$501,0)),""))</f>
        <v/>
      </c>
      <c r="B312" s="58" t="n"/>
      <c r="C312" s="56" t="n"/>
      <c r="D312" s="58" t="n"/>
      <c r="E312" s="56" t="n"/>
      <c r="F312" s="58" t="n"/>
      <c r="G312" s="56" t="n"/>
      <c r="H312" s="65" t="n"/>
    </row>
    <row r="313" ht="28.25" customHeight="1">
      <c r="A313" s="56">
        <f>IF(B313="","",IFERROR(INDEX('21 2026 ÜRETİM'!$A$2:$A$501,MATCH(B313,'21 2026 ÜRETİM'!$G$2:$G$501,0)),""))</f>
        <v/>
      </c>
      <c r="B313" s="58" t="n"/>
      <c r="C313" s="56" t="n"/>
      <c r="D313" s="58" t="n"/>
      <c r="E313" s="56" t="n"/>
      <c r="F313" s="58" t="n"/>
      <c r="G313" s="56" t="n"/>
      <c r="H313" s="65" t="n"/>
    </row>
    <row r="314" ht="28.25" customHeight="1">
      <c r="A314" s="56">
        <f>IF(B314="","",IFERROR(INDEX('21 2026 ÜRETİM'!$A$2:$A$501,MATCH(B314,'21 2026 ÜRETİM'!$G$2:$G$501,0)),""))</f>
        <v/>
      </c>
      <c r="B314" s="58" t="n"/>
      <c r="C314" s="56" t="n"/>
      <c r="D314" s="58" t="n"/>
      <c r="E314" s="56" t="n"/>
      <c r="F314" s="58" t="n"/>
      <c r="G314" s="56" t="n"/>
      <c r="H314" s="65" t="n"/>
    </row>
    <row r="315" ht="28.25" customHeight="1">
      <c r="A315" s="56">
        <f>IF(B315="","",IFERROR(INDEX('21 2026 ÜRETİM'!$A$2:$A$501,MATCH(B315,'21 2026 ÜRETİM'!$G$2:$G$501,0)),""))</f>
        <v/>
      </c>
      <c r="B315" s="58" t="n"/>
      <c r="C315" s="56" t="n"/>
      <c r="D315" s="58" t="n"/>
      <c r="E315" s="56" t="n"/>
      <c r="F315" s="58" t="n"/>
      <c r="G315" s="56" t="n"/>
      <c r="H315" s="65" t="n"/>
    </row>
    <row r="316" ht="28.25" customHeight="1">
      <c r="A316" s="56">
        <f>IF(B316="","",IFERROR(INDEX('21 2026 ÜRETİM'!$A$2:$A$501,MATCH(B316,'21 2026 ÜRETİM'!$G$2:$G$501,0)),""))</f>
        <v/>
      </c>
      <c r="B316" s="58" t="n"/>
      <c r="C316" s="56" t="n"/>
      <c r="D316" s="58" t="n"/>
      <c r="E316" s="56" t="n"/>
      <c r="F316" s="58" t="n"/>
      <c r="G316" s="56" t="n"/>
      <c r="H316" s="65" t="n"/>
    </row>
    <row r="317" ht="28.25" customHeight="1">
      <c r="A317" s="56">
        <f>IF(B317="","",IFERROR(INDEX('21 2026 ÜRETİM'!$A$2:$A$501,MATCH(B317,'21 2026 ÜRETİM'!$G$2:$G$501,0)),""))</f>
        <v/>
      </c>
      <c r="B317" s="58" t="n"/>
      <c r="C317" s="56" t="n"/>
      <c r="D317" s="58" t="n"/>
      <c r="E317" s="56" t="n"/>
      <c r="F317" s="58" t="n"/>
      <c r="G317" s="56" t="n"/>
      <c r="H317" s="65" t="n"/>
    </row>
    <row r="318" ht="28.25" customHeight="1">
      <c r="A318" s="56">
        <f>IF(B318="","",IFERROR(INDEX('21 2026 ÜRETİM'!$A$2:$A$501,MATCH(B318,'21 2026 ÜRETİM'!$G$2:$G$501,0)),""))</f>
        <v/>
      </c>
      <c r="B318" s="58" t="n"/>
      <c r="C318" s="56" t="n"/>
      <c r="D318" s="58" t="n"/>
      <c r="E318" s="56" t="n"/>
      <c r="F318" s="58" t="n"/>
      <c r="G318" s="56" t="n"/>
      <c r="H318" s="65" t="n"/>
    </row>
    <row r="319" ht="28.25" customHeight="1">
      <c r="A319" s="56">
        <f>IF(B319="","",IFERROR(INDEX('21 2026 ÜRETİM'!$A$2:$A$501,MATCH(B319,'21 2026 ÜRETİM'!$G$2:$G$501,0)),""))</f>
        <v/>
      </c>
      <c r="B319" s="58" t="n"/>
      <c r="C319" s="56" t="n"/>
      <c r="D319" s="58" t="n"/>
      <c r="E319" s="56" t="n"/>
      <c r="F319" s="58" t="n"/>
      <c r="G319" s="56" t="n"/>
      <c r="H319" s="65" t="n"/>
    </row>
    <row r="320" ht="28.25" customHeight="1">
      <c r="A320" s="56">
        <f>IF(B320="","",IFERROR(INDEX('21 2026 ÜRETİM'!$A$2:$A$501,MATCH(B320,'21 2026 ÜRETİM'!$G$2:$G$501,0)),""))</f>
        <v/>
      </c>
      <c r="B320" s="58" t="n"/>
      <c r="C320" s="56" t="n"/>
      <c r="D320" s="58" t="n"/>
      <c r="E320" s="56" t="n"/>
      <c r="F320" s="58" t="n"/>
      <c r="G320" s="56" t="n"/>
      <c r="H320" s="65" t="n"/>
    </row>
    <row r="321" ht="28.25" customHeight="1">
      <c r="A321" s="56">
        <f>IF(B321="","",IFERROR(INDEX('21 2026 ÜRETİM'!$A$2:$A$501,MATCH(B321,'21 2026 ÜRETİM'!$G$2:$G$501,0)),""))</f>
        <v/>
      </c>
      <c r="B321" s="58" t="n"/>
      <c r="C321" s="56" t="n"/>
      <c r="D321" s="58" t="n"/>
      <c r="E321" s="56" t="n"/>
      <c r="F321" s="58" t="n"/>
      <c r="G321" s="56" t="n"/>
      <c r="H321" s="65" t="n"/>
    </row>
    <row r="322" ht="28.25" customHeight="1">
      <c r="A322" s="56">
        <f>IF(B322="","",IFERROR(INDEX('21 2026 ÜRETİM'!$A$2:$A$501,MATCH(B322,'21 2026 ÜRETİM'!$G$2:$G$501,0)),""))</f>
        <v/>
      </c>
      <c r="B322" s="58" t="n"/>
      <c r="C322" s="56" t="n"/>
      <c r="D322" s="58" t="n"/>
      <c r="E322" s="56" t="n"/>
      <c r="F322" s="58" t="n"/>
      <c r="G322" s="56" t="n"/>
      <c r="H322" s="65" t="n"/>
    </row>
    <row r="323" ht="28.25" customHeight="1">
      <c r="A323" s="56">
        <f>IF(B323="","",IFERROR(INDEX('21 2026 ÜRETİM'!$A$2:$A$501,MATCH(B323,'21 2026 ÜRETİM'!$G$2:$G$501,0)),""))</f>
        <v/>
      </c>
      <c r="B323" s="58" t="n"/>
      <c r="C323" s="56" t="n"/>
      <c r="D323" s="58" t="n"/>
      <c r="E323" s="56" t="n"/>
      <c r="F323" s="58" t="n"/>
      <c r="G323" s="56" t="n"/>
      <c r="H323" s="65" t="n"/>
    </row>
    <row r="324" ht="28.25" customHeight="1">
      <c r="A324" s="56">
        <f>IF(B324="","",IFERROR(INDEX('21 2026 ÜRETİM'!$A$2:$A$501,MATCH(B324,'21 2026 ÜRETİM'!$G$2:$G$501,0)),""))</f>
        <v/>
      </c>
      <c r="B324" s="58" t="n"/>
      <c r="C324" s="56" t="n"/>
      <c r="D324" s="58" t="n"/>
      <c r="E324" s="56" t="n"/>
      <c r="F324" s="58" t="n"/>
      <c r="G324" s="56" t="n"/>
      <c r="H324" s="65" t="n"/>
    </row>
    <row r="325" ht="28.25" customHeight="1">
      <c r="A325" s="56">
        <f>IF(B325="","",IFERROR(INDEX('21 2026 ÜRETİM'!$A$2:$A$501,MATCH(B325,'21 2026 ÜRETİM'!$G$2:$G$501,0)),""))</f>
        <v/>
      </c>
      <c r="B325" s="58" t="n"/>
      <c r="C325" s="56" t="n"/>
      <c r="D325" s="58" t="n"/>
      <c r="E325" s="56" t="n"/>
      <c r="F325" s="58" t="n"/>
      <c r="G325" s="56" t="n"/>
      <c r="H325" s="65" t="n"/>
    </row>
    <row r="326" ht="28.25" customHeight="1">
      <c r="A326" s="56">
        <f>IF(B326="","",IFERROR(INDEX('21 2026 ÜRETİM'!$A$2:$A$501,MATCH(B326,'21 2026 ÜRETİM'!$G$2:$G$501,0)),""))</f>
        <v/>
      </c>
      <c r="B326" s="58" t="n"/>
      <c r="C326" s="56" t="n"/>
      <c r="D326" s="58" t="n"/>
      <c r="E326" s="56" t="n"/>
      <c r="F326" s="58" t="n"/>
      <c r="G326" s="56" t="n"/>
      <c r="H326" s="65" t="n"/>
    </row>
    <row r="327" ht="28.25" customHeight="1">
      <c r="A327" s="56">
        <f>IF(B327="","",IFERROR(INDEX('21 2026 ÜRETİM'!$A$2:$A$501,MATCH(B327,'21 2026 ÜRETİM'!$G$2:$G$501,0)),""))</f>
        <v/>
      </c>
      <c r="B327" s="58" t="n"/>
      <c r="C327" s="56" t="n"/>
      <c r="D327" s="58" t="n"/>
      <c r="E327" s="56" t="n"/>
      <c r="F327" s="58" t="n"/>
      <c r="G327" s="56" t="n"/>
      <c r="H327" s="65" t="n"/>
    </row>
    <row r="328" ht="28.25" customHeight="1">
      <c r="A328" s="56">
        <f>IF(B328="","",IFERROR(INDEX('21 2026 ÜRETİM'!$A$2:$A$501,MATCH(B328,'21 2026 ÜRETİM'!$G$2:$G$501,0)),""))</f>
        <v/>
      </c>
      <c r="B328" s="58" t="n"/>
      <c r="C328" s="56" t="n"/>
      <c r="D328" s="58" t="n"/>
      <c r="E328" s="56" t="n"/>
      <c r="F328" s="58" t="n"/>
      <c r="G328" s="56" t="n"/>
      <c r="H328" s="65" t="n"/>
    </row>
    <row r="329" ht="28.25" customHeight="1">
      <c r="A329" s="56">
        <f>IF(B329="","",IFERROR(INDEX('21 2026 ÜRETİM'!$A$2:$A$501,MATCH(B329,'21 2026 ÜRETİM'!$G$2:$G$501,0)),""))</f>
        <v/>
      </c>
      <c r="B329" s="58" t="n"/>
      <c r="C329" s="56" t="n"/>
      <c r="D329" s="58" t="n"/>
      <c r="E329" s="56" t="n"/>
      <c r="F329" s="58" t="n"/>
      <c r="G329" s="56" t="n"/>
      <c r="H329" s="65" t="n"/>
    </row>
    <row r="330" ht="28.25" customHeight="1">
      <c r="A330" s="56">
        <f>IF(B330="","",IFERROR(INDEX('21 2026 ÜRETİM'!$A$2:$A$501,MATCH(B330,'21 2026 ÜRETİM'!$G$2:$G$501,0)),""))</f>
        <v/>
      </c>
      <c r="B330" s="58" t="n"/>
      <c r="C330" s="56" t="n"/>
      <c r="D330" s="58" t="n"/>
      <c r="E330" s="56" t="n"/>
      <c r="F330" s="58" t="n"/>
      <c r="G330" s="56" t="n"/>
      <c r="H330" s="65" t="n"/>
    </row>
    <row r="331" ht="28.25" customHeight="1">
      <c r="A331" s="56">
        <f>IF(B331="","",IFERROR(INDEX('21 2026 ÜRETİM'!$A$2:$A$501,MATCH(B331,'21 2026 ÜRETİM'!$G$2:$G$501,0)),""))</f>
        <v/>
      </c>
      <c r="B331" s="58" t="n"/>
      <c r="C331" s="56" t="n"/>
      <c r="D331" s="58" t="n"/>
      <c r="E331" s="56" t="n"/>
      <c r="F331" s="58" t="n"/>
      <c r="G331" s="56" t="n"/>
      <c r="H331" s="65" t="n"/>
    </row>
    <row r="332" ht="28.25" customHeight="1">
      <c r="A332" s="56">
        <f>IF(B332="","",IFERROR(INDEX('21 2026 ÜRETİM'!$A$2:$A$501,MATCH(B332,'21 2026 ÜRETİM'!$G$2:$G$501,0)),""))</f>
        <v/>
      </c>
      <c r="B332" s="58" t="n"/>
      <c r="C332" s="56" t="n"/>
      <c r="D332" s="58" t="n"/>
      <c r="E332" s="56" t="n"/>
      <c r="F332" s="58" t="n"/>
      <c r="G332" s="56" t="n"/>
      <c r="H332" s="65" t="n"/>
    </row>
    <row r="333" ht="28.25" customHeight="1">
      <c r="A333" s="56">
        <f>IF(B333="","",IFERROR(INDEX('21 2026 ÜRETİM'!$A$2:$A$501,MATCH(B333,'21 2026 ÜRETİM'!$G$2:$G$501,0)),""))</f>
        <v/>
      </c>
      <c r="B333" s="58" t="n"/>
      <c r="C333" s="56" t="n"/>
      <c r="D333" s="58" t="n"/>
      <c r="E333" s="56" t="n"/>
      <c r="F333" s="58" t="n"/>
      <c r="G333" s="56" t="n"/>
      <c r="H333" s="65" t="n"/>
    </row>
    <row r="334" ht="28.25" customHeight="1">
      <c r="A334" s="56">
        <f>IF(B334="","",IFERROR(INDEX('21 2026 ÜRETİM'!$A$2:$A$501,MATCH(B334,'21 2026 ÜRETİM'!$G$2:$G$501,0)),""))</f>
        <v/>
      </c>
      <c r="B334" s="58" t="n"/>
      <c r="C334" s="56" t="n"/>
      <c r="D334" s="58" t="n"/>
      <c r="E334" s="56" t="n"/>
      <c r="F334" s="58" t="n"/>
      <c r="G334" s="56" t="n"/>
      <c r="H334" s="65" t="n"/>
    </row>
    <row r="335" ht="28.25" customHeight="1">
      <c r="A335" s="56">
        <f>IF(B335="","",IFERROR(INDEX('21 2026 ÜRETİM'!$A$2:$A$501,MATCH(B335,'21 2026 ÜRETİM'!$G$2:$G$501,0)),""))</f>
        <v/>
      </c>
      <c r="B335" s="58" t="n"/>
      <c r="C335" s="56" t="n"/>
      <c r="D335" s="58" t="n"/>
      <c r="E335" s="56" t="n"/>
      <c r="F335" s="58" t="n"/>
      <c r="G335" s="56" t="n"/>
      <c r="H335" s="65" t="n"/>
    </row>
    <row r="336" ht="28.25" customHeight="1">
      <c r="A336" s="56">
        <f>IF(B336="","",IFERROR(INDEX('21 2026 ÜRETİM'!$A$2:$A$501,MATCH(B336,'21 2026 ÜRETİM'!$G$2:$G$501,0)),""))</f>
        <v/>
      </c>
      <c r="B336" s="58" t="n"/>
      <c r="C336" s="56" t="n"/>
      <c r="D336" s="58" t="n"/>
      <c r="E336" s="56" t="n"/>
      <c r="F336" s="58" t="n"/>
      <c r="G336" s="56" t="n"/>
      <c r="H336" s="65" t="n"/>
    </row>
    <row r="337" ht="28.25" customHeight="1">
      <c r="A337" s="56">
        <f>IF(B337="","",IFERROR(INDEX('21 2026 ÜRETİM'!$A$2:$A$501,MATCH(B337,'21 2026 ÜRETİM'!$G$2:$G$501,0)),""))</f>
        <v/>
      </c>
      <c r="B337" s="58" t="n"/>
      <c r="C337" s="56" t="n"/>
      <c r="D337" s="58" t="n"/>
      <c r="E337" s="56" t="n"/>
      <c r="F337" s="58" t="n"/>
      <c r="G337" s="56" t="n"/>
      <c r="H337" s="65" t="n"/>
    </row>
    <row r="338" ht="28.25" customHeight="1">
      <c r="A338" s="56">
        <f>IF(B338="","",IFERROR(INDEX('21 2026 ÜRETİM'!$A$2:$A$501,MATCH(B338,'21 2026 ÜRETİM'!$G$2:$G$501,0)),""))</f>
        <v/>
      </c>
      <c r="B338" s="58" t="n"/>
      <c r="C338" s="56" t="n"/>
      <c r="D338" s="58" t="n"/>
      <c r="E338" s="56" t="n"/>
      <c r="F338" s="58" t="n"/>
      <c r="G338" s="56" t="n"/>
      <c r="H338" s="65" t="n"/>
    </row>
    <row r="339" ht="28.25" customHeight="1">
      <c r="A339" s="56">
        <f>IF(B339="","",IFERROR(INDEX('21 2026 ÜRETİM'!$A$2:$A$501,MATCH(B339,'21 2026 ÜRETİM'!$G$2:$G$501,0)),""))</f>
        <v/>
      </c>
      <c r="B339" s="58" t="n"/>
      <c r="C339" s="56" t="n"/>
      <c r="D339" s="58" t="n"/>
      <c r="E339" s="56" t="n"/>
      <c r="F339" s="58" t="n"/>
      <c r="G339" s="56" t="n"/>
      <c r="H339" s="65" t="n"/>
    </row>
    <row r="340" ht="28.25" customHeight="1">
      <c r="A340" s="56">
        <f>IF(B340="","",IFERROR(INDEX('21 2026 ÜRETİM'!$A$2:$A$501,MATCH(B340,'21 2026 ÜRETİM'!$G$2:$G$501,0)),""))</f>
        <v/>
      </c>
      <c r="B340" s="58" t="n"/>
      <c r="C340" s="56" t="n"/>
      <c r="D340" s="58" t="n"/>
      <c r="E340" s="56" t="n"/>
      <c r="F340" s="58" t="n"/>
      <c r="G340" s="56" t="n"/>
      <c r="H340" s="65" t="n"/>
    </row>
    <row r="341" ht="28.25" customHeight="1">
      <c r="A341" s="56">
        <f>IF(B341="","",IFERROR(INDEX('21 2026 ÜRETİM'!$A$2:$A$501,MATCH(B341,'21 2026 ÜRETİM'!$G$2:$G$501,0)),""))</f>
        <v/>
      </c>
      <c r="B341" s="58" t="n"/>
      <c r="C341" s="56" t="n"/>
      <c r="D341" s="58" t="n"/>
      <c r="E341" s="56" t="n"/>
      <c r="F341" s="58" t="n"/>
      <c r="G341" s="56" t="n"/>
      <c r="H341" s="65" t="n"/>
    </row>
    <row r="342" ht="28.25" customHeight="1">
      <c r="A342" s="56">
        <f>IF(B342="","",IFERROR(INDEX('21 2026 ÜRETİM'!$A$2:$A$501,MATCH(B342,'21 2026 ÜRETİM'!$G$2:$G$501,0)),""))</f>
        <v/>
      </c>
      <c r="B342" s="58" t="n"/>
      <c r="C342" s="56" t="n"/>
      <c r="D342" s="58" t="n"/>
      <c r="E342" s="56" t="n"/>
      <c r="F342" s="58" t="n"/>
      <c r="G342" s="56" t="n"/>
      <c r="H342" s="65" t="n"/>
    </row>
    <row r="343" ht="28.25" customHeight="1">
      <c r="A343" s="56">
        <f>IF(B343="","",IFERROR(INDEX('21 2026 ÜRETİM'!$A$2:$A$501,MATCH(B343,'21 2026 ÜRETİM'!$G$2:$G$501,0)),""))</f>
        <v/>
      </c>
      <c r="B343" s="58" t="n"/>
      <c r="C343" s="56" t="n"/>
      <c r="D343" s="58" t="n"/>
      <c r="E343" s="56" t="n"/>
      <c r="F343" s="58" t="n"/>
      <c r="G343" s="56" t="n"/>
      <c r="H343" s="65" t="n"/>
    </row>
    <row r="344" ht="28.25" customHeight="1">
      <c r="A344" s="56">
        <f>IF(B344="","",IFERROR(INDEX('21 2026 ÜRETİM'!$A$2:$A$501,MATCH(B344,'21 2026 ÜRETİM'!$G$2:$G$501,0)),""))</f>
        <v/>
      </c>
      <c r="B344" s="58" t="n"/>
      <c r="C344" s="56" t="n"/>
      <c r="D344" s="58" t="n"/>
      <c r="E344" s="56" t="n"/>
      <c r="F344" s="58" t="n"/>
      <c r="G344" s="56" t="n"/>
      <c r="H344" s="65" t="n"/>
    </row>
    <row r="345" ht="28.25" customHeight="1">
      <c r="A345" s="56">
        <f>IF(B345="","",IFERROR(INDEX('21 2026 ÜRETİM'!$A$2:$A$501,MATCH(B345,'21 2026 ÜRETİM'!$G$2:$G$501,0)),""))</f>
        <v/>
      </c>
      <c r="B345" s="58" t="n"/>
      <c r="C345" s="56" t="n"/>
      <c r="D345" s="58" t="n"/>
      <c r="E345" s="56" t="n"/>
      <c r="F345" s="58" t="n"/>
      <c r="G345" s="56" t="n"/>
      <c r="H345" s="65" t="n"/>
    </row>
    <row r="346" ht="28.25" customHeight="1">
      <c r="A346" s="56">
        <f>IF(B346="","",IFERROR(INDEX('21 2026 ÜRETİM'!$A$2:$A$501,MATCH(B346,'21 2026 ÜRETİM'!$G$2:$G$501,0)),""))</f>
        <v/>
      </c>
      <c r="B346" s="58" t="n"/>
      <c r="C346" s="56" t="n"/>
      <c r="D346" s="58" t="n"/>
      <c r="E346" s="56" t="n"/>
      <c r="F346" s="58" t="n"/>
      <c r="G346" s="56" t="n"/>
      <c r="H346" s="65" t="n"/>
    </row>
    <row r="347" ht="28.25" customHeight="1">
      <c r="A347" s="56">
        <f>IF(B347="","",IFERROR(INDEX('21 2026 ÜRETİM'!$A$2:$A$501,MATCH(B347,'21 2026 ÜRETİM'!$G$2:$G$501,0)),""))</f>
        <v/>
      </c>
      <c r="B347" s="58" t="n"/>
      <c r="C347" s="56" t="n"/>
      <c r="D347" s="58" t="n"/>
      <c r="E347" s="56" t="n"/>
      <c r="F347" s="58" t="n"/>
      <c r="G347" s="56" t="n"/>
      <c r="H347" s="65" t="n"/>
    </row>
    <row r="348" ht="28.25" customHeight="1">
      <c r="A348" s="56">
        <f>IF(B348="","",IFERROR(INDEX('21 2026 ÜRETİM'!$A$2:$A$501,MATCH(B348,'21 2026 ÜRETİM'!$G$2:$G$501,0)),""))</f>
        <v/>
      </c>
      <c r="B348" s="58" t="n"/>
      <c r="C348" s="56" t="n"/>
      <c r="D348" s="58" t="n"/>
      <c r="E348" s="56" t="n"/>
      <c r="F348" s="58" t="n"/>
      <c r="G348" s="56" t="n"/>
      <c r="H348" s="65" t="n"/>
    </row>
    <row r="349" ht="28.25" customHeight="1">
      <c r="A349" s="56">
        <f>IF(B349="","",IFERROR(INDEX('21 2026 ÜRETİM'!$A$2:$A$501,MATCH(B349,'21 2026 ÜRETİM'!$G$2:$G$501,0)),""))</f>
        <v/>
      </c>
      <c r="B349" s="58" t="n"/>
      <c r="C349" s="56" t="n"/>
      <c r="D349" s="58" t="n"/>
      <c r="E349" s="56" t="n"/>
      <c r="F349" s="58" t="n"/>
      <c r="G349" s="56" t="n"/>
      <c r="H349" s="65" t="n"/>
    </row>
    <row r="350" ht="28.25" customHeight="1">
      <c r="A350" s="56">
        <f>IF(B350="","",IFERROR(INDEX('21 2026 ÜRETİM'!$A$2:$A$501,MATCH(B350,'21 2026 ÜRETİM'!$G$2:$G$501,0)),""))</f>
        <v/>
      </c>
      <c r="B350" s="58" t="n"/>
      <c r="C350" s="56" t="n"/>
      <c r="D350" s="58" t="n"/>
      <c r="E350" s="56" t="n"/>
      <c r="F350" s="58" t="n"/>
      <c r="G350" s="56" t="n"/>
      <c r="H350" s="65" t="n"/>
    </row>
    <row r="351" ht="28.25" customHeight="1">
      <c r="A351" s="56">
        <f>IF(B351="","",IFERROR(INDEX('21 2026 ÜRETİM'!$A$2:$A$501,MATCH(B351,'21 2026 ÜRETİM'!$G$2:$G$501,0)),""))</f>
        <v/>
      </c>
      <c r="B351" s="58" t="n"/>
      <c r="C351" s="56" t="n"/>
      <c r="D351" s="58" t="n"/>
      <c r="E351" s="56" t="n"/>
      <c r="F351" s="58" t="n"/>
      <c r="G351" s="56" t="n"/>
      <c r="H351" s="65" t="n"/>
    </row>
    <row r="352" ht="28.25" customHeight="1">
      <c r="A352" s="56">
        <f>IF(B352="","",IFERROR(INDEX('21 2026 ÜRETİM'!$A$2:$A$501,MATCH(B352,'21 2026 ÜRETİM'!$G$2:$G$501,0)),""))</f>
        <v/>
      </c>
      <c r="B352" s="58" t="n"/>
      <c r="C352" s="56" t="n"/>
      <c r="D352" s="58" t="n"/>
      <c r="E352" s="56" t="n"/>
      <c r="F352" s="58" t="n"/>
      <c r="G352" s="56" t="n"/>
      <c r="H352" s="65" t="n"/>
    </row>
    <row r="353" ht="28.25" customHeight="1">
      <c r="A353" s="56">
        <f>IF(B353="","",IFERROR(INDEX('21 2026 ÜRETİM'!$A$2:$A$501,MATCH(B353,'21 2026 ÜRETİM'!$G$2:$G$501,0)),""))</f>
        <v/>
      </c>
      <c r="B353" s="58" t="n"/>
      <c r="C353" s="56" t="n"/>
      <c r="D353" s="58" t="n"/>
      <c r="E353" s="56" t="n"/>
      <c r="F353" s="58" t="n"/>
      <c r="G353" s="56" t="n"/>
      <c r="H353" s="65" t="n"/>
    </row>
    <row r="354" ht="28.25" customHeight="1">
      <c r="A354" s="56">
        <f>IF(B354="","",IFERROR(INDEX('21 2026 ÜRETİM'!$A$2:$A$501,MATCH(B354,'21 2026 ÜRETİM'!$G$2:$G$501,0)),""))</f>
        <v/>
      </c>
      <c r="B354" s="58" t="n"/>
      <c r="C354" s="56" t="n"/>
      <c r="D354" s="58" t="n"/>
      <c r="E354" s="56" t="n"/>
      <c r="F354" s="58" t="n"/>
      <c r="G354" s="56" t="n"/>
      <c r="H354" s="65" t="n"/>
    </row>
    <row r="355" ht="28.25" customHeight="1">
      <c r="A355" s="56">
        <f>IF(B355="","",IFERROR(INDEX('21 2026 ÜRETİM'!$A$2:$A$501,MATCH(B355,'21 2026 ÜRETİM'!$G$2:$G$501,0)),""))</f>
        <v/>
      </c>
      <c r="B355" s="58" t="n"/>
      <c r="C355" s="56" t="n"/>
      <c r="D355" s="58" t="n"/>
      <c r="E355" s="56" t="n"/>
      <c r="F355" s="58" t="n"/>
      <c r="G355" s="56" t="n"/>
      <c r="H355" s="65" t="n"/>
    </row>
    <row r="356" ht="28.25" customHeight="1">
      <c r="A356" s="56">
        <f>IF(B356="","",IFERROR(INDEX('21 2026 ÜRETİM'!$A$2:$A$501,MATCH(B356,'21 2026 ÜRETİM'!$G$2:$G$501,0)),""))</f>
        <v/>
      </c>
      <c r="B356" s="58" t="n"/>
      <c r="C356" s="56" t="n"/>
      <c r="D356" s="58" t="n"/>
      <c r="E356" s="56" t="n"/>
      <c r="F356" s="58" t="n"/>
      <c r="G356" s="56" t="n"/>
      <c r="H356" s="65" t="n"/>
    </row>
    <row r="357" ht="28.25" customHeight="1">
      <c r="A357" s="56">
        <f>IF(B357="","",IFERROR(INDEX('21 2026 ÜRETİM'!$A$2:$A$501,MATCH(B357,'21 2026 ÜRETİM'!$G$2:$G$501,0)),""))</f>
        <v/>
      </c>
      <c r="B357" s="58" t="n"/>
      <c r="C357" s="56" t="n"/>
      <c r="D357" s="58" t="n"/>
      <c r="E357" s="56" t="n"/>
      <c r="F357" s="58" t="n"/>
      <c r="G357" s="56" t="n"/>
      <c r="H357" s="65" t="n"/>
    </row>
    <row r="358" ht="28.25" customHeight="1">
      <c r="A358" s="56">
        <f>IF(B358="","",IFERROR(INDEX('21 2026 ÜRETİM'!$A$2:$A$501,MATCH(B358,'21 2026 ÜRETİM'!$G$2:$G$501,0)),""))</f>
        <v/>
      </c>
      <c r="B358" s="58" t="n"/>
      <c r="C358" s="56" t="n"/>
      <c r="D358" s="58" t="n"/>
      <c r="E358" s="56" t="n"/>
      <c r="F358" s="58" t="n"/>
      <c r="G358" s="56" t="n"/>
      <c r="H358" s="65" t="n"/>
    </row>
    <row r="359" ht="28.25" customHeight="1">
      <c r="A359" s="56">
        <f>IF(B359="","",IFERROR(INDEX('21 2026 ÜRETİM'!$A$2:$A$501,MATCH(B359,'21 2026 ÜRETİM'!$G$2:$G$501,0)),""))</f>
        <v/>
      </c>
      <c r="B359" s="58" t="n"/>
      <c r="C359" s="56" t="n"/>
      <c r="D359" s="58" t="n"/>
      <c r="E359" s="56" t="n"/>
      <c r="F359" s="58" t="n"/>
      <c r="G359" s="56" t="n"/>
      <c r="H359" s="65" t="n"/>
    </row>
    <row r="360" ht="28.25" customHeight="1">
      <c r="A360" s="56">
        <f>IF(B360="","",IFERROR(INDEX('21 2026 ÜRETİM'!$A$2:$A$501,MATCH(B360,'21 2026 ÜRETİM'!$G$2:$G$501,0)),""))</f>
        <v/>
      </c>
      <c r="B360" s="58" t="n"/>
      <c r="C360" s="56" t="n"/>
      <c r="D360" s="58" t="n"/>
      <c r="E360" s="56" t="n"/>
      <c r="F360" s="58" t="n"/>
      <c r="G360" s="56" t="n"/>
      <c r="H360" s="65" t="n"/>
    </row>
    <row r="361" ht="28.25" customHeight="1">
      <c r="A361" s="56">
        <f>IF(B361="","",IFERROR(INDEX('21 2026 ÜRETİM'!$A$2:$A$501,MATCH(B361,'21 2026 ÜRETİM'!$G$2:$G$501,0)),""))</f>
        <v/>
      </c>
      <c r="B361" s="58" t="n"/>
      <c r="C361" s="56" t="n"/>
      <c r="D361" s="58" t="n"/>
      <c r="E361" s="56" t="n"/>
      <c r="F361" s="58" t="n"/>
      <c r="G361" s="56" t="n"/>
      <c r="H361" s="65" t="n"/>
    </row>
    <row r="362" ht="28.25" customHeight="1">
      <c r="A362" s="56">
        <f>IF(B362="","",IFERROR(INDEX('21 2026 ÜRETİM'!$A$2:$A$501,MATCH(B362,'21 2026 ÜRETİM'!$G$2:$G$501,0)),""))</f>
        <v/>
      </c>
      <c r="B362" s="58" t="n"/>
      <c r="C362" s="56" t="n"/>
      <c r="D362" s="58" t="n"/>
      <c r="E362" s="56" t="n"/>
      <c r="F362" s="58" t="n"/>
      <c r="G362" s="56" t="n"/>
      <c r="H362" s="65" t="n"/>
    </row>
    <row r="363" ht="28.25" customHeight="1">
      <c r="A363" s="56">
        <f>IF(B363="","",IFERROR(INDEX('21 2026 ÜRETİM'!$A$2:$A$501,MATCH(B363,'21 2026 ÜRETİM'!$G$2:$G$501,0)),""))</f>
        <v/>
      </c>
      <c r="B363" s="58" t="n"/>
      <c r="C363" s="56" t="n"/>
      <c r="D363" s="58" t="n"/>
      <c r="E363" s="56" t="n"/>
      <c r="F363" s="58" t="n"/>
      <c r="G363" s="56" t="n"/>
      <c r="H363" s="65" t="n"/>
    </row>
    <row r="364" ht="28.25" customHeight="1">
      <c r="A364" s="56">
        <f>IF(B364="","",IFERROR(INDEX('21 2026 ÜRETİM'!$A$2:$A$501,MATCH(B364,'21 2026 ÜRETİM'!$G$2:$G$501,0)),""))</f>
        <v/>
      </c>
      <c r="B364" s="58" t="n"/>
      <c r="C364" s="56" t="n"/>
      <c r="D364" s="58" t="n"/>
      <c r="E364" s="56" t="n"/>
      <c r="F364" s="58" t="n"/>
      <c r="G364" s="56" t="n"/>
      <c r="H364" s="65" t="n"/>
    </row>
    <row r="365" ht="28.25" customHeight="1">
      <c r="A365" s="56">
        <f>IF(B365="","",IFERROR(INDEX('21 2026 ÜRETİM'!$A$2:$A$501,MATCH(B365,'21 2026 ÜRETİM'!$G$2:$G$501,0)),""))</f>
        <v/>
      </c>
      <c r="B365" s="58" t="n"/>
      <c r="C365" s="56" t="n"/>
      <c r="D365" s="58" t="n"/>
      <c r="E365" s="56" t="n"/>
      <c r="F365" s="58" t="n"/>
      <c r="G365" s="56" t="n"/>
      <c r="H365" s="65" t="n"/>
    </row>
    <row r="366" ht="28.25" customHeight="1">
      <c r="A366" s="56">
        <f>IF(B366="","",IFERROR(INDEX('21 2026 ÜRETİM'!$A$2:$A$501,MATCH(B366,'21 2026 ÜRETİM'!$G$2:$G$501,0)),""))</f>
        <v/>
      </c>
      <c r="B366" s="58" t="n"/>
      <c r="C366" s="56" t="n"/>
      <c r="D366" s="58" t="n"/>
      <c r="E366" s="56" t="n"/>
      <c r="F366" s="58" t="n"/>
      <c r="G366" s="56" t="n"/>
      <c r="H366" s="65" t="n"/>
    </row>
    <row r="367" ht="28.25" customHeight="1">
      <c r="A367" s="56">
        <f>IF(B367="","",IFERROR(INDEX('21 2026 ÜRETİM'!$A$2:$A$501,MATCH(B367,'21 2026 ÜRETİM'!$G$2:$G$501,0)),""))</f>
        <v/>
      </c>
      <c r="B367" s="58" t="n"/>
      <c r="C367" s="56" t="n"/>
      <c r="D367" s="58" t="n"/>
      <c r="E367" s="56" t="n"/>
      <c r="F367" s="58" t="n"/>
      <c r="G367" s="56" t="n"/>
      <c r="H367" s="65" t="n"/>
    </row>
    <row r="368" ht="28.25" customHeight="1">
      <c r="A368" s="56">
        <f>IF(B368="","",IFERROR(INDEX('21 2026 ÜRETİM'!$A$2:$A$501,MATCH(B368,'21 2026 ÜRETİM'!$G$2:$G$501,0)),""))</f>
        <v/>
      </c>
      <c r="B368" s="58" t="n"/>
      <c r="C368" s="56" t="n"/>
      <c r="D368" s="58" t="n"/>
      <c r="E368" s="56" t="n"/>
      <c r="F368" s="58" t="n"/>
      <c r="G368" s="56" t="n"/>
      <c r="H368" s="65" t="n"/>
    </row>
    <row r="369" ht="28.25" customHeight="1">
      <c r="A369" s="56">
        <f>IF(B369="","",IFERROR(INDEX('21 2026 ÜRETİM'!$A$2:$A$501,MATCH(B369,'21 2026 ÜRETİM'!$G$2:$G$501,0)),""))</f>
        <v/>
      </c>
      <c r="B369" s="58" t="n"/>
      <c r="C369" s="56" t="n"/>
      <c r="D369" s="58" t="n"/>
      <c r="E369" s="56" t="n"/>
      <c r="F369" s="58" t="n"/>
      <c r="G369" s="56" t="n"/>
      <c r="H369" s="65" t="n"/>
    </row>
    <row r="370" ht="28.25" customHeight="1">
      <c r="A370" s="56">
        <f>IF(B370="","",IFERROR(INDEX('21 2026 ÜRETİM'!$A$2:$A$501,MATCH(B370,'21 2026 ÜRETİM'!$G$2:$G$501,0)),""))</f>
        <v/>
      </c>
      <c r="B370" s="58" t="n"/>
      <c r="C370" s="56" t="n"/>
      <c r="D370" s="58" t="n"/>
      <c r="E370" s="56" t="n"/>
      <c r="F370" s="58" t="n"/>
      <c r="G370" s="56" t="n"/>
      <c r="H370" s="65" t="n"/>
    </row>
    <row r="371" ht="28.25" customHeight="1">
      <c r="A371" s="56">
        <f>IF(B371="","",IFERROR(INDEX('21 2026 ÜRETİM'!$A$2:$A$501,MATCH(B371,'21 2026 ÜRETİM'!$G$2:$G$501,0)),""))</f>
        <v/>
      </c>
      <c r="B371" s="58" t="n"/>
      <c r="C371" s="56" t="n"/>
      <c r="D371" s="58" t="n"/>
      <c r="E371" s="56" t="n"/>
      <c r="F371" s="58" t="n"/>
      <c r="G371" s="56" t="n"/>
      <c r="H371" s="65" t="n"/>
    </row>
    <row r="372" ht="28.25" customHeight="1">
      <c r="A372" s="56">
        <f>IF(B372="","",IFERROR(INDEX('21 2026 ÜRETİM'!$A$2:$A$501,MATCH(B372,'21 2026 ÜRETİM'!$G$2:$G$501,0)),""))</f>
        <v/>
      </c>
      <c r="B372" s="58" t="n"/>
      <c r="C372" s="56" t="n"/>
      <c r="D372" s="58" t="n"/>
      <c r="E372" s="56" t="n"/>
      <c r="F372" s="58" t="n"/>
      <c r="G372" s="56" t="n"/>
      <c r="H372" s="65" t="n"/>
    </row>
    <row r="373" ht="28.25" customHeight="1">
      <c r="A373" s="56">
        <f>IF(B373="","",IFERROR(INDEX('21 2026 ÜRETİM'!$A$2:$A$501,MATCH(B373,'21 2026 ÜRETİM'!$G$2:$G$501,0)),""))</f>
        <v/>
      </c>
      <c r="B373" s="58" t="n"/>
      <c r="C373" s="56" t="n"/>
      <c r="D373" s="58" t="n"/>
      <c r="E373" s="56" t="n"/>
      <c r="F373" s="58" t="n"/>
      <c r="G373" s="56" t="n"/>
      <c r="H373" s="65" t="n"/>
    </row>
    <row r="374" ht="28.25" customHeight="1">
      <c r="A374" s="56">
        <f>IF(B374="","",IFERROR(INDEX('21 2026 ÜRETİM'!$A$2:$A$501,MATCH(B374,'21 2026 ÜRETİM'!$G$2:$G$501,0)),""))</f>
        <v/>
      </c>
      <c r="B374" s="58" t="n"/>
      <c r="C374" s="56" t="n"/>
      <c r="D374" s="58" t="n"/>
      <c r="E374" s="56" t="n"/>
      <c r="F374" s="58" t="n"/>
      <c r="G374" s="56" t="n"/>
      <c r="H374" s="65" t="n"/>
    </row>
    <row r="375" ht="28.25" customHeight="1">
      <c r="A375" s="56">
        <f>IF(B375="","",IFERROR(INDEX('21 2026 ÜRETİM'!$A$2:$A$501,MATCH(B375,'21 2026 ÜRETİM'!$G$2:$G$501,0)),""))</f>
        <v/>
      </c>
      <c r="B375" s="58" t="n"/>
      <c r="C375" s="56" t="n"/>
      <c r="D375" s="58" t="n"/>
      <c r="E375" s="56" t="n"/>
      <c r="F375" s="58" t="n"/>
      <c r="G375" s="56" t="n"/>
      <c r="H375" s="65" t="n"/>
    </row>
    <row r="376" ht="28.25" customHeight="1">
      <c r="A376" s="56">
        <f>IF(B376="","",IFERROR(INDEX('21 2026 ÜRETİM'!$A$2:$A$501,MATCH(B376,'21 2026 ÜRETİM'!$G$2:$G$501,0)),""))</f>
        <v/>
      </c>
      <c r="B376" s="58" t="n"/>
      <c r="C376" s="56" t="n"/>
      <c r="D376" s="58" t="n"/>
      <c r="E376" s="56" t="n"/>
      <c r="F376" s="58" t="n"/>
      <c r="G376" s="56" t="n"/>
      <c r="H376" s="65" t="n"/>
    </row>
    <row r="377" ht="28.25" customHeight="1">
      <c r="A377" s="56">
        <f>IF(B377="","",IFERROR(INDEX('21 2026 ÜRETİM'!$A$2:$A$501,MATCH(B377,'21 2026 ÜRETİM'!$G$2:$G$501,0)),""))</f>
        <v/>
      </c>
      <c r="B377" s="58" t="n"/>
      <c r="C377" s="56" t="n"/>
      <c r="D377" s="58" t="n"/>
      <c r="E377" s="56" t="n"/>
      <c r="F377" s="58" t="n"/>
      <c r="G377" s="56" t="n"/>
      <c r="H377" s="65" t="n"/>
    </row>
    <row r="378" ht="28.25" customHeight="1">
      <c r="A378" s="56">
        <f>IF(B378="","",IFERROR(INDEX('21 2026 ÜRETİM'!$A$2:$A$501,MATCH(B378,'21 2026 ÜRETİM'!$G$2:$G$501,0)),""))</f>
        <v/>
      </c>
      <c r="B378" s="58" t="n"/>
      <c r="C378" s="56" t="n"/>
      <c r="D378" s="58" t="n"/>
      <c r="E378" s="56" t="n"/>
      <c r="F378" s="58" t="n"/>
      <c r="G378" s="56" t="n"/>
      <c r="H378" s="65" t="n"/>
    </row>
    <row r="379" ht="28.25" customHeight="1">
      <c r="A379" s="56">
        <f>IF(B379="","",IFERROR(INDEX('21 2026 ÜRETİM'!$A$2:$A$501,MATCH(B379,'21 2026 ÜRETİM'!$G$2:$G$501,0)),""))</f>
        <v/>
      </c>
      <c r="B379" s="58" t="n"/>
      <c r="C379" s="56" t="n"/>
      <c r="D379" s="58" t="n"/>
      <c r="E379" s="56" t="n"/>
      <c r="F379" s="58" t="n"/>
      <c r="G379" s="56" t="n"/>
      <c r="H379" s="65" t="n"/>
    </row>
    <row r="380" ht="28.25" customHeight="1">
      <c r="A380" s="56">
        <f>IF(B380="","",IFERROR(INDEX('21 2026 ÜRETİM'!$A$2:$A$501,MATCH(B380,'21 2026 ÜRETİM'!$G$2:$G$501,0)),""))</f>
        <v/>
      </c>
      <c r="B380" s="58" t="n"/>
      <c r="C380" s="56" t="n"/>
      <c r="D380" s="58" t="n"/>
      <c r="E380" s="56" t="n"/>
      <c r="F380" s="58" t="n"/>
      <c r="G380" s="56" t="n"/>
      <c r="H380" s="65" t="n"/>
    </row>
    <row r="381" ht="28.25" customHeight="1">
      <c r="A381" s="56">
        <f>IF(B381="","",IFERROR(INDEX('21 2026 ÜRETİM'!$A$2:$A$501,MATCH(B381,'21 2026 ÜRETİM'!$G$2:$G$501,0)),""))</f>
        <v/>
      </c>
      <c r="B381" s="58" t="n"/>
      <c r="C381" s="56" t="n"/>
      <c r="D381" s="58" t="n"/>
      <c r="E381" s="56" t="n"/>
      <c r="F381" s="58" t="n"/>
      <c r="G381" s="56" t="n"/>
      <c r="H381" s="65" t="n"/>
    </row>
    <row r="382" ht="28.25" customHeight="1">
      <c r="A382" s="56">
        <f>IF(B382="","",IFERROR(INDEX('21 2026 ÜRETİM'!$A$2:$A$501,MATCH(B382,'21 2026 ÜRETİM'!$G$2:$G$501,0)),""))</f>
        <v/>
      </c>
      <c r="B382" s="58" t="n"/>
      <c r="C382" s="56" t="n"/>
      <c r="D382" s="58" t="n"/>
      <c r="E382" s="56" t="n"/>
      <c r="F382" s="58" t="n"/>
      <c r="G382" s="56" t="n"/>
      <c r="H382" s="65" t="n"/>
    </row>
    <row r="383" ht="28.25" customHeight="1">
      <c r="A383" s="56">
        <f>IF(B383="","",IFERROR(INDEX('21 2026 ÜRETİM'!$A$2:$A$501,MATCH(B383,'21 2026 ÜRETİM'!$G$2:$G$501,0)),""))</f>
        <v/>
      </c>
      <c r="B383" s="58" t="n"/>
      <c r="C383" s="56" t="n"/>
      <c r="D383" s="58" t="n"/>
      <c r="E383" s="56" t="n"/>
      <c r="F383" s="58" t="n"/>
      <c r="G383" s="56" t="n"/>
      <c r="H383" s="65" t="n"/>
    </row>
    <row r="384" ht="28.25" customHeight="1">
      <c r="A384" s="56">
        <f>IF(B384="","",IFERROR(INDEX('21 2026 ÜRETİM'!$A$2:$A$501,MATCH(B384,'21 2026 ÜRETİM'!$G$2:$G$501,0)),""))</f>
        <v/>
      </c>
      <c r="B384" s="58" t="n"/>
      <c r="C384" s="56" t="n"/>
      <c r="D384" s="58" t="n"/>
      <c r="E384" s="56" t="n"/>
      <c r="F384" s="58" t="n"/>
      <c r="G384" s="56" t="n"/>
      <c r="H384" s="65" t="n"/>
    </row>
    <row r="385" ht="28.25" customHeight="1">
      <c r="A385" s="56">
        <f>IF(B385="","",IFERROR(INDEX('21 2026 ÜRETİM'!$A$2:$A$501,MATCH(B385,'21 2026 ÜRETİM'!$G$2:$G$501,0)),""))</f>
        <v/>
      </c>
      <c r="B385" s="58" t="n"/>
      <c r="C385" s="56" t="n"/>
      <c r="D385" s="58" t="n"/>
      <c r="E385" s="56" t="n"/>
      <c r="F385" s="58" t="n"/>
      <c r="G385" s="56" t="n"/>
      <c r="H385" s="65" t="n"/>
    </row>
    <row r="386" ht="28.25" customHeight="1">
      <c r="A386" s="56">
        <f>IF(B386="","",IFERROR(INDEX('21 2026 ÜRETİM'!$A$2:$A$501,MATCH(B386,'21 2026 ÜRETİM'!$G$2:$G$501,0)),""))</f>
        <v/>
      </c>
      <c r="B386" s="58" t="n"/>
      <c r="C386" s="56" t="n"/>
      <c r="D386" s="58" t="n"/>
      <c r="E386" s="56" t="n"/>
      <c r="F386" s="58" t="n"/>
      <c r="G386" s="56" t="n"/>
      <c r="H386" s="65" t="n"/>
    </row>
    <row r="387" ht="28.25" customHeight="1">
      <c r="A387" s="56">
        <f>IF(B387="","",IFERROR(INDEX('21 2026 ÜRETİM'!$A$2:$A$501,MATCH(B387,'21 2026 ÜRETİM'!$G$2:$G$501,0)),""))</f>
        <v/>
      </c>
      <c r="B387" s="58" t="n"/>
      <c r="C387" s="56" t="n"/>
      <c r="D387" s="58" t="n"/>
      <c r="E387" s="56" t="n"/>
      <c r="F387" s="58" t="n"/>
      <c r="G387" s="56" t="n"/>
      <c r="H387" s="65" t="n"/>
    </row>
    <row r="388" ht="28.25" customHeight="1">
      <c r="A388" s="56">
        <f>IF(B388="","",IFERROR(INDEX('21 2026 ÜRETİM'!$A$2:$A$501,MATCH(B388,'21 2026 ÜRETİM'!$G$2:$G$501,0)),""))</f>
        <v/>
      </c>
      <c r="B388" s="58" t="n"/>
      <c r="C388" s="56" t="n"/>
      <c r="D388" s="58" t="n"/>
      <c r="E388" s="56" t="n"/>
      <c r="F388" s="58" t="n"/>
      <c r="G388" s="56" t="n"/>
      <c r="H388" s="65" t="n"/>
    </row>
    <row r="389" ht="28.25" customHeight="1">
      <c r="A389" s="56">
        <f>IF(B389="","",IFERROR(INDEX('21 2026 ÜRETİM'!$A$2:$A$501,MATCH(B389,'21 2026 ÜRETİM'!$G$2:$G$501,0)),""))</f>
        <v/>
      </c>
      <c r="B389" s="58" t="n"/>
      <c r="C389" s="56" t="n"/>
      <c r="D389" s="58" t="n"/>
      <c r="E389" s="56" t="n"/>
      <c r="F389" s="58" t="n"/>
      <c r="G389" s="56" t="n"/>
      <c r="H389" s="65" t="n"/>
    </row>
    <row r="390" ht="28.25" customHeight="1">
      <c r="A390" s="56">
        <f>IF(B390="","",IFERROR(INDEX('21 2026 ÜRETİM'!$A$2:$A$501,MATCH(B390,'21 2026 ÜRETİM'!$G$2:$G$501,0)),""))</f>
        <v/>
      </c>
      <c r="B390" s="58" t="n"/>
      <c r="C390" s="56" t="n"/>
      <c r="D390" s="58" t="n"/>
      <c r="E390" s="56" t="n"/>
      <c r="F390" s="58" t="n"/>
      <c r="G390" s="56" t="n"/>
      <c r="H390" s="65" t="n"/>
    </row>
    <row r="391" ht="28.25" customHeight="1">
      <c r="A391" s="56">
        <f>IF(B391="","",IFERROR(INDEX('21 2026 ÜRETİM'!$A$2:$A$501,MATCH(B391,'21 2026 ÜRETİM'!$G$2:$G$501,0)),""))</f>
        <v/>
      </c>
      <c r="B391" s="58" t="n"/>
      <c r="C391" s="56" t="n"/>
      <c r="D391" s="58" t="n"/>
      <c r="E391" s="56" t="n"/>
      <c r="F391" s="58" t="n"/>
      <c r="G391" s="56" t="n"/>
      <c r="H391" s="65" t="n"/>
    </row>
    <row r="392" ht="28.25" customHeight="1">
      <c r="A392" s="56">
        <f>IF(B392="","",IFERROR(INDEX('21 2026 ÜRETİM'!$A$2:$A$501,MATCH(B392,'21 2026 ÜRETİM'!$G$2:$G$501,0)),""))</f>
        <v/>
      </c>
      <c r="B392" s="58" t="n"/>
      <c r="C392" s="56" t="n"/>
      <c r="D392" s="58" t="n"/>
      <c r="E392" s="56" t="n"/>
      <c r="F392" s="58" t="n"/>
      <c r="G392" s="56" t="n"/>
      <c r="H392" s="65" t="n"/>
    </row>
    <row r="393" ht="28.25" customHeight="1">
      <c r="A393" s="56">
        <f>IF(B393="","",IFERROR(INDEX('21 2026 ÜRETİM'!$A$2:$A$501,MATCH(B393,'21 2026 ÜRETİM'!$G$2:$G$501,0)),""))</f>
        <v/>
      </c>
      <c r="B393" s="58" t="n"/>
      <c r="C393" s="56" t="n"/>
      <c r="D393" s="58" t="n"/>
      <c r="E393" s="56" t="n"/>
      <c r="F393" s="58" t="n"/>
      <c r="G393" s="56" t="n"/>
      <c r="H393" s="65" t="n"/>
    </row>
    <row r="394" ht="28.25" customHeight="1">
      <c r="A394" s="56">
        <f>IF(B394="","",IFERROR(INDEX('21 2026 ÜRETİM'!$A$2:$A$501,MATCH(B394,'21 2026 ÜRETİM'!$G$2:$G$501,0)),""))</f>
        <v/>
      </c>
      <c r="B394" s="58" t="n"/>
      <c r="C394" s="56" t="n"/>
      <c r="D394" s="58" t="n"/>
      <c r="E394" s="56" t="n"/>
      <c r="F394" s="58" t="n"/>
      <c r="G394" s="56" t="n"/>
      <c r="H394" s="65" t="n"/>
    </row>
    <row r="395" ht="28.25" customHeight="1">
      <c r="A395" s="56">
        <f>IF(B395="","",IFERROR(INDEX('21 2026 ÜRETİM'!$A$2:$A$501,MATCH(B395,'21 2026 ÜRETİM'!$G$2:$G$501,0)),""))</f>
        <v/>
      </c>
      <c r="B395" s="58" t="n"/>
      <c r="C395" s="56" t="n"/>
      <c r="D395" s="58" t="n"/>
      <c r="E395" s="56" t="n"/>
      <c r="F395" s="58" t="n"/>
      <c r="G395" s="56" t="n"/>
      <c r="H395" s="65" t="n"/>
    </row>
    <row r="396" ht="28.25" customHeight="1">
      <c r="A396" s="56">
        <f>IF(B396="","",IFERROR(INDEX('21 2026 ÜRETİM'!$A$2:$A$501,MATCH(B396,'21 2026 ÜRETİM'!$G$2:$G$501,0)),""))</f>
        <v/>
      </c>
      <c r="B396" s="58" t="n"/>
      <c r="C396" s="56" t="n"/>
      <c r="D396" s="58" t="n"/>
      <c r="E396" s="56" t="n"/>
      <c r="F396" s="58" t="n"/>
      <c r="G396" s="56" t="n"/>
      <c r="H396" s="65" t="n"/>
    </row>
    <row r="397" ht="28.25" customHeight="1">
      <c r="A397" s="56">
        <f>IF(B397="","",IFERROR(INDEX('21 2026 ÜRETİM'!$A$2:$A$501,MATCH(B397,'21 2026 ÜRETİM'!$G$2:$G$501,0)),""))</f>
        <v/>
      </c>
      <c r="B397" s="58" t="n"/>
      <c r="C397" s="56" t="n"/>
      <c r="D397" s="58" t="n"/>
      <c r="E397" s="56" t="n"/>
      <c r="F397" s="58" t="n"/>
      <c r="G397" s="56" t="n"/>
      <c r="H397" s="65" t="n"/>
    </row>
    <row r="398" ht="28.25" customHeight="1">
      <c r="A398" s="56">
        <f>IF(B398="","",IFERROR(INDEX('21 2026 ÜRETİM'!$A$2:$A$501,MATCH(B398,'21 2026 ÜRETİM'!$G$2:$G$501,0)),""))</f>
        <v/>
      </c>
      <c r="B398" s="58" t="n"/>
      <c r="C398" s="56" t="n"/>
      <c r="D398" s="58" t="n"/>
      <c r="E398" s="56" t="n"/>
      <c r="F398" s="58" t="n"/>
      <c r="G398" s="56" t="n"/>
      <c r="H398" s="65" t="n"/>
    </row>
    <row r="399" ht="28.25" customHeight="1">
      <c r="A399" s="56">
        <f>IF(B399="","",IFERROR(INDEX('21 2026 ÜRETİM'!$A$2:$A$501,MATCH(B399,'21 2026 ÜRETİM'!$G$2:$G$501,0)),""))</f>
        <v/>
      </c>
      <c r="B399" s="58" t="n"/>
      <c r="C399" s="56" t="n"/>
      <c r="D399" s="58" t="n"/>
      <c r="E399" s="56" t="n"/>
      <c r="F399" s="58" t="n"/>
      <c r="G399" s="56" t="n"/>
      <c r="H399" s="65" t="n"/>
    </row>
    <row r="400" ht="28.25" customHeight="1">
      <c r="A400" s="56">
        <f>IF(B400="","",IFERROR(INDEX('21 2026 ÜRETİM'!$A$2:$A$501,MATCH(B400,'21 2026 ÜRETİM'!$G$2:$G$501,0)),""))</f>
        <v/>
      </c>
      <c r="B400" s="58" t="n"/>
      <c r="C400" s="56" t="n"/>
      <c r="D400" s="58" t="n"/>
      <c r="E400" s="56" t="n"/>
      <c r="F400" s="58" t="n"/>
      <c r="G400" s="56" t="n"/>
      <c r="H400" s="65" t="n"/>
    </row>
    <row r="401" ht="28.25" customHeight="1">
      <c r="A401" s="56">
        <f>IF(B401="","",IFERROR(INDEX('21 2026 ÜRETİM'!$A$2:$A$501,MATCH(B401,'21 2026 ÜRETİM'!$G$2:$G$501,0)),""))</f>
        <v/>
      </c>
      <c r="B401" s="58" t="n"/>
      <c r="C401" s="56" t="n"/>
      <c r="D401" s="58" t="n"/>
      <c r="E401" s="56" t="n"/>
      <c r="F401" s="58" t="n"/>
      <c r="G401" s="56" t="n"/>
      <c r="H401" s="65" t="n"/>
    </row>
    <row r="402" ht="28.25" customHeight="1">
      <c r="A402" s="56">
        <f>IF(B402="","",IFERROR(INDEX('21 2026 ÜRETİM'!$A$2:$A$501,MATCH(B402,'21 2026 ÜRETİM'!$G$2:$G$501,0)),""))</f>
        <v/>
      </c>
      <c r="B402" s="58" t="n"/>
      <c r="C402" s="56" t="n"/>
      <c r="D402" s="58" t="n"/>
      <c r="E402" s="56" t="n"/>
      <c r="F402" s="58" t="n"/>
      <c r="G402" s="56" t="n"/>
      <c r="H402" s="65" t="n"/>
    </row>
    <row r="403" ht="28.25" customHeight="1">
      <c r="A403" s="56">
        <f>IF(B403="","",IFERROR(INDEX('21 2026 ÜRETİM'!$A$2:$A$501,MATCH(B403,'21 2026 ÜRETİM'!$G$2:$G$501,0)),""))</f>
        <v/>
      </c>
      <c r="B403" s="58" t="n"/>
      <c r="C403" s="56" t="n"/>
      <c r="D403" s="58" t="n"/>
      <c r="E403" s="56" t="n"/>
      <c r="F403" s="58" t="n"/>
      <c r="G403" s="56" t="n"/>
      <c r="H403" s="65" t="n"/>
    </row>
    <row r="404" ht="28.25" customHeight="1">
      <c r="A404" s="56">
        <f>IF(B404="","",IFERROR(INDEX('21 2026 ÜRETİM'!$A$2:$A$501,MATCH(B404,'21 2026 ÜRETİM'!$G$2:$G$501,0)),""))</f>
        <v/>
      </c>
      <c r="B404" s="58" t="n"/>
      <c r="C404" s="56" t="n"/>
      <c r="D404" s="58" t="n"/>
      <c r="E404" s="56" t="n"/>
      <c r="F404" s="58" t="n"/>
      <c r="G404" s="56" t="n"/>
      <c r="H404" s="65" t="n"/>
    </row>
    <row r="405" ht="28.25" customHeight="1">
      <c r="A405" s="56">
        <f>IF(B405="","",IFERROR(INDEX('21 2026 ÜRETİM'!$A$2:$A$501,MATCH(B405,'21 2026 ÜRETİM'!$G$2:$G$501,0)),""))</f>
        <v/>
      </c>
      <c r="B405" s="58" t="n"/>
      <c r="C405" s="56" t="n"/>
      <c r="D405" s="58" t="n"/>
      <c r="E405" s="56" t="n"/>
      <c r="F405" s="58" t="n"/>
      <c r="G405" s="56" t="n"/>
      <c r="H405" s="65" t="n"/>
    </row>
    <row r="406" ht="28.25" customHeight="1">
      <c r="A406" s="56">
        <f>IF(B406="","",IFERROR(INDEX('21 2026 ÜRETİM'!$A$2:$A$501,MATCH(B406,'21 2026 ÜRETİM'!$G$2:$G$501,0)),""))</f>
        <v/>
      </c>
      <c r="B406" s="58" t="n"/>
      <c r="C406" s="56" t="n"/>
      <c r="D406" s="58" t="n"/>
      <c r="E406" s="56" t="n"/>
      <c r="F406" s="58" t="n"/>
      <c r="G406" s="56" t="n"/>
      <c r="H406" s="65" t="n"/>
    </row>
    <row r="407" ht="28.25" customHeight="1">
      <c r="A407" s="56">
        <f>IF(B407="","",IFERROR(INDEX('21 2026 ÜRETİM'!$A$2:$A$501,MATCH(B407,'21 2026 ÜRETİM'!$G$2:$G$501,0)),""))</f>
        <v/>
      </c>
      <c r="B407" s="58" t="n"/>
      <c r="C407" s="56" t="n"/>
      <c r="D407" s="58" t="n"/>
      <c r="E407" s="56" t="n"/>
      <c r="F407" s="58" t="n"/>
      <c r="G407" s="56" t="n"/>
      <c r="H407" s="65" t="n"/>
    </row>
    <row r="408" ht="28.25" customHeight="1">
      <c r="A408" s="56">
        <f>IF(B408="","",IFERROR(INDEX('21 2026 ÜRETİM'!$A$2:$A$501,MATCH(B408,'21 2026 ÜRETİM'!$G$2:$G$501,0)),""))</f>
        <v/>
      </c>
      <c r="B408" s="58" t="n"/>
      <c r="C408" s="56" t="n"/>
      <c r="D408" s="58" t="n"/>
      <c r="E408" s="56" t="n"/>
      <c r="F408" s="58" t="n"/>
      <c r="G408" s="56" t="n"/>
      <c r="H408" s="65" t="n"/>
    </row>
    <row r="409" ht="28.25" customHeight="1">
      <c r="A409" s="56">
        <f>IF(B409="","",IFERROR(INDEX('21 2026 ÜRETİM'!$A$2:$A$501,MATCH(B409,'21 2026 ÜRETİM'!$G$2:$G$501,0)),""))</f>
        <v/>
      </c>
      <c r="B409" s="58" t="n"/>
      <c r="C409" s="56" t="n"/>
      <c r="D409" s="58" t="n"/>
      <c r="E409" s="56" t="n"/>
      <c r="F409" s="58" t="n"/>
      <c r="G409" s="56" t="n"/>
      <c r="H409" s="65" t="n"/>
    </row>
    <row r="410" ht="28.25" customHeight="1">
      <c r="A410" s="56">
        <f>IF(B410="","",IFERROR(INDEX('21 2026 ÜRETİM'!$A$2:$A$501,MATCH(B410,'21 2026 ÜRETİM'!$G$2:$G$501,0)),""))</f>
        <v/>
      </c>
      <c r="B410" s="58" t="n"/>
      <c r="C410" s="56" t="n"/>
      <c r="D410" s="58" t="n"/>
      <c r="E410" s="56" t="n"/>
      <c r="F410" s="58" t="n"/>
      <c r="G410" s="56" t="n"/>
      <c r="H410" s="65" t="n"/>
    </row>
    <row r="411" ht="28.25" customHeight="1">
      <c r="A411" s="56">
        <f>IF(B411="","",IFERROR(INDEX('21 2026 ÜRETİM'!$A$2:$A$501,MATCH(B411,'21 2026 ÜRETİM'!$G$2:$G$501,0)),""))</f>
        <v/>
      </c>
      <c r="B411" s="58" t="n"/>
      <c r="C411" s="56" t="n"/>
      <c r="D411" s="58" t="n"/>
      <c r="E411" s="56" t="n"/>
      <c r="F411" s="58" t="n"/>
      <c r="G411" s="56" t="n"/>
      <c r="H411" s="65" t="n"/>
    </row>
    <row r="412" ht="28.25" customHeight="1">
      <c r="A412" s="56">
        <f>IF(B412="","",IFERROR(INDEX('21 2026 ÜRETİM'!$A$2:$A$501,MATCH(B412,'21 2026 ÜRETİM'!$G$2:$G$501,0)),""))</f>
        <v/>
      </c>
      <c r="B412" s="58" t="n"/>
      <c r="C412" s="56" t="n"/>
      <c r="D412" s="58" t="n"/>
      <c r="E412" s="56" t="n"/>
      <c r="F412" s="58" t="n"/>
      <c r="G412" s="56" t="n"/>
      <c r="H412" s="65" t="n"/>
    </row>
    <row r="413" ht="28.25" customHeight="1">
      <c r="A413" s="56">
        <f>IF(B413="","",IFERROR(INDEX('21 2026 ÜRETİM'!$A$2:$A$501,MATCH(B413,'21 2026 ÜRETİM'!$G$2:$G$501,0)),""))</f>
        <v/>
      </c>
      <c r="B413" s="58" t="n"/>
      <c r="C413" s="56" t="n"/>
      <c r="D413" s="58" t="n"/>
      <c r="E413" s="56" t="n"/>
      <c r="F413" s="58" t="n"/>
      <c r="G413" s="56" t="n"/>
      <c r="H413" s="65" t="n"/>
    </row>
    <row r="414" ht="28.25" customHeight="1">
      <c r="A414" s="56">
        <f>IF(B414="","",IFERROR(INDEX('21 2026 ÜRETİM'!$A$2:$A$501,MATCH(B414,'21 2026 ÜRETİM'!$G$2:$G$501,0)),""))</f>
        <v/>
      </c>
      <c r="B414" s="58" t="n"/>
      <c r="C414" s="56" t="n"/>
      <c r="D414" s="58" t="n"/>
      <c r="E414" s="56" t="n"/>
      <c r="F414" s="58" t="n"/>
      <c r="G414" s="56" t="n"/>
      <c r="H414" s="65" t="n"/>
    </row>
    <row r="415" ht="28.25" customHeight="1">
      <c r="A415" s="56">
        <f>IF(B415="","",IFERROR(INDEX('21 2026 ÜRETİM'!$A$2:$A$501,MATCH(B415,'21 2026 ÜRETİM'!$G$2:$G$501,0)),""))</f>
        <v/>
      </c>
      <c r="B415" s="58" t="n"/>
      <c r="C415" s="56" t="n"/>
      <c r="D415" s="58" t="n"/>
      <c r="E415" s="56" t="n"/>
      <c r="F415" s="58" t="n"/>
      <c r="G415" s="56" t="n"/>
      <c r="H415" s="65" t="n"/>
    </row>
    <row r="416" ht="28.25" customHeight="1">
      <c r="A416" s="56">
        <f>IF(B416="","",IFERROR(INDEX('21 2026 ÜRETİM'!$A$2:$A$501,MATCH(B416,'21 2026 ÜRETİM'!$G$2:$G$501,0)),""))</f>
        <v/>
      </c>
      <c r="B416" s="58" t="n"/>
      <c r="C416" s="56" t="n"/>
      <c r="D416" s="58" t="n"/>
      <c r="E416" s="56" t="n"/>
      <c r="F416" s="58" t="n"/>
      <c r="G416" s="56" t="n"/>
      <c r="H416" s="65" t="n"/>
    </row>
    <row r="417" ht="28.25" customHeight="1">
      <c r="A417" s="56">
        <f>IF(B417="","",IFERROR(INDEX('21 2026 ÜRETİM'!$A$2:$A$501,MATCH(B417,'21 2026 ÜRETİM'!$G$2:$G$501,0)),""))</f>
        <v/>
      </c>
      <c r="B417" s="58" t="n"/>
      <c r="C417" s="56" t="n"/>
      <c r="D417" s="58" t="n"/>
      <c r="E417" s="56" t="n"/>
      <c r="F417" s="58" t="n"/>
      <c r="G417" s="56" t="n"/>
      <c r="H417" s="65" t="n"/>
    </row>
    <row r="418" ht="28.25" customHeight="1">
      <c r="A418" s="56">
        <f>IF(B418="","",IFERROR(INDEX('21 2026 ÜRETİM'!$A$2:$A$501,MATCH(B418,'21 2026 ÜRETİM'!$G$2:$G$501,0)),""))</f>
        <v/>
      </c>
      <c r="B418" s="58" t="n"/>
      <c r="C418" s="56" t="n"/>
      <c r="D418" s="58" t="n"/>
      <c r="E418" s="56" t="n"/>
      <c r="F418" s="58" t="n"/>
      <c r="G418" s="56" t="n"/>
      <c r="H418" s="65" t="n"/>
    </row>
    <row r="419" ht="28.25" customHeight="1">
      <c r="A419" s="56">
        <f>IF(B419="","",IFERROR(INDEX('21 2026 ÜRETİM'!$A$2:$A$501,MATCH(B419,'21 2026 ÜRETİM'!$G$2:$G$501,0)),""))</f>
        <v/>
      </c>
      <c r="B419" s="58" t="n"/>
      <c r="C419" s="56" t="n"/>
      <c r="D419" s="58" t="n"/>
      <c r="E419" s="56" t="n"/>
      <c r="F419" s="58" t="n"/>
      <c r="G419" s="56" t="n"/>
      <c r="H419" s="65" t="n"/>
    </row>
    <row r="420" ht="28.25" customHeight="1">
      <c r="A420" s="56">
        <f>IF(B420="","",IFERROR(INDEX('21 2026 ÜRETİM'!$A$2:$A$501,MATCH(B420,'21 2026 ÜRETİM'!$G$2:$G$501,0)),""))</f>
        <v/>
      </c>
      <c r="B420" s="58" t="n"/>
      <c r="C420" s="56" t="n"/>
      <c r="D420" s="58" t="n"/>
      <c r="E420" s="56" t="n"/>
      <c r="F420" s="58" t="n"/>
      <c r="G420" s="56" t="n"/>
      <c r="H420" s="65" t="n"/>
    </row>
    <row r="421" ht="28.25" customHeight="1">
      <c r="A421" s="56">
        <f>IF(B421="","",IFERROR(INDEX('21 2026 ÜRETİM'!$A$2:$A$501,MATCH(B421,'21 2026 ÜRETİM'!$G$2:$G$501,0)),""))</f>
        <v/>
      </c>
      <c r="B421" s="58" t="n"/>
      <c r="C421" s="56" t="n"/>
      <c r="D421" s="58" t="n"/>
      <c r="E421" s="56" t="n"/>
      <c r="F421" s="58" t="n"/>
      <c r="G421" s="56" t="n"/>
      <c r="H421" s="65" t="n"/>
    </row>
    <row r="422" ht="28.25" customHeight="1">
      <c r="A422" s="56">
        <f>IF(B422="","",IFERROR(INDEX('21 2026 ÜRETİM'!$A$2:$A$501,MATCH(B422,'21 2026 ÜRETİM'!$G$2:$G$501,0)),""))</f>
        <v/>
      </c>
      <c r="B422" s="58" t="n"/>
      <c r="C422" s="56" t="n"/>
      <c r="D422" s="58" t="n"/>
      <c r="E422" s="56" t="n"/>
      <c r="F422" s="58" t="n"/>
      <c r="G422" s="56" t="n"/>
      <c r="H422" s="65" t="n"/>
    </row>
    <row r="423" ht="28.25" customHeight="1">
      <c r="A423" s="56">
        <f>IF(B423="","",IFERROR(INDEX('21 2026 ÜRETİM'!$A$2:$A$501,MATCH(B423,'21 2026 ÜRETİM'!$G$2:$G$501,0)),""))</f>
        <v/>
      </c>
      <c r="B423" s="58" t="n"/>
      <c r="C423" s="56" t="n"/>
      <c r="D423" s="58" t="n"/>
      <c r="E423" s="56" t="n"/>
      <c r="F423" s="58" t="n"/>
      <c r="G423" s="56" t="n"/>
      <c r="H423" s="65" t="n"/>
    </row>
    <row r="424" ht="28.25" customHeight="1">
      <c r="A424" s="56">
        <f>IF(B424="","",IFERROR(INDEX('21 2026 ÜRETİM'!$A$2:$A$501,MATCH(B424,'21 2026 ÜRETİM'!$G$2:$G$501,0)),""))</f>
        <v/>
      </c>
      <c r="B424" s="58" t="n"/>
      <c r="C424" s="56" t="n"/>
      <c r="D424" s="58" t="n"/>
      <c r="E424" s="56" t="n"/>
      <c r="F424" s="58" t="n"/>
      <c r="G424" s="56" t="n"/>
      <c r="H424" s="65" t="n"/>
    </row>
    <row r="425" ht="28.25" customHeight="1">
      <c r="A425" s="56">
        <f>IF(B425="","",IFERROR(INDEX('21 2026 ÜRETİM'!$A$2:$A$501,MATCH(B425,'21 2026 ÜRETİM'!$G$2:$G$501,0)),""))</f>
        <v/>
      </c>
      <c r="B425" s="58" t="n"/>
      <c r="C425" s="56" t="n"/>
      <c r="D425" s="58" t="n"/>
      <c r="E425" s="56" t="n"/>
      <c r="F425" s="58" t="n"/>
      <c r="G425" s="56" t="n"/>
      <c r="H425" s="65" t="n"/>
    </row>
    <row r="426" ht="28.25" customHeight="1">
      <c r="A426" s="56">
        <f>IF(B426="","",IFERROR(INDEX('21 2026 ÜRETİM'!$A$2:$A$501,MATCH(B426,'21 2026 ÜRETİM'!$G$2:$G$501,0)),""))</f>
        <v/>
      </c>
      <c r="B426" s="58" t="n"/>
      <c r="C426" s="56" t="n"/>
      <c r="D426" s="58" t="n"/>
      <c r="E426" s="56" t="n"/>
      <c r="F426" s="58" t="n"/>
      <c r="G426" s="56" t="n"/>
      <c r="H426" s="65" t="n"/>
    </row>
    <row r="427" ht="28.25" customHeight="1">
      <c r="A427" s="56">
        <f>IF(B427="","",IFERROR(INDEX('21 2026 ÜRETİM'!$A$2:$A$501,MATCH(B427,'21 2026 ÜRETİM'!$G$2:$G$501,0)),""))</f>
        <v/>
      </c>
      <c r="B427" s="58" t="n"/>
      <c r="C427" s="56" t="n"/>
      <c r="D427" s="58" t="n"/>
      <c r="E427" s="56" t="n"/>
      <c r="F427" s="58" t="n"/>
      <c r="G427" s="56" t="n"/>
      <c r="H427" s="65" t="n"/>
    </row>
    <row r="428" ht="28.25" customHeight="1">
      <c r="A428" s="56">
        <f>IF(B428="","",IFERROR(INDEX('21 2026 ÜRETİM'!$A$2:$A$501,MATCH(B428,'21 2026 ÜRETİM'!$G$2:$G$501,0)),""))</f>
        <v/>
      </c>
      <c r="B428" s="58" t="n"/>
      <c r="C428" s="56" t="n"/>
      <c r="D428" s="58" t="n"/>
      <c r="E428" s="56" t="n"/>
      <c r="F428" s="58" t="n"/>
      <c r="G428" s="56" t="n"/>
      <c r="H428" s="65" t="n"/>
    </row>
    <row r="429" ht="28.25" customHeight="1">
      <c r="A429" s="56">
        <f>IF(B429="","",IFERROR(INDEX('21 2026 ÜRETİM'!$A$2:$A$501,MATCH(B429,'21 2026 ÜRETİM'!$G$2:$G$501,0)),""))</f>
        <v/>
      </c>
      <c r="B429" s="58" t="n"/>
      <c r="C429" s="56" t="n"/>
      <c r="D429" s="58" t="n"/>
      <c r="E429" s="56" t="n"/>
      <c r="F429" s="58" t="n"/>
      <c r="G429" s="56" t="n"/>
      <c r="H429" s="65" t="n"/>
    </row>
    <row r="430" ht="28.25" customHeight="1">
      <c r="A430" s="56">
        <f>IF(B430="","",IFERROR(INDEX('21 2026 ÜRETİM'!$A$2:$A$501,MATCH(B430,'21 2026 ÜRETİM'!$G$2:$G$501,0)),""))</f>
        <v/>
      </c>
      <c r="B430" s="58" t="n"/>
      <c r="C430" s="56" t="n"/>
      <c r="D430" s="58" t="n"/>
      <c r="E430" s="56" t="n"/>
      <c r="F430" s="58" t="n"/>
      <c r="G430" s="56" t="n"/>
      <c r="H430" s="65" t="n"/>
    </row>
    <row r="431" ht="28.25" customHeight="1">
      <c r="A431" s="56">
        <f>IF(B431="","",IFERROR(INDEX('21 2026 ÜRETİM'!$A$2:$A$501,MATCH(B431,'21 2026 ÜRETİM'!$G$2:$G$501,0)),""))</f>
        <v/>
      </c>
      <c r="B431" s="58" t="n"/>
      <c r="C431" s="56" t="n"/>
      <c r="D431" s="58" t="n"/>
      <c r="E431" s="56" t="n"/>
      <c r="F431" s="58" t="n"/>
      <c r="G431" s="56" t="n"/>
      <c r="H431" s="65" t="n"/>
    </row>
    <row r="432" ht="28.25" customHeight="1">
      <c r="A432" s="56">
        <f>IF(B432="","",IFERROR(INDEX('21 2026 ÜRETİM'!$A$2:$A$501,MATCH(B432,'21 2026 ÜRETİM'!$G$2:$G$501,0)),""))</f>
        <v/>
      </c>
      <c r="B432" s="58" t="n"/>
      <c r="C432" s="56" t="n"/>
      <c r="D432" s="58" t="n"/>
      <c r="E432" s="56" t="n"/>
      <c r="F432" s="58" t="n"/>
      <c r="G432" s="56" t="n"/>
      <c r="H432" s="65" t="n"/>
    </row>
    <row r="433" ht="28.25" customHeight="1">
      <c r="A433" s="56">
        <f>IF(B433="","",IFERROR(INDEX('21 2026 ÜRETİM'!$A$2:$A$501,MATCH(B433,'21 2026 ÜRETİM'!$G$2:$G$501,0)),""))</f>
        <v/>
      </c>
      <c r="B433" s="58" t="n"/>
      <c r="C433" s="56" t="n"/>
      <c r="D433" s="58" t="n"/>
      <c r="E433" s="56" t="n"/>
      <c r="F433" s="58" t="n"/>
      <c r="G433" s="56" t="n"/>
      <c r="H433" s="65" t="n"/>
    </row>
    <row r="434" ht="28.25" customHeight="1">
      <c r="A434" s="56">
        <f>IF(B434="","",IFERROR(INDEX('21 2026 ÜRETİM'!$A$2:$A$501,MATCH(B434,'21 2026 ÜRETİM'!$G$2:$G$501,0)),""))</f>
        <v/>
      </c>
      <c r="B434" s="58" t="n"/>
      <c r="C434" s="56" t="n"/>
      <c r="D434" s="58" t="n"/>
      <c r="E434" s="56" t="n"/>
      <c r="F434" s="58" t="n"/>
      <c r="G434" s="56" t="n"/>
      <c r="H434" s="65" t="n"/>
    </row>
    <row r="435" ht="28.25" customHeight="1">
      <c r="A435" s="56">
        <f>IF(B435="","",IFERROR(INDEX('21 2026 ÜRETİM'!$A$2:$A$501,MATCH(B435,'21 2026 ÜRETİM'!$G$2:$G$501,0)),""))</f>
        <v/>
      </c>
      <c r="B435" s="58" t="n"/>
      <c r="C435" s="56" t="n"/>
      <c r="D435" s="58" t="n"/>
      <c r="E435" s="56" t="n"/>
      <c r="F435" s="58" t="n"/>
      <c r="G435" s="56" t="n"/>
      <c r="H435" s="65" t="n"/>
    </row>
    <row r="436" ht="28.25" customHeight="1">
      <c r="A436" s="56">
        <f>IF(B436="","",IFERROR(INDEX('21 2026 ÜRETİM'!$A$2:$A$501,MATCH(B436,'21 2026 ÜRETİM'!$G$2:$G$501,0)),""))</f>
        <v/>
      </c>
      <c r="B436" s="58" t="n"/>
      <c r="C436" s="56" t="n"/>
      <c r="D436" s="58" t="n"/>
      <c r="E436" s="56" t="n"/>
      <c r="F436" s="58" t="n"/>
      <c r="G436" s="56" t="n"/>
      <c r="H436" s="65" t="n"/>
    </row>
    <row r="437" ht="28.25" customHeight="1">
      <c r="A437" s="56">
        <f>IF(B437="","",IFERROR(INDEX('21 2026 ÜRETİM'!$A$2:$A$501,MATCH(B437,'21 2026 ÜRETİM'!$G$2:$G$501,0)),""))</f>
        <v/>
      </c>
      <c r="B437" s="58" t="n"/>
      <c r="C437" s="56" t="n"/>
      <c r="D437" s="58" t="n"/>
      <c r="E437" s="56" t="n"/>
      <c r="F437" s="58" t="n"/>
      <c r="G437" s="56" t="n"/>
      <c r="H437" s="65" t="n"/>
    </row>
    <row r="438" ht="28.25" customHeight="1">
      <c r="A438" s="56">
        <f>IF(B438="","",IFERROR(INDEX('21 2026 ÜRETİM'!$A$2:$A$501,MATCH(B438,'21 2026 ÜRETİM'!$G$2:$G$501,0)),""))</f>
        <v/>
      </c>
      <c r="B438" s="58" t="n"/>
      <c r="C438" s="56" t="n"/>
      <c r="D438" s="58" t="n"/>
      <c r="E438" s="56" t="n"/>
      <c r="F438" s="58" t="n"/>
      <c r="G438" s="56" t="n"/>
      <c r="H438" s="65" t="n"/>
    </row>
    <row r="439" ht="28.25" customHeight="1">
      <c r="A439" s="56">
        <f>IF(B439="","",IFERROR(INDEX('21 2026 ÜRETİM'!$A$2:$A$501,MATCH(B439,'21 2026 ÜRETİM'!$G$2:$G$501,0)),""))</f>
        <v/>
      </c>
      <c r="B439" s="58" t="n"/>
      <c r="C439" s="56" t="n"/>
      <c r="D439" s="58" t="n"/>
      <c r="E439" s="56" t="n"/>
      <c r="F439" s="58" t="n"/>
      <c r="G439" s="56" t="n"/>
      <c r="H439" s="65" t="n"/>
    </row>
    <row r="440" ht="28.25" customHeight="1">
      <c r="A440" s="56">
        <f>IF(B440="","",IFERROR(INDEX('21 2026 ÜRETİM'!$A$2:$A$501,MATCH(B440,'21 2026 ÜRETİM'!$G$2:$G$501,0)),""))</f>
        <v/>
      </c>
      <c r="B440" s="58" t="n"/>
      <c r="C440" s="56" t="n"/>
      <c r="D440" s="58" t="n"/>
      <c r="E440" s="56" t="n"/>
      <c r="F440" s="58" t="n"/>
      <c r="G440" s="56" t="n"/>
      <c r="H440" s="65" t="n"/>
    </row>
    <row r="441" ht="28.25" customHeight="1">
      <c r="A441" s="56">
        <f>IF(B441="","",IFERROR(INDEX('21 2026 ÜRETİM'!$A$2:$A$501,MATCH(B441,'21 2026 ÜRETİM'!$G$2:$G$501,0)),""))</f>
        <v/>
      </c>
      <c r="B441" s="58" t="n"/>
      <c r="C441" s="56" t="n"/>
      <c r="D441" s="58" t="n"/>
      <c r="E441" s="56" t="n"/>
      <c r="F441" s="58" t="n"/>
      <c r="G441" s="56" t="n"/>
      <c r="H441" s="65" t="n"/>
    </row>
    <row r="442" ht="28.25" customHeight="1">
      <c r="A442" s="56">
        <f>IF(B442="","",IFERROR(INDEX('21 2026 ÜRETİM'!$A$2:$A$501,MATCH(B442,'21 2026 ÜRETİM'!$G$2:$G$501,0)),""))</f>
        <v/>
      </c>
      <c r="B442" s="58" t="n"/>
      <c r="C442" s="56" t="n"/>
      <c r="D442" s="58" t="n"/>
      <c r="E442" s="56" t="n"/>
      <c r="F442" s="58" t="n"/>
      <c r="G442" s="56" t="n"/>
      <c r="H442" s="65" t="n"/>
    </row>
    <row r="443" ht="28.25" customHeight="1">
      <c r="A443" s="56">
        <f>IF(B443="","",IFERROR(INDEX('21 2026 ÜRETİM'!$A$2:$A$501,MATCH(B443,'21 2026 ÜRETİM'!$G$2:$G$501,0)),""))</f>
        <v/>
      </c>
      <c r="B443" s="58" t="n"/>
      <c r="C443" s="56" t="n"/>
      <c r="D443" s="58" t="n"/>
      <c r="E443" s="56" t="n"/>
      <c r="F443" s="58" t="n"/>
      <c r="G443" s="56" t="n"/>
      <c r="H443" s="65" t="n"/>
    </row>
    <row r="444" ht="28.25" customHeight="1">
      <c r="A444" s="56">
        <f>IF(B444="","",IFERROR(INDEX('21 2026 ÜRETİM'!$A$2:$A$501,MATCH(B444,'21 2026 ÜRETİM'!$G$2:$G$501,0)),""))</f>
        <v/>
      </c>
      <c r="B444" s="58" t="n"/>
      <c r="C444" s="56" t="n"/>
      <c r="D444" s="58" t="n"/>
      <c r="E444" s="56" t="n"/>
      <c r="F444" s="58" t="n"/>
      <c r="G444" s="56" t="n"/>
      <c r="H444" s="65" t="n"/>
    </row>
    <row r="445" ht="28.25" customHeight="1">
      <c r="A445" s="56">
        <f>IF(B445="","",IFERROR(INDEX('21 2026 ÜRETİM'!$A$2:$A$501,MATCH(B445,'21 2026 ÜRETİM'!$G$2:$G$501,0)),""))</f>
        <v/>
      </c>
      <c r="B445" s="58" t="n"/>
      <c r="C445" s="56" t="n"/>
      <c r="D445" s="58" t="n"/>
      <c r="E445" s="56" t="n"/>
      <c r="F445" s="58" t="n"/>
      <c r="G445" s="56" t="n"/>
      <c r="H445" s="65" t="n"/>
    </row>
    <row r="446" ht="28.25" customHeight="1">
      <c r="A446" s="56">
        <f>IF(B446="","",IFERROR(INDEX('21 2026 ÜRETİM'!$A$2:$A$501,MATCH(B446,'21 2026 ÜRETİM'!$G$2:$G$501,0)),""))</f>
        <v/>
      </c>
      <c r="B446" s="58" t="n"/>
      <c r="C446" s="56" t="n"/>
      <c r="D446" s="58" t="n"/>
      <c r="E446" s="56" t="n"/>
      <c r="F446" s="58" t="n"/>
      <c r="G446" s="56" t="n"/>
      <c r="H446" s="65" t="n"/>
    </row>
    <row r="447" ht="28.25" customHeight="1">
      <c r="A447" s="56">
        <f>IF(B447="","",IFERROR(INDEX('21 2026 ÜRETİM'!$A$2:$A$501,MATCH(B447,'21 2026 ÜRETİM'!$G$2:$G$501,0)),""))</f>
        <v/>
      </c>
      <c r="B447" s="58" t="n"/>
      <c r="C447" s="56" t="n"/>
      <c r="D447" s="58" t="n"/>
      <c r="E447" s="56" t="n"/>
      <c r="F447" s="58" t="n"/>
      <c r="G447" s="56" t="n"/>
      <c r="H447" s="65" t="n"/>
    </row>
    <row r="448" ht="28.25" customHeight="1">
      <c r="A448" s="56">
        <f>IF(B448="","",IFERROR(INDEX('21 2026 ÜRETİM'!$A$2:$A$501,MATCH(B448,'21 2026 ÜRETİM'!$G$2:$G$501,0)),""))</f>
        <v/>
      </c>
      <c r="B448" s="58" t="n"/>
      <c r="C448" s="56" t="n"/>
      <c r="D448" s="58" t="n"/>
      <c r="E448" s="56" t="n"/>
      <c r="F448" s="58" t="n"/>
      <c r="G448" s="56" t="n"/>
      <c r="H448" s="65" t="n"/>
    </row>
    <row r="449" ht="28.25" customHeight="1">
      <c r="A449" s="56">
        <f>IF(B449="","",IFERROR(INDEX('21 2026 ÜRETİM'!$A$2:$A$501,MATCH(B449,'21 2026 ÜRETİM'!$G$2:$G$501,0)),""))</f>
        <v/>
      </c>
      <c r="B449" s="58" t="n"/>
      <c r="C449" s="56" t="n"/>
      <c r="D449" s="58" t="n"/>
      <c r="E449" s="56" t="n"/>
      <c r="F449" s="58" t="n"/>
      <c r="G449" s="56" t="n"/>
      <c r="H449" s="65" t="n"/>
    </row>
    <row r="450" ht="28.25" customHeight="1">
      <c r="A450" s="56">
        <f>IF(B450="","",IFERROR(INDEX('21 2026 ÜRETİM'!$A$2:$A$501,MATCH(B450,'21 2026 ÜRETİM'!$G$2:$G$501,0)),""))</f>
        <v/>
      </c>
      <c r="B450" s="58" t="n"/>
      <c r="C450" s="56" t="n"/>
      <c r="D450" s="58" t="n"/>
      <c r="E450" s="56" t="n"/>
      <c r="F450" s="58" t="n"/>
      <c r="G450" s="56" t="n"/>
      <c r="H450" s="65" t="n"/>
    </row>
    <row r="451" ht="28.25" customHeight="1">
      <c r="A451" s="56">
        <f>IF(B451="","",IFERROR(INDEX('21 2026 ÜRETİM'!$A$2:$A$501,MATCH(B451,'21 2026 ÜRETİM'!$G$2:$G$501,0)),""))</f>
        <v/>
      </c>
      <c r="B451" s="58" t="n"/>
      <c r="C451" s="56" t="n"/>
      <c r="D451" s="58" t="n"/>
      <c r="E451" s="56" t="n"/>
      <c r="F451" s="58" t="n"/>
      <c r="G451" s="56" t="n"/>
      <c r="H451" s="65" t="n"/>
    </row>
    <row r="452" ht="28.25" customHeight="1">
      <c r="A452" s="56">
        <f>IF(B452="","",IFERROR(INDEX('21 2026 ÜRETİM'!$A$2:$A$501,MATCH(B452,'21 2026 ÜRETİM'!$G$2:$G$501,0)),""))</f>
        <v/>
      </c>
      <c r="B452" s="58" t="n"/>
      <c r="C452" s="56" t="n"/>
      <c r="D452" s="58" t="n"/>
      <c r="E452" s="56" t="n"/>
      <c r="F452" s="58" t="n"/>
      <c r="G452" s="56" t="n"/>
      <c r="H452" s="65" t="n"/>
    </row>
    <row r="453" ht="28.25" customHeight="1">
      <c r="A453" s="56">
        <f>IF(B453="","",IFERROR(INDEX('21 2026 ÜRETİM'!$A$2:$A$501,MATCH(B453,'21 2026 ÜRETİM'!$G$2:$G$501,0)),""))</f>
        <v/>
      </c>
      <c r="B453" s="58" t="n"/>
      <c r="C453" s="56" t="n"/>
      <c r="D453" s="58" t="n"/>
      <c r="E453" s="56" t="n"/>
      <c r="F453" s="58" t="n"/>
      <c r="G453" s="56" t="n"/>
      <c r="H453" s="65" t="n"/>
    </row>
    <row r="454" ht="28.25" customHeight="1">
      <c r="A454" s="56">
        <f>IF(B454="","",IFERROR(INDEX('21 2026 ÜRETİM'!$A$2:$A$501,MATCH(B454,'21 2026 ÜRETİM'!$G$2:$G$501,0)),""))</f>
        <v/>
      </c>
      <c r="B454" s="58" t="n"/>
      <c r="C454" s="56" t="n"/>
      <c r="D454" s="58" t="n"/>
      <c r="E454" s="56" t="n"/>
      <c r="F454" s="58" t="n"/>
      <c r="G454" s="56" t="n"/>
      <c r="H454" s="65" t="n"/>
    </row>
    <row r="455" ht="28.25" customHeight="1">
      <c r="A455" s="56">
        <f>IF(B455="","",IFERROR(INDEX('21 2026 ÜRETİM'!$A$2:$A$501,MATCH(B455,'21 2026 ÜRETİM'!$G$2:$G$501,0)),""))</f>
        <v/>
      </c>
      <c r="B455" s="58" t="n"/>
      <c r="C455" s="56" t="n"/>
      <c r="D455" s="58" t="n"/>
      <c r="E455" s="56" t="n"/>
      <c r="F455" s="58" t="n"/>
      <c r="G455" s="56" t="n"/>
      <c r="H455" s="65" t="n"/>
    </row>
    <row r="456" ht="28.25" customHeight="1">
      <c r="A456" s="56">
        <f>IF(B456="","",IFERROR(INDEX('21 2026 ÜRETİM'!$A$2:$A$501,MATCH(B456,'21 2026 ÜRETİM'!$G$2:$G$501,0)),""))</f>
        <v/>
      </c>
      <c r="B456" s="58" t="n"/>
      <c r="C456" s="56" t="n"/>
      <c r="D456" s="58" t="n"/>
      <c r="E456" s="56" t="n"/>
      <c r="F456" s="58" t="n"/>
      <c r="G456" s="56" t="n"/>
      <c r="H456" s="65" t="n"/>
    </row>
    <row r="457" ht="28.25" customHeight="1">
      <c r="A457" s="56">
        <f>IF(B457="","",IFERROR(INDEX('21 2026 ÜRETİM'!$A$2:$A$501,MATCH(B457,'21 2026 ÜRETİM'!$G$2:$G$501,0)),""))</f>
        <v/>
      </c>
      <c r="B457" s="58" t="n"/>
      <c r="C457" s="56" t="n"/>
      <c r="D457" s="58" t="n"/>
      <c r="E457" s="56" t="n"/>
      <c r="F457" s="58" t="n"/>
      <c r="G457" s="56" t="n"/>
      <c r="H457" s="65" t="n"/>
    </row>
    <row r="458" ht="28.25" customHeight="1">
      <c r="A458" s="56">
        <f>IF(B458="","",IFERROR(INDEX('21 2026 ÜRETİM'!$A$2:$A$501,MATCH(B458,'21 2026 ÜRETİM'!$G$2:$G$501,0)),""))</f>
        <v/>
      </c>
      <c r="B458" s="58" t="n"/>
      <c r="C458" s="56" t="n"/>
      <c r="D458" s="58" t="n"/>
      <c r="E458" s="56" t="n"/>
      <c r="F458" s="58" t="n"/>
      <c r="G458" s="56" t="n"/>
      <c r="H458" s="65" t="n"/>
    </row>
    <row r="459" ht="28.25" customHeight="1">
      <c r="A459" s="56">
        <f>IF(B459="","",IFERROR(INDEX('21 2026 ÜRETİM'!$A$2:$A$501,MATCH(B459,'21 2026 ÜRETİM'!$G$2:$G$501,0)),""))</f>
        <v/>
      </c>
      <c r="B459" s="58" t="n"/>
      <c r="C459" s="56" t="n"/>
      <c r="D459" s="58" t="n"/>
      <c r="E459" s="56" t="n"/>
      <c r="F459" s="58" t="n"/>
      <c r="G459" s="56" t="n"/>
      <c r="H459" s="65" t="n"/>
    </row>
    <row r="460" ht="28.25" customHeight="1">
      <c r="A460" s="56">
        <f>IF(B460="","",IFERROR(INDEX('21 2026 ÜRETİM'!$A$2:$A$501,MATCH(B460,'21 2026 ÜRETİM'!$G$2:$G$501,0)),""))</f>
        <v/>
      </c>
      <c r="B460" s="58" t="n"/>
      <c r="C460" s="56" t="n"/>
      <c r="D460" s="58" t="n"/>
      <c r="E460" s="56" t="n"/>
      <c r="F460" s="58" t="n"/>
      <c r="G460" s="56" t="n"/>
      <c r="H460" s="65" t="n"/>
    </row>
    <row r="461" ht="28.25" customHeight="1">
      <c r="A461" s="56">
        <f>IF(B461="","",IFERROR(INDEX('21 2026 ÜRETİM'!$A$2:$A$501,MATCH(B461,'21 2026 ÜRETİM'!$G$2:$G$501,0)),""))</f>
        <v/>
      </c>
      <c r="B461" s="58" t="n"/>
      <c r="C461" s="56" t="n"/>
      <c r="D461" s="58" t="n"/>
      <c r="E461" s="56" t="n"/>
      <c r="F461" s="58" t="n"/>
      <c r="G461" s="56" t="n"/>
      <c r="H461" s="65" t="n"/>
    </row>
    <row r="462" ht="28.25" customHeight="1">
      <c r="A462" s="56">
        <f>IF(B462="","",IFERROR(INDEX('21 2026 ÜRETİM'!$A$2:$A$501,MATCH(B462,'21 2026 ÜRETİM'!$G$2:$G$501,0)),""))</f>
        <v/>
      </c>
      <c r="B462" s="58" t="n"/>
      <c r="C462" s="56" t="n"/>
      <c r="D462" s="58" t="n"/>
      <c r="E462" s="56" t="n"/>
      <c r="F462" s="58" t="n"/>
      <c r="G462" s="56" t="n"/>
      <c r="H462" s="65" t="n"/>
    </row>
    <row r="463" ht="28.25" customHeight="1">
      <c r="A463" s="56">
        <f>IF(B463="","",IFERROR(INDEX('21 2026 ÜRETİM'!$A$2:$A$501,MATCH(B463,'21 2026 ÜRETİM'!$G$2:$G$501,0)),""))</f>
        <v/>
      </c>
      <c r="B463" s="58" t="n"/>
      <c r="C463" s="56" t="n"/>
      <c r="D463" s="58" t="n"/>
      <c r="E463" s="56" t="n"/>
      <c r="F463" s="58" t="n"/>
      <c r="G463" s="56" t="n"/>
      <c r="H463" s="65" t="n"/>
    </row>
    <row r="464" ht="28.25" customHeight="1">
      <c r="A464" s="56">
        <f>IF(B464="","",IFERROR(INDEX('21 2026 ÜRETİM'!$A$2:$A$501,MATCH(B464,'21 2026 ÜRETİM'!$G$2:$G$501,0)),""))</f>
        <v/>
      </c>
      <c r="B464" s="58" t="n"/>
      <c r="C464" s="56" t="n"/>
      <c r="D464" s="58" t="n"/>
      <c r="E464" s="56" t="n"/>
      <c r="F464" s="58" t="n"/>
      <c r="G464" s="56" t="n"/>
      <c r="H464" s="65" t="n"/>
    </row>
    <row r="465" ht="28.25" customHeight="1">
      <c r="A465" s="56">
        <f>IF(B465="","",IFERROR(INDEX('21 2026 ÜRETİM'!$A$2:$A$501,MATCH(B465,'21 2026 ÜRETİM'!$G$2:$G$501,0)),""))</f>
        <v/>
      </c>
      <c r="B465" s="58" t="n"/>
      <c r="C465" s="56" t="n"/>
      <c r="D465" s="58" t="n"/>
      <c r="E465" s="56" t="n"/>
      <c r="F465" s="58" t="n"/>
      <c r="G465" s="56" t="n"/>
      <c r="H465" s="65" t="n"/>
    </row>
    <row r="466" ht="28.25" customHeight="1">
      <c r="A466" s="56">
        <f>IF(B466="","",IFERROR(INDEX('21 2026 ÜRETİM'!$A$2:$A$501,MATCH(B466,'21 2026 ÜRETİM'!$G$2:$G$501,0)),""))</f>
        <v/>
      </c>
      <c r="B466" s="58" t="n"/>
      <c r="C466" s="56" t="n"/>
      <c r="D466" s="58" t="n"/>
      <c r="E466" s="56" t="n"/>
      <c r="F466" s="58" t="n"/>
      <c r="G466" s="56" t="n"/>
      <c r="H466" s="65" t="n"/>
    </row>
    <row r="467" ht="28.25" customHeight="1">
      <c r="A467" s="56">
        <f>IF(B467="","",IFERROR(INDEX('21 2026 ÜRETİM'!$A$2:$A$501,MATCH(B467,'21 2026 ÜRETİM'!$G$2:$G$501,0)),""))</f>
        <v/>
      </c>
      <c r="B467" s="58" t="n"/>
      <c r="C467" s="56" t="n"/>
      <c r="D467" s="58" t="n"/>
      <c r="E467" s="56" t="n"/>
      <c r="F467" s="58" t="n"/>
      <c r="G467" s="56" t="n"/>
      <c r="H467" s="65" t="n"/>
    </row>
    <row r="468" ht="28.25" customHeight="1">
      <c r="A468" s="56">
        <f>IF(B468="","",IFERROR(INDEX('21 2026 ÜRETİM'!$A$2:$A$501,MATCH(B468,'21 2026 ÜRETİM'!$G$2:$G$501,0)),""))</f>
        <v/>
      </c>
      <c r="B468" s="58" t="n"/>
      <c r="C468" s="56" t="n"/>
      <c r="D468" s="58" t="n"/>
      <c r="E468" s="56" t="n"/>
      <c r="F468" s="58" t="n"/>
      <c r="G468" s="56" t="n"/>
      <c r="H468" s="65" t="n"/>
    </row>
    <row r="469" ht="28.25" customHeight="1">
      <c r="A469" s="56">
        <f>IF(B469="","",IFERROR(INDEX('21 2026 ÜRETİM'!$A$2:$A$501,MATCH(B469,'21 2026 ÜRETİM'!$G$2:$G$501,0)),""))</f>
        <v/>
      </c>
      <c r="B469" s="58" t="n"/>
      <c r="C469" s="56" t="n"/>
      <c r="D469" s="58" t="n"/>
      <c r="E469" s="56" t="n"/>
      <c r="F469" s="58" t="n"/>
      <c r="G469" s="56" t="n"/>
      <c r="H469" s="65" t="n"/>
    </row>
    <row r="470" ht="28.25" customHeight="1">
      <c r="A470" s="56">
        <f>IF(B470="","",IFERROR(INDEX('21 2026 ÜRETİM'!$A$2:$A$501,MATCH(B470,'21 2026 ÜRETİM'!$G$2:$G$501,0)),""))</f>
        <v/>
      </c>
      <c r="B470" s="58" t="n"/>
      <c r="C470" s="56" t="n"/>
      <c r="D470" s="58" t="n"/>
      <c r="E470" s="56" t="n"/>
      <c r="F470" s="58" t="n"/>
      <c r="G470" s="56" t="n"/>
      <c r="H470" s="65" t="n"/>
    </row>
    <row r="471" ht="28.25" customHeight="1">
      <c r="A471" s="56">
        <f>IF(B471="","",IFERROR(INDEX('21 2026 ÜRETİM'!$A$2:$A$501,MATCH(B471,'21 2026 ÜRETİM'!$G$2:$G$501,0)),""))</f>
        <v/>
      </c>
      <c r="B471" s="58" t="n"/>
      <c r="C471" s="56" t="n"/>
      <c r="D471" s="58" t="n"/>
      <c r="E471" s="56" t="n"/>
      <c r="F471" s="58" t="n"/>
      <c r="G471" s="56" t="n"/>
      <c r="H471" s="65" t="n"/>
    </row>
    <row r="472" ht="28.25" customHeight="1">
      <c r="A472" s="56">
        <f>IF(B472="","",IFERROR(INDEX('21 2026 ÜRETİM'!$A$2:$A$501,MATCH(B472,'21 2026 ÜRETİM'!$G$2:$G$501,0)),""))</f>
        <v/>
      </c>
      <c r="B472" s="58" t="n"/>
      <c r="C472" s="56" t="n"/>
      <c r="D472" s="58" t="n"/>
      <c r="E472" s="56" t="n"/>
      <c r="F472" s="58" t="n"/>
      <c r="G472" s="56" t="n"/>
      <c r="H472" s="65" t="n"/>
    </row>
    <row r="473" ht="28.25" customHeight="1">
      <c r="A473" s="56">
        <f>IF(B473="","",IFERROR(INDEX('21 2026 ÜRETİM'!$A$2:$A$501,MATCH(B473,'21 2026 ÜRETİM'!$G$2:$G$501,0)),""))</f>
        <v/>
      </c>
      <c r="B473" s="58" t="n"/>
      <c r="C473" s="56" t="n"/>
      <c r="D473" s="58" t="n"/>
      <c r="E473" s="56" t="n"/>
      <c r="F473" s="58" t="n"/>
      <c r="G473" s="56" t="n"/>
      <c r="H473" s="65" t="n"/>
    </row>
    <row r="474" ht="28.25" customHeight="1">
      <c r="A474" s="56">
        <f>IF(B474="","",IFERROR(INDEX('21 2026 ÜRETİM'!$A$2:$A$501,MATCH(B474,'21 2026 ÜRETİM'!$G$2:$G$501,0)),""))</f>
        <v/>
      </c>
      <c r="B474" s="58" t="n"/>
      <c r="C474" s="56" t="n"/>
      <c r="D474" s="58" t="n"/>
      <c r="E474" s="56" t="n"/>
      <c r="F474" s="58" t="n"/>
      <c r="G474" s="56" t="n"/>
      <c r="H474" s="65" t="n"/>
    </row>
    <row r="475" ht="28.25" customHeight="1">
      <c r="A475" s="56">
        <f>IF(B475="","",IFERROR(INDEX('21 2026 ÜRETİM'!$A$2:$A$501,MATCH(B475,'21 2026 ÜRETİM'!$G$2:$G$501,0)),""))</f>
        <v/>
      </c>
      <c r="B475" s="58" t="n"/>
      <c r="C475" s="56" t="n"/>
      <c r="D475" s="58" t="n"/>
      <c r="E475" s="56" t="n"/>
      <c r="F475" s="58" t="n"/>
      <c r="G475" s="56" t="n"/>
      <c r="H475" s="65" t="n"/>
    </row>
    <row r="476" ht="28.25" customHeight="1">
      <c r="A476" s="56">
        <f>IF(B476="","",IFERROR(INDEX('21 2026 ÜRETİM'!$A$2:$A$501,MATCH(B476,'21 2026 ÜRETİM'!$G$2:$G$501,0)),""))</f>
        <v/>
      </c>
      <c r="B476" s="58" t="n"/>
      <c r="C476" s="56" t="n"/>
      <c r="D476" s="58" t="n"/>
      <c r="E476" s="56" t="n"/>
      <c r="F476" s="58" t="n"/>
      <c r="G476" s="56" t="n"/>
      <c r="H476" s="65" t="n"/>
    </row>
    <row r="477" ht="28.25" customHeight="1">
      <c r="A477" s="56">
        <f>IF(B477="","",IFERROR(INDEX('21 2026 ÜRETİM'!$A$2:$A$501,MATCH(B477,'21 2026 ÜRETİM'!$G$2:$G$501,0)),""))</f>
        <v/>
      </c>
      <c r="B477" s="58" t="n"/>
      <c r="C477" s="56" t="n"/>
      <c r="D477" s="58" t="n"/>
      <c r="E477" s="56" t="n"/>
      <c r="F477" s="58" t="n"/>
      <c r="G477" s="56" t="n"/>
      <c r="H477" s="65" t="n"/>
    </row>
    <row r="478" ht="28.25" customHeight="1">
      <c r="A478" s="56">
        <f>IF(B478="","",IFERROR(INDEX('21 2026 ÜRETİM'!$A$2:$A$501,MATCH(B478,'21 2026 ÜRETİM'!$G$2:$G$501,0)),""))</f>
        <v/>
      </c>
      <c r="B478" s="58" t="n"/>
      <c r="C478" s="56" t="n"/>
      <c r="D478" s="58" t="n"/>
      <c r="E478" s="56" t="n"/>
      <c r="F478" s="58" t="n"/>
      <c r="G478" s="56" t="n"/>
      <c r="H478" s="65" t="n"/>
    </row>
    <row r="479" ht="28.25" customHeight="1">
      <c r="A479" s="56">
        <f>IF(B479="","",IFERROR(INDEX('21 2026 ÜRETİM'!$A$2:$A$501,MATCH(B479,'21 2026 ÜRETİM'!$G$2:$G$501,0)),""))</f>
        <v/>
      </c>
      <c r="B479" s="58" t="n"/>
      <c r="C479" s="56" t="n"/>
      <c r="D479" s="58" t="n"/>
      <c r="E479" s="56" t="n"/>
      <c r="F479" s="58" t="n"/>
      <c r="G479" s="56" t="n"/>
      <c r="H479" s="65" t="n"/>
    </row>
    <row r="480" ht="28.25" customHeight="1">
      <c r="A480" s="56">
        <f>IF(B480="","",IFERROR(INDEX('21 2026 ÜRETİM'!$A$2:$A$501,MATCH(B480,'21 2026 ÜRETİM'!$G$2:$G$501,0)),""))</f>
        <v/>
      </c>
      <c r="B480" s="58" t="n"/>
      <c r="C480" s="56" t="n"/>
      <c r="D480" s="58" t="n"/>
      <c r="E480" s="56" t="n"/>
      <c r="F480" s="58" t="n"/>
      <c r="G480" s="56" t="n"/>
      <c r="H480" s="65" t="n"/>
    </row>
    <row r="481" ht="28.25" customHeight="1">
      <c r="A481" s="56">
        <f>IF(B481="","",IFERROR(INDEX('21 2026 ÜRETİM'!$A$2:$A$501,MATCH(B481,'21 2026 ÜRETİM'!$G$2:$G$501,0)),""))</f>
        <v/>
      </c>
      <c r="B481" s="58" t="n"/>
      <c r="C481" s="56" t="n"/>
      <c r="D481" s="58" t="n"/>
      <c r="E481" s="56" t="n"/>
      <c r="F481" s="58" t="n"/>
      <c r="G481" s="56" t="n"/>
      <c r="H481" s="65" t="n"/>
    </row>
    <row r="482" ht="28.25" customHeight="1">
      <c r="A482" s="56">
        <f>IF(B482="","",IFERROR(INDEX('21 2026 ÜRETİM'!$A$2:$A$501,MATCH(B482,'21 2026 ÜRETİM'!$G$2:$G$501,0)),""))</f>
        <v/>
      </c>
      <c r="B482" s="58" t="n"/>
      <c r="C482" s="56" t="n"/>
      <c r="D482" s="58" t="n"/>
      <c r="E482" s="56" t="n"/>
      <c r="F482" s="58" t="n"/>
      <c r="G482" s="56" t="n"/>
      <c r="H482" s="65" t="n"/>
    </row>
    <row r="483" ht="28.25" customHeight="1">
      <c r="A483" s="56">
        <f>IF(B483="","",IFERROR(INDEX('21 2026 ÜRETİM'!$A$2:$A$501,MATCH(B483,'21 2026 ÜRETİM'!$G$2:$G$501,0)),""))</f>
        <v/>
      </c>
      <c r="B483" s="58" t="n"/>
      <c r="C483" s="56" t="n"/>
      <c r="D483" s="58" t="n"/>
      <c r="E483" s="56" t="n"/>
      <c r="F483" s="58" t="n"/>
      <c r="G483" s="56" t="n"/>
      <c r="H483" s="65" t="n"/>
    </row>
    <row r="484" ht="28.25" customHeight="1">
      <c r="A484" s="56">
        <f>IF(B484="","",IFERROR(INDEX('21 2026 ÜRETİM'!$A$2:$A$501,MATCH(B484,'21 2026 ÜRETİM'!$G$2:$G$501,0)),""))</f>
        <v/>
      </c>
      <c r="B484" s="58" t="n"/>
      <c r="C484" s="56" t="n"/>
      <c r="D484" s="58" t="n"/>
      <c r="E484" s="56" t="n"/>
      <c r="F484" s="58" t="n"/>
      <c r="G484" s="56" t="n"/>
      <c r="H484" s="65" t="n"/>
    </row>
    <row r="485" ht="28.25" customHeight="1">
      <c r="A485" s="56">
        <f>IF(B485="","",IFERROR(INDEX('21 2026 ÜRETİM'!$A$2:$A$501,MATCH(B485,'21 2026 ÜRETİM'!$G$2:$G$501,0)),""))</f>
        <v/>
      </c>
      <c r="B485" s="58" t="n"/>
      <c r="C485" s="56" t="n"/>
      <c r="D485" s="58" t="n"/>
      <c r="E485" s="56" t="n"/>
      <c r="F485" s="58" t="n"/>
      <c r="G485" s="56" t="n"/>
      <c r="H485" s="65" t="n"/>
    </row>
    <row r="486" ht="28.25" customHeight="1">
      <c r="A486" s="56">
        <f>IF(B486="","",IFERROR(INDEX('21 2026 ÜRETİM'!$A$2:$A$501,MATCH(B486,'21 2026 ÜRETİM'!$G$2:$G$501,0)),""))</f>
        <v/>
      </c>
      <c r="B486" s="58" t="n"/>
      <c r="C486" s="56" t="n"/>
      <c r="D486" s="58" t="n"/>
      <c r="E486" s="56" t="n"/>
      <c r="F486" s="58" t="n"/>
      <c r="G486" s="56" t="n"/>
      <c r="H486" s="65" t="n"/>
    </row>
    <row r="487" ht="28.25" customHeight="1">
      <c r="A487" s="56">
        <f>IF(B487="","",IFERROR(INDEX('21 2026 ÜRETİM'!$A$2:$A$501,MATCH(B487,'21 2026 ÜRETİM'!$G$2:$G$501,0)),""))</f>
        <v/>
      </c>
      <c r="B487" s="58" t="n"/>
      <c r="C487" s="56" t="n"/>
      <c r="D487" s="58" t="n"/>
      <c r="E487" s="56" t="n"/>
      <c r="F487" s="58" t="n"/>
      <c r="G487" s="56" t="n"/>
      <c r="H487" s="65" t="n"/>
    </row>
    <row r="488" ht="28.25" customHeight="1">
      <c r="A488" s="56">
        <f>IF(B488="","",IFERROR(INDEX('21 2026 ÜRETİM'!$A$2:$A$501,MATCH(B488,'21 2026 ÜRETİM'!$G$2:$G$501,0)),""))</f>
        <v/>
      </c>
      <c r="B488" s="58" t="n"/>
      <c r="C488" s="56" t="n"/>
      <c r="D488" s="58" t="n"/>
      <c r="E488" s="56" t="n"/>
      <c r="F488" s="58" t="n"/>
      <c r="G488" s="56" t="n"/>
      <c r="H488" s="65" t="n"/>
    </row>
    <row r="489" ht="28.25" customHeight="1">
      <c r="A489" s="56">
        <f>IF(B489="","",IFERROR(INDEX('21 2026 ÜRETİM'!$A$2:$A$501,MATCH(B489,'21 2026 ÜRETİM'!$G$2:$G$501,0)),""))</f>
        <v/>
      </c>
      <c r="B489" s="58" t="n"/>
      <c r="C489" s="56" t="n"/>
      <c r="D489" s="58" t="n"/>
      <c r="E489" s="56" t="n"/>
      <c r="F489" s="58" t="n"/>
      <c r="G489" s="56" t="n"/>
      <c r="H489" s="65" t="n"/>
    </row>
    <row r="490" ht="28.25" customHeight="1">
      <c r="A490" s="56">
        <f>IF(B490="","",IFERROR(INDEX('21 2026 ÜRETİM'!$A$2:$A$501,MATCH(B490,'21 2026 ÜRETİM'!$G$2:$G$501,0)),""))</f>
        <v/>
      </c>
      <c r="B490" s="58" t="n"/>
      <c r="C490" s="56" t="n"/>
      <c r="D490" s="58" t="n"/>
      <c r="E490" s="56" t="n"/>
      <c r="F490" s="58" t="n"/>
      <c r="G490" s="56" t="n"/>
      <c r="H490" s="65" t="n"/>
    </row>
    <row r="491" ht="28.25" customHeight="1">
      <c r="A491" s="56">
        <f>IF(B491="","",IFERROR(INDEX('21 2026 ÜRETİM'!$A$2:$A$501,MATCH(B491,'21 2026 ÜRETİM'!$G$2:$G$501,0)),""))</f>
        <v/>
      </c>
      <c r="B491" s="58" t="n"/>
      <c r="C491" s="56" t="n"/>
      <c r="D491" s="58" t="n"/>
      <c r="E491" s="56" t="n"/>
      <c r="F491" s="58" t="n"/>
      <c r="G491" s="56" t="n"/>
      <c r="H491" s="65" t="n"/>
    </row>
    <row r="492" ht="28.25" customHeight="1">
      <c r="A492" s="56">
        <f>IF(B492="","",IFERROR(INDEX('21 2026 ÜRETİM'!$A$2:$A$501,MATCH(B492,'21 2026 ÜRETİM'!$G$2:$G$501,0)),""))</f>
        <v/>
      </c>
      <c r="B492" s="58" t="n"/>
      <c r="C492" s="56" t="n"/>
      <c r="D492" s="58" t="n"/>
      <c r="E492" s="56" t="n"/>
      <c r="F492" s="58" t="n"/>
      <c r="G492" s="56" t="n"/>
      <c r="H492" s="65" t="n"/>
    </row>
    <row r="493" ht="28.25" customHeight="1">
      <c r="A493" s="56">
        <f>IF(B493="","",IFERROR(INDEX('21 2026 ÜRETİM'!$A$2:$A$501,MATCH(B493,'21 2026 ÜRETİM'!$G$2:$G$501,0)),""))</f>
        <v/>
      </c>
      <c r="B493" s="58" t="n"/>
      <c r="C493" s="56" t="n"/>
      <c r="D493" s="58" t="n"/>
      <c r="E493" s="56" t="n"/>
      <c r="F493" s="58" t="n"/>
      <c r="G493" s="56" t="n"/>
      <c r="H493" s="65" t="n"/>
    </row>
    <row r="494" ht="28.25" customHeight="1">
      <c r="A494" s="56">
        <f>IF(B494="","",IFERROR(INDEX('21 2026 ÜRETİM'!$A$2:$A$501,MATCH(B494,'21 2026 ÜRETİM'!$G$2:$G$501,0)),""))</f>
        <v/>
      </c>
      <c r="B494" s="58" t="n"/>
      <c r="C494" s="56" t="n"/>
      <c r="D494" s="58" t="n"/>
      <c r="E494" s="56" t="n"/>
      <c r="F494" s="58" t="n"/>
      <c r="G494" s="56" t="n"/>
      <c r="H494" s="65" t="n"/>
    </row>
    <row r="495" ht="28.25" customHeight="1">
      <c r="A495" s="56">
        <f>IF(B495="","",IFERROR(INDEX('21 2026 ÜRETİM'!$A$2:$A$501,MATCH(B495,'21 2026 ÜRETİM'!$G$2:$G$501,0)),""))</f>
        <v/>
      </c>
      <c r="B495" s="58" t="n"/>
      <c r="C495" s="56" t="n"/>
      <c r="D495" s="58" t="n"/>
      <c r="E495" s="56" t="n"/>
      <c r="F495" s="58" t="n"/>
      <c r="G495" s="56" t="n"/>
      <c r="H495" s="65" t="n"/>
    </row>
    <row r="496" ht="28.25" customHeight="1">
      <c r="A496" s="56">
        <f>IF(B496="","",IFERROR(INDEX('21 2026 ÜRETİM'!$A$2:$A$501,MATCH(B496,'21 2026 ÜRETİM'!$G$2:$G$501,0)),""))</f>
        <v/>
      </c>
      <c r="B496" s="58" t="n"/>
      <c r="C496" s="56" t="n"/>
      <c r="D496" s="58" t="n"/>
      <c r="E496" s="56" t="n"/>
      <c r="F496" s="58" t="n"/>
      <c r="G496" s="56" t="n"/>
      <c r="H496" s="65" t="n"/>
    </row>
    <row r="497" ht="28.25" customHeight="1">
      <c r="A497" s="56">
        <f>IF(B497="","",IFERROR(INDEX('21 2026 ÜRETİM'!$A$2:$A$501,MATCH(B497,'21 2026 ÜRETİM'!$G$2:$G$501,0)),""))</f>
        <v/>
      </c>
      <c r="B497" s="58" t="n"/>
      <c r="C497" s="56" t="n"/>
      <c r="D497" s="58" t="n"/>
      <c r="E497" s="56" t="n"/>
      <c r="F497" s="58" t="n"/>
      <c r="G497" s="56" t="n"/>
      <c r="H497" s="65" t="n"/>
    </row>
    <row r="498" ht="28.25" customHeight="1">
      <c r="A498" s="56">
        <f>IF(B498="","",IFERROR(INDEX('21 2026 ÜRETİM'!$A$2:$A$501,MATCH(B498,'21 2026 ÜRETİM'!$G$2:$G$501,0)),""))</f>
        <v/>
      </c>
      <c r="B498" s="58" t="n"/>
      <c r="C498" s="56" t="n"/>
      <c r="D498" s="58" t="n"/>
      <c r="E498" s="56" t="n"/>
      <c r="F498" s="58" t="n"/>
      <c r="G498" s="56" t="n"/>
      <c r="H498" s="65" t="n"/>
    </row>
    <row r="499" ht="28.25" customHeight="1">
      <c r="A499" s="56">
        <f>IF(B499="","",IFERROR(INDEX('21 2026 ÜRETİM'!$A$2:$A$501,MATCH(B499,'21 2026 ÜRETİM'!$G$2:$G$501,0)),""))</f>
        <v/>
      </c>
      <c r="B499" s="58" t="n"/>
      <c r="C499" s="56" t="n"/>
      <c r="D499" s="58" t="n"/>
      <c r="E499" s="56" t="n"/>
      <c r="F499" s="58" t="n"/>
      <c r="G499" s="56" t="n"/>
      <c r="H499" s="65" t="n"/>
    </row>
    <row r="500" ht="28.25" customHeight="1">
      <c r="A500" s="56">
        <f>IF(B500="","",IFERROR(INDEX('21 2026 ÜRETİM'!$A$2:$A$501,MATCH(B500,'21 2026 ÜRETİM'!$G$2:$G$501,0)),""))</f>
        <v/>
      </c>
      <c r="B500" s="58" t="n"/>
      <c r="C500" s="56" t="n"/>
      <c r="D500" s="58" t="n"/>
      <c r="E500" s="56" t="n"/>
      <c r="F500" s="58" t="n"/>
      <c r="G500" s="56" t="n"/>
      <c r="H500" s="65" t="n"/>
    </row>
    <row r="501" ht="28.25" customHeight="1">
      <c r="A501" s="56">
        <f>IF(B501="","",IFERROR(INDEX('21 2026 ÜRETİM'!$A$2:$A$501,MATCH(B501,'21 2026 ÜRETİM'!$G$2:$G$501,0)),""))</f>
        <v/>
      </c>
      <c r="B501" s="58" t="n"/>
      <c r="C501" s="56" t="n"/>
      <c r="D501" s="58" t="n"/>
      <c r="E501" s="56" t="n"/>
      <c r="F501" s="58" t="n"/>
      <c r="G501" s="56" t="n"/>
      <c r="H501" s="65" t="n"/>
    </row>
  </sheetData>
  <autoFilter ref="A1:H501"/>
  <hyperlinks>
    <hyperlink ref="V1" location="'00 ANA SAYFA'!A1" display="⌂ ANA SAYFA"/>
    <hyperlink ref="V2" location="'21 2026 ÜRETİM'!A1" display="→ ÜRETİM"/>
    <hyperlink ref="V3" location="'25 2026 LOT BAĞI'!A1" display="→ LOT BAĞI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10" defaultColWidth="8.83203125" defaultRowHeight="15"/>
  <cols>
    <col width="34" customWidth="1" min="1" max="1"/>
    <col width="21" customWidth="1" min="2" max="2"/>
    <col width="16" customWidth="1" min="4" max="4"/>
    <col width="14" customWidth="1" min="5" max="5"/>
    <col width="18" customWidth="1" min="6" max="6"/>
    <col width="22" customWidth="1" min="7" max="7"/>
    <col width="17" customWidth="1" min="8" max="8"/>
  </cols>
  <sheetData>
    <row r="1" ht="28.25" customHeight="1">
      <c r="A1" s="26" t="inlineStr">
        <is>
          <t>Üretim Tarihi</t>
        </is>
      </c>
      <c r="B1" s="26" t="inlineStr">
        <is>
          <t>Teorik kg</t>
        </is>
      </c>
      <c r="C1" s="26" t="inlineStr">
        <is>
          <t>Net Mamul kg</t>
        </is>
      </c>
      <c r="D1" s="26" t="inlineStr">
        <is>
          <t>Paketlenen kg</t>
        </is>
      </c>
      <c r="E1" s="26" t="inlineStr">
        <is>
          <t>Sevk kg</t>
        </is>
      </c>
      <c r="F1" s="26" t="inlineStr">
        <is>
          <t>Paketli Stok kg</t>
        </is>
      </c>
      <c r="G1" s="26" t="inlineStr">
        <is>
          <t>Paketleme Bakiye kg</t>
        </is>
      </c>
      <c r="H1" s="26" t="inlineStr">
        <is>
          <t>Kütle Farkı kg</t>
        </is>
      </c>
      <c r="I1" s="26" t="inlineStr">
        <is>
          <t>Kontrol Sonucu</t>
        </is>
      </c>
    </row>
    <row r="2" ht="15" customHeight="1">
      <c r="A2" s="1" t="inlineStr">
        <is>
          <t>14.01.2026</t>
        </is>
      </c>
      <c r="B2" s="18" t="n">
        <v>244.944</v>
      </c>
      <c r="C2" s="18" t="n">
        <v>240.944</v>
      </c>
      <c r="D2" s="18" t="n">
        <v>240</v>
      </c>
      <c r="E2" s="18" t="n">
        <v>240</v>
      </c>
      <c r="F2" s="18" t="n">
        <v>0</v>
      </c>
      <c r="G2" s="18" t="n">
        <v>0</v>
      </c>
      <c r="H2" s="18" t="n">
        <v>0</v>
      </c>
      <c r="I2" s="10" t="inlineStr">
        <is>
          <t>UYGUN</t>
        </is>
      </c>
    </row>
    <row r="3" ht="15" customHeight="1">
      <c r="A3" s="1" t="inlineStr">
        <is>
          <t>17.02.2026</t>
        </is>
      </c>
      <c r="B3" s="18" t="n">
        <v>224.532</v>
      </c>
      <c r="C3" s="18" t="n">
        <v>221.532</v>
      </c>
      <c r="D3" s="18" t="n">
        <v>221</v>
      </c>
      <c r="E3" s="18" t="n">
        <v>221</v>
      </c>
      <c r="F3" s="18" t="n">
        <v>0</v>
      </c>
      <c r="G3" s="18" t="n">
        <v>0</v>
      </c>
      <c r="H3" s="18" t="n">
        <v>0</v>
      </c>
      <c r="I3" s="10" t="inlineStr">
        <is>
          <t>UYGUN</t>
        </is>
      </c>
    </row>
    <row r="4" ht="15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15" customHeight="1">
      <c r="A5" s="26" t="inlineStr">
        <is>
          <t>ÇAPRAZ KONTROL SONUCU</t>
        </is>
      </c>
      <c r="B5" s="23" t="n"/>
      <c r="C5" s="23" t="n"/>
      <c r="D5" s="23" t="n"/>
      <c r="E5" s="23" t="n"/>
      <c r="F5" s="23" t="n"/>
      <c r="G5" s="23" t="n"/>
      <c r="H5" s="23" t="n"/>
      <c r="I5" s="24" t="n"/>
    </row>
    <row r="6" ht="15" customHeight="1">
      <c r="A6" s="27" t="inlineStr">
        <is>
          <t>14.01.2026 üretimi: 240,000 kg paketlenmiş ürünün tamamı 100 kg ALEK + 140 kg festival/fuar hareketiyle kapanıyor.</t>
        </is>
      </c>
      <c r="B6" s="23" t="n"/>
      <c r="C6" s="23" t="n"/>
      <c r="D6" s="23" t="n"/>
      <c r="E6" s="23" t="n"/>
      <c r="F6" s="23" t="n"/>
      <c r="G6" s="23" t="n"/>
      <c r="H6" s="23" t="n"/>
      <c r="I6" s="24" t="n"/>
    </row>
    <row r="7" ht="15" customHeight="1">
      <c r="A7" s="27" t="inlineStr">
        <is>
          <t>17.02.2026 üretimi: 221,000 kg paketlenmiş ürünün tamamı 64 kg + 45 kg + 112 kg sevkiyatla kapanıyor.</t>
        </is>
      </c>
      <c r="B7" s="23" t="n"/>
      <c r="C7" s="23" t="n"/>
      <c r="D7" s="23" t="n"/>
      <c r="E7" s="23" t="n"/>
      <c r="F7" s="23" t="n"/>
      <c r="G7" s="23" t="n"/>
      <c r="H7" s="23" t="n"/>
      <c r="I7" s="24" t="n"/>
    </row>
    <row r="8" ht="15" customHeight="1">
      <c r="A8" s="27" t="inlineStr">
        <is>
          <t>Her iki üretimde paketleme öncesi bakiye, kayıtlı paketleme firesiyle birlikte matematiksel olarak sıfırlanıyor. Kütle farkı 0,000 kg.</t>
        </is>
      </c>
      <c r="B8" s="23" t="n"/>
      <c r="C8" s="23" t="n"/>
      <c r="D8" s="23" t="n"/>
      <c r="E8" s="23" t="n"/>
      <c r="F8" s="23" t="n"/>
      <c r="G8" s="23" t="n"/>
      <c r="H8" s="23" t="n"/>
      <c r="I8" s="24" t="n"/>
    </row>
  </sheetData>
  <autoFilter ref="A1:I8"/>
  <mergeCells count="4">
    <mergeCell ref="A5:I5"/>
    <mergeCell ref="A7:I7"/>
    <mergeCell ref="A8:I8"/>
    <mergeCell ref="A6:I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selection activeCell="B18" sqref="B18"/>
    </sheetView>
  </sheetViews>
  <sheetFormatPr baseColWidth="10" defaultColWidth="8.83203125" defaultRowHeight="15"/>
  <cols>
    <col width="22" customWidth="1" min="1" max="1"/>
    <col width="201.5" customWidth="1" min="2" max="2"/>
  </cols>
  <sheetData>
    <row r="1" ht="15" customHeight="1">
      <c r="A1" s="83" t="inlineStr">
        <is>
          <t>KULLANIM KURALI</t>
        </is>
      </c>
      <c r="B1" s="83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</row>
    <row r="2" ht="15" customHeight="1">
      <c r="A2" s="83" t="inlineStr">
        <is>
          <t>ANA AKIŞ</t>
        </is>
      </c>
      <c r="B2" s="83" t="inlineStr">
        <is>
          <t>00 ANA SAYFA → 20 DEPO KABUL → 21 ÜRETİM → 22 PAKETLEME → 23 SEVKİYAT → 24 KÜTLE DENKLİĞİ → 25 LOT BAĞI → 26 TEMİZLİK</t>
        </is>
      </c>
      <c r="C2" s="30" t="n"/>
      <c r="D2" s="30" t="n"/>
      <c r="E2" s="30" t="n"/>
      <c r="F2" s="30" t="n"/>
      <c r="G2" s="30" t="n"/>
      <c r="H2" s="30" t="n"/>
      <c r="I2" s="30" t="n"/>
      <c r="J2" s="30" t="n"/>
      <c r="K2" s="30" t="n"/>
      <c r="L2" s="30" t="n"/>
      <c r="M2" s="30" t="n"/>
      <c r="N2" s="30" t="n"/>
      <c r="O2" s="30" t="n"/>
    </row>
    <row r="3" ht="15" customHeight="1">
      <c r="A3" s="83" t="inlineStr">
        <is>
          <t>DEPO KABUL</t>
        </is>
      </c>
      <c r="B3" s="83" t="inlineStr">
        <is>
          <t>Hammaddeyi açılır listeden seç. Tedarikçi ve birim otomatik gelir. Lotu yalnız kabulde bir kez yaz.</t>
        </is>
      </c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</row>
    <row r="4" ht="15" customHeight="1">
      <c r="A4" s="83" t="inlineStr">
        <is>
          <t>ÜRETİM</t>
        </is>
      </c>
      <c r="B4" s="83" t="inlineStr">
        <is>
          <t>Tarih, parti ve gerçek üretim firesini gir. kg/parti, teorik kg, net mamul ve üretim lotu otomatik oluşur.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0" t="n"/>
      <c r="M4" s="30" t="n"/>
      <c r="N4" s="30" t="n"/>
      <c r="O4" s="30" t="n"/>
    </row>
    <row r="5" ht="15" customHeight="1">
      <c r="A5" s="83" t="inlineStr">
        <is>
          <t>PAKETLEME</t>
        </is>
      </c>
      <c r="B5" s="83" t="inlineStr">
        <is>
          <t>Üretim tarihini listeden seç. Paketleme tarihi ertesi gün, net mamul ve paket kg hesapları otomatik gelir. Sadece paket adetleri ve gerçek paketleme firesini gir.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  <c r="M5" s="30" t="n"/>
      <c r="N5" s="30" t="n"/>
      <c r="O5" s="30" t="n"/>
    </row>
    <row r="6" ht="15" customHeight="1">
      <c r="A6" s="83" t="inlineStr">
        <is>
          <t>SEVKİYAT</t>
        </is>
      </c>
      <c r="B6" s="83" t="inlineStr">
        <is>
          <t>Üretim bağını ve ambalajı listeden seç. Paket adedi girildiğinde kg otomatik hesaplanır.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</row>
    <row r="7" ht="15" customHeight="1">
      <c r="A7" s="83" t="inlineStr">
        <is>
          <t>LOT BAĞI</t>
        </is>
      </c>
      <c r="B7" s="83" t="inlineStr">
        <is>
          <t>Her üretim tek satırdır. Aynı üretim lotunu 8 kez tekrar yazma. Mevcut lot bağları konsolide edildi.</t>
        </is>
      </c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</row>
    <row r="8" ht="15" customHeight="1">
      <c r="A8" s="83" t="inlineStr">
        <is>
          <t>TEMİZLİK</t>
        </is>
      </c>
      <c r="B8" s="83" t="inlineStr">
        <is>
          <t>Üretim lotunu seç. Tarih ve standart üretim sonrası temizlik alanları otomatik gelir.</t>
        </is>
      </c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</row>
    <row r="9" ht="15" customHeight="1">
      <c r="A9" s="83" t="inlineStr">
        <is>
          <t>2025</t>
        </is>
      </c>
      <c r="B9" s="83" t="inlineStr">
        <is>
          <t>Kapanmış tarihsel dönemdir; değiştirme.</t>
        </is>
      </c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</row>
    <row r="10" ht="15" customHeight="1">
      <c r="A10" s="83" t="inlineStr">
        <is>
          <t>KURAL</t>
        </is>
      </c>
      <c r="B10" s="83" t="inlineStr">
        <is>
          <t>Sarı/açık giriş alanlarına gerçek veri gir. Geçmişe dönük tahmini kayıt oluşturma.</t>
        </is>
      </c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</row>
    <row r="11">
      <c r="A11" s="83" t="inlineStr">
        <is>
          <t>REV10 DÜZELTME</t>
        </is>
      </c>
      <c r="B11" s="83" t="inlineStr">
        <is>
          <t>21 ÜRETİM ve 23 SEVKİYAT sayfalarında 502+ satırlara taşınmış mükerrer veri blokları kaldırıldı; gerçek kayıtlar üstte tek blokta konsolide edildi.</t>
        </is>
      </c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</row>
    <row r="12">
      <c r="A12" s="83" t="inlineStr">
        <is>
          <t>REV12 LOT SEÇİMİ</t>
        </is>
      </c>
      <c r="B12" s="83" t="inlineStr">
        <is>
          <t>25 LOT BAĞI: her hammadde sütununda yalnız 20 DEPO KABUL'de o hammadde için kayıtlı lotlar açılır listede görünür. Lot tekrar yazılmaz; seçilir. BENECEL kabul lotu 2743063 olarak düzeltildi.</t>
        </is>
      </c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</row>
    <row r="13">
      <c r="A13" s="83" t="inlineStr">
        <is>
          <t>REV13 DÜZELTME</t>
        </is>
      </c>
      <c r="B13" s="83" t="inlineStr">
        <is>
          <t>Lot bağı içinde fiilen kullanılan ancak depo kabul listesinden düşmüş tarihsel lotlar depo kabul lot havuzuna geri alındı. Teyitsiz kabul tarihleri uydurulmadı; notla işaretlendi. Ana panel üretim günü COUNTA ile düzeltildi ve sevk noktası SUMIF satır referansları düzeltildi.</t>
        </is>
      </c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5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6" customWidth="1" min="1" max="1"/>
    <col width="18" customWidth="1" min="3" max="3"/>
    <col width="40" customWidth="1" min="4" max="4"/>
    <col width="20" customWidth="1" min="5" max="5"/>
    <col width="14" customWidth="1" min="6" max="6"/>
    <col width="40" customWidth="1" min="7" max="7"/>
    <col width="15" customWidth="1" min="9" max="9"/>
    <col width="40" customWidth="1" min="10" max="10"/>
  </cols>
  <sheetData>
    <row r="1" ht="26.75" customHeight="1">
      <c r="A1" s="17" t="inlineStr">
        <is>
          <t>Üretim Tarihi</t>
        </is>
      </c>
      <c r="B1" s="17" t="inlineStr">
        <is>
          <t>Üretim Lot No</t>
        </is>
      </c>
      <c r="C1" s="17" t="inlineStr">
        <is>
          <t>Hammadde Lot No</t>
        </is>
      </c>
      <c r="D1" s="17" t="inlineStr">
        <is>
          <t>Hammadde Otomatik</t>
        </is>
      </c>
      <c r="E1" s="17" t="inlineStr">
        <is>
          <t>Kullanılan Miktar</t>
        </is>
      </c>
      <c r="F1" s="17" t="inlineStr">
        <is>
          <t>Birim</t>
        </is>
      </c>
      <c r="G1" s="17" t="inlineStr">
        <is>
          <t>ÜRT Otomatik</t>
        </is>
      </c>
      <c r="H1" s="17" t="inlineStr">
        <is>
          <t>SKT Otomatik</t>
        </is>
      </c>
      <c r="I1" s="17" t="inlineStr">
        <is>
          <t>Kontrol Eden</t>
        </is>
      </c>
      <c r="J1" s="17" t="inlineStr">
        <is>
          <t>Açıklama</t>
        </is>
      </c>
    </row>
    <row r="2" ht="15" customHeight="1">
      <c r="A2" s="1" t="inlineStr">
        <is>
          <t>14.01.2026</t>
        </is>
      </c>
      <c r="B2" s="1" t="inlineStr">
        <is>
          <t>270114</t>
        </is>
      </c>
      <c r="C2" s="1" t="inlineStr">
        <is>
          <t>251011</t>
        </is>
      </c>
      <c r="D2" s="1" t="inlineStr">
        <is>
          <t>Patates unu</t>
        </is>
      </c>
      <c r="E2" s="1" t="n"/>
      <c r="F2" s="1" t="n"/>
      <c r="G2" s="1" t="inlineStr">
        <is>
          <t>02.01.2026</t>
        </is>
      </c>
      <c r="H2" s="1" t="inlineStr">
        <is>
          <t>11.10.2026</t>
        </is>
      </c>
      <c r="I2" s="1" t="n"/>
      <c r="J2" s="1" t="inlineStr">
        <is>
          <t>Geçmiş kayıt lot bağı</t>
        </is>
      </c>
    </row>
    <row r="3" ht="15" customHeight="1">
      <c r="A3" s="1" t="inlineStr">
        <is>
          <t>14.01.2026</t>
        </is>
      </c>
      <c r="B3" s="1" t="inlineStr">
        <is>
          <t>270114</t>
        </is>
      </c>
      <c r="C3" s="1" t="inlineStr">
        <is>
          <t>57108774</t>
        </is>
      </c>
      <c r="D3" s="1" t="inlineStr">
        <is>
          <t>Mısır nişastası</t>
        </is>
      </c>
      <c r="E3" s="1" t="n"/>
      <c r="F3" s="1" t="n"/>
      <c r="G3" s="1" t="inlineStr">
        <is>
          <t>05.01.2026</t>
        </is>
      </c>
      <c r="H3" s="1" t="inlineStr">
        <is>
          <t>05.01.2028</t>
        </is>
      </c>
      <c r="I3" s="1" t="n"/>
      <c r="J3" s="1" t="inlineStr">
        <is>
          <t>Geçmiş kayıt lot bağı</t>
        </is>
      </c>
    </row>
    <row r="4" ht="15" customHeight="1">
      <c r="A4" s="1" t="inlineStr">
        <is>
          <t>14.01.2026</t>
        </is>
      </c>
      <c r="B4" s="1" t="inlineStr">
        <is>
          <t>270114</t>
        </is>
      </c>
      <c r="C4" s="1" t="inlineStr">
        <is>
          <t>2732248</t>
        </is>
      </c>
      <c r="D4" s="1" t="inlineStr">
        <is>
          <t>BENECEL</t>
        </is>
      </c>
      <c r="E4" s="1" t="n"/>
      <c r="F4" s="1" t="n"/>
      <c r="G4" s="1" t="inlineStr">
        <is>
          <t>14.08.2025</t>
        </is>
      </c>
      <c r="H4" s="1" t="inlineStr">
        <is>
          <t>14.08.2027</t>
        </is>
      </c>
      <c r="I4" s="1" t="n"/>
      <c r="J4" s="1" t="inlineStr">
        <is>
          <t>Geçmiş kayıt lot bağı</t>
        </is>
      </c>
    </row>
    <row r="5" ht="15" customHeight="1">
      <c r="A5" s="1" t="inlineStr">
        <is>
          <t>14.01.2026</t>
        </is>
      </c>
      <c r="B5" s="1" t="inlineStr">
        <is>
          <t>270114</t>
        </is>
      </c>
      <c r="C5" s="1" t="inlineStr">
        <is>
          <t>20423</t>
        </is>
      </c>
      <c r="D5" s="1" t="inlineStr">
        <is>
          <t>Tuz</t>
        </is>
      </c>
      <c r="E5" s="1" t="n"/>
      <c r="F5" s="1" t="n"/>
      <c r="G5" s="1" t="inlineStr">
        <is>
          <t>16.11.2025</t>
        </is>
      </c>
      <c r="H5" s="1" t="inlineStr">
        <is>
          <t>16.11.2029</t>
        </is>
      </c>
      <c r="I5" s="1" t="n"/>
      <c r="J5" s="1" t="inlineStr">
        <is>
          <t>Geçmiş kayıt lot bağı</t>
        </is>
      </c>
    </row>
    <row r="6" ht="15" customHeight="1">
      <c r="A6" s="1" t="inlineStr">
        <is>
          <t>14.01.2026</t>
        </is>
      </c>
      <c r="B6" s="1" t="inlineStr">
        <is>
          <t>270114</t>
        </is>
      </c>
      <c r="C6" s="1" t="inlineStr">
        <is>
          <t>9222</t>
        </is>
      </c>
      <c r="D6" s="1" t="inlineStr">
        <is>
          <t>Mısır unu</t>
        </is>
      </c>
      <c r="E6" s="1" t="n"/>
      <c r="F6" s="1" t="n"/>
      <c r="G6" s="1" t="inlineStr">
        <is>
          <t>13.01.2026</t>
        </is>
      </c>
      <c r="H6" s="1" t="inlineStr">
        <is>
          <t>13.01.2027</t>
        </is>
      </c>
      <c r="I6" s="1" t="n"/>
      <c r="J6" s="1" t="inlineStr">
        <is>
          <t>Geçmiş kayıt lot bağı</t>
        </is>
      </c>
    </row>
    <row r="7" ht="15" customHeight="1">
      <c r="A7" s="1" t="inlineStr">
        <is>
          <t>14.01.2026</t>
        </is>
      </c>
      <c r="B7" s="1" t="inlineStr">
        <is>
          <t>270114</t>
        </is>
      </c>
      <c r="C7" s="1" t="inlineStr">
        <is>
          <t>170126-678</t>
        </is>
      </c>
      <c r="D7" s="1" t="inlineStr">
        <is>
          <t>Karabiber</t>
        </is>
      </c>
      <c r="E7" s="1" t="n"/>
      <c r="F7" s="1" t="n"/>
      <c r="G7" s="1" t="inlineStr">
        <is>
          <t>17.01.2026</t>
        </is>
      </c>
      <c r="H7" s="1" t="inlineStr">
        <is>
          <t>17.01.2028</t>
        </is>
      </c>
      <c r="I7" s="1" t="n"/>
      <c r="J7" s="1" t="inlineStr">
        <is>
          <t>Geçmiş kayıt lot bağı</t>
        </is>
      </c>
    </row>
    <row r="8" ht="15" customHeight="1">
      <c r="A8" s="1" t="inlineStr">
        <is>
          <t>14.01.2026</t>
        </is>
      </c>
      <c r="B8" s="1" t="inlineStr">
        <is>
          <t>270114</t>
        </is>
      </c>
      <c r="C8" s="1" t="inlineStr">
        <is>
          <t>040126-141</t>
        </is>
      </c>
      <c r="D8" s="1" t="inlineStr">
        <is>
          <t>Sarımsak tozu</t>
        </is>
      </c>
      <c r="E8" s="1" t="n"/>
      <c r="F8" s="1" t="n"/>
      <c r="G8" s="1" t="inlineStr">
        <is>
          <t>04.01.2026</t>
        </is>
      </c>
      <c r="H8" s="1" t="inlineStr">
        <is>
          <t>04.01.2028</t>
        </is>
      </c>
      <c r="I8" s="1" t="n"/>
      <c r="J8" s="1" t="inlineStr">
        <is>
          <t>Geçmiş kayıt lot bağı</t>
        </is>
      </c>
    </row>
    <row r="9" ht="15" customHeight="1">
      <c r="A9" s="1" t="inlineStr">
        <is>
          <t>17.02.2026</t>
        </is>
      </c>
      <c r="B9" s="1" t="inlineStr">
        <is>
          <t>270217</t>
        </is>
      </c>
      <c r="C9" s="1" t="inlineStr">
        <is>
          <t>251011</t>
        </is>
      </c>
      <c r="D9" s="1" t="inlineStr">
        <is>
          <t>Patates unu</t>
        </is>
      </c>
      <c r="E9" s="1" t="n"/>
      <c r="F9" s="1" t="n"/>
      <c r="G9" s="1" t="inlineStr">
        <is>
          <t>02.01.2026</t>
        </is>
      </c>
      <c r="H9" s="1" t="inlineStr">
        <is>
          <t>11.10.2026</t>
        </is>
      </c>
      <c r="I9" s="1" t="n"/>
      <c r="J9" s="1" t="inlineStr">
        <is>
          <t>Geçmiş kayıt lot bağı</t>
        </is>
      </c>
    </row>
    <row r="10" ht="15" customHeight="1">
      <c r="A10" s="1" t="inlineStr">
        <is>
          <t>17.02.2026</t>
        </is>
      </c>
      <c r="B10" s="1" t="inlineStr">
        <is>
          <t>270217</t>
        </is>
      </c>
      <c r="C10" s="1" t="inlineStr">
        <is>
          <t>57108774</t>
        </is>
      </c>
      <c r="D10" s="1" t="inlineStr">
        <is>
          <t>Mısır nişastası</t>
        </is>
      </c>
      <c r="E10" s="1" t="n"/>
      <c r="F10" s="1" t="n"/>
      <c r="G10" s="1" t="inlineStr">
        <is>
          <t>05.01.2026</t>
        </is>
      </c>
      <c r="H10" s="1" t="inlineStr">
        <is>
          <t>05.01.2028</t>
        </is>
      </c>
      <c r="I10" s="1" t="n"/>
      <c r="J10" s="1" t="inlineStr">
        <is>
          <t>Geçmiş kayıt lot bağı</t>
        </is>
      </c>
    </row>
    <row r="11" ht="15" customHeight="1">
      <c r="A11" s="1" t="inlineStr">
        <is>
          <t>17.02.2026</t>
        </is>
      </c>
      <c r="B11" s="1" t="inlineStr">
        <is>
          <t>270217</t>
        </is>
      </c>
      <c r="C11" s="1" t="inlineStr">
        <is>
          <t>2732248</t>
        </is>
      </c>
      <c r="D11" s="1" t="inlineStr">
        <is>
          <t>BENECEL</t>
        </is>
      </c>
      <c r="E11" s="1" t="n"/>
      <c r="F11" s="1" t="n"/>
      <c r="G11" s="1" t="inlineStr">
        <is>
          <t>14.08.2025</t>
        </is>
      </c>
      <c r="H11" s="1" t="inlineStr">
        <is>
          <t>14.08.2027</t>
        </is>
      </c>
      <c r="I11" s="1" t="n"/>
      <c r="J11" s="1" t="inlineStr">
        <is>
          <t>Geçmiş kayıt lot bağı</t>
        </is>
      </c>
    </row>
    <row r="12" ht="15" customHeight="1">
      <c r="A12" s="1" t="inlineStr">
        <is>
          <t>17.02.2026</t>
        </is>
      </c>
      <c r="B12" s="1" t="inlineStr">
        <is>
          <t>270217</t>
        </is>
      </c>
      <c r="C12" s="1" t="inlineStr">
        <is>
          <t>20423</t>
        </is>
      </c>
      <c r="D12" s="1" t="inlineStr">
        <is>
          <t>Tuz</t>
        </is>
      </c>
      <c r="E12" s="1" t="n"/>
      <c r="F12" s="1" t="n"/>
      <c r="G12" s="1" t="inlineStr">
        <is>
          <t>16.11.2025</t>
        </is>
      </c>
      <c r="H12" s="1" t="inlineStr">
        <is>
          <t>16.11.2029</t>
        </is>
      </c>
      <c r="I12" s="1" t="n"/>
      <c r="J12" s="1" t="inlineStr">
        <is>
          <t>Geçmiş kayıt lot bağı</t>
        </is>
      </c>
    </row>
    <row r="13" ht="15" customHeight="1">
      <c r="A13" s="1" t="inlineStr">
        <is>
          <t>17.02.2026</t>
        </is>
      </c>
      <c r="B13" s="1" t="inlineStr">
        <is>
          <t>270217</t>
        </is>
      </c>
      <c r="C13" s="1" t="inlineStr">
        <is>
          <t>9222</t>
        </is>
      </c>
      <c r="D13" s="1" t="inlineStr">
        <is>
          <t>Mısır unu</t>
        </is>
      </c>
      <c r="E13" s="1" t="n"/>
      <c r="F13" s="1" t="n"/>
      <c r="G13" s="1" t="inlineStr">
        <is>
          <t>13.01.2026</t>
        </is>
      </c>
      <c r="H13" s="1" t="inlineStr">
        <is>
          <t>13.01.2027</t>
        </is>
      </c>
      <c r="I13" s="1" t="n"/>
      <c r="J13" s="1" t="inlineStr">
        <is>
          <t>Geçmiş kayıt lot bağı</t>
        </is>
      </c>
    </row>
    <row r="14" ht="15" customHeight="1">
      <c r="A14" s="1" t="inlineStr">
        <is>
          <t>17.02.2026</t>
        </is>
      </c>
      <c r="B14" s="1" t="inlineStr">
        <is>
          <t>270217</t>
        </is>
      </c>
      <c r="C14" s="1" t="inlineStr">
        <is>
          <t>170126-678</t>
        </is>
      </c>
      <c r="D14" s="1" t="inlineStr">
        <is>
          <t>Karabiber</t>
        </is>
      </c>
      <c r="E14" s="1" t="n"/>
      <c r="F14" s="1" t="n"/>
      <c r="G14" s="1" t="inlineStr">
        <is>
          <t>17.01.2026</t>
        </is>
      </c>
      <c r="H14" s="1" t="inlineStr">
        <is>
          <t>17.01.2028</t>
        </is>
      </c>
      <c r="I14" s="1" t="n"/>
      <c r="J14" s="1" t="inlineStr">
        <is>
          <t>Geçmiş kayıt lot bağı</t>
        </is>
      </c>
    </row>
    <row r="15" ht="15" customHeight="1">
      <c r="A15" s="1" t="inlineStr">
        <is>
          <t>17.02.2026</t>
        </is>
      </c>
      <c r="B15" s="1" t="inlineStr">
        <is>
          <t>270217</t>
        </is>
      </c>
      <c r="C15" s="1" t="inlineStr">
        <is>
          <t>040126-141</t>
        </is>
      </c>
      <c r="D15" s="1" t="inlineStr">
        <is>
          <t>Sarımsak tozu</t>
        </is>
      </c>
      <c r="E15" s="1" t="n"/>
      <c r="F15" s="1" t="n"/>
      <c r="G15" s="1" t="inlineStr">
        <is>
          <t>04.01.2026</t>
        </is>
      </c>
      <c r="H15" s="1" t="inlineStr">
        <is>
          <t>04.01.2028</t>
        </is>
      </c>
      <c r="I15" s="1" t="n"/>
      <c r="J15" s="1" t="inlineStr">
        <is>
          <t>Geçmiş kayıt lot bağı</t>
        </is>
      </c>
    </row>
    <row r="16" ht="15" customHeight="1">
      <c r="A16" s="27" t="inlineStr">
        <is>
          <t>15.04.2026</t>
        </is>
      </c>
      <c r="B16" s="27" t="inlineStr">
        <is>
          <t>270415</t>
        </is>
      </c>
      <c r="C16" s="27" t="inlineStr">
        <is>
          <t>251212</t>
        </is>
      </c>
      <c r="D16" s="1" t="inlineStr">
        <is>
          <t>Patates unu</t>
        </is>
      </c>
      <c r="E16" s="27" t="n"/>
      <c r="F16" s="27" t="n"/>
      <c r="G16" s="1" t="inlineStr">
        <is>
          <t>12.12.2025</t>
        </is>
      </c>
      <c r="H16" s="1" t="inlineStr">
        <is>
          <t>12.12.2026</t>
        </is>
      </c>
      <c r="I16" s="27" t="n"/>
      <c r="J16" s="27" t="inlineStr">
        <is>
          <t>2026 üretim lot bağı</t>
        </is>
      </c>
    </row>
    <row r="17" ht="15" customHeight="1">
      <c r="A17" s="27" t="inlineStr">
        <is>
          <t>15.04.2026</t>
        </is>
      </c>
      <c r="B17" s="27" t="inlineStr">
        <is>
          <t>270415</t>
        </is>
      </c>
      <c r="C17" s="27" t="inlineStr">
        <is>
          <t>58138875</t>
        </is>
      </c>
      <c r="D17" s="1" t="inlineStr">
        <is>
          <t>Mısır nişastası</t>
        </is>
      </c>
      <c r="E17" s="27" t="n"/>
      <c r="F17" s="27" t="n"/>
      <c r="G17" s="1" t="inlineStr">
        <is>
          <t>09.09.2025</t>
        </is>
      </c>
      <c r="H17" s="1" t="inlineStr">
        <is>
          <t>09.09.2027</t>
        </is>
      </c>
      <c r="I17" s="27" t="n"/>
      <c r="J17" s="27" t="inlineStr">
        <is>
          <t>2026 üretim lot bağı</t>
        </is>
      </c>
    </row>
    <row r="18" ht="15" customHeight="1">
      <c r="A18" s="27" t="inlineStr">
        <is>
          <t>15.04.2026</t>
        </is>
      </c>
      <c r="B18" s="27" t="inlineStr">
        <is>
          <t>270415</t>
        </is>
      </c>
      <c r="C18" s="27" t="inlineStr">
        <is>
          <t>9226</t>
        </is>
      </c>
      <c r="D18" s="1" t="inlineStr">
        <is>
          <t>Mısır unu</t>
        </is>
      </c>
      <c r="E18" s="27" t="n"/>
      <c r="F18" s="27" t="n"/>
      <c r="G18" s="1" t="inlineStr">
        <is>
          <t>20.02.2026</t>
        </is>
      </c>
      <c r="H18" s="1" t="inlineStr">
        <is>
          <t>20.02.2027</t>
        </is>
      </c>
      <c r="I18" s="27" t="n"/>
      <c r="J18" s="27" t="inlineStr">
        <is>
          <t>2026 üretim lot bağı</t>
        </is>
      </c>
    </row>
    <row r="19" ht="15" customHeight="1">
      <c r="A19" s="27" t="inlineStr">
        <is>
          <t>15.04.2026</t>
        </is>
      </c>
      <c r="B19" s="27" t="inlineStr">
        <is>
          <t>270415</t>
        </is>
      </c>
      <c r="C19" s="27" t="inlineStr">
        <is>
          <t>20425</t>
        </is>
      </c>
      <c r="D19" s="1" t="inlineStr">
        <is>
          <t>Tuz</t>
        </is>
      </c>
      <c r="E19" s="27" t="n"/>
      <c r="F19" s="27" t="n"/>
      <c r="G19" s="1" t="inlineStr">
        <is>
          <t>23.07.2025</t>
        </is>
      </c>
      <c r="H19" s="1" t="inlineStr">
        <is>
          <t>23.07.2026</t>
        </is>
      </c>
      <c r="I19" s="27" t="n"/>
      <c r="J19" s="27" t="inlineStr">
        <is>
          <t>2026 üretim lot bağı</t>
        </is>
      </c>
    </row>
    <row r="20" ht="15" customHeight="1">
      <c r="A20" s="27" t="inlineStr">
        <is>
          <t>15.04.2026</t>
        </is>
      </c>
      <c r="B20" s="27" t="inlineStr">
        <is>
          <t>270415</t>
        </is>
      </c>
      <c r="C20" s="27" t="inlineStr">
        <is>
          <t>070426-693</t>
        </is>
      </c>
      <c r="D20" s="1" t="inlineStr">
        <is>
          <t>Karabiber</t>
        </is>
      </c>
      <c r="E20" s="27" t="n"/>
      <c r="F20" s="27" t="n"/>
      <c r="G20" s="1" t="inlineStr">
        <is>
          <t>07.04.2026</t>
        </is>
      </c>
      <c r="H20" s="1" t="inlineStr">
        <is>
          <t>07.04.2028</t>
        </is>
      </c>
      <c r="I20" s="27" t="n"/>
      <c r="J20" s="27" t="inlineStr">
        <is>
          <t>2026 üretim lot bağı</t>
        </is>
      </c>
    </row>
    <row r="21" ht="15" customHeight="1">
      <c r="A21" s="27" t="inlineStr">
        <is>
          <t>15.04.2026</t>
        </is>
      </c>
      <c r="B21" s="27" t="inlineStr">
        <is>
          <t>270415</t>
        </is>
      </c>
      <c r="C21" s="27" t="inlineStr">
        <is>
          <t>170226-157</t>
        </is>
      </c>
      <c r="D21" s="1" t="inlineStr">
        <is>
          <t>Sarımsak tozu</t>
        </is>
      </c>
      <c r="E21" s="27" t="n"/>
      <c r="F21" s="27" t="n"/>
      <c r="G21" s="1" t="inlineStr">
        <is>
          <t>17.02.2026</t>
        </is>
      </c>
      <c r="H21" s="1" t="inlineStr">
        <is>
          <t>17.02.2028</t>
        </is>
      </c>
      <c r="I21" s="27" t="n"/>
      <c r="J21" s="27" t="inlineStr">
        <is>
          <t>2026 üretim lot bağı</t>
        </is>
      </c>
    </row>
    <row r="22" ht="15" customHeight="1">
      <c r="A22" s="27" t="inlineStr">
        <is>
          <t>15.04.2026</t>
        </is>
      </c>
      <c r="B22" s="27" t="inlineStr">
        <is>
          <t>270415</t>
        </is>
      </c>
      <c r="C22" s="27" t="inlineStr">
        <is>
          <t>280108-234</t>
        </is>
      </c>
      <c r="D22" s="1" t="inlineStr">
        <is>
          <t>BENECEL</t>
        </is>
      </c>
      <c r="E22" s="27" t="n"/>
      <c r="F22" s="27" t="n"/>
      <c r="G22" s="1" t="inlineStr">
        <is>
          <t>08.01.2026</t>
        </is>
      </c>
      <c r="H22" s="1" t="inlineStr">
        <is>
          <t>08.01.2028</t>
        </is>
      </c>
      <c r="I22" s="27" t="n"/>
      <c r="J22" s="27" t="inlineStr">
        <is>
          <t>2026 üretim lot bağı</t>
        </is>
      </c>
    </row>
    <row r="23" ht="15" customHeight="1">
      <c r="A23" s="27" t="inlineStr">
        <is>
          <t>15.04.2026</t>
        </is>
      </c>
      <c r="B23" s="27" t="inlineStr">
        <is>
          <t>270415</t>
        </is>
      </c>
      <c r="C23" s="27" t="inlineStr">
        <is>
          <t>01.09.EY</t>
        </is>
      </c>
      <c r="D23" s="1" t="inlineStr">
        <is>
          <t>Savour tavuk çeşnisi</t>
        </is>
      </c>
      <c r="E23" s="27" t="n"/>
      <c r="F23" s="27" t="n"/>
      <c r="G23" s="1" t="n"/>
      <c r="H23" s="1" t="inlineStr">
        <is>
          <t>09.2026</t>
        </is>
      </c>
      <c r="I23" s="27" t="n"/>
      <c r="J23" s="27" t="inlineStr">
        <is>
          <t>2026 üretim lot bağı</t>
        </is>
      </c>
    </row>
    <row r="24" ht="15" customHeight="1">
      <c r="A24" s="27" t="inlineStr">
        <is>
          <t>27.04.2026</t>
        </is>
      </c>
      <c r="B24" s="27" t="inlineStr">
        <is>
          <t>270427</t>
        </is>
      </c>
      <c r="C24" s="27" t="inlineStr">
        <is>
          <t>251212</t>
        </is>
      </c>
      <c r="D24" s="1" t="inlineStr">
        <is>
          <t>Patates unu</t>
        </is>
      </c>
      <c r="E24" s="27" t="n"/>
      <c r="F24" s="27" t="n"/>
      <c r="G24" s="1" t="inlineStr">
        <is>
          <t>12.12.2025</t>
        </is>
      </c>
      <c r="H24" s="1" t="inlineStr">
        <is>
          <t>12.12.2026</t>
        </is>
      </c>
      <c r="I24" s="27" t="n"/>
      <c r="J24" s="27" t="inlineStr">
        <is>
          <t>2026 üretim lot bağı</t>
        </is>
      </c>
    </row>
    <row r="25" ht="15" customHeight="1">
      <c r="A25" s="27" t="inlineStr">
        <is>
          <t>27.04.2026</t>
        </is>
      </c>
      <c r="B25" s="27" t="inlineStr">
        <is>
          <t>270427</t>
        </is>
      </c>
      <c r="C25" s="27" t="inlineStr">
        <is>
          <t>58138875</t>
        </is>
      </c>
      <c r="D25" s="1" t="inlineStr">
        <is>
          <t>Mısır nişastası</t>
        </is>
      </c>
      <c r="E25" s="27" t="n"/>
      <c r="F25" s="27" t="n"/>
      <c r="G25" s="1" t="inlineStr">
        <is>
          <t>09.09.2025</t>
        </is>
      </c>
      <c r="H25" s="1" t="inlineStr">
        <is>
          <t>09.09.2027</t>
        </is>
      </c>
      <c r="I25" s="27" t="n"/>
      <c r="J25" s="27" t="inlineStr">
        <is>
          <t>2026 üretim lot bağı</t>
        </is>
      </c>
    </row>
    <row r="26" ht="15" customHeight="1">
      <c r="A26" s="27" t="inlineStr">
        <is>
          <t>27.04.2026</t>
        </is>
      </c>
      <c r="B26" s="27" t="inlineStr">
        <is>
          <t>270427</t>
        </is>
      </c>
      <c r="C26" s="27" t="inlineStr">
        <is>
          <t>9226</t>
        </is>
      </c>
      <c r="D26" s="1" t="inlineStr">
        <is>
          <t>Mısır unu</t>
        </is>
      </c>
      <c r="E26" s="27" t="n"/>
      <c r="F26" s="27" t="n"/>
      <c r="G26" s="1" t="inlineStr">
        <is>
          <t>20.02.2026</t>
        </is>
      </c>
      <c r="H26" s="1" t="inlineStr">
        <is>
          <t>20.02.2027</t>
        </is>
      </c>
      <c r="I26" s="27" t="n"/>
      <c r="J26" s="27" t="inlineStr">
        <is>
          <t>2026 üretim lot bağı</t>
        </is>
      </c>
    </row>
    <row r="27" ht="15" customHeight="1">
      <c r="A27" s="27" t="inlineStr">
        <is>
          <t>27.04.2026</t>
        </is>
      </c>
      <c r="B27" s="27" t="inlineStr">
        <is>
          <t>270427</t>
        </is>
      </c>
      <c r="C27" s="27" t="inlineStr">
        <is>
          <t>20425</t>
        </is>
      </c>
      <c r="D27" s="1" t="inlineStr">
        <is>
          <t>Tuz</t>
        </is>
      </c>
      <c r="E27" s="27" t="n"/>
      <c r="F27" s="27" t="n"/>
      <c r="G27" s="1" t="inlineStr">
        <is>
          <t>23.07.2025</t>
        </is>
      </c>
      <c r="H27" s="1" t="inlineStr">
        <is>
          <t>23.07.2026</t>
        </is>
      </c>
      <c r="I27" s="27" t="n"/>
      <c r="J27" s="27" t="inlineStr">
        <is>
          <t>2026 üretim lot bağı</t>
        </is>
      </c>
    </row>
    <row r="28" ht="15" customHeight="1">
      <c r="A28" s="27" t="inlineStr">
        <is>
          <t>27.04.2026</t>
        </is>
      </c>
      <c r="B28" s="27" t="inlineStr">
        <is>
          <t>270427</t>
        </is>
      </c>
      <c r="C28" s="27" t="inlineStr">
        <is>
          <t>070426-693</t>
        </is>
      </c>
      <c r="D28" s="1" t="inlineStr">
        <is>
          <t>Karabiber</t>
        </is>
      </c>
      <c r="E28" s="27" t="n"/>
      <c r="F28" s="27" t="n"/>
      <c r="G28" s="1" t="inlineStr">
        <is>
          <t>07.04.2026</t>
        </is>
      </c>
      <c r="H28" s="1" t="inlineStr">
        <is>
          <t>07.04.2028</t>
        </is>
      </c>
      <c r="I28" s="27" t="n"/>
      <c r="J28" s="27" t="inlineStr">
        <is>
          <t>2026 üretim lot bağı</t>
        </is>
      </c>
    </row>
    <row r="29" ht="15" customHeight="1">
      <c r="A29" s="27" t="inlineStr">
        <is>
          <t>27.04.2026</t>
        </is>
      </c>
      <c r="B29" s="27" t="inlineStr">
        <is>
          <t>270427</t>
        </is>
      </c>
      <c r="C29" s="27" t="inlineStr">
        <is>
          <t>170226-157</t>
        </is>
      </c>
      <c r="D29" s="1" t="inlineStr">
        <is>
          <t>Sarımsak tozu</t>
        </is>
      </c>
      <c r="E29" s="27" t="n"/>
      <c r="F29" s="27" t="n"/>
      <c r="G29" s="1" t="inlineStr">
        <is>
          <t>17.02.2026</t>
        </is>
      </c>
      <c r="H29" s="1" t="inlineStr">
        <is>
          <t>17.02.2028</t>
        </is>
      </c>
      <c r="I29" s="27" t="n"/>
      <c r="J29" s="27" t="inlineStr">
        <is>
          <t>2026 üretim lot bağı</t>
        </is>
      </c>
    </row>
    <row r="30" ht="15" customHeight="1">
      <c r="A30" s="27" t="inlineStr">
        <is>
          <t>27.04.2026</t>
        </is>
      </c>
      <c r="B30" s="27" t="inlineStr">
        <is>
          <t>270427</t>
        </is>
      </c>
      <c r="C30" s="27" t="inlineStr">
        <is>
          <t>280108-234</t>
        </is>
      </c>
      <c r="D30" s="1" t="inlineStr">
        <is>
          <t>BENECEL</t>
        </is>
      </c>
      <c r="E30" s="27" t="n"/>
      <c r="F30" s="27" t="n"/>
      <c r="G30" s="1" t="inlineStr">
        <is>
          <t>08.01.2026</t>
        </is>
      </c>
      <c r="H30" s="1" t="inlineStr">
        <is>
          <t>08.01.2028</t>
        </is>
      </c>
      <c r="I30" s="27" t="n"/>
      <c r="J30" s="27" t="inlineStr">
        <is>
          <t>2026 üretim lot bağı</t>
        </is>
      </c>
    </row>
    <row r="31" ht="15" customHeight="1">
      <c r="A31" s="27" t="inlineStr">
        <is>
          <t>27.04.2026</t>
        </is>
      </c>
      <c r="B31" s="27" t="inlineStr">
        <is>
          <t>270427</t>
        </is>
      </c>
      <c r="C31" s="27" t="inlineStr">
        <is>
          <t>01.09.EY</t>
        </is>
      </c>
      <c r="D31" s="1" t="inlineStr">
        <is>
          <t>Savour tavuk çeşnisi</t>
        </is>
      </c>
      <c r="E31" s="27" t="n"/>
      <c r="F31" s="27" t="n"/>
      <c r="G31" s="1" t="n"/>
      <c r="H31" s="1" t="inlineStr">
        <is>
          <t>09.2026</t>
        </is>
      </c>
      <c r="I31" s="27" t="n"/>
      <c r="J31" s="27" t="inlineStr">
        <is>
          <t>2026 üretim lot bağı</t>
        </is>
      </c>
    </row>
    <row r="32" ht="15" customHeight="1">
      <c r="A32" s="27" t="inlineStr">
        <is>
          <t>04.05.2026</t>
        </is>
      </c>
      <c r="B32" s="27" t="inlineStr">
        <is>
          <t>270504</t>
        </is>
      </c>
      <c r="C32" s="27" t="inlineStr">
        <is>
          <t>251212</t>
        </is>
      </c>
      <c r="D32" s="1" t="inlineStr">
        <is>
          <t>Patates unu</t>
        </is>
      </c>
      <c r="E32" s="27" t="n"/>
      <c r="F32" s="27" t="n"/>
      <c r="G32" s="1" t="inlineStr">
        <is>
          <t>12.12.2025</t>
        </is>
      </c>
      <c r="H32" s="1" t="inlineStr">
        <is>
          <t>12.12.2026</t>
        </is>
      </c>
      <c r="I32" s="27" t="n"/>
      <c r="J32" s="27" t="inlineStr">
        <is>
          <t>2026 üretim lot bağı</t>
        </is>
      </c>
    </row>
    <row r="33" ht="15" customHeight="1">
      <c r="A33" s="27" t="inlineStr">
        <is>
          <t>04.05.2026</t>
        </is>
      </c>
      <c r="B33" s="27" t="inlineStr">
        <is>
          <t>270504</t>
        </is>
      </c>
      <c r="C33" s="27" t="inlineStr">
        <is>
          <t>58138875</t>
        </is>
      </c>
      <c r="D33" s="1" t="inlineStr">
        <is>
          <t>Mısır nişastası</t>
        </is>
      </c>
      <c r="E33" s="27" t="n"/>
      <c r="F33" s="27" t="n"/>
      <c r="G33" s="1" t="inlineStr">
        <is>
          <t>09.09.2025</t>
        </is>
      </c>
      <c r="H33" s="1" t="inlineStr">
        <is>
          <t>09.09.2027</t>
        </is>
      </c>
      <c r="I33" s="27" t="n"/>
      <c r="J33" s="27" t="inlineStr">
        <is>
          <t>2026 üretim lot bağı</t>
        </is>
      </c>
    </row>
    <row r="34" ht="15" customHeight="1">
      <c r="A34" s="27" t="inlineStr">
        <is>
          <t>04.05.2026</t>
        </is>
      </c>
      <c r="B34" s="27" t="inlineStr">
        <is>
          <t>270504</t>
        </is>
      </c>
      <c r="C34" s="27" t="inlineStr">
        <is>
          <t>9226</t>
        </is>
      </c>
      <c r="D34" s="1" t="inlineStr">
        <is>
          <t>Mısır unu</t>
        </is>
      </c>
      <c r="E34" s="27" t="n"/>
      <c r="F34" s="27" t="n"/>
      <c r="G34" s="1" t="inlineStr">
        <is>
          <t>20.02.2026</t>
        </is>
      </c>
      <c r="H34" s="1" t="inlineStr">
        <is>
          <t>20.02.2027</t>
        </is>
      </c>
      <c r="I34" s="27" t="n"/>
      <c r="J34" s="27" t="inlineStr">
        <is>
          <t>2026 üretim lot bağı</t>
        </is>
      </c>
    </row>
    <row r="35" ht="15" customHeight="1">
      <c r="A35" s="27" t="inlineStr">
        <is>
          <t>04.05.2026</t>
        </is>
      </c>
      <c r="B35" s="27" t="inlineStr">
        <is>
          <t>270504</t>
        </is>
      </c>
      <c r="C35" s="27" t="inlineStr">
        <is>
          <t>20425</t>
        </is>
      </c>
      <c r="D35" s="1" t="inlineStr">
        <is>
          <t>Tuz</t>
        </is>
      </c>
      <c r="E35" s="27" t="n"/>
      <c r="F35" s="27" t="n"/>
      <c r="G35" s="1" t="inlineStr">
        <is>
          <t>23.07.2025</t>
        </is>
      </c>
      <c r="H35" s="1" t="inlineStr">
        <is>
          <t>23.07.2026</t>
        </is>
      </c>
      <c r="I35" s="27" t="n"/>
      <c r="J35" s="27" t="inlineStr">
        <is>
          <t>2026 üretim lot bağı</t>
        </is>
      </c>
    </row>
    <row r="36" ht="15" customHeight="1">
      <c r="A36" s="27" t="inlineStr">
        <is>
          <t>04.05.2026</t>
        </is>
      </c>
      <c r="B36" s="27" t="inlineStr">
        <is>
          <t>270504</t>
        </is>
      </c>
      <c r="C36" s="27" t="inlineStr">
        <is>
          <t>070426-693</t>
        </is>
      </c>
      <c r="D36" s="1" t="inlineStr">
        <is>
          <t>Karabiber</t>
        </is>
      </c>
      <c r="E36" s="27" t="n"/>
      <c r="F36" s="27" t="n"/>
      <c r="G36" s="1" t="inlineStr">
        <is>
          <t>07.04.2026</t>
        </is>
      </c>
      <c r="H36" s="1" t="inlineStr">
        <is>
          <t>07.04.2028</t>
        </is>
      </c>
      <c r="I36" s="27" t="n"/>
      <c r="J36" s="27" t="inlineStr">
        <is>
          <t>2026 üretim lot bağı</t>
        </is>
      </c>
    </row>
    <row r="37" ht="15" customHeight="1">
      <c r="A37" s="27" t="inlineStr">
        <is>
          <t>04.05.2026</t>
        </is>
      </c>
      <c r="B37" s="27" t="inlineStr">
        <is>
          <t>270504</t>
        </is>
      </c>
      <c r="C37" s="27" t="inlineStr">
        <is>
          <t>170226-157</t>
        </is>
      </c>
      <c r="D37" s="1" t="inlineStr">
        <is>
          <t>Sarımsak tozu</t>
        </is>
      </c>
      <c r="E37" s="27" t="n"/>
      <c r="F37" s="27" t="n"/>
      <c r="G37" s="1" t="inlineStr">
        <is>
          <t>17.02.2026</t>
        </is>
      </c>
      <c r="H37" s="1" t="inlineStr">
        <is>
          <t>17.02.2028</t>
        </is>
      </c>
      <c r="I37" s="27" t="n"/>
      <c r="J37" s="27" t="inlineStr">
        <is>
          <t>2026 üretim lot bağı</t>
        </is>
      </c>
    </row>
    <row r="38" ht="15" customHeight="1">
      <c r="A38" s="27" t="inlineStr">
        <is>
          <t>04.05.2026</t>
        </is>
      </c>
      <c r="B38" s="27" t="inlineStr">
        <is>
          <t>270504</t>
        </is>
      </c>
      <c r="C38" s="27" t="inlineStr">
        <is>
          <t>280108-234</t>
        </is>
      </c>
      <c r="D38" s="1" t="inlineStr">
        <is>
          <t>BENECEL</t>
        </is>
      </c>
      <c r="E38" s="27" t="n"/>
      <c r="F38" s="27" t="n"/>
      <c r="G38" s="1" t="inlineStr">
        <is>
          <t>08.01.2026</t>
        </is>
      </c>
      <c r="H38" s="1" t="inlineStr">
        <is>
          <t>08.01.2028</t>
        </is>
      </c>
      <c r="I38" s="27" t="n"/>
      <c r="J38" s="27" t="inlineStr">
        <is>
          <t>2026 üretim lot bağı</t>
        </is>
      </c>
    </row>
    <row r="39" ht="15" customHeight="1">
      <c r="A39" s="27" t="inlineStr">
        <is>
          <t>04.05.2026</t>
        </is>
      </c>
      <c r="B39" s="27" t="inlineStr">
        <is>
          <t>270504</t>
        </is>
      </c>
      <c r="C39" s="27" t="inlineStr">
        <is>
          <t>01.09.EY</t>
        </is>
      </c>
      <c r="D39" s="1" t="inlineStr">
        <is>
          <t>Savour tavuk çeşnisi</t>
        </is>
      </c>
      <c r="E39" s="27" t="n"/>
      <c r="F39" s="27" t="n"/>
      <c r="G39" s="1" t="n"/>
      <c r="H39" s="1" t="inlineStr">
        <is>
          <t>09.2026</t>
        </is>
      </c>
      <c r="I39" s="27" t="n"/>
      <c r="J39" s="27" t="inlineStr">
        <is>
          <t>2026 üretim lot bağı</t>
        </is>
      </c>
    </row>
    <row r="40" ht="15" customHeight="1">
      <c r="A40" s="27" t="inlineStr">
        <is>
          <t>05.05.2026</t>
        </is>
      </c>
      <c r="B40" s="27" t="inlineStr">
        <is>
          <t>270505</t>
        </is>
      </c>
      <c r="C40" s="27" t="inlineStr">
        <is>
          <t>251212</t>
        </is>
      </c>
      <c r="D40" s="1" t="inlineStr">
        <is>
          <t>Patates unu</t>
        </is>
      </c>
      <c r="E40" s="27" t="n"/>
      <c r="F40" s="27" t="n"/>
      <c r="G40" s="1" t="inlineStr">
        <is>
          <t>12.12.2025</t>
        </is>
      </c>
      <c r="H40" s="1" t="inlineStr">
        <is>
          <t>12.12.2026</t>
        </is>
      </c>
      <c r="I40" s="27" t="n"/>
      <c r="J40" s="27" t="inlineStr">
        <is>
          <t>2026 üretim lot bağı</t>
        </is>
      </c>
    </row>
    <row r="41" ht="15" customHeight="1">
      <c r="A41" s="27" t="inlineStr">
        <is>
          <t>05.05.2026</t>
        </is>
      </c>
      <c r="B41" s="27" t="inlineStr">
        <is>
          <t>270505</t>
        </is>
      </c>
      <c r="C41" s="27" t="inlineStr">
        <is>
          <t>58138875</t>
        </is>
      </c>
      <c r="D41" s="1" t="inlineStr">
        <is>
          <t>Mısır nişastası</t>
        </is>
      </c>
      <c r="E41" s="27" t="n"/>
      <c r="F41" s="27" t="n"/>
      <c r="G41" s="1" t="inlineStr">
        <is>
          <t>09.09.2025</t>
        </is>
      </c>
      <c r="H41" s="1" t="inlineStr">
        <is>
          <t>09.09.2027</t>
        </is>
      </c>
      <c r="I41" s="27" t="n"/>
      <c r="J41" s="27" t="inlineStr">
        <is>
          <t>2026 üretim lot bağı</t>
        </is>
      </c>
    </row>
    <row r="42" ht="15" customHeight="1">
      <c r="A42" s="27" t="inlineStr">
        <is>
          <t>05.05.2026</t>
        </is>
      </c>
      <c r="B42" s="27" t="inlineStr">
        <is>
          <t>270505</t>
        </is>
      </c>
      <c r="C42" s="27" t="inlineStr">
        <is>
          <t>9226</t>
        </is>
      </c>
      <c r="D42" s="1" t="inlineStr">
        <is>
          <t>Mısır unu</t>
        </is>
      </c>
      <c r="E42" s="27" t="n"/>
      <c r="F42" s="27" t="n"/>
      <c r="G42" s="1" t="inlineStr">
        <is>
          <t>20.02.2026</t>
        </is>
      </c>
      <c r="H42" s="1" t="inlineStr">
        <is>
          <t>20.02.2027</t>
        </is>
      </c>
      <c r="I42" s="27" t="n"/>
      <c r="J42" s="27" t="inlineStr">
        <is>
          <t>2026 üretim lot bağı</t>
        </is>
      </c>
    </row>
    <row r="43" ht="15" customHeight="1">
      <c r="A43" s="27" t="inlineStr">
        <is>
          <t>05.05.2026</t>
        </is>
      </c>
      <c r="B43" s="27" t="inlineStr">
        <is>
          <t>270505</t>
        </is>
      </c>
      <c r="C43" s="27" t="inlineStr">
        <is>
          <t>20425</t>
        </is>
      </c>
      <c r="D43" s="1" t="inlineStr">
        <is>
          <t>Tuz</t>
        </is>
      </c>
      <c r="E43" s="27" t="n"/>
      <c r="F43" s="27" t="n"/>
      <c r="G43" s="1" t="inlineStr">
        <is>
          <t>23.07.2025</t>
        </is>
      </c>
      <c r="H43" s="1" t="inlineStr">
        <is>
          <t>23.07.2026</t>
        </is>
      </c>
      <c r="I43" s="27" t="n"/>
      <c r="J43" s="27" t="inlineStr">
        <is>
          <t>2026 üretim lot bağı</t>
        </is>
      </c>
    </row>
    <row r="44" ht="15" customHeight="1">
      <c r="A44" s="27" t="inlineStr">
        <is>
          <t>05.05.2026</t>
        </is>
      </c>
      <c r="B44" s="27" t="inlineStr">
        <is>
          <t>270505</t>
        </is>
      </c>
      <c r="C44" s="27" t="inlineStr">
        <is>
          <t>070426-693</t>
        </is>
      </c>
      <c r="D44" s="1" t="inlineStr">
        <is>
          <t>Karabiber</t>
        </is>
      </c>
      <c r="E44" s="27" t="n"/>
      <c r="F44" s="27" t="n"/>
      <c r="G44" s="1" t="inlineStr">
        <is>
          <t>07.04.2026</t>
        </is>
      </c>
      <c r="H44" s="1" t="inlineStr">
        <is>
          <t>07.04.2028</t>
        </is>
      </c>
      <c r="I44" s="27" t="n"/>
      <c r="J44" s="27" t="inlineStr">
        <is>
          <t>2026 üretim lot bağı</t>
        </is>
      </c>
    </row>
    <row r="45" ht="15" customHeight="1">
      <c r="A45" s="27" t="inlineStr">
        <is>
          <t>05.05.2026</t>
        </is>
      </c>
      <c r="B45" s="27" t="inlineStr">
        <is>
          <t>270505</t>
        </is>
      </c>
      <c r="C45" s="27" t="inlineStr">
        <is>
          <t>170226-157</t>
        </is>
      </c>
      <c r="D45" s="1" t="inlineStr">
        <is>
          <t>Sarımsak tozu</t>
        </is>
      </c>
      <c r="E45" s="27" t="n"/>
      <c r="F45" s="27" t="n"/>
      <c r="G45" s="1" t="inlineStr">
        <is>
          <t>17.02.2026</t>
        </is>
      </c>
      <c r="H45" s="1" t="inlineStr">
        <is>
          <t>17.02.2028</t>
        </is>
      </c>
      <c r="I45" s="27" t="n"/>
      <c r="J45" s="27" t="inlineStr">
        <is>
          <t>2026 üretim lot bağı</t>
        </is>
      </c>
    </row>
    <row r="46" ht="15" customHeight="1">
      <c r="A46" s="27" t="inlineStr">
        <is>
          <t>05.05.2026</t>
        </is>
      </c>
      <c r="B46" s="27" t="inlineStr">
        <is>
          <t>270505</t>
        </is>
      </c>
      <c r="C46" s="27" t="inlineStr">
        <is>
          <t>280108-234</t>
        </is>
      </c>
      <c r="D46" s="1" t="inlineStr">
        <is>
          <t>BENECEL</t>
        </is>
      </c>
      <c r="E46" s="27" t="n"/>
      <c r="F46" s="27" t="n"/>
      <c r="G46" s="1" t="inlineStr">
        <is>
          <t>08.01.2026</t>
        </is>
      </c>
      <c r="H46" s="1" t="inlineStr">
        <is>
          <t>08.01.2028</t>
        </is>
      </c>
      <c r="I46" s="27" t="n"/>
      <c r="J46" s="27" t="inlineStr">
        <is>
          <t>2026 üretim lot bağı</t>
        </is>
      </c>
    </row>
    <row r="47" ht="15" customHeight="1">
      <c r="A47" s="27" t="inlineStr">
        <is>
          <t>05.05.2026</t>
        </is>
      </c>
      <c r="B47" s="27" t="inlineStr">
        <is>
          <t>270505</t>
        </is>
      </c>
      <c r="C47" s="27" t="inlineStr">
        <is>
          <t>01.09.EY</t>
        </is>
      </c>
      <c r="D47" s="1" t="inlineStr">
        <is>
          <t>Savour tavuk çeşnisi</t>
        </is>
      </c>
      <c r="E47" s="27" t="n"/>
      <c r="F47" s="27" t="n"/>
      <c r="G47" s="1" t="n"/>
      <c r="H47" s="1" t="inlineStr">
        <is>
          <t>09.2026</t>
        </is>
      </c>
      <c r="I47" s="27" t="n"/>
      <c r="J47" s="27" t="inlineStr">
        <is>
          <t>2026 üretim lot bağı</t>
        </is>
      </c>
    </row>
    <row r="48" ht="15" customHeight="1">
      <c r="A48" s="27" t="inlineStr">
        <is>
          <t>07.05.2026</t>
        </is>
      </c>
      <c r="B48" s="27" t="inlineStr">
        <is>
          <t>270507</t>
        </is>
      </c>
      <c r="C48" s="27" t="inlineStr">
        <is>
          <t>251212</t>
        </is>
      </c>
      <c r="D48" s="1" t="inlineStr">
        <is>
          <t>Patates unu</t>
        </is>
      </c>
      <c r="E48" s="27" t="n"/>
      <c r="F48" s="27" t="n"/>
      <c r="G48" s="1" t="inlineStr">
        <is>
          <t>12.12.2025</t>
        </is>
      </c>
      <c r="H48" s="1" t="inlineStr">
        <is>
          <t>12.12.2026</t>
        </is>
      </c>
      <c r="I48" s="27" t="n"/>
      <c r="J48" s="27" t="inlineStr">
        <is>
          <t>2026 üretim lot bağı</t>
        </is>
      </c>
    </row>
    <row r="49" ht="15" customHeight="1">
      <c r="A49" s="27" t="inlineStr">
        <is>
          <t>07.05.2026</t>
        </is>
      </c>
      <c r="B49" s="27" t="inlineStr">
        <is>
          <t>270507</t>
        </is>
      </c>
      <c r="C49" s="27" t="inlineStr">
        <is>
          <t>58138875</t>
        </is>
      </c>
      <c r="D49" s="1" t="inlineStr">
        <is>
          <t>Mısır nişastası</t>
        </is>
      </c>
      <c r="E49" s="27" t="n"/>
      <c r="F49" s="27" t="n"/>
      <c r="G49" s="1" t="inlineStr">
        <is>
          <t>09.09.2025</t>
        </is>
      </c>
      <c r="H49" s="1" t="inlineStr">
        <is>
          <t>09.09.2027</t>
        </is>
      </c>
      <c r="I49" s="27" t="n"/>
      <c r="J49" s="27" t="inlineStr">
        <is>
          <t>2026 üretim lot bağı</t>
        </is>
      </c>
    </row>
    <row r="50" ht="15" customHeight="1">
      <c r="A50" s="27" t="inlineStr">
        <is>
          <t>07.05.2026</t>
        </is>
      </c>
      <c r="B50" s="27" t="inlineStr">
        <is>
          <t>270507</t>
        </is>
      </c>
      <c r="C50" s="27" t="inlineStr">
        <is>
          <t>9226</t>
        </is>
      </c>
      <c r="D50" s="1" t="inlineStr">
        <is>
          <t>Mısır unu</t>
        </is>
      </c>
      <c r="E50" s="27" t="n"/>
      <c r="F50" s="27" t="n"/>
      <c r="G50" s="1" t="inlineStr">
        <is>
          <t>20.02.2026</t>
        </is>
      </c>
      <c r="H50" s="1" t="inlineStr">
        <is>
          <t>20.02.2027</t>
        </is>
      </c>
      <c r="I50" s="27" t="n"/>
      <c r="J50" s="27" t="inlineStr">
        <is>
          <t>2026 üretim lot bağı</t>
        </is>
      </c>
    </row>
    <row r="51" ht="15" customHeight="1">
      <c r="A51" s="27" t="inlineStr">
        <is>
          <t>07.05.2026</t>
        </is>
      </c>
      <c r="B51" s="27" t="inlineStr">
        <is>
          <t>270507</t>
        </is>
      </c>
      <c r="C51" s="27" t="inlineStr">
        <is>
          <t>20425</t>
        </is>
      </c>
      <c r="D51" s="1" t="inlineStr">
        <is>
          <t>Tuz</t>
        </is>
      </c>
      <c r="E51" s="27" t="n"/>
      <c r="F51" s="27" t="n"/>
      <c r="G51" s="1" t="inlineStr">
        <is>
          <t>23.07.2025</t>
        </is>
      </c>
      <c r="H51" s="1" t="inlineStr">
        <is>
          <t>23.07.2026</t>
        </is>
      </c>
      <c r="I51" s="27" t="n"/>
      <c r="J51" s="27" t="inlineStr">
        <is>
          <t>2026 üretim lot bağı</t>
        </is>
      </c>
    </row>
    <row r="52" ht="15" customHeight="1">
      <c r="A52" s="27" t="inlineStr">
        <is>
          <t>07.05.2026</t>
        </is>
      </c>
      <c r="B52" s="27" t="inlineStr">
        <is>
          <t>270507</t>
        </is>
      </c>
      <c r="C52" s="27" t="inlineStr">
        <is>
          <t>070426-693</t>
        </is>
      </c>
      <c r="D52" s="1" t="inlineStr">
        <is>
          <t>Karabiber</t>
        </is>
      </c>
      <c r="E52" s="27" t="n"/>
      <c r="F52" s="27" t="n"/>
      <c r="G52" s="1" t="inlineStr">
        <is>
          <t>07.04.2026</t>
        </is>
      </c>
      <c r="H52" s="1" t="inlineStr">
        <is>
          <t>07.04.2028</t>
        </is>
      </c>
      <c r="I52" s="27" t="n"/>
      <c r="J52" s="27" t="inlineStr">
        <is>
          <t>2026 üretim lot bağı</t>
        </is>
      </c>
    </row>
    <row r="53" ht="15" customHeight="1">
      <c r="A53" s="27" t="inlineStr">
        <is>
          <t>07.05.2026</t>
        </is>
      </c>
      <c r="B53" s="27" t="inlineStr">
        <is>
          <t>270507</t>
        </is>
      </c>
      <c r="C53" s="27" t="inlineStr">
        <is>
          <t>170226-157</t>
        </is>
      </c>
      <c r="D53" s="1" t="inlineStr">
        <is>
          <t>Sarımsak tozu</t>
        </is>
      </c>
      <c r="E53" s="27" t="n"/>
      <c r="F53" s="27" t="n"/>
      <c r="G53" s="1" t="inlineStr">
        <is>
          <t>17.02.2026</t>
        </is>
      </c>
      <c r="H53" s="1" t="inlineStr">
        <is>
          <t>17.02.2028</t>
        </is>
      </c>
      <c r="I53" s="27" t="n"/>
      <c r="J53" s="27" t="inlineStr">
        <is>
          <t>2026 üretim lot bağı</t>
        </is>
      </c>
    </row>
    <row r="54" ht="15" customHeight="1">
      <c r="A54" s="27" t="inlineStr">
        <is>
          <t>07.05.2026</t>
        </is>
      </c>
      <c r="B54" s="27" t="inlineStr">
        <is>
          <t>270507</t>
        </is>
      </c>
      <c r="C54" s="27" t="inlineStr">
        <is>
          <t>280108-234</t>
        </is>
      </c>
      <c r="D54" s="1" t="inlineStr">
        <is>
          <t>BENECEL</t>
        </is>
      </c>
      <c r="E54" s="27" t="n"/>
      <c r="F54" s="27" t="n"/>
      <c r="G54" s="1" t="inlineStr">
        <is>
          <t>08.01.2026</t>
        </is>
      </c>
      <c r="H54" s="1" t="inlineStr">
        <is>
          <t>08.01.2028</t>
        </is>
      </c>
      <c r="I54" s="27" t="n"/>
      <c r="J54" s="27" t="inlineStr">
        <is>
          <t>2026 üretim lot bağı</t>
        </is>
      </c>
    </row>
    <row r="55" ht="15" customHeight="1">
      <c r="A55" s="27" t="inlineStr">
        <is>
          <t>07.05.2026</t>
        </is>
      </c>
      <c r="B55" s="27" t="inlineStr">
        <is>
          <t>270507</t>
        </is>
      </c>
      <c r="C55" s="27" t="inlineStr">
        <is>
          <t>01.09.EY</t>
        </is>
      </c>
      <c r="D55" s="1" t="inlineStr">
        <is>
          <t>Savour tavuk çeşnisi</t>
        </is>
      </c>
      <c r="E55" s="27" t="n"/>
      <c r="F55" s="27" t="n"/>
      <c r="G55" s="1" t="n"/>
      <c r="H55" s="1" t="inlineStr">
        <is>
          <t>09.2026</t>
        </is>
      </c>
      <c r="I55" s="27" t="n"/>
      <c r="J55" s="27" t="inlineStr">
        <is>
          <t>2026 üretim lot bağı</t>
        </is>
      </c>
    </row>
    <row r="56" ht="15" customHeight="1">
      <c r="A56" s="27" t="inlineStr">
        <is>
          <t>12.05.2026</t>
        </is>
      </c>
      <c r="B56" s="27" t="inlineStr">
        <is>
          <t>270512</t>
        </is>
      </c>
      <c r="C56" s="27" t="inlineStr">
        <is>
          <t>251212</t>
        </is>
      </c>
      <c r="D56" s="1" t="inlineStr">
        <is>
          <t>Patates unu</t>
        </is>
      </c>
      <c r="E56" s="27" t="n"/>
      <c r="F56" s="27" t="n"/>
      <c r="G56" s="1" t="inlineStr">
        <is>
          <t>12.12.2025</t>
        </is>
      </c>
      <c r="H56" s="1" t="inlineStr">
        <is>
          <t>12.12.2026</t>
        </is>
      </c>
      <c r="I56" s="27" t="n"/>
      <c r="J56" s="27" t="inlineStr">
        <is>
          <t>2026 üretim lot bağı</t>
        </is>
      </c>
    </row>
    <row r="57" ht="15" customHeight="1">
      <c r="A57" s="27" t="inlineStr">
        <is>
          <t>12.05.2026</t>
        </is>
      </c>
      <c r="B57" s="27" t="inlineStr">
        <is>
          <t>270512</t>
        </is>
      </c>
      <c r="C57" s="27" t="inlineStr">
        <is>
          <t>58138875</t>
        </is>
      </c>
      <c r="D57" s="1" t="inlineStr">
        <is>
          <t>Mısır nişastası</t>
        </is>
      </c>
      <c r="E57" s="27" t="n"/>
      <c r="F57" s="27" t="n"/>
      <c r="G57" s="1" t="inlineStr">
        <is>
          <t>09.09.2025</t>
        </is>
      </c>
      <c r="H57" s="1" t="inlineStr">
        <is>
          <t>09.09.2027</t>
        </is>
      </c>
      <c r="I57" s="27" t="n"/>
      <c r="J57" s="27" t="inlineStr">
        <is>
          <t>2026 üretim lot bağı</t>
        </is>
      </c>
    </row>
    <row r="58" ht="15" customHeight="1">
      <c r="A58" s="27" t="inlineStr">
        <is>
          <t>12.05.2026</t>
        </is>
      </c>
      <c r="B58" s="27" t="inlineStr">
        <is>
          <t>270512</t>
        </is>
      </c>
      <c r="C58" s="27" t="inlineStr">
        <is>
          <t>9226</t>
        </is>
      </c>
      <c r="D58" s="1" t="inlineStr">
        <is>
          <t>Mısır unu</t>
        </is>
      </c>
      <c r="E58" s="27" t="n"/>
      <c r="F58" s="27" t="n"/>
      <c r="G58" s="1" t="inlineStr">
        <is>
          <t>20.02.2026</t>
        </is>
      </c>
      <c r="H58" s="1" t="inlineStr">
        <is>
          <t>20.02.2027</t>
        </is>
      </c>
      <c r="I58" s="27" t="n"/>
      <c r="J58" s="27" t="inlineStr">
        <is>
          <t>2026 üretim lot bağı</t>
        </is>
      </c>
    </row>
    <row r="59" ht="15" customHeight="1">
      <c r="A59" s="27" t="inlineStr">
        <is>
          <t>12.05.2026</t>
        </is>
      </c>
      <c r="B59" s="27" t="inlineStr">
        <is>
          <t>270512</t>
        </is>
      </c>
      <c r="C59" s="27" t="inlineStr">
        <is>
          <t>20425</t>
        </is>
      </c>
      <c r="D59" s="1" t="inlineStr">
        <is>
          <t>Tuz</t>
        </is>
      </c>
      <c r="E59" s="27" t="n"/>
      <c r="F59" s="27" t="n"/>
      <c r="G59" s="1" t="inlineStr">
        <is>
          <t>23.07.2025</t>
        </is>
      </c>
      <c r="H59" s="1" t="inlineStr">
        <is>
          <t>23.07.2026</t>
        </is>
      </c>
      <c r="I59" s="27" t="n"/>
      <c r="J59" s="27" t="inlineStr">
        <is>
          <t>2026 üretim lot bağı</t>
        </is>
      </c>
    </row>
    <row r="60" ht="15" customHeight="1">
      <c r="A60" s="27" t="inlineStr">
        <is>
          <t>12.05.2026</t>
        </is>
      </c>
      <c r="B60" s="27" t="inlineStr">
        <is>
          <t>270512</t>
        </is>
      </c>
      <c r="C60" s="27" t="inlineStr">
        <is>
          <t>070426-693</t>
        </is>
      </c>
      <c r="D60" s="1" t="inlineStr">
        <is>
          <t>Karabiber</t>
        </is>
      </c>
      <c r="E60" s="27" t="n"/>
      <c r="F60" s="27" t="n"/>
      <c r="G60" s="1" t="inlineStr">
        <is>
          <t>07.04.2026</t>
        </is>
      </c>
      <c r="H60" s="1" t="inlineStr">
        <is>
          <t>07.04.2028</t>
        </is>
      </c>
      <c r="I60" s="27" t="n"/>
      <c r="J60" s="27" t="inlineStr">
        <is>
          <t>2026 üretim lot bağı</t>
        </is>
      </c>
    </row>
    <row r="61" ht="15" customHeight="1">
      <c r="A61" s="27" t="inlineStr">
        <is>
          <t>12.05.2026</t>
        </is>
      </c>
      <c r="B61" s="27" t="inlineStr">
        <is>
          <t>270512</t>
        </is>
      </c>
      <c r="C61" s="27" t="inlineStr">
        <is>
          <t>170226-157</t>
        </is>
      </c>
      <c r="D61" s="1" t="inlineStr">
        <is>
          <t>Sarımsak tozu</t>
        </is>
      </c>
      <c r="E61" s="27" t="n"/>
      <c r="F61" s="27" t="n"/>
      <c r="G61" s="1" t="inlineStr">
        <is>
          <t>17.02.2026</t>
        </is>
      </c>
      <c r="H61" s="1" t="inlineStr">
        <is>
          <t>17.02.2028</t>
        </is>
      </c>
      <c r="I61" s="27" t="n"/>
      <c r="J61" s="27" t="inlineStr">
        <is>
          <t>2026 üretim lot bağı</t>
        </is>
      </c>
    </row>
    <row r="62" ht="15" customHeight="1">
      <c r="A62" s="27" t="inlineStr">
        <is>
          <t>12.05.2026</t>
        </is>
      </c>
      <c r="B62" s="27" t="inlineStr">
        <is>
          <t>270512</t>
        </is>
      </c>
      <c r="C62" s="27" t="inlineStr">
        <is>
          <t>280108-234</t>
        </is>
      </c>
      <c r="D62" s="1" t="inlineStr">
        <is>
          <t>BENECEL</t>
        </is>
      </c>
      <c r="E62" s="27" t="n"/>
      <c r="F62" s="27" t="n"/>
      <c r="G62" s="1" t="inlineStr">
        <is>
          <t>08.01.2026</t>
        </is>
      </c>
      <c r="H62" s="1" t="inlineStr">
        <is>
          <t>08.01.2028</t>
        </is>
      </c>
      <c r="I62" s="27" t="n"/>
      <c r="J62" s="27" t="inlineStr">
        <is>
          <t>2026 üretim lot bağı</t>
        </is>
      </c>
    </row>
    <row r="63" ht="15" customHeight="1">
      <c r="A63" s="27" t="inlineStr">
        <is>
          <t>12.05.2026</t>
        </is>
      </c>
      <c r="B63" s="27" t="inlineStr">
        <is>
          <t>270512</t>
        </is>
      </c>
      <c r="C63" s="27" t="inlineStr">
        <is>
          <t>01.09.EY</t>
        </is>
      </c>
      <c r="D63" s="1" t="inlineStr">
        <is>
          <t>Savour tavuk çeşnisi</t>
        </is>
      </c>
      <c r="E63" s="27" t="n"/>
      <c r="F63" s="27" t="n"/>
      <c r="G63" s="1" t="n"/>
      <c r="H63" s="1" t="inlineStr">
        <is>
          <t>09.2026</t>
        </is>
      </c>
      <c r="I63" s="27" t="n"/>
      <c r="J63" s="27" t="inlineStr">
        <is>
          <t>2026 üretim lot bağı</t>
        </is>
      </c>
    </row>
    <row r="64" ht="15" customHeight="1">
      <c r="A64" s="27" t="inlineStr">
        <is>
          <t>15.06.2026</t>
        </is>
      </c>
      <c r="B64" s="27" t="inlineStr">
        <is>
          <t>270615</t>
        </is>
      </c>
      <c r="C64" s="27" t="inlineStr">
        <is>
          <t>251212</t>
        </is>
      </c>
      <c r="D64" s="1" t="inlineStr">
        <is>
          <t>Patates unu</t>
        </is>
      </c>
      <c r="E64" s="27" t="n"/>
      <c r="F64" s="27" t="n"/>
      <c r="G64" s="1" t="inlineStr">
        <is>
          <t>12.12.2025</t>
        </is>
      </c>
      <c r="H64" s="1" t="inlineStr">
        <is>
          <t>12.12.2026</t>
        </is>
      </c>
      <c r="I64" s="27" t="n"/>
      <c r="J64" s="27" t="inlineStr">
        <is>
          <t>2026 üretim lot bağı</t>
        </is>
      </c>
    </row>
    <row r="65" ht="15" customHeight="1">
      <c r="A65" s="27" t="inlineStr">
        <is>
          <t>15.06.2026</t>
        </is>
      </c>
      <c r="B65" s="27" t="inlineStr">
        <is>
          <t>270615</t>
        </is>
      </c>
      <c r="C65" s="27" t="inlineStr">
        <is>
          <t>58138875</t>
        </is>
      </c>
      <c r="D65" s="1" t="inlineStr">
        <is>
          <t>Mısır nişastası</t>
        </is>
      </c>
      <c r="E65" s="27" t="n"/>
      <c r="F65" s="27" t="n"/>
      <c r="G65" s="1" t="inlineStr">
        <is>
          <t>09.09.2025</t>
        </is>
      </c>
      <c r="H65" s="1" t="inlineStr">
        <is>
          <t>09.09.2027</t>
        </is>
      </c>
      <c r="I65" s="27" t="n"/>
      <c r="J65" s="27" t="inlineStr">
        <is>
          <t>2026 üretim lot bağı</t>
        </is>
      </c>
    </row>
    <row r="66" ht="15" customHeight="1">
      <c r="A66" s="27" t="inlineStr">
        <is>
          <t>15.06.2026</t>
        </is>
      </c>
      <c r="B66" s="27" t="inlineStr">
        <is>
          <t>270615</t>
        </is>
      </c>
      <c r="C66" s="27" t="inlineStr">
        <is>
          <t>9226</t>
        </is>
      </c>
      <c r="D66" s="1" t="inlineStr">
        <is>
          <t>Mısır unu</t>
        </is>
      </c>
      <c r="E66" s="27" t="n"/>
      <c r="F66" s="27" t="n"/>
      <c r="G66" s="1" t="inlineStr">
        <is>
          <t>20.02.2026</t>
        </is>
      </c>
      <c r="H66" s="1" t="inlineStr">
        <is>
          <t>20.02.2027</t>
        </is>
      </c>
      <c r="I66" s="27" t="n"/>
      <c r="J66" s="27" t="inlineStr">
        <is>
          <t>2026 üretim lot bağı</t>
        </is>
      </c>
    </row>
    <row r="67" ht="15" customHeight="1">
      <c r="A67" s="27" t="inlineStr">
        <is>
          <t>15.06.2026</t>
        </is>
      </c>
      <c r="B67" s="27" t="inlineStr">
        <is>
          <t>270615</t>
        </is>
      </c>
      <c r="C67" s="27" t="inlineStr">
        <is>
          <t>20425</t>
        </is>
      </c>
      <c r="D67" s="1" t="inlineStr">
        <is>
          <t>Tuz</t>
        </is>
      </c>
      <c r="E67" s="27" t="n"/>
      <c r="F67" s="27" t="n"/>
      <c r="G67" s="1" t="inlineStr">
        <is>
          <t>23.07.2025</t>
        </is>
      </c>
      <c r="H67" s="1" t="inlineStr">
        <is>
          <t>23.07.2026</t>
        </is>
      </c>
      <c r="I67" s="27" t="n"/>
      <c r="J67" s="27" t="inlineStr">
        <is>
          <t>2026 üretim lot bağı</t>
        </is>
      </c>
    </row>
    <row r="68" ht="15" customHeight="1">
      <c r="A68" s="27" t="inlineStr">
        <is>
          <t>15.06.2026</t>
        </is>
      </c>
      <c r="B68" s="27" t="inlineStr">
        <is>
          <t>270615</t>
        </is>
      </c>
      <c r="C68" s="27" t="inlineStr">
        <is>
          <t>070426-693</t>
        </is>
      </c>
      <c r="D68" s="1" t="inlineStr">
        <is>
          <t>Karabiber</t>
        </is>
      </c>
      <c r="E68" s="27" t="n"/>
      <c r="F68" s="27" t="n"/>
      <c r="G68" s="1" t="inlineStr">
        <is>
          <t>07.04.2026</t>
        </is>
      </c>
      <c r="H68" s="1" t="inlineStr">
        <is>
          <t>07.04.2028</t>
        </is>
      </c>
      <c r="I68" s="27" t="n"/>
      <c r="J68" s="27" t="inlineStr">
        <is>
          <t>2026 üretim lot bağı</t>
        </is>
      </c>
    </row>
    <row r="69" ht="15" customHeight="1">
      <c r="A69" s="27" t="inlineStr">
        <is>
          <t>15.06.2026</t>
        </is>
      </c>
      <c r="B69" s="27" t="inlineStr">
        <is>
          <t>270615</t>
        </is>
      </c>
      <c r="C69" s="27" t="inlineStr">
        <is>
          <t>170226-157</t>
        </is>
      </c>
      <c r="D69" s="1" t="inlineStr">
        <is>
          <t>Sarımsak tozu</t>
        </is>
      </c>
      <c r="E69" s="27" t="n"/>
      <c r="F69" s="27" t="n"/>
      <c r="G69" s="1" t="inlineStr">
        <is>
          <t>17.02.2026</t>
        </is>
      </c>
      <c r="H69" s="1" t="inlineStr">
        <is>
          <t>17.02.2028</t>
        </is>
      </c>
      <c r="I69" s="27" t="n"/>
      <c r="J69" s="27" t="inlineStr">
        <is>
          <t>2026 üretim lot bağı</t>
        </is>
      </c>
    </row>
    <row r="70" ht="15" customHeight="1">
      <c r="A70" s="27" t="inlineStr">
        <is>
          <t>15.06.2026</t>
        </is>
      </c>
      <c r="B70" s="27" t="inlineStr">
        <is>
          <t>270615</t>
        </is>
      </c>
      <c r="C70" s="27" t="inlineStr">
        <is>
          <t>280108-234</t>
        </is>
      </c>
      <c r="D70" s="1" t="inlineStr">
        <is>
          <t>BENECEL</t>
        </is>
      </c>
      <c r="E70" s="27" t="n"/>
      <c r="F70" s="27" t="n"/>
      <c r="G70" s="1" t="inlineStr">
        <is>
          <t>08.01.2026</t>
        </is>
      </c>
      <c r="H70" s="1" t="inlineStr">
        <is>
          <t>08.01.2028</t>
        </is>
      </c>
      <c r="I70" s="27" t="n"/>
      <c r="J70" s="27" t="inlineStr">
        <is>
          <t>2026 üretim lot bağı</t>
        </is>
      </c>
    </row>
    <row r="71" ht="15" customHeight="1">
      <c r="A71" s="27" t="inlineStr">
        <is>
          <t>15.06.2026</t>
        </is>
      </c>
      <c r="B71" s="27" t="inlineStr">
        <is>
          <t>270615</t>
        </is>
      </c>
      <c r="C71" s="27" t="inlineStr">
        <is>
          <t>01.09.EY</t>
        </is>
      </c>
      <c r="D71" s="1" t="inlineStr">
        <is>
          <t>Savour tavuk çeşnisi</t>
        </is>
      </c>
      <c r="E71" s="27" t="n"/>
      <c r="F71" s="27" t="n"/>
      <c r="G71" s="1" t="n"/>
      <c r="H71" s="1" t="inlineStr">
        <is>
          <t>09.2026</t>
        </is>
      </c>
      <c r="I71" s="27" t="n"/>
      <c r="J71" s="27" t="inlineStr">
        <is>
          <t>2026 üretim lot bağı</t>
        </is>
      </c>
    </row>
    <row r="72" ht="15" customHeight="1">
      <c r="A72" s="27" t="inlineStr">
        <is>
          <t>17.06.2026</t>
        </is>
      </c>
      <c r="B72" s="27" t="inlineStr">
        <is>
          <t>270617</t>
        </is>
      </c>
      <c r="C72" s="27" t="inlineStr">
        <is>
          <t>251212</t>
        </is>
      </c>
      <c r="D72" s="1" t="inlineStr">
        <is>
          <t>Patates unu</t>
        </is>
      </c>
      <c r="E72" s="27" t="n"/>
      <c r="F72" s="27" t="n"/>
      <c r="G72" s="1" t="inlineStr">
        <is>
          <t>12.12.2025</t>
        </is>
      </c>
      <c r="H72" s="1" t="inlineStr">
        <is>
          <t>12.12.2026</t>
        </is>
      </c>
      <c r="I72" s="27" t="n"/>
      <c r="J72" s="27" t="inlineStr">
        <is>
          <t>2026 üretim lot bağı</t>
        </is>
      </c>
    </row>
    <row r="73" ht="15" customHeight="1">
      <c r="A73" s="27" t="inlineStr">
        <is>
          <t>17.06.2026</t>
        </is>
      </c>
      <c r="B73" s="27" t="inlineStr">
        <is>
          <t>270617</t>
        </is>
      </c>
      <c r="C73" s="27" t="inlineStr">
        <is>
          <t>58138875</t>
        </is>
      </c>
      <c r="D73" s="1" t="inlineStr">
        <is>
          <t>Mısır nişastası</t>
        </is>
      </c>
      <c r="E73" s="27" t="n"/>
      <c r="F73" s="27" t="n"/>
      <c r="G73" s="1" t="inlineStr">
        <is>
          <t>09.09.2025</t>
        </is>
      </c>
      <c r="H73" s="1" t="inlineStr">
        <is>
          <t>09.09.2027</t>
        </is>
      </c>
      <c r="I73" s="27" t="n"/>
      <c r="J73" s="27" t="inlineStr">
        <is>
          <t>2026 üretim lot bağı</t>
        </is>
      </c>
    </row>
    <row r="74" ht="15" customHeight="1">
      <c r="A74" s="27" t="inlineStr">
        <is>
          <t>17.06.2026</t>
        </is>
      </c>
      <c r="B74" s="27" t="inlineStr">
        <is>
          <t>270617</t>
        </is>
      </c>
      <c r="C74" s="27" t="inlineStr">
        <is>
          <t>9226</t>
        </is>
      </c>
      <c r="D74" s="1" t="inlineStr">
        <is>
          <t>Mısır unu</t>
        </is>
      </c>
      <c r="E74" s="27" t="n"/>
      <c r="F74" s="27" t="n"/>
      <c r="G74" s="1" t="inlineStr">
        <is>
          <t>20.02.2026</t>
        </is>
      </c>
      <c r="H74" s="1" t="inlineStr">
        <is>
          <t>20.02.2027</t>
        </is>
      </c>
      <c r="I74" s="27" t="n"/>
      <c r="J74" s="27" t="inlineStr">
        <is>
          <t>2026 üretim lot bağı</t>
        </is>
      </c>
    </row>
    <row r="75" ht="15" customHeight="1">
      <c r="A75" s="27" t="inlineStr">
        <is>
          <t>17.06.2026</t>
        </is>
      </c>
      <c r="B75" s="27" t="inlineStr">
        <is>
          <t>270617</t>
        </is>
      </c>
      <c r="C75" s="27" t="inlineStr">
        <is>
          <t>20425</t>
        </is>
      </c>
      <c r="D75" s="1" t="inlineStr">
        <is>
          <t>Tuz</t>
        </is>
      </c>
      <c r="E75" s="27" t="n"/>
      <c r="F75" s="27" t="n"/>
      <c r="G75" s="1" t="inlineStr">
        <is>
          <t>23.07.2025</t>
        </is>
      </c>
      <c r="H75" s="1" t="inlineStr">
        <is>
          <t>23.07.2026</t>
        </is>
      </c>
      <c r="I75" s="27" t="n"/>
      <c r="J75" s="27" t="inlineStr">
        <is>
          <t>2026 üretim lot bağı</t>
        </is>
      </c>
    </row>
    <row r="76" ht="15" customHeight="1">
      <c r="A76" s="27" t="inlineStr">
        <is>
          <t>17.06.2026</t>
        </is>
      </c>
      <c r="B76" s="27" t="inlineStr">
        <is>
          <t>270617</t>
        </is>
      </c>
      <c r="C76" s="27" t="inlineStr">
        <is>
          <t>070426-693</t>
        </is>
      </c>
      <c r="D76" s="1" t="inlineStr">
        <is>
          <t>Karabiber</t>
        </is>
      </c>
      <c r="E76" s="27" t="n"/>
      <c r="F76" s="27" t="n"/>
      <c r="G76" s="1" t="inlineStr">
        <is>
          <t>07.04.2026</t>
        </is>
      </c>
      <c r="H76" s="1" t="inlineStr">
        <is>
          <t>07.04.2028</t>
        </is>
      </c>
      <c r="I76" s="27" t="n"/>
      <c r="J76" s="27" t="inlineStr">
        <is>
          <t>2026 üretim lot bağı</t>
        </is>
      </c>
    </row>
    <row r="77" ht="15" customHeight="1">
      <c r="A77" s="27" t="inlineStr">
        <is>
          <t>17.06.2026</t>
        </is>
      </c>
      <c r="B77" s="27" t="inlineStr">
        <is>
          <t>270617</t>
        </is>
      </c>
      <c r="C77" s="27" t="inlineStr">
        <is>
          <t>170226-157</t>
        </is>
      </c>
      <c r="D77" s="1" t="inlineStr">
        <is>
          <t>Sarımsak tozu</t>
        </is>
      </c>
      <c r="E77" s="27" t="n"/>
      <c r="F77" s="27" t="n"/>
      <c r="G77" s="1" t="inlineStr">
        <is>
          <t>17.02.2026</t>
        </is>
      </c>
      <c r="H77" s="1" t="inlineStr">
        <is>
          <t>17.02.2028</t>
        </is>
      </c>
      <c r="I77" s="27" t="n"/>
      <c r="J77" s="27" t="inlineStr">
        <is>
          <t>2026 üretim lot bağı</t>
        </is>
      </c>
    </row>
    <row r="78" ht="15" customHeight="1">
      <c r="A78" s="27" t="inlineStr">
        <is>
          <t>17.06.2026</t>
        </is>
      </c>
      <c r="B78" s="27" t="inlineStr">
        <is>
          <t>270617</t>
        </is>
      </c>
      <c r="C78" s="27" t="inlineStr">
        <is>
          <t>280108-234</t>
        </is>
      </c>
      <c r="D78" s="1" t="inlineStr">
        <is>
          <t>BENECEL</t>
        </is>
      </c>
      <c r="E78" s="27" t="n"/>
      <c r="F78" s="27" t="n"/>
      <c r="G78" s="1" t="inlineStr">
        <is>
          <t>08.01.2026</t>
        </is>
      </c>
      <c r="H78" s="1" t="inlineStr">
        <is>
          <t>08.01.2028</t>
        </is>
      </c>
      <c r="I78" s="27" t="n"/>
      <c r="J78" s="27" t="inlineStr">
        <is>
          <t>2026 üretim lot bağı</t>
        </is>
      </c>
    </row>
    <row r="79" ht="15" customHeight="1">
      <c r="A79" s="27" t="inlineStr">
        <is>
          <t>17.06.2026</t>
        </is>
      </c>
      <c r="B79" s="27" t="inlineStr">
        <is>
          <t>270617</t>
        </is>
      </c>
      <c r="C79" s="27" t="inlineStr">
        <is>
          <t>01.09.EY</t>
        </is>
      </c>
      <c r="D79" s="1" t="inlineStr">
        <is>
          <t>Savour tavuk çeşnisi</t>
        </is>
      </c>
      <c r="E79" s="27" t="n"/>
      <c r="F79" s="27" t="n"/>
      <c r="G79" s="1" t="n"/>
      <c r="H79" s="1" t="inlineStr">
        <is>
          <t>09.2026</t>
        </is>
      </c>
      <c r="I79" s="27" t="n"/>
      <c r="J79" s="27" t="inlineStr">
        <is>
          <t>2026 üretim lot bağı</t>
        </is>
      </c>
    </row>
    <row r="80" ht="15" customHeight="1">
      <c r="A80" s="27" t="inlineStr">
        <is>
          <t>23.06.2026</t>
        </is>
      </c>
      <c r="B80" s="27" t="inlineStr">
        <is>
          <t>270623</t>
        </is>
      </c>
      <c r="C80" s="27" t="inlineStr">
        <is>
          <t>251212</t>
        </is>
      </c>
      <c r="D80" s="1" t="inlineStr">
        <is>
          <t>Patates unu</t>
        </is>
      </c>
      <c r="E80" s="27" t="n"/>
      <c r="F80" s="27" t="n"/>
      <c r="G80" s="1" t="inlineStr">
        <is>
          <t>12.12.2025</t>
        </is>
      </c>
      <c r="H80" s="1" t="inlineStr">
        <is>
          <t>12.12.2026</t>
        </is>
      </c>
      <c r="I80" s="27" t="n"/>
      <c r="J80" s="27" t="inlineStr">
        <is>
          <t>2026 üretim lot bağı</t>
        </is>
      </c>
    </row>
    <row r="81" ht="15" customHeight="1">
      <c r="A81" s="27" t="inlineStr">
        <is>
          <t>23.06.2026</t>
        </is>
      </c>
      <c r="B81" s="27" t="inlineStr">
        <is>
          <t>270623</t>
        </is>
      </c>
      <c r="C81" s="27" t="inlineStr">
        <is>
          <t>58138875</t>
        </is>
      </c>
      <c r="D81" s="1" t="inlineStr">
        <is>
          <t>Mısır nişastası</t>
        </is>
      </c>
      <c r="E81" s="27" t="n"/>
      <c r="F81" s="27" t="n"/>
      <c r="G81" s="1" t="inlineStr">
        <is>
          <t>09.09.2025</t>
        </is>
      </c>
      <c r="H81" s="1" t="inlineStr">
        <is>
          <t>09.09.2027</t>
        </is>
      </c>
      <c r="I81" s="27" t="n"/>
      <c r="J81" s="27" t="inlineStr">
        <is>
          <t>2026 üretim lot bağı</t>
        </is>
      </c>
    </row>
    <row r="82" ht="15" customHeight="1">
      <c r="A82" s="27" t="inlineStr">
        <is>
          <t>23.06.2026</t>
        </is>
      </c>
      <c r="B82" s="27" t="inlineStr">
        <is>
          <t>270623</t>
        </is>
      </c>
      <c r="C82" s="27" t="inlineStr">
        <is>
          <t>9226</t>
        </is>
      </c>
      <c r="D82" s="1" t="inlineStr">
        <is>
          <t>Mısır unu</t>
        </is>
      </c>
      <c r="E82" s="27" t="n"/>
      <c r="F82" s="27" t="n"/>
      <c r="G82" s="1" t="inlineStr">
        <is>
          <t>20.02.2026</t>
        </is>
      </c>
      <c r="H82" s="1" t="inlineStr">
        <is>
          <t>20.02.2027</t>
        </is>
      </c>
      <c r="I82" s="27" t="n"/>
      <c r="J82" s="27" t="inlineStr">
        <is>
          <t>2026 üretim lot bağı</t>
        </is>
      </c>
    </row>
    <row r="83" ht="15" customHeight="1">
      <c r="A83" s="27" t="inlineStr">
        <is>
          <t>23.06.2026</t>
        </is>
      </c>
      <c r="B83" s="27" t="inlineStr">
        <is>
          <t>270623</t>
        </is>
      </c>
      <c r="C83" s="27" t="inlineStr">
        <is>
          <t>20425</t>
        </is>
      </c>
      <c r="D83" s="1" t="inlineStr">
        <is>
          <t>Tuz</t>
        </is>
      </c>
      <c r="E83" s="27" t="n"/>
      <c r="F83" s="27" t="n"/>
      <c r="G83" s="1" t="inlineStr">
        <is>
          <t>23.07.2025</t>
        </is>
      </c>
      <c r="H83" s="1" t="inlineStr">
        <is>
          <t>23.07.2026</t>
        </is>
      </c>
      <c r="I83" s="27" t="n"/>
      <c r="J83" s="27" t="inlineStr">
        <is>
          <t>2026 üretim lot bağı</t>
        </is>
      </c>
    </row>
    <row r="84" ht="15" customHeight="1">
      <c r="A84" s="27" t="inlineStr">
        <is>
          <t>23.06.2026</t>
        </is>
      </c>
      <c r="B84" s="27" t="inlineStr">
        <is>
          <t>270623</t>
        </is>
      </c>
      <c r="C84" s="27" t="inlineStr">
        <is>
          <t>070426-693</t>
        </is>
      </c>
      <c r="D84" s="1" t="inlineStr">
        <is>
          <t>Karabiber</t>
        </is>
      </c>
      <c r="E84" s="27" t="n"/>
      <c r="F84" s="27" t="n"/>
      <c r="G84" s="1" t="inlineStr">
        <is>
          <t>07.04.2026</t>
        </is>
      </c>
      <c r="H84" s="1" t="inlineStr">
        <is>
          <t>07.04.2028</t>
        </is>
      </c>
      <c r="I84" s="27" t="n"/>
      <c r="J84" s="27" t="inlineStr">
        <is>
          <t>2026 üretim lot bağı</t>
        </is>
      </c>
    </row>
    <row r="85" ht="15" customHeight="1">
      <c r="A85" s="27" t="inlineStr">
        <is>
          <t>23.06.2026</t>
        </is>
      </c>
      <c r="B85" s="27" t="inlineStr">
        <is>
          <t>270623</t>
        </is>
      </c>
      <c r="C85" s="27" t="inlineStr">
        <is>
          <t>170226-157</t>
        </is>
      </c>
      <c r="D85" s="1" t="inlineStr">
        <is>
          <t>Sarımsak tozu</t>
        </is>
      </c>
      <c r="E85" s="27" t="n"/>
      <c r="F85" s="27" t="n"/>
      <c r="G85" s="1" t="inlineStr">
        <is>
          <t>17.02.2026</t>
        </is>
      </c>
      <c r="H85" s="1" t="inlineStr">
        <is>
          <t>17.02.2028</t>
        </is>
      </c>
      <c r="I85" s="27" t="n"/>
      <c r="J85" s="27" t="inlineStr">
        <is>
          <t>2026 üretim lot bağı</t>
        </is>
      </c>
    </row>
    <row r="86" ht="15" customHeight="1">
      <c r="A86" s="27" t="inlineStr">
        <is>
          <t>23.06.2026</t>
        </is>
      </c>
      <c r="B86" s="27" t="inlineStr">
        <is>
          <t>270623</t>
        </is>
      </c>
      <c r="C86" s="27" t="inlineStr">
        <is>
          <t>280108-234</t>
        </is>
      </c>
      <c r="D86" s="1" t="inlineStr">
        <is>
          <t>BENECEL</t>
        </is>
      </c>
      <c r="E86" s="27" t="n"/>
      <c r="F86" s="27" t="n"/>
      <c r="G86" s="1" t="inlineStr">
        <is>
          <t>08.01.2026</t>
        </is>
      </c>
      <c r="H86" s="1" t="inlineStr">
        <is>
          <t>08.01.2028</t>
        </is>
      </c>
      <c r="I86" s="27" t="n"/>
      <c r="J86" s="27" t="inlineStr">
        <is>
          <t>2026 üretim lot bağı</t>
        </is>
      </c>
    </row>
    <row r="87" ht="15" customHeight="1">
      <c r="A87" s="27" t="inlineStr">
        <is>
          <t>23.06.2026</t>
        </is>
      </c>
      <c r="B87" s="27" t="inlineStr">
        <is>
          <t>270623</t>
        </is>
      </c>
      <c r="C87" s="27" t="inlineStr">
        <is>
          <t>01.09.EY</t>
        </is>
      </c>
      <c r="D87" s="1" t="inlineStr">
        <is>
          <t>Savour tavuk çeşnisi</t>
        </is>
      </c>
      <c r="E87" s="27" t="n"/>
      <c r="F87" s="27" t="n"/>
      <c r="G87" s="1" t="n"/>
      <c r="H87" s="1" t="inlineStr">
        <is>
          <t>09.2026</t>
        </is>
      </c>
      <c r="I87" s="27" t="n"/>
      <c r="J87" s="27" t="inlineStr">
        <is>
          <t>2026 üretim lot bağı</t>
        </is>
      </c>
    </row>
    <row r="88" ht="15" customHeight="1">
      <c r="A88" s="27" t="n"/>
      <c r="B88" s="27" t="n"/>
      <c r="C88" s="27" t="n"/>
      <c r="D88" s="1" t="n"/>
      <c r="E88" s="27" t="n"/>
      <c r="F88" s="27" t="n"/>
      <c r="G88" s="1" t="n"/>
      <c r="H88" s="1" t="n"/>
      <c r="I88" s="27" t="n"/>
      <c r="J88" s="27" t="n"/>
    </row>
    <row r="89" ht="15" customHeight="1">
      <c r="A89" s="27" t="n"/>
      <c r="B89" s="27" t="n"/>
      <c r="C89" s="27" t="n"/>
      <c r="D89" s="1" t="n"/>
      <c r="E89" s="27" t="n"/>
      <c r="F89" s="27" t="n"/>
      <c r="G89" s="1" t="n"/>
      <c r="H89" s="1" t="n"/>
      <c r="I89" s="27" t="n"/>
      <c r="J89" s="27" t="n"/>
    </row>
    <row r="90" ht="15" customHeight="1">
      <c r="A90" s="27" t="n"/>
      <c r="B90" s="27" t="n"/>
      <c r="C90" s="27" t="n"/>
      <c r="D90" s="1" t="n"/>
      <c r="E90" s="27" t="n"/>
      <c r="F90" s="27" t="n"/>
      <c r="G90" s="1" t="n"/>
      <c r="H90" s="1" t="n"/>
      <c r="I90" s="27" t="n"/>
      <c r="J90" s="27" t="n"/>
    </row>
    <row r="91" ht="15" customHeight="1">
      <c r="A91" s="27" t="n"/>
      <c r="B91" s="27" t="n"/>
      <c r="C91" s="27" t="n"/>
      <c r="D91" s="1" t="n"/>
      <c r="E91" s="27" t="n"/>
      <c r="F91" s="27" t="n"/>
      <c r="G91" s="1" t="n"/>
      <c r="H91" s="1" t="n"/>
      <c r="I91" s="27" t="n"/>
      <c r="J91" s="27" t="n"/>
    </row>
    <row r="92" ht="15" customHeight="1">
      <c r="A92" s="27" t="n"/>
      <c r="B92" s="27" t="n"/>
      <c r="C92" s="27" t="n"/>
      <c r="D92" s="1" t="n"/>
      <c r="E92" s="27" t="n"/>
      <c r="F92" s="27" t="n"/>
      <c r="G92" s="1" t="n"/>
      <c r="H92" s="1" t="n"/>
      <c r="I92" s="27" t="n"/>
      <c r="J92" s="27" t="n"/>
    </row>
    <row r="93" ht="15" customHeight="1">
      <c r="A93" s="27" t="n"/>
      <c r="B93" s="27" t="n"/>
      <c r="C93" s="27" t="n"/>
      <c r="D93" s="1" t="n"/>
      <c r="E93" s="27" t="n"/>
      <c r="F93" s="27" t="n"/>
      <c r="G93" s="1" t="n"/>
      <c r="H93" s="1" t="n"/>
      <c r="I93" s="27" t="n"/>
      <c r="J93" s="27" t="n"/>
    </row>
    <row r="94" ht="15" customHeight="1">
      <c r="A94" s="27" t="n"/>
      <c r="B94" s="27" t="n"/>
      <c r="C94" s="27" t="n"/>
      <c r="D94" s="1" t="n"/>
      <c r="E94" s="27" t="n"/>
      <c r="F94" s="27" t="n"/>
      <c r="G94" s="1" t="n"/>
      <c r="H94" s="1" t="n"/>
      <c r="I94" s="27" t="n"/>
      <c r="J94" s="27" t="n"/>
    </row>
    <row r="95" ht="15" customHeight="1">
      <c r="A95" s="27" t="n"/>
      <c r="B95" s="27" t="n"/>
      <c r="C95" s="27" t="n"/>
      <c r="D95" s="1" t="n"/>
      <c r="E95" s="27" t="n"/>
      <c r="F95" s="27" t="n"/>
      <c r="G95" s="1" t="n"/>
      <c r="H95" s="1" t="n"/>
      <c r="I95" s="27" t="n"/>
      <c r="J95" s="27" t="n"/>
    </row>
    <row r="96" ht="15" customHeight="1">
      <c r="A96" s="27" t="n"/>
      <c r="B96" s="27" t="n"/>
      <c r="C96" s="27" t="n"/>
      <c r="D96" s="1" t="n"/>
      <c r="E96" s="27" t="n"/>
      <c r="F96" s="27" t="n"/>
      <c r="G96" s="1" t="n"/>
      <c r="H96" s="1" t="n"/>
      <c r="I96" s="27" t="n"/>
      <c r="J96" s="27" t="n"/>
    </row>
    <row r="97" ht="15" customHeight="1">
      <c r="A97" s="27" t="n"/>
      <c r="B97" s="27" t="n"/>
      <c r="C97" s="27" t="n"/>
      <c r="D97" s="1" t="n"/>
      <c r="E97" s="27" t="n"/>
      <c r="F97" s="27" t="n"/>
      <c r="G97" s="1" t="n"/>
      <c r="H97" s="1" t="n"/>
      <c r="I97" s="27" t="n"/>
      <c r="J97" s="27" t="n"/>
    </row>
    <row r="98" ht="15" customHeight="1">
      <c r="A98" s="27" t="n"/>
      <c r="B98" s="27" t="n"/>
      <c r="C98" s="27" t="n"/>
      <c r="D98" s="1" t="n"/>
      <c r="E98" s="27" t="n"/>
      <c r="F98" s="27" t="n"/>
      <c r="G98" s="1" t="n"/>
      <c r="H98" s="1" t="n"/>
      <c r="I98" s="27" t="n"/>
      <c r="J98" s="27" t="n"/>
    </row>
    <row r="99" ht="15" customHeight="1">
      <c r="A99" s="27" t="n"/>
      <c r="B99" s="27" t="n"/>
      <c r="C99" s="27" t="n"/>
      <c r="D99" s="1" t="n"/>
      <c r="E99" s="27" t="n"/>
      <c r="F99" s="27" t="n"/>
      <c r="G99" s="1" t="n"/>
      <c r="H99" s="1" t="n"/>
      <c r="I99" s="27" t="n"/>
      <c r="J99" s="27" t="n"/>
    </row>
    <row r="100" ht="15" customHeight="1">
      <c r="A100" s="27" t="n"/>
      <c r="B100" s="27" t="n"/>
      <c r="C100" s="27" t="n"/>
      <c r="D100" s="1" t="n"/>
      <c r="E100" s="27" t="n"/>
      <c r="F100" s="27" t="n"/>
      <c r="G100" s="1" t="n"/>
      <c r="H100" s="1" t="n"/>
      <c r="I100" s="27" t="n"/>
      <c r="J100" s="27" t="n"/>
    </row>
    <row r="101" ht="15" customHeight="1">
      <c r="A101" s="27" t="n"/>
      <c r="B101" s="27" t="n"/>
      <c r="C101" s="27" t="n"/>
      <c r="D101" s="1" t="n"/>
      <c r="E101" s="27" t="n"/>
      <c r="F101" s="27" t="n"/>
      <c r="G101" s="1" t="n"/>
      <c r="H101" s="1" t="n"/>
      <c r="I101" s="27" t="n"/>
      <c r="J101" s="27" t="n"/>
    </row>
    <row r="102" ht="15" customHeight="1">
      <c r="A102" s="27" t="n"/>
      <c r="B102" s="27" t="n"/>
      <c r="C102" s="27" t="n"/>
      <c r="D102" s="1" t="n"/>
      <c r="E102" s="27" t="n"/>
      <c r="F102" s="27" t="n"/>
      <c r="G102" s="1" t="n"/>
      <c r="H102" s="1" t="n"/>
      <c r="I102" s="27" t="n"/>
      <c r="J102" s="27" t="n"/>
    </row>
    <row r="103" ht="15" customHeight="1">
      <c r="A103" s="27" t="n"/>
      <c r="B103" s="27" t="n"/>
      <c r="C103" s="27" t="n"/>
      <c r="D103" s="1" t="n"/>
      <c r="E103" s="27" t="n"/>
      <c r="F103" s="27" t="n"/>
      <c r="G103" s="1" t="n"/>
      <c r="H103" s="1" t="n"/>
      <c r="I103" s="27" t="n"/>
      <c r="J103" s="27" t="n"/>
    </row>
    <row r="104" ht="15" customHeight="1">
      <c r="A104" s="27" t="n"/>
      <c r="B104" s="27" t="n"/>
      <c r="C104" s="27" t="n"/>
      <c r="D104" s="1" t="n"/>
      <c r="E104" s="27" t="n"/>
      <c r="F104" s="27" t="n"/>
      <c r="G104" s="1" t="n"/>
      <c r="H104" s="1" t="n"/>
      <c r="I104" s="27" t="n"/>
      <c r="J104" s="27" t="n"/>
    </row>
    <row r="105" ht="15" customHeight="1">
      <c r="A105" s="27" t="n"/>
      <c r="B105" s="27" t="n"/>
      <c r="C105" s="27" t="n"/>
      <c r="D105" s="1" t="n"/>
      <c r="E105" s="27" t="n"/>
      <c r="F105" s="27" t="n"/>
      <c r="G105" s="1" t="n"/>
      <c r="H105" s="1" t="n"/>
      <c r="I105" s="27" t="n"/>
      <c r="J105" s="27" t="n"/>
    </row>
    <row r="106" ht="15" customHeight="1">
      <c r="A106" s="27" t="n"/>
      <c r="B106" s="27" t="n"/>
      <c r="C106" s="27" t="n"/>
      <c r="D106" s="1" t="n"/>
      <c r="E106" s="27" t="n"/>
      <c r="F106" s="27" t="n"/>
      <c r="G106" s="1" t="n"/>
      <c r="H106" s="1" t="n"/>
      <c r="I106" s="27" t="n"/>
      <c r="J106" s="27" t="n"/>
    </row>
    <row r="107" ht="15" customHeight="1">
      <c r="A107" s="27" t="n"/>
      <c r="B107" s="27" t="n"/>
      <c r="C107" s="27" t="n"/>
      <c r="D107" s="1" t="n"/>
      <c r="E107" s="27" t="n"/>
      <c r="F107" s="27" t="n"/>
      <c r="G107" s="1" t="n"/>
      <c r="H107" s="1" t="n"/>
      <c r="I107" s="27" t="n"/>
      <c r="J107" s="27" t="n"/>
    </row>
    <row r="108" ht="15" customHeight="1">
      <c r="A108" s="27" t="n"/>
      <c r="B108" s="27" t="n"/>
      <c r="C108" s="27" t="n"/>
      <c r="D108" s="1" t="n"/>
      <c r="E108" s="27" t="n"/>
      <c r="F108" s="27" t="n"/>
      <c r="G108" s="1" t="n"/>
      <c r="H108" s="1" t="n"/>
      <c r="I108" s="27" t="n"/>
      <c r="J108" s="27" t="n"/>
    </row>
    <row r="109" ht="15" customHeight="1">
      <c r="A109" s="27" t="n"/>
      <c r="B109" s="27" t="n"/>
      <c r="C109" s="27" t="n"/>
      <c r="D109" s="1" t="n"/>
      <c r="E109" s="27" t="n"/>
      <c r="F109" s="27" t="n"/>
      <c r="G109" s="1" t="n"/>
      <c r="H109" s="1" t="n"/>
      <c r="I109" s="27" t="n"/>
      <c r="J109" s="27" t="n"/>
    </row>
    <row r="110" ht="15" customHeight="1">
      <c r="A110" s="27" t="n"/>
      <c r="B110" s="27" t="n"/>
      <c r="C110" s="27" t="n"/>
      <c r="D110" s="1" t="n"/>
      <c r="E110" s="27" t="n"/>
      <c r="F110" s="27" t="n"/>
      <c r="G110" s="1" t="n"/>
      <c r="H110" s="1" t="n"/>
      <c r="I110" s="27" t="n"/>
      <c r="J110" s="27" t="n"/>
    </row>
    <row r="111" ht="15" customHeight="1">
      <c r="A111" s="27" t="n"/>
      <c r="B111" s="27" t="n"/>
      <c r="C111" s="27" t="n"/>
      <c r="D111" s="1" t="n"/>
      <c r="E111" s="27" t="n"/>
      <c r="F111" s="27" t="n"/>
      <c r="G111" s="1" t="n"/>
      <c r="H111" s="1" t="n"/>
      <c r="I111" s="27" t="n"/>
      <c r="J111" s="27" t="n"/>
    </row>
    <row r="112" ht="15" customHeight="1">
      <c r="A112" s="27" t="n"/>
      <c r="B112" s="27" t="n"/>
      <c r="C112" s="27" t="n"/>
      <c r="D112" s="1" t="n"/>
      <c r="E112" s="27" t="n"/>
      <c r="F112" s="27" t="n"/>
      <c r="G112" s="1" t="n"/>
      <c r="H112" s="1" t="n"/>
      <c r="I112" s="27" t="n"/>
      <c r="J112" s="27" t="n"/>
    </row>
    <row r="113" ht="15" customHeight="1">
      <c r="A113" s="27" t="n"/>
      <c r="B113" s="27" t="n"/>
      <c r="C113" s="27" t="n"/>
      <c r="D113" s="1" t="n"/>
      <c r="E113" s="27" t="n"/>
      <c r="F113" s="27" t="n"/>
      <c r="G113" s="1" t="n"/>
      <c r="H113" s="1" t="n"/>
      <c r="I113" s="27" t="n"/>
      <c r="J113" s="27" t="n"/>
    </row>
    <row r="114" ht="15" customHeight="1">
      <c r="A114" s="27" t="n"/>
      <c r="B114" s="27" t="n"/>
      <c r="C114" s="27" t="n"/>
      <c r="D114" s="1" t="n"/>
      <c r="E114" s="27" t="n"/>
      <c r="F114" s="27" t="n"/>
      <c r="G114" s="1" t="n"/>
      <c r="H114" s="1" t="n"/>
      <c r="I114" s="27" t="n"/>
      <c r="J114" s="27" t="n"/>
    </row>
    <row r="115" ht="15" customHeight="1">
      <c r="A115" s="27" t="n"/>
      <c r="B115" s="27" t="n"/>
      <c r="C115" s="27" t="n"/>
      <c r="D115" s="1" t="n"/>
      <c r="E115" s="27" t="n"/>
      <c r="F115" s="27" t="n"/>
      <c r="G115" s="1" t="n"/>
      <c r="H115" s="1" t="n"/>
      <c r="I115" s="27" t="n"/>
      <c r="J115" s="27" t="n"/>
    </row>
    <row r="116" ht="15" customHeight="1">
      <c r="A116" s="27" t="n"/>
      <c r="B116" s="27" t="n"/>
      <c r="C116" s="27" t="n"/>
      <c r="D116" s="1" t="n"/>
      <c r="E116" s="27" t="n"/>
      <c r="F116" s="27" t="n"/>
      <c r="G116" s="1" t="n"/>
      <c r="H116" s="1" t="n"/>
      <c r="I116" s="27" t="n"/>
      <c r="J116" s="27" t="n"/>
    </row>
    <row r="117" ht="15" customHeight="1">
      <c r="A117" s="27" t="n"/>
      <c r="B117" s="27" t="n"/>
      <c r="C117" s="27" t="n"/>
      <c r="D117" s="1" t="n"/>
      <c r="E117" s="27" t="n"/>
      <c r="F117" s="27" t="n"/>
      <c r="G117" s="1" t="n"/>
      <c r="H117" s="1" t="n"/>
      <c r="I117" s="27" t="n"/>
      <c r="J117" s="27" t="n"/>
    </row>
    <row r="118" ht="15" customHeight="1">
      <c r="A118" s="27" t="n"/>
      <c r="B118" s="27" t="n"/>
      <c r="C118" s="27" t="n"/>
      <c r="D118" s="1" t="n"/>
      <c r="E118" s="27" t="n"/>
      <c r="F118" s="27" t="n"/>
      <c r="G118" s="1" t="n"/>
      <c r="H118" s="1" t="n"/>
      <c r="I118" s="27" t="n"/>
      <c r="J118" s="27" t="n"/>
    </row>
    <row r="119" ht="15" customHeight="1">
      <c r="A119" s="27" t="n"/>
      <c r="B119" s="27" t="n"/>
      <c r="C119" s="27" t="n"/>
      <c r="D119" s="1" t="n"/>
      <c r="E119" s="27" t="n"/>
      <c r="F119" s="27" t="n"/>
      <c r="G119" s="1" t="n"/>
      <c r="H119" s="1" t="n"/>
      <c r="I119" s="27" t="n"/>
      <c r="J119" s="27" t="n"/>
    </row>
    <row r="120" ht="15" customHeight="1">
      <c r="A120" s="27" t="n"/>
      <c r="B120" s="27" t="n"/>
      <c r="C120" s="27" t="n"/>
      <c r="D120" s="1" t="n"/>
      <c r="E120" s="27" t="n"/>
      <c r="F120" s="27" t="n"/>
      <c r="G120" s="1" t="n"/>
      <c r="H120" s="1" t="n"/>
      <c r="I120" s="27" t="n"/>
      <c r="J120" s="27" t="n"/>
    </row>
    <row r="121" ht="15" customHeight="1">
      <c r="A121" s="27" t="n"/>
      <c r="B121" s="27" t="n"/>
      <c r="C121" s="27" t="n"/>
      <c r="D121" s="1">
        <f>IFERROR(INDEX('20 2026 DEPO KABUL'!$B$2:$B$501,MATCH(C121,'20 2026 DEPO KABUL'!$F$2:$F$501,0)),"")</f>
        <v/>
      </c>
      <c r="E121" s="27" t="n"/>
      <c r="F121" s="27" t="n"/>
      <c r="G121" s="1">
        <f>IFERROR(INDEX('20 2026 DEPO KABUL'!$G$2:$G$501,MATCH(C121,'20 2026 DEPO KABUL'!$F$2:$F$501,0)),"")</f>
        <v/>
      </c>
      <c r="H121" s="1">
        <f>IFERROR(INDEX('20 2026 DEPO KABUL'!$H$2:$H$501,MATCH(C121,'20 2026 DEPO KABUL'!$F$2:$F$501,0)),"")</f>
        <v/>
      </c>
      <c r="I121" s="27" t="n"/>
      <c r="J121" s="27" t="n"/>
    </row>
    <row r="122" ht="15" customHeight="1">
      <c r="A122" s="27" t="n"/>
      <c r="B122" s="27" t="n"/>
      <c r="C122" s="27" t="n"/>
      <c r="D122" s="1">
        <f>IFERROR(INDEX('20 2026 DEPO KABUL'!$B$2:$B$501,MATCH(C122,'20 2026 DEPO KABUL'!$F$2:$F$501,0)),"")</f>
        <v/>
      </c>
      <c r="E122" s="27" t="n"/>
      <c r="F122" s="27" t="n"/>
      <c r="G122" s="1">
        <f>IFERROR(INDEX('20 2026 DEPO KABUL'!$G$2:$G$501,MATCH(C122,'20 2026 DEPO KABUL'!$F$2:$F$501,0)),"")</f>
        <v/>
      </c>
      <c r="H122" s="1">
        <f>IFERROR(INDEX('20 2026 DEPO KABUL'!$H$2:$H$501,MATCH(C122,'20 2026 DEPO KABUL'!$F$2:$F$501,0)),"")</f>
        <v/>
      </c>
      <c r="I122" s="27" t="n"/>
      <c r="J122" s="27" t="n"/>
    </row>
    <row r="123" ht="15" customHeight="1">
      <c r="A123" s="27" t="n"/>
      <c r="B123" s="27" t="n"/>
      <c r="C123" s="27" t="n"/>
      <c r="D123" s="1">
        <f>IFERROR(INDEX('20 2026 DEPO KABUL'!$B$2:$B$501,MATCH(C123,'20 2026 DEPO KABUL'!$F$2:$F$501,0)),"")</f>
        <v/>
      </c>
      <c r="E123" s="27" t="n"/>
      <c r="F123" s="27" t="n"/>
      <c r="G123" s="1">
        <f>IFERROR(INDEX('20 2026 DEPO KABUL'!$G$2:$G$501,MATCH(C123,'20 2026 DEPO KABUL'!$F$2:$F$501,0)),"")</f>
        <v/>
      </c>
      <c r="H123" s="1">
        <f>IFERROR(INDEX('20 2026 DEPO KABUL'!$H$2:$H$501,MATCH(C123,'20 2026 DEPO KABUL'!$F$2:$F$501,0)),"")</f>
        <v/>
      </c>
      <c r="I123" s="27" t="n"/>
      <c r="J123" s="27" t="n"/>
    </row>
    <row r="124" ht="15" customHeight="1">
      <c r="A124" s="27" t="n"/>
      <c r="B124" s="27" t="n"/>
      <c r="C124" s="27" t="n"/>
      <c r="D124" s="1">
        <f>IFERROR(INDEX('20 2026 DEPO KABUL'!$B$2:$B$501,MATCH(C124,'20 2026 DEPO KABUL'!$F$2:$F$501,0)),"")</f>
        <v/>
      </c>
      <c r="E124" s="27" t="n"/>
      <c r="F124" s="27" t="n"/>
      <c r="G124" s="1">
        <f>IFERROR(INDEX('20 2026 DEPO KABUL'!$G$2:$G$501,MATCH(C124,'20 2026 DEPO KABUL'!$F$2:$F$501,0)),"")</f>
        <v/>
      </c>
      <c r="H124" s="1">
        <f>IFERROR(INDEX('20 2026 DEPO KABUL'!$H$2:$H$501,MATCH(C124,'20 2026 DEPO KABUL'!$F$2:$F$501,0)),"")</f>
        <v/>
      </c>
      <c r="I124" s="27" t="n"/>
      <c r="J124" s="27" t="n"/>
    </row>
    <row r="125" ht="15" customHeight="1">
      <c r="A125" s="27" t="n"/>
      <c r="B125" s="27" t="n"/>
      <c r="C125" s="27" t="n"/>
      <c r="D125" s="1">
        <f>IFERROR(INDEX('20 2026 DEPO KABUL'!$B$2:$B$501,MATCH(C125,'20 2026 DEPO KABUL'!$F$2:$F$501,0)),"")</f>
        <v/>
      </c>
      <c r="E125" s="27" t="n"/>
      <c r="F125" s="27" t="n"/>
      <c r="G125" s="1">
        <f>IFERROR(INDEX('20 2026 DEPO KABUL'!$G$2:$G$501,MATCH(C125,'20 2026 DEPO KABUL'!$F$2:$F$501,0)),"")</f>
        <v/>
      </c>
      <c r="H125" s="1">
        <f>IFERROR(INDEX('20 2026 DEPO KABUL'!$H$2:$H$501,MATCH(C125,'20 2026 DEPO KABUL'!$F$2:$F$501,0)),"")</f>
        <v/>
      </c>
      <c r="I125" s="27" t="n"/>
      <c r="J125" s="27" t="n"/>
    </row>
    <row r="126" ht="15" customHeight="1">
      <c r="A126" s="27" t="n"/>
      <c r="B126" s="27" t="n"/>
      <c r="C126" s="27" t="n"/>
      <c r="D126" s="1">
        <f>IFERROR(INDEX('20 2026 DEPO KABUL'!$B$2:$B$501,MATCH(C126,'20 2026 DEPO KABUL'!$F$2:$F$501,0)),"")</f>
        <v/>
      </c>
      <c r="E126" s="27" t="n"/>
      <c r="F126" s="27" t="n"/>
      <c r="G126" s="1">
        <f>IFERROR(INDEX('20 2026 DEPO KABUL'!$G$2:$G$501,MATCH(C126,'20 2026 DEPO KABUL'!$F$2:$F$501,0)),"")</f>
        <v/>
      </c>
      <c r="H126" s="1">
        <f>IFERROR(INDEX('20 2026 DEPO KABUL'!$H$2:$H$501,MATCH(C126,'20 2026 DEPO KABUL'!$F$2:$F$501,0)),"")</f>
        <v/>
      </c>
      <c r="I126" s="27" t="n"/>
      <c r="J126" s="27" t="n"/>
    </row>
    <row r="127" ht="15" customHeight="1">
      <c r="A127" s="27" t="n"/>
      <c r="B127" s="27" t="n"/>
      <c r="C127" s="27" t="n"/>
      <c r="D127" s="1">
        <f>IFERROR(INDEX('20 2026 DEPO KABUL'!$B$2:$B$501,MATCH(C127,'20 2026 DEPO KABUL'!$F$2:$F$501,0)),"")</f>
        <v/>
      </c>
      <c r="E127" s="27" t="n"/>
      <c r="F127" s="27" t="n"/>
      <c r="G127" s="1">
        <f>IFERROR(INDEX('20 2026 DEPO KABUL'!$G$2:$G$501,MATCH(C127,'20 2026 DEPO KABUL'!$F$2:$F$501,0)),"")</f>
        <v/>
      </c>
      <c r="H127" s="1">
        <f>IFERROR(INDEX('20 2026 DEPO KABUL'!$H$2:$H$501,MATCH(C127,'20 2026 DEPO KABUL'!$F$2:$F$501,0)),"")</f>
        <v/>
      </c>
      <c r="I127" s="27" t="n"/>
      <c r="J127" s="27" t="n"/>
    </row>
    <row r="128" ht="15" customHeight="1">
      <c r="A128" s="27" t="n"/>
      <c r="B128" s="27" t="n"/>
      <c r="C128" s="27" t="n"/>
      <c r="D128" s="1">
        <f>IFERROR(INDEX('20 2026 DEPO KABUL'!$B$2:$B$501,MATCH(C128,'20 2026 DEPO KABUL'!$F$2:$F$501,0)),"")</f>
        <v/>
      </c>
      <c r="E128" s="27" t="n"/>
      <c r="F128" s="27" t="n"/>
      <c r="G128" s="1">
        <f>IFERROR(INDEX('20 2026 DEPO KABUL'!$G$2:$G$501,MATCH(C128,'20 2026 DEPO KABUL'!$F$2:$F$501,0)),"")</f>
        <v/>
      </c>
      <c r="H128" s="1">
        <f>IFERROR(INDEX('20 2026 DEPO KABUL'!$H$2:$H$501,MATCH(C128,'20 2026 DEPO KABUL'!$F$2:$F$501,0)),"")</f>
        <v/>
      </c>
      <c r="I128" s="27" t="n"/>
      <c r="J128" s="27" t="n"/>
    </row>
    <row r="129" ht="15" customHeight="1">
      <c r="A129" s="27" t="n"/>
      <c r="B129" s="27" t="n"/>
      <c r="C129" s="27" t="n"/>
      <c r="D129" s="1">
        <f>IFERROR(INDEX('20 2026 DEPO KABUL'!$B$2:$B$501,MATCH(C129,'20 2026 DEPO KABUL'!$F$2:$F$501,0)),"")</f>
        <v/>
      </c>
      <c r="E129" s="27" t="n"/>
      <c r="F129" s="27" t="n"/>
      <c r="G129" s="1">
        <f>IFERROR(INDEX('20 2026 DEPO KABUL'!$G$2:$G$501,MATCH(C129,'20 2026 DEPO KABUL'!$F$2:$F$501,0)),"")</f>
        <v/>
      </c>
      <c r="H129" s="1">
        <f>IFERROR(INDEX('20 2026 DEPO KABUL'!$H$2:$H$501,MATCH(C129,'20 2026 DEPO KABUL'!$F$2:$F$501,0)),"")</f>
        <v/>
      </c>
      <c r="I129" s="27" t="n"/>
      <c r="J129" s="27" t="n"/>
    </row>
    <row r="130" ht="15" customHeight="1">
      <c r="A130" s="27" t="n"/>
      <c r="B130" s="27" t="n"/>
      <c r="C130" s="27" t="n"/>
      <c r="D130" s="1">
        <f>IFERROR(INDEX('20 2026 DEPO KABUL'!$B$2:$B$501,MATCH(C130,'20 2026 DEPO KABUL'!$F$2:$F$501,0)),"")</f>
        <v/>
      </c>
      <c r="E130" s="27" t="n"/>
      <c r="F130" s="27" t="n"/>
      <c r="G130" s="1">
        <f>IFERROR(INDEX('20 2026 DEPO KABUL'!$G$2:$G$501,MATCH(C130,'20 2026 DEPO KABUL'!$F$2:$F$501,0)),"")</f>
        <v/>
      </c>
      <c r="H130" s="1">
        <f>IFERROR(INDEX('20 2026 DEPO KABUL'!$H$2:$H$501,MATCH(C130,'20 2026 DEPO KABUL'!$F$2:$F$501,0)),"")</f>
        <v/>
      </c>
      <c r="I130" s="27" t="n"/>
      <c r="J130" s="27" t="n"/>
    </row>
    <row r="131" ht="15" customHeight="1">
      <c r="A131" s="27" t="n"/>
      <c r="B131" s="27" t="n"/>
      <c r="C131" s="27" t="n"/>
      <c r="D131" s="1">
        <f>IFERROR(INDEX('20 2026 DEPO KABUL'!$B$2:$B$501,MATCH(C131,'20 2026 DEPO KABUL'!$F$2:$F$501,0)),"")</f>
        <v/>
      </c>
      <c r="E131" s="27" t="n"/>
      <c r="F131" s="27" t="n"/>
      <c r="G131" s="1">
        <f>IFERROR(INDEX('20 2026 DEPO KABUL'!$G$2:$G$501,MATCH(C131,'20 2026 DEPO KABUL'!$F$2:$F$501,0)),"")</f>
        <v/>
      </c>
      <c r="H131" s="1">
        <f>IFERROR(INDEX('20 2026 DEPO KABUL'!$H$2:$H$501,MATCH(C131,'20 2026 DEPO KABUL'!$F$2:$F$501,0)),"")</f>
        <v/>
      </c>
      <c r="I131" s="27" t="n"/>
      <c r="J131" s="27" t="n"/>
    </row>
    <row r="132" ht="15" customHeight="1">
      <c r="A132" s="27" t="n"/>
      <c r="B132" s="27" t="n"/>
      <c r="C132" s="27" t="n"/>
      <c r="D132" s="1">
        <f>IFERROR(INDEX('20 2026 DEPO KABUL'!$B$2:$B$501,MATCH(C132,'20 2026 DEPO KABUL'!$F$2:$F$501,0)),"")</f>
        <v/>
      </c>
      <c r="E132" s="27" t="n"/>
      <c r="F132" s="27" t="n"/>
      <c r="G132" s="1">
        <f>IFERROR(INDEX('20 2026 DEPO KABUL'!$G$2:$G$501,MATCH(C132,'20 2026 DEPO KABUL'!$F$2:$F$501,0)),"")</f>
        <v/>
      </c>
      <c r="H132" s="1">
        <f>IFERROR(INDEX('20 2026 DEPO KABUL'!$H$2:$H$501,MATCH(C132,'20 2026 DEPO KABUL'!$F$2:$F$501,0)),"")</f>
        <v/>
      </c>
      <c r="I132" s="27" t="n"/>
      <c r="J132" s="27" t="n"/>
    </row>
    <row r="133" ht="15" customHeight="1">
      <c r="A133" s="27" t="n"/>
      <c r="B133" s="27" t="n"/>
      <c r="C133" s="27" t="n"/>
      <c r="D133" s="1">
        <f>IFERROR(INDEX('20 2026 DEPO KABUL'!$B$2:$B$501,MATCH(C133,'20 2026 DEPO KABUL'!$F$2:$F$501,0)),"")</f>
        <v/>
      </c>
      <c r="E133" s="27" t="n"/>
      <c r="F133" s="27" t="n"/>
      <c r="G133" s="1">
        <f>IFERROR(INDEX('20 2026 DEPO KABUL'!$G$2:$G$501,MATCH(C133,'20 2026 DEPO KABUL'!$F$2:$F$501,0)),"")</f>
        <v/>
      </c>
      <c r="H133" s="1">
        <f>IFERROR(INDEX('20 2026 DEPO KABUL'!$H$2:$H$501,MATCH(C133,'20 2026 DEPO KABUL'!$F$2:$F$501,0)),"")</f>
        <v/>
      </c>
      <c r="I133" s="27" t="n"/>
      <c r="J133" s="27" t="n"/>
    </row>
    <row r="134" ht="15" customHeight="1">
      <c r="A134" s="27" t="n"/>
      <c r="B134" s="27" t="n"/>
      <c r="C134" s="27" t="n"/>
      <c r="D134" s="1">
        <f>IFERROR(INDEX('20 2026 DEPO KABUL'!$B$2:$B$501,MATCH(C134,'20 2026 DEPO KABUL'!$F$2:$F$501,0)),"")</f>
        <v/>
      </c>
      <c r="E134" s="27" t="n"/>
      <c r="F134" s="27" t="n"/>
      <c r="G134" s="1">
        <f>IFERROR(INDEX('20 2026 DEPO KABUL'!$G$2:$G$501,MATCH(C134,'20 2026 DEPO KABUL'!$F$2:$F$501,0)),"")</f>
        <v/>
      </c>
      <c r="H134" s="1">
        <f>IFERROR(INDEX('20 2026 DEPO KABUL'!$H$2:$H$501,MATCH(C134,'20 2026 DEPO KABUL'!$F$2:$F$501,0)),"")</f>
        <v/>
      </c>
      <c r="I134" s="27" t="n"/>
      <c r="J134" s="27" t="n"/>
    </row>
    <row r="135" ht="15" customHeight="1">
      <c r="A135" s="27" t="n"/>
      <c r="B135" s="27" t="n"/>
      <c r="C135" s="27" t="n"/>
      <c r="D135" s="1">
        <f>IFERROR(INDEX('20 2026 DEPO KABUL'!$B$2:$B$501,MATCH(C135,'20 2026 DEPO KABUL'!$F$2:$F$501,0)),"")</f>
        <v/>
      </c>
      <c r="E135" s="27" t="n"/>
      <c r="F135" s="27" t="n"/>
      <c r="G135" s="1">
        <f>IFERROR(INDEX('20 2026 DEPO KABUL'!$G$2:$G$501,MATCH(C135,'20 2026 DEPO KABUL'!$F$2:$F$501,0)),"")</f>
        <v/>
      </c>
      <c r="H135" s="1">
        <f>IFERROR(INDEX('20 2026 DEPO KABUL'!$H$2:$H$501,MATCH(C135,'20 2026 DEPO KABUL'!$F$2:$F$501,0)),"")</f>
        <v/>
      </c>
      <c r="I135" s="27" t="n"/>
      <c r="J135" s="27" t="n"/>
    </row>
    <row r="136" ht="15" customHeight="1">
      <c r="A136" s="27" t="n"/>
      <c r="B136" s="27" t="n"/>
      <c r="C136" s="27" t="n"/>
      <c r="D136" s="1">
        <f>IFERROR(INDEX('20 2026 DEPO KABUL'!$B$2:$B$501,MATCH(C136,'20 2026 DEPO KABUL'!$F$2:$F$501,0)),"")</f>
        <v/>
      </c>
      <c r="E136" s="27" t="n"/>
      <c r="F136" s="27" t="n"/>
      <c r="G136" s="1">
        <f>IFERROR(INDEX('20 2026 DEPO KABUL'!$G$2:$G$501,MATCH(C136,'20 2026 DEPO KABUL'!$F$2:$F$501,0)),"")</f>
        <v/>
      </c>
      <c r="H136" s="1">
        <f>IFERROR(INDEX('20 2026 DEPO KABUL'!$H$2:$H$501,MATCH(C136,'20 2026 DEPO KABUL'!$F$2:$F$501,0)),"")</f>
        <v/>
      </c>
      <c r="I136" s="27" t="n"/>
      <c r="J136" s="27" t="n"/>
    </row>
    <row r="137" ht="15" customHeight="1">
      <c r="A137" s="27" t="n"/>
      <c r="B137" s="27" t="n"/>
      <c r="C137" s="27" t="n"/>
      <c r="D137" s="1">
        <f>IFERROR(INDEX('20 2026 DEPO KABUL'!$B$2:$B$501,MATCH(C137,'20 2026 DEPO KABUL'!$F$2:$F$501,0)),"")</f>
        <v/>
      </c>
      <c r="E137" s="27" t="n"/>
      <c r="F137" s="27" t="n"/>
      <c r="G137" s="1">
        <f>IFERROR(INDEX('20 2026 DEPO KABUL'!$G$2:$G$501,MATCH(C137,'20 2026 DEPO KABUL'!$F$2:$F$501,0)),"")</f>
        <v/>
      </c>
      <c r="H137" s="1">
        <f>IFERROR(INDEX('20 2026 DEPO KABUL'!$H$2:$H$501,MATCH(C137,'20 2026 DEPO KABUL'!$F$2:$F$501,0)),"")</f>
        <v/>
      </c>
      <c r="I137" s="27" t="n"/>
      <c r="J137" s="27" t="n"/>
    </row>
    <row r="138" ht="15" customHeight="1">
      <c r="A138" s="27" t="n"/>
      <c r="B138" s="27" t="n"/>
      <c r="C138" s="27" t="n"/>
      <c r="D138" s="1">
        <f>IFERROR(INDEX('20 2026 DEPO KABUL'!$B$2:$B$501,MATCH(C138,'20 2026 DEPO KABUL'!$F$2:$F$501,0)),"")</f>
        <v/>
      </c>
      <c r="E138" s="27" t="n"/>
      <c r="F138" s="27" t="n"/>
      <c r="G138" s="1">
        <f>IFERROR(INDEX('20 2026 DEPO KABUL'!$G$2:$G$501,MATCH(C138,'20 2026 DEPO KABUL'!$F$2:$F$501,0)),"")</f>
        <v/>
      </c>
      <c r="H138" s="1">
        <f>IFERROR(INDEX('20 2026 DEPO KABUL'!$H$2:$H$501,MATCH(C138,'20 2026 DEPO KABUL'!$F$2:$F$501,0)),"")</f>
        <v/>
      </c>
      <c r="I138" s="27" t="n"/>
      <c r="J138" s="27" t="n"/>
    </row>
    <row r="139" ht="15" customHeight="1">
      <c r="A139" s="27" t="n"/>
      <c r="B139" s="27" t="n"/>
      <c r="C139" s="27" t="n"/>
      <c r="D139" s="1">
        <f>IFERROR(INDEX('20 2026 DEPO KABUL'!$B$2:$B$501,MATCH(C139,'20 2026 DEPO KABUL'!$F$2:$F$501,0)),"")</f>
        <v/>
      </c>
      <c r="E139" s="27" t="n"/>
      <c r="F139" s="27" t="n"/>
      <c r="G139" s="1">
        <f>IFERROR(INDEX('20 2026 DEPO KABUL'!$G$2:$G$501,MATCH(C139,'20 2026 DEPO KABUL'!$F$2:$F$501,0)),"")</f>
        <v/>
      </c>
      <c r="H139" s="1">
        <f>IFERROR(INDEX('20 2026 DEPO KABUL'!$H$2:$H$501,MATCH(C139,'20 2026 DEPO KABUL'!$F$2:$F$501,0)),"")</f>
        <v/>
      </c>
      <c r="I139" s="27" t="n"/>
      <c r="J139" s="27" t="n"/>
    </row>
    <row r="140" ht="15" customHeight="1">
      <c r="A140" s="27" t="n"/>
      <c r="B140" s="27" t="n"/>
      <c r="C140" s="27" t="n"/>
      <c r="D140" s="1">
        <f>IFERROR(INDEX('20 2026 DEPO KABUL'!$B$2:$B$501,MATCH(C140,'20 2026 DEPO KABUL'!$F$2:$F$501,0)),"")</f>
        <v/>
      </c>
      <c r="E140" s="27" t="n"/>
      <c r="F140" s="27" t="n"/>
      <c r="G140" s="1">
        <f>IFERROR(INDEX('20 2026 DEPO KABUL'!$G$2:$G$501,MATCH(C140,'20 2026 DEPO KABUL'!$F$2:$F$501,0)),"")</f>
        <v/>
      </c>
      <c r="H140" s="1">
        <f>IFERROR(INDEX('20 2026 DEPO KABUL'!$H$2:$H$501,MATCH(C140,'20 2026 DEPO KABUL'!$F$2:$F$501,0)),"")</f>
        <v/>
      </c>
      <c r="I140" s="27" t="n"/>
      <c r="J140" s="27" t="n"/>
    </row>
    <row r="141" ht="15" customHeight="1">
      <c r="A141" s="27" t="n"/>
      <c r="B141" s="27" t="n"/>
      <c r="C141" s="27" t="n"/>
      <c r="D141" s="1">
        <f>IFERROR(INDEX('20 2026 DEPO KABUL'!$B$2:$B$501,MATCH(C141,'20 2026 DEPO KABUL'!$F$2:$F$501,0)),"")</f>
        <v/>
      </c>
      <c r="E141" s="27" t="n"/>
      <c r="F141" s="27" t="n"/>
      <c r="G141" s="1">
        <f>IFERROR(INDEX('20 2026 DEPO KABUL'!$G$2:$G$501,MATCH(C141,'20 2026 DEPO KABUL'!$F$2:$F$501,0)),"")</f>
        <v/>
      </c>
      <c r="H141" s="1">
        <f>IFERROR(INDEX('20 2026 DEPO KABUL'!$H$2:$H$501,MATCH(C141,'20 2026 DEPO KABUL'!$F$2:$F$501,0)),"")</f>
        <v/>
      </c>
      <c r="I141" s="27" t="n"/>
      <c r="J141" s="27" t="n"/>
    </row>
    <row r="142" ht="15" customHeight="1">
      <c r="A142" s="27" t="n"/>
      <c r="B142" s="27" t="n"/>
      <c r="C142" s="27" t="n"/>
      <c r="D142" s="1">
        <f>IFERROR(INDEX('20 2026 DEPO KABUL'!$B$2:$B$501,MATCH(C142,'20 2026 DEPO KABUL'!$F$2:$F$501,0)),"")</f>
        <v/>
      </c>
      <c r="E142" s="27" t="n"/>
      <c r="F142" s="27" t="n"/>
      <c r="G142" s="1">
        <f>IFERROR(INDEX('20 2026 DEPO KABUL'!$G$2:$G$501,MATCH(C142,'20 2026 DEPO KABUL'!$F$2:$F$501,0)),"")</f>
        <v/>
      </c>
      <c r="H142" s="1">
        <f>IFERROR(INDEX('20 2026 DEPO KABUL'!$H$2:$H$501,MATCH(C142,'20 2026 DEPO KABUL'!$F$2:$F$501,0)),"")</f>
        <v/>
      </c>
      <c r="I142" s="27" t="n"/>
      <c r="J142" s="27" t="n"/>
    </row>
    <row r="143" ht="15" customHeight="1">
      <c r="A143" s="27" t="n"/>
      <c r="B143" s="27" t="n"/>
      <c r="C143" s="27" t="n"/>
      <c r="D143" s="1">
        <f>IFERROR(INDEX('20 2026 DEPO KABUL'!$B$2:$B$501,MATCH(C143,'20 2026 DEPO KABUL'!$F$2:$F$501,0)),"")</f>
        <v/>
      </c>
      <c r="E143" s="27" t="n"/>
      <c r="F143" s="27" t="n"/>
      <c r="G143" s="1">
        <f>IFERROR(INDEX('20 2026 DEPO KABUL'!$G$2:$G$501,MATCH(C143,'20 2026 DEPO KABUL'!$F$2:$F$501,0)),"")</f>
        <v/>
      </c>
      <c r="H143" s="1">
        <f>IFERROR(INDEX('20 2026 DEPO KABUL'!$H$2:$H$501,MATCH(C143,'20 2026 DEPO KABUL'!$F$2:$F$501,0)),"")</f>
        <v/>
      </c>
      <c r="I143" s="27" t="n"/>
      <c r="J143" s="27" t="n"/>
    </row>
    <row r="144" ht="15" customHeight="1">
      <c r="A144" s="27" t="n"/>
      <c r="B144" s="27" t="n"/>
      <c r="C144" s="27" t="n"/>
      <c r="D144" s="1">
        <f>IFERROR(INDEX('20 2026 DEPO KABUL'!$B$2:$B$501,MATCH(C144,'20 2026 DEPO KABUL'!$F$2:$F$501,0)),"")</f>
        <v/>
      </c>
      <c r="E144" s="27" t="n"/>
      <c r="F144" s="27" t="n"/>
      <c r="G144" s="1">
        <f>IFERROR(INDEX('20 2026 DEPO KABUL'!$G$2:$G$501,MATCH(C144,'20 2026 DEPO KABUL'!$F$2:$F$501,0)),"")</f>
        <v/>
      </c>
      <c r="H144" s="1">
        <f>IFERROR(INDEX('20 2026 DEPO KABUL'!$H$2:$H$501,MATCH(C144,'20 2026 DEPO KABUL'!$F$2:$F$501,0)),"")</f>
        <v/>
      </c>
      <c r="I144" s="27" t="n"/>
      <c r="J144" s="27" t="n"/>
    </row>
    <row r="145" ht="15" customHeight="1">
      <c r="A145" s="27" t="n"/>
      <c r="B145" s="27" t="n"/>
      <c r="C145" s="27" t="n"/>
      <c r="D145" s="1">
        <f>IFERROR(INDEX('20 2026 DEPO KABUL'!$B$2:$B$501,MATCH(C145,'20 2026 DEPO KABUL'!$F$2:$F$501,0)),"")</f>
        <v/>
      </c>
      <c r="E145" s="27" t="n"/>
      <c r="F145" s="27" t="n"/>
      <c r="G145" s="1">
        <f>IFERROR(INDEX('20 2026 DEPO KABUL'!$G$2:$G$501,MATCH(C145,'20 2026 DEPO KABUL'!$F$2:$F$501,0)),"")</f>
        <v/>
      </c>
      <c r="H145" s="1">
        <f>IFERROR(INDEX('20 2026 DEPO KABUL'!$H$2:$H$501,MATCH(C145,'20 2026 DEPO KABUL'!$F$2:$F$501,0)),"")</f>
        <v/>
      </c>
      <c r="I145" s="27" t="n"/>
      <c r="J145" s="27" t="n"/>
    </row>
    <row r="146" ht="15" customHeight="1">
      <c r="A146" s="27" t="n"/>
      <c r="B146" s="27" t="n"/>
      <c r="C146" s="27" t="n"/>
      <c r="D146" s="1">
        <f>IFERROR(INDEX('20 2026 DEPO KABUL'!$B$2:$B$501,MATCH(C146,'20 2026 DEPO KABUL'!$F$2:$F$501,0)),"")</f>
        <v/>
      </c>
      <c r="E146" s="27" t="n"/>
      <c r="F146" s="27" t="n"/>
      <c r="G146" s="1">
        <f>IFERROR(INDEX('20 2026 DEPO KABUL'!$G$2:$G$501,MATCH(C146,'20 2026 DEPO KABUL'!$F$2:$F$501,0)),"")</f>
        <v/>
      </c>
      <c r="H146" s="1">
        <f>IFERROR(INDEX('20 2026 DEPO KABUL'!$H$2:$H$501,MATCH(C146,'20 2026 DEPO KABUL'!$F$2:$F$501,0)),"")</f>
        <v/>
      </c>
      <c r="I146" s="27" t="n"/>
      <c r="J146" s="27" t="n"/>
    </row>
    <row r="147" ht="15" customHeight="1">
      <c r="A147" s="27" t="n"/>
      <c r="B147" s="27" t="n"/>
      <c r="C147" s="27" t="n"/>
      <c r="D147" s="1">
        <f>IFERROR(INDEX('20 2026 DEPO KABUL'!$B$2:$B$501,MATCH(C147,'20 2026 DEPO KABUL'!$F$2:$F$501,0)),"")</f>
        <v/>
      </c>
      <c r="E147" s="27" t="n"/>
      <c r="F147" s="27" t="n"/>
      <c r="G147" s="1">
        <f>IFERROR(INDEX('20 2026 DEPO KABUL'!$G$2:$G$501,MATCH(C147,'20 2026 DEPO KABUL'!$F$2:$F$501,0)),"")</f>
        <v/>
      </c>
      <c r="H147" s="1">
        <f>IFERROR(INDEX('20 2026 DEPO KABUL'!$H$2:$H$501,MATCH(C147,'20 2026 DEPO KABUL'!$F$2:$F$501,0)),"")</f>
        <v/>
      </c>
      <c r="I147" s="27" t="n"/>
      <c r="J147" s="27" t="n"/>
    </row>
    <row r="148" ht="15" customHeight="1">
      <c r="A148" s="27" t="n"/>
      <c r="B148" s="27" t="n"/>
      <c r="C148" s="27" t="n"/>
      <c r="D148" s="1">
        <f>IFERROR(INDEX('20 2026 DEPO KABUL'!$B$2:$B$501,MATCH(C148,'20 2026 DEPO KABUL'!$F$2:$F$501,0)),"")</f>
        <v/>
      </c>
      <c r="E148" s="27" t="n"/>
      <c r="F148" s="27" t="n"/>
      <c r="G148" s="1">
        <f>IFERROR(INDEX('20 2026 DEPO KABUL'!$G$2:$G$501,MATCH(C148,'20 2026 DEPO KABUL'!$F$2:$F$501,0)),"")</f>
        <v/>
      </c>
      <c r="H148" s="1">
        <f>IFERROR(INDEX('20 2026 DEPO KABUL'!$H$2:$H$501,MATCH(C148,'20 2026 DEPO KABUL'!$F$2:$F$501,0)),"")</f>
        <v/>
      </c>
      <c r="I148" s="27" t="n"/>
      <c r="J148" s="27" t="n"/>
    </row>
    <row r="149" ht="15" customHeight="1">
      <c r="A149" s="27" t="n"/>
      <c r="B149" s="27" t="n"/>
      <c r="C149" s="27" t="n"/>
      <c r="D149" s="1">
        <f>IFERROR(INDEX('20 2026 DEPO KABUL'!$B$2:$B$501,MATCH(C149,'20 2026 DEPO KABUL'!$F$2:$F$501,0)),"")</f>
        <v/>
      </c>
      <c r="E149" s="27" t="n"/>
      <c r="F149" s="27" t="n"/>
      <c r="G149" s="1">
        <f>IFERROR(INDEX('20 2026 DEPO KABUL'!$G$2:$G$501,MATCH(C149,'20 2026 DEPO KABUL'!$F$2:$F$501,0)),"")</f>
        <v/>
      </c>
      <c r="H149" s="1">
        <f>IFERROR(INDEX('20 2026 DEPO KABUL'!$H$2:$H$501,MATCH(C149,'20 2026 DEPO KABUL'!$F$2:$F$501,0)),"")</f>
        <v/>
      </c>
      <c r="I149" s="27" t="n"/>
      <c r="J149" s="27" t="n"/>
    </row>
    <row r="150" ht="15" customHeight="1">
      <c r="A150" s="27" t="n"/>
      <c r="B150" s="27" t="n"/>
      <c r="C150" s="27" t="n"/>
      <c r="D150" s="1">
        <f>IFERROR(INDEX('20 2026 DEPO KABUL'!$B$2:$B$501,MATCH(C150,'20 2026 DEPO KABUL'!$F$2:$F$501,0)),"")</f>
        <v/>
      </c>
      <c r="E150" s="27" t="n"/>
      <c r="F150" s="27" t="n"/>
      <c r="G150" s="1">
        <f>IFERROR(INDEX('20 2026 DEPO KABUL'!$G$2:$G$501,MATCH(C150,'20 2026 DEPO KABUL'!$F$2:$F$501,0)),"")</f>
        <v/>
      </c>
      <c r="H150" s="1">
        <f>IFERROR(INDEX('20 2026 DEPO KABUL'!$H$2:$H$501,MATCH(C150,'20 2026 DEPO KABUL'!$F$2:$F$501,0)),"")</f>
        <v/>
      </c>
      <c r="I150" s="27" t="n"/>
      <c r="J150" s="27" t="n"/>
    </row>
    <row r="151" ht="15" customHeight="1">
      <c r="A151" s="27" t="n"/>
      <c r="B151" s="27" t="n"/>
      <c r="C151" s="27" t="n"/>
      <c r="D151" s="1">
        <f>IFERROR(INDEX('20 2026 DEPO KABUL'!$B$2:$B$501,MATCH(C151,'20 2026 DEPO KABUL'!$F$2:$F$501,0)),"")</f>
        <v/>
      </c>
      <c r="E151" s="27" t="n"/>
      <c r="F151" s="27" t="n"/>
      <c r="G151" s="1">
        <f>IFERROR(INDEX('20 2026 DEPO KABUL'!$G$2:$G$501,MATCH(C151,'20 2026 DEPO KABUL'!$F$2:$F$501,0)),"")</f>
        <v/>
      </c>
      <c r="H151" s="1">
        <f>IFERROR(INDEX('20 2026 DEPO KABUL'!$H$2:$H$501,MATCH(C151,'20 2026 DEPO KABUL'!$F$2:$F$501,0)),"")</f>
        <v/>
      </c>
      <c r="I151" s="27" t="n"/>
      <c r="J151" s="27" t="n"/>
    </row>
    <row r="152" ht="15" customHeight="1">
      <c r="A152" s="27" t="n"/>
      <c r="B152" s="27" t="n"/>
      <c r="C152" s="27" t="n"/>
      <c r="D152" s="1">
        <f>IFERROR(INDEX('20 2026 DEPO KABUL'!$B$2:$B$501,MATCH(C152,'20 2026 DEPO KABUL'!$F$2:$F$501,0)),"")</f>
        <v/>
      </c>
      <c r="E152" s="27" t="n"/>
      <c r="F152" s="27" t="n"/>
      <c r="G152" s="1">
        <f>IFERROR(INDEX('20 2026 DEPO KABUL'!$G$2:$G$501,MATCH(C152,'20 2026 DEPO KABUL'!$F$2:$F$501,0)),"")</f>
        <v/>
      </c>
      <c r="H152" s="1">
        <f>IFERROR(INDEX('20 2026 DEPO KABUL'!$H$2:$H$501,MATCH(C152,'20 2026 DEPO KABUL'!$F$2:$F$501,0)),"")</f>
        <v/>
      </c>
      <c r="I152" s="27" t="n"/>
      <c r="J152" s="27" t="n"/>
    </row>
    <row r="153" ht="15" customHeight="1">
      <c r="A153" s="27" t="n"/>
      <c r="B153" s="27" t="n"/>
      <c r="C153" s="27" t="n"/>
      <c r="D153" s="1">
        <f>IFERROR(INDEX('20 2026 DEPO KABUL'!$B$2:$B$501,MATCH(C153,'20 2026 DEPO KABUL'!$F$2:$F$501,0)),"")</f>
        <v/>
      </c>
      <c r="E153" s="27" t="n"/>
      <c r="F153" s="27" t="n"/>
      <c r="G153" s="1">
        <f>IFERROR(INDEX('20 2026 DEPO KABUL'!$G$2:$G$501,MATCH(C153,'20 2026 DEPO KABUL'!$F$2:$F$501,0)),"")</f>
        <v/>
      </c>
      <c r="H153" s="1">
        <f>IFERROR(INDEX('20 2026 DEPO KABUL'!$H$2:$H$501,MATCH(C153,'20 2026 DEPO KABUL'!$F$2:$F$501,0)),"")</f>
        <v/>
      </c>
      <c r="I153" s="27" t="n"/>
      <c r="J153" s="27" t="n"/>
    </row>
    <row r="154" ht="15" customHeight="1">
      <c r="A154" s="27" t="n"/>
      <c r="B154" s="27" t="n"/>
      <c r="C154" s="27" t="n"/>
      <c r="D154" s="1">
        <f>IFERROR(INDEX('20 2026 DEPO KABUL'!$B$2:$B$501,MATCH(C154,'20 2026 DEPO KABUL'!$F$2:$F$501,0)),"")</f>
        <v/>
      </c>
      <c r="E154" s="27" t="n"/>
      <c r="F154" s="27" t="n"/>
      <c r="G154" s="1">
        <f>IFERROR(INDEX('20 2026 DEPO KABUL'!$G$2:$G$501,MATCH(C154,'20 2026 DEPO KABUL'!$F$2:$F$501,0)),"")</f>
        <v/>
      </c>
      <c r="H154" s="1">
        <f>IFERROR(INDEX('20 2026 DEPO KABUL'!$H$2:$H$501,MATCH(C154,'20 2026 DEPO KABUL'!$F$2:$F$501,0)),"")</f>
        <v/>
      </c>
      <c r="I154" s="27" t="n"/>
      <c r="J154" s="27" t="n"/>
    </row>
    <row r="155" ht="15" customHeight="1">
      <c r="A155" s="27" t="n"/>
      <c r="B155" s="27" t="n"/>
      <c r="C155" s="27" t="n"/>
      <c r="D155" s="1">
        <f>IFERROR(INDEX('20 2026 DEPO KABUL'!$B$2:$B$501,MATCH(C155,'20 2026 DEPO KABUL'!$F$2:$F$501,0)),"")</f>
        <v/>
      </c>
      <c r="E155" s="27" t="n"/>
      <c r="F155" s="27" t="n"/>
      <c r="G155" s="1">
        <f>IFERROR(INDEX('20 2026 DEPO KABUL'!$G$2:$G$501,MATCH(C155,'20 2026 DEPO KABUL'!$F$2:$F$501,0)),"")</f>
        <v/>
      </c>
      <c r="H155" s="1">
        <f>IFERROR(INDEX('20 2026 DEPO KABUL'!$H$2:$H$501,MATCH(C155,'20 2026 DEPO KABUL'!$F$2:$F$501,0)),"")</f>
        <v/>
      </c>
      <c r="I155" s="27" t="n"/>
      <c r="J155" s="27" t="n"/>
    </row>
    <row r="156" ht="15" customHeight="1">
      <c r="A156" s="27" t="n"/>
      <c r="B156" s="27" t="n"/>
      <c r="C156" s="27" t="n"/>
      <c r="D156" s="1">
        <f>IFERROR(INDEX('20 2026 DEPO KABUL'!$B$2:$B$501,MATCH(C156,'20 2026 DEPO KABUL'!$F$2:$F$501,0)),"")</f>
        <v/>
      </c>
      <c r="E156" s="27" t="n"/>
      <c r="F156" s="27" t="n"/>
      <c r="G156" s="1">
        <f>IFERROR(INDEX('20 2026 DEPO KABUL'!$G$2:$G$501,MATCH(C156,'20 2026 DEPO KABUL'!$F$2:$F$501,0)),"")</f>
        <v/>
      </c>
      <c r="H156" s="1">
        <f>IFERROR(INDEX('20 2026 DEPO KABUL'!$H$2:$H$501,MATCH(C156,'20 2026 DEPO KABUL'!$F$2:$F$501,0)),"")</f>
        <v/>
      </c>
      <c r="I156" s="27" t="n"/>
      <c r="J156" s="27" t="n"/>
    </row>
    <row r="157" ht="15" customHeight="1">
      <c r="A157" s="27" t="n"/>
      <c r="B157" s="27" t="n"/>
      <c r="C157" s="27" t="n"/>
      <c r="D157" s="1">
        <f>IFERROR(INDEX('20 2026 DEPO KABUL'!$B$2:$B$501,MATCH(C157,'20 2026 DEPO KABUL'!$F$2:$F$501,0)),"")</f>
        <v/>
      </c>
      <c r="E157" s="27" t="n"/>
      <c r="F157" s="27" t="n"/>
      <c r="G157" s="1">
        <f>IFERROR(INDEX('20 2026 DEPO KABUL'!$G$2:$G$501,MATCH(C157,'20 2026 DEPO KABUL'!$F$2:$F$501,0)),"")</f>
        <v/>
      </c>
      <c r="H157" s="1">
        <f>IFERROR(INDEX('20 2026 DEPO KABUL'!$H$2:$H$501,MATCH(C157,'20 2026 DEPO KABUL'!$F$2:$F$501,0)),"")</f>
        <v/>
      </c>
      <c r="I157" s="27" t="n"/>
      <c r="J157" s="27" t="n"/>
    </row>
    <row r="158" ht="15" customHeight="1">
      <c r="A158" s="27" t="n"/>
      <c r="B158" s="27" t="n"/>
      <c r="C158" s="27" t="n"/>
      <c r="D158" s="1">
        <f>IFERROR(INDEX('20 2026 DEPO KABUL'!$B$2:$B$501,MATCH(C158,'20 2026 DEPO KABUL'!$F$2:$F$501,0)),"")</f>
        <v/>
      </c>
      <c r="E158" s="27" t="n"/>
      <c r="F158" s="27" t="n"/>
      <c r="G158" s="1">
        <f>IFERROR(INDEX('20 2026 DEPO KABUL'!$G$2:$G$501,MATCH(C158,'20 2026 DEPO KABUL'!$F$2:$F$501,0)),"")</f>
        <v/>
      </c>
      <c r="H158" s="1">
        <f>IFERROR(INDEX('20 2026 DEPO KABUL'!$H$2:$H$501,MATCH(C158,'20 2026 DEPO KABUL'!$F$2:$F$501,0)),"")</f>
        <v/>
      </c>
      <c r="I158" s="27" t="n"/>
      <c r="J158" s="27" t="n"/>
    </row>
    <row r="159" ht="15" customHeight="1">
      <c r="A159" s="27" t="n"/>
      <c r="B159" s="27" t="n"/>
      <c r="C159" s="27" t="n"/>
      <c r="D159" s="1">
        <f>IFERROR(INDEX('20 2026 DEPO KABUL'!$B$2:$B$501,MATCH(C159,'20 2026 DEPO KABUL'!$F$2:$F$501,0)),"")</f>
        <v/>
      </c>
      <c r="E159" s="27" t="n"/>
      <c r="F159" s="27" t="n"/>
      <c r="G159" s="1">
        <f>IFERROR(INDEX('20 2026 DEPO KABUL'!$G$2:$G$501,MATCH(C159,'20 2026 DEPO KABUL'!$F$2:$F$501,0)),"")</f>
        <v/>
      </c>
      <c r="H159" s="1">
        <f>IFERROR(INDEX('20 2026 DEPO KABUL'!$H$2:$H$501,MATCH(C159,'20 2026 DEPO KABUL'!$F$2:$F$501,0)),"")</f>
        <v/>
      </c>
      <c r="I159" s="27" t="n"/>
      <c r="J159" s="27" t="n"/>
    </row>
    <row r="160" ht="15" customHeight="1">
      <c r="A160" s="27" t="n"/>
      <c r="B160" s="27" t="n"/>
      <c r="C160" s="27" t="n"/>
      <c r="D160" s="1">
        <f>IFERROR(INDEX('20 2026 DEPO KABUL'!$B$2:$B$501,MATCH(C160,'20 2026 DEPO KABUL'!$F$2:$F$501,0)),"")</f>
        <v/>
      </c>
      <c r="E160" s="27" t="n"/>
      <c r="F160" s="27" t="n"/>
      <c r="G160" s="1">
        <f>IFERROR(INDEX('20 2026 DEPO KABUL'!$G$2:$G$501,MATCH(C160,'20 2026 DEPO KABUL'!$F$2:$F$501,0)),"")</f>
        <v/>
      </c>
      <c r="H160" s="1">
        <f>IFERROR(INDEX('20 2026 DEPO KABUL'!$H$2:$H$501,MATCH(C160,'20 2026 DEPO KABUL'!$F$2:$F$501,0)),"")</f>
        <v/>
      </c>
      <c r="I160" s="27" t="n"/>
      <c r="J160" s="27" t="n"/>
    </row>
    <row r="161" ht="15" customHeight="1">
      <c r="A161" s="27" t="n"/>
      <c r="B161" s="27" t="n"/>
      <c r="C161" s="27" t="n"/>
      <c r="D161" s="1">
        <f>IFERROR(INDEX('20 2026 DEPO KABUL'!$B$2:$B$501,MATCH(C161,'20 2026 DEPO KABUL'!$F$2:$F$501,0)),"")</f>
        <v/>
      </c>
      <c r="E161" s="27" t="n"/>
      <c r="F161" s="27" t="n"/>
      <c r="G161" s="1">
        <f>IFERROR(INDEX('20 2026 DEPO KABUL'!$G$2:$G$501,MATCH(C161,'20 2026 DEPO KABUL'!$F$2:$F$501,0)),"")</f>
        <v/>
      </c>
      <c r="H161" s="1">
        <f>IFERROR(INDEX('20 2026 DEPO KABUL'!$H$2:$H$501,MATCH(C161,'20 2026 DEPO KABUL'!$F$2:$F$501,0)),"")</f>
        <v/>
      </c>
      <c r="I161" s="27" t="n"/>
      <c r="J161" s="27" t="n"/>
    </row>
    <row r="162" ht="15" customHeight="1">
      <c r="A162" s="27" t="n"/>
      <c r="B162" s="27" t="n"/>
      <c r="C162" s="27" t="n"/>
      <c r="D162" s="1">
        <f>IFERROR(INDEX('20 2026 DEPO KABUL'!$B$2:$B$501,MATCH(C162,'20 2026 DEPO KABUL'!$F$2:$F$501,0)),"")</f>
        <v/>
      </c>
      <c r="E162" s="27" t="n"/>
      <c r="F162" s="27" t="n"/>
      <c r="G162" s="1">
        <f>IFERROR(INDEX('20 2026 DEPO KABUL'!$G$2:$G$501,MATCH(C162,'20 2026 DEPO KABUL'!$F$2:$F$501,0)),"")</f>
        <v/>
      </c>
      <c r="H162" s="1">
        <f>IFERROR(INDEX('20 2026 DEPO KABUL'!$H$2:$H$501,MATCH(C162,'20 2026 DEPO KABUL'!$F$2:$F$501,0)),"")</f>
        <v/>
      </c>
      <c r="I162" s="27" t="n"/>
      <c r="J162" s="27" t="n"/>
    </row>
    <row r="163" ht="15" customHeight="1">
      <c r="A163" s="27" t="n"/>
      <c r="B163" s="27" t="n"/>
      <c r="C163" s="27" t="n"/>
      <c r="D163" s="1">
        <f>IFERROR(INDEX('20 2026 DEPO KABUL'!$B$2:$B$501,MATCH(C163,'20 2026 DEPO KABUL'!$F$2:$F$501,0)),"")</f>
        <v/>
      </c>
      <c r="E163" s="27" t="n"/>
      <c r="F163" s="27" t="n"/>
      <c r="G163" s="1">
        <f>IFERROR(INDEX('20 2026 DEPO KABUL'!$G$2:$G$501,MATCH(C163,'20 2026 DEPO KABUL'!$F$2:$F$501,0)),"")</f>
        <v/>
      </c>
      <c r="H163" s="1">
        <f>IFERROR(INDEX('20 2026 DEPO KABUL'!$H$2:$H$501,MATCH(C163,'20 2026 DEPO KABUL'!$F$2:$F$501,0)),"")</f>
        <v/>
      </c>
      <c r="I163" s="27" t="n"/>
      <c r="J163" s="27" t="n"/>
    </row>
    <row r="164" ht="15" customHeight="1">
      <c r="A164" s="27" t="n"/>
      <c r="B164" s="27" t="n"/>
      <c r="C164" s="27" t="n"/>
      <c r="D164" s="1">
        <f>IFERROR(INDEX('20 2026 DEPO KABUL'!$B$2:$B$501,MATCH(C164,'20 2026 DEPO KABUL'!$F$2:$F$501,0)),"")</f>
        <v/>
      </c>
      <c r="E164" s="27" t="n"/>
      <c r="F164" s="27" t="n"/>
      <c r="G164" s="1">
        <f>IFERROR(INDEX('20 2026 DEPO KABUL'!$G$2:$G$501,MATCH(C164,'20 2026 DEPO KABUL'!$F$2:$F$501,0)),"")</f>
        <v/>
      </c>
      <c r="H164" s="1">
        <f>IFERROR(INDEX('20 2026 DEPO KABUL'!$H$2:$H$501,MATCH(C164,'20 2026 DEPO KABUL'!$F$2:$F$501,0)),"")</f>
        <v/>
      </c>
      <c r="I164" s="27" t="n"/>
      <c r="J164" s="27" t="n"/>
    </row>
    <row r="165" ht="15" customHeight="1">
      <c r="A165" s="27" t="n"/>
      <c r="B165" s="27" t="n"/>
      <c r="C165" s="27" t="n"/>
      <c r="D165" s="1">
        <f>IFERROR(INDEX('20 2026 DEPO KABUL'!$B$2:$B$501,MATCH(C165,'20 2026 DEPO KABUL'!$F$2:$F$501,0)),"")</f>
        <v/>
      </c>
      <c r="E165" s="27" t="n"/>
      <c r="F165" s="27" t="n"/>
      <c r="G165" s="1">
        <f>IFERROR(INDEX('20 2026 DEPO KABUL'!$G$2:$G$501,MATCH(C165,'20 2026 DEPO KABUL'!$F$2:$F$501,0)),"")</f>
        <v/>
      </c>
      <c r="H165" s="1">
        <f>IFERROR(INDEX('20 2026 DEPO KABUL'!$H$2:$H$501,MATCH(C165,'20 2026 DEPO KABUL'!$F$2:$F$501,0)),"")</f>
        <v/>
      </c>
      <c r="I165" s="27" t="n"/>
      <c r="J165" s="27" t="n"/>
    </row>
    <row r="166" ht="15" customHeight="1">
      <c r="A166" s="27" t="n"/>
      <c r="B166" s="27" t="n"/>
      <c r="C166" s="27" t="n"/>
      <c r="D166" s="1">
        <f>IFERROR(INDEX('20 2026 DEPO KABUL'!$B$2:$B$501,MATCH(C166,'20 2026 DEPO KABUL'!$F$2:$F$501,0)),"")</f>
        <v/>
      </c>
      <c r="E166" s="27" t="n"/>
      <c r="F166" s="27" t="n"/>
      <c r="G166" s="1">
        <f>IFERROR(INDEX('20 2026 DEPO KABUL'!$G$2:$G$501,MATCH(C166,'20 2026 DEPO KABUL'!$F$2:$F$501,0)),"")</f>
        <v/>
      </c>
      <c r="H166" s="1">
        <f>IFERROR(INDEX('20 2026 DEPO KABUL'!$H$2:$H$501,MATCH(C166,'20 2026 DEPO KABUL'!$F$2:$F$501,0)),"")</f>
        <v/>
      </c>
      <c r="I166" s="27" t="n"/>
      <c r="J166" s="27" t="n"/>
    </row>
    <row r="167" ht="15" customHeight="1">
      <c r="A167" s="27" t="n"/>
      <c r="B167" s="27" t="n"/>
      <c r="C167" s="27" t="n"/>
      <c r="D167" s="1">
        <f>IFERROR(INDEX('20 2026 DEPO KABUL'!$B$2:$B$501,MATCH(C167,'20 2026 DEPO KABUL'!$F$2:$F$501,0)),"")</f>
        <v/>
      </c>
      <c r="E167" s="27" t="n"/>
      <c r="F167" s="27" t="n"/>
      <c r="G167" s="1">
        <f>IFERROR(INDEX('20 2026 DEPO KABUL'!$G$2:$G$501,MATCH(C167,'20 2026 DEPO KABUL'!$F$2:$F$501,0)),"")</f>
        <v/>
      </c>
      <c r="H167" s="1">
        <f>IFERROR(INDEX('20 2026 DEPO KABUL'!$H$2:$H$501,MATCH(C167,'20 2026 DEPO KABUL'!$F$2:$F$501,0)),"")</f>
        <v/>
      </c>
      <c r="I167" s="27" t="n"/>
      <c r="J167" s="27" t="n"/>
    </row>
    <row r="168" ht="15" customHeight="1">
      <c r="A168" s="27" t="n"/>
      <c r="B168" s="27" t="n"/>
      <c r="C168" s="27" t="n"/>
      <c r="D168" s="1">
        <f>IFERROR(INDEX('20 2026 DEPO KABUL'!$B$2:$B$501,MATCH(C168,'20 2026 DEPO KABUL'!$F$2:$F$501,0)),"")</f>
        <v/>
      </c>
      <c r="E168" s="27" t="n"/>
      <c r="F168" s="27" t="n"/>
      <c r="G168" s="1">
        <f>IFERROR(INDEX('20 2026 DEPO KABUL'!$G$2:$G$501,MATCH(C168,'20 2026 DEPO KABUL'!$F$2:$F$501,0)),"")</f>
        <v/>
      </c>
      <c r="H168" s="1">
        <f>IFERROR(INDEX('20 2026 DEPO KABUL'!$H$2:$H$501,MATCH(C168,'20 2026 DEPO KABUL'!$F$2:$F$501,0)),"")</f>
        <v/>
      </c>
      <c r="I168" s="27" t="n"/>
      <c r="J168" s="27" t="n"/>
    </row>
    <row r="169" ht="15" customHeight="1">
      <c r="A169" s="27" t="n"/>
      <c r="B169" s="27" t="n"/>
      <c r="C169" s="27" t="n"/>
      <c r="D169" s="1">
        <f>IFERROR(INDEX('20 2026 DEPO KABUL'!$B$2:$B$501,MATCH(C169,'20 2026 DEPO KABUL'!$F$2:$F$501,0)),"")</f>
        <v/>
      </c>
      <c r="E169" s="27" t="n"/>
      <c r="F169" s="27" t="n"/>
      <c r="G169" s="1">
        <f>IFERROR(INDEX('20 2026 DEPO KABUL'!$G$2:$G$501,MATCH(C169,'20 2026 DEPO KABUL'!$F$2:$F$501,0)),"")</f>
        <v/>
      </c>
      <c r="H169" s="1">
        <f>IFERROR(INDEX('20 2026 DEPO KABUL'!$H$2:$H$501,MATCH(C169,'20 2026 DEPO KABUL'!$F$2:$F$501,0)),"")</f>
        <v/>
      </c>
      <c r="I169" s="27" t="n"/>
      <c r="J169" s="27" t="n"/>
    </row>
    <row r="170" ht="15" customHeight="1">
      <c r="A170" s="27" t="n"/>
      <c r="B170" s="27" t="n"/>
      <c r="C170" s="27" t="n"/>
      <c r="D170" s="1">
        <f>IFERROR(INDEX('20 2026 DEPO KABUL'!$B$2:$B$501,MATCH(C170,'20 2026 DEPO KABUL'!$F$2:$F$501,0)),"")</f>
        <v/>
      </c>
      <c r="E170" s="27" t="n"/>
      <c r="F170" s="27" t="n"/>
      <c r="G170" s="1">
        <f>IFERROR(INDEX('20 2026 DEPO KABUL'!$G$2:$G$501,MATCH(C170,'20 2026 DEPO KABUL'!$F$2:$F$501,0)),"")</f>
        <v/>
      </c>
      <c r="H170" s="1">
        <f>IFERROR(INDEX('20 2026 DEPO KABUL'!$H$2:$H$501,MATCH(C170,'20 2026 DEPO KABUL'!$F$2:$F$501,0)),"")</f>
        <v/>
      </c>
      <c r="I170" s="27" t="n"/>
      <c r="J170" s="27" t="n"/>
    </row>
    <row r="171" ht="15" customHeight="1">
      <c r="A171" s="27" t="n"/>
      <c r="B171" s="27" t="n"/>
      <c r="C171" s="27" t="n"/>
      <c r="D171" s="1">
        <f>IFERROR(INDEX('20 2026 DEPO KABUL'!$B$2:$B$501,MATCH(C171,'20 2026 DEPO KABUL'!$F$2:$F$501,0)),"")</f>
        <v/>
      </c>
      <c r="E171" s="27" t="n"/>
      <c r="F171" s="27" t="n"/>
      <c r="G171" s="1">
        <f>IFERROR(INDEX('20 2026 DEPO KABUL'!$G$2:$G$501,MATCH(C171,'20 2026 DEPO KABUL'!$F$2:$F$501,0)),"")</f>
        <v/>
      </c>
      <c r="H171" s="1">
        <f>IFERROR(INDEX('20 2026 DEPO KABUL'!$H$2:$H$501,MATCH(C171,'20 2026 DEPO KABUL'!$F$2:$F$501,0)),"")</f>
        <v/>
      </c>
      <c r="I171" s="27" t="n"/>
      <c r="J171" s="27" t="n"/>
    </row>
    <row r="172" ht="15" customHeight="1">
      <c r="A172" s="27" t="n"/>
      <c r="B172" s="27" t="n"/>
      <c r="C172" s="27" t="n"/>
      <c r="D172" s="1">
        <f>IFERROR(INDEX('20 2026 DEPO KABUL'!$B$2:$B$501,MATCH(C172,'20 2026 DEPO KABUL'!$F$2:$F$501,0)),"")</f>
        <v/>
      </c>
      <c r="E172" s="27" t="n"/>
      <c r="F172" s="27" t="n"/>
      <c r="G172" s="1">
        <f>IFERROR(INDEX('20 2026 DEPO KABUL'!$G$2:$G$501,MATCH(C172,'20 2026 DEPO KABUL'!$F$2:$F$501,0)),"")</f>
        <v/>
      </c>
      <c r="H172" s="1">
        <f>IFERROR(INDEX('20 2026 DEPO KABUL'!$H$2:$H$501,MATCH(C172,'20 2026 DEPO KABUL'!$F$2:$F$501,0)),"")</f>
        <v/>
      </c>
      <c r="I172" s="27" t="n"/>
      <c r="J172" s="27" t="n"/>
    </row>
    <row r="173" ht="15" customHeight="1">
      <c r="A173" s="27" t="n"/>
      <c r="B173" s="27" t="n"/>
      <c r="C173" s="27" t="n"/>
      <c r="D173" s="1">
        <f>IFERROR(INDEX('20 2026 DEPO KABUL'!$B$2:$B$501,MATCH(C173,'20 2026 DEPO KABUL'!$F$2:$F$501,0)),"")</f>
        <v/>
      </c>
      <c r="E173" s="27" t="n"/>
      <c r="F173" s="27" t="n"/>
      <c r="G173" s="1">
        <f>IFERROR(INDEX('20 2026 DEPO KABUL'!$G$2:$G$501,MATCH(C173,'20 2026 DEPO KABUL'!$F$2:$F$501,0)),"")</f>
        <v/>
      </c>
      <c r="H173" s="1">
        <f>IFERROR(INDEX('20 2026 DEPO KABUL'!$H$2:$H$501,MATCH(C173,'20 2026 DEPO KABUL'!$F$2:$F$501,0)),"")</f>
        <v/>
      </c>
      <c r="I173" s="27" t="n"/>
      <c r="J173" s="27" t="n"/>
    </row>
    <row r="174" ht="15" customHeight="1">
      <c r="A174" s="27" t="n"/>
      <c r="B174" s="27" t="n"/>
      <c r="C174" s="27" t="n"/>
      <c r="D174" s="1">
        <f>IFERROR(INDEX('20 2026 DEPO KABUL'!$B$2:$B$501,MATCH(C174,'20 2026 DEPO KABUL'!$F$2:$F$501,0)),"")</f>
        <v/>
      </c>
      <c r="E174" s="27" t="n"/>
      <c r="F174" s="27" t="n"/>
      <c r="G174" s="1">
        <f>IFERROR(INDEX('20 2026 DEPO KABUL'!$G$2:$G$501,MATCH(C174,'20 2026 DEPO KABUL'!$F$2:$F$501,0)),"")</f>
        <v/>
      </c>
      <c r="H174" s="1">
        <f>IFERROR(INDEX('20 2026 DEPO KABUL'!$H$2:$H$501,MATCH(C174,'20 2026 DEPO KABUL'!$F$2:$F$501,0)),"")</f>
        <v/>
      </c>
      <c r="I174" s="27" t="n"/>
      <c r="J174" s="27" t="n"/>
    </row>
    <row r="175" ht="15" customHeight="1">
      <c r="A175" s="27" t="n"/>
      <c r="B175" s="27" t="n"/>
      <c r="C175" s="27" t="n"/>
      <c r="D175" s="1">
        <f>IFERROR(INDEX('20 2026 DEPO KABUL'!$B$2:$B$501,MATCH(C175,'20 2026 DEPO KABUL'!$F$2:$F$501,0)),"")</f>
        <v/>
      </c>
      <c r="E175" s="27" t="n"/>
      <c r="F175" s="27" t="n"/>
      <c r="G175" s="1">
        <f>IFERROR(INDEX('20 2026 DEPO KABUL'!$G$2:$G$501,MATCH(C175,'20 2026 DEPO KABUL'!$F$2:$F$501,0)),"")</f>
        <v/>
      </c>
      <c r="H175" s="1">
        <f>IFERROR(INDEX('20 2026 DEPO KABUL'!$H$2:$H$501,MATCH(C175,'20 2026 DEPO KABUL'!$F$2:$F$501,0)),"")</f>
        <v/>
      </c>
      <c r="I175" s="27" t="n"/>
      <c r="J175" s="27" t="n"/>
    </row>
    <row r="176" ht="15" customHeight="1">
      <c r="A176" s="27" t="n"/>
      <c r="B176" s="27" t="n"/>
      <c r="C176" s="27" t="n"/>
      <c r="D176" s="1">
        <f>IFERROR(INDEX('20 2026 DEPO KABUL'!$B$2:$B$501,MATCH(C176,'20 2026 DEPO KABUL'!$F$2:$F$501,0)),"")</f>
        <v/>
      </c>
      <c r="E176" s="27" t="n"/>
      <c r="F176" s="27" t="n"/>
      <c r="G176" s="1">
        <f>IFERROR(INDEX('20 2026 DEPO KABUL'!$G$2:$G$501,MATCH(C176,'20 2026 DEPO KABUL'!$F$2:$F$501,0)),"")</f>
        <v/>
      </c>
      <c r="H176" s="1">
        <f>IFERROR(INDEX('20 2026 DEPO KABUL'!$H$2:$H$501,MATCH(C176,'20 2026 DEPO KABUL'!$F$2:$F$501,0)),"")</f>
        <v/>
      </c>
      <c r="I176" s="27" t="n"/>
      <c r="J176" s="27" t="n"/>
    </row>
    <row r="177" ht="15" customHeight="1">
      <c r="A177" s="27" t="n"/>
      <c r="B177" s="27" t="n"/>
      <c r="C177" s="27" t="n"/>
      <c r="D177" s="1">
        <f>IFERROR(INDEX('20 2026 DEPO KABUL'!$B$2:$B$501,MATCH(C177,'20 2026 DEPO KABUL'!$F$2:$F$501,0)),"")</f>
        <v/>
      </c>
      <c r="E177" s="27" t="n"/>
      <c r="F177" s="27" t="n"/>
      <c r="G177" s="1">
        <f>IFERROR(INDEX('20 2026 DEPO KABUL'!$G$2:$G$501,MATCH(C177,'20 2026 DEPO KABUL'!$F$2:$F$501,0)),"")</f>
        <v/>
      </c>
      <c r="H177" s="1">
        <f>IFERROR(INDEX('20 2026 DEPO KABUL'!$H$2:$H$501,MATCH(C177,'20 2026 DEPO KABUL'!$F$2:$F$501,0)),"")</f>
        <v/>
      </c>
      <c r="I177" s="27" t="n"/>
      <c r="J177" s="27" t="n"/>
    </row>
    <row r="178" ht="15" customHeight="1">
      <c r="A178" s="27" t="n"/>
      <c r="B178" s="27" t="n"/>
      <c r="C178" s="27" t="n"/>
      <c r="D178" s="1">
        <f>IFERROR(INDEX('20 2026 DEPO KABUL'!$B$2:$B$501,MATCH(C178,'20 2026 DEPO KABUL'!$F$2:$F$501,0)),"")</f>
        <v/>
      </c>
      <c r="E178" s="27" t="n"/>
      <c r="F178" s="27" t="n"/>
      <c r="G178" s="1">
        <f>IFERROR(INDEX('20 2026 DEPO KABUL'!$G$2:$G$501,MATCH(C178,'20 2026 DEPO KABUL'!$F$2:$F$501,0)),"")</f>
        <v/>
      </c>
      <c r="H178" s="1">
        <f>IFERROR(INDEX('20 2026 DEPO KABUL'!$H$2:$H$501,MATCH(C178,'20 2026 DEPO KABUL'!$F$2:$F$501,0)),"")</f>
        <v/>
      </c>
      <c r="I178" s="27" t="n"/>
      <c r="J178" s="27" t="n"/>
    </row>
    <row r="179" ht="15" customHeight="1">
      <c r="A179" s="27" t="n"/>
      <c r="B179" s="27" t="n"/>
      <c r="C179" s="27" t="n"/>
      <c r="D179" s="1">
        <f>IFERROR(INDEX('20 2026 DEPO KABUL'!$B$2:$B$501,MATCH(C179,'20 2026 DEPO KABUL'!$F$2:$F$501,0)),"")</f>
        <v/>
      </c>
      <c r="E179" s="27" t="n"/>
      <c r="F179" s="27" t="n"/>
      <c r="G179" s="1">
        <f>IFERROR(INDEX('20 2026 DEPO KABUL'!$G$2:$G$501,MATCH(C179,'20 2026 DEPO KABUL'!$F$2:$F$501,0)),"")</f>
        <v/>
      </c>
      <c r="H179" s="1">
        <f>IFERROR(INDEX('20 2026 DEPO KABUL'!$H$2:$H$501,MATCH(C179,'20 2026 DEPO KABUL'!$F$2:$F$501,0)),"")</f>
        <v/>
      </c>
      <c r="I179" s="27" t="n"/>
      <c r="J179" s="27" t="n"/>
    </row>
    <row r="180" ht="15" customHeight="1">
      <c r="A180" s="27" t="n"/>
      <c r="B180" s="27" t="n"/>
      <c r="C180" s="27" t="n"/>
      <c r="D180" s="1">
        <f>IFERROR(INDEX('20 2026 DEPO KABUL'!$B$2:$B$501,MATCH(C180,'20 2026 DEPO KABUL'!$F$2:$F$501,0)),"")</f>
        <v/>
      </c>
      <c r="E180" s="27" t="n"/>
      <c r="F180" s="27" t="n"/>
      <c r="G180" s="1">
        <f>IFERROR(INDEX('20 2026 DEPO KABUL'!$G$2:$G$501,MATCH(C180,'20 2026 DEPO KABUL'!$F$2:$F$501,0)),"")</f>
        <v/>
      </c>
      <c r="H180" s="1">
        <f>IFERROR(INDEX('20 2026 DEPO KABUL'!$H$2:$H$501,MATCH(C180,'20 2026 DEPO KABUL'!$F$2:$F$501,0)),"")</f>
        <v/>
      </c>
      <c r="I180" s="27" t="n"/>
      <c r="J180" s="27" t="n"/>
    </row>
    <row r="181" ht="15" customHeight="1">
      <c r="A181" s="27" t="n"/>
      <c r="B181" s="27" t="n"/>
      <c r="C181" s="27" t="n"/>
      <c r="D181" s="1">
        <f>IFERROR(INDEX('20 2026 DEPO KABUL'!$B$2:$B$501,MATCH(C181,'20 2026 DEPO KABUL'!$F$2:$F$501,0)),"")</f>
        <v/>
      </c>
      <c r="E181" s="27" t="n"/>
      <c r="F181" s="27" t="n"/>
      <c r="G181" s="1">
        <f>IFERROR(INDEX('20 2026 DEPO KABUL'!$G$2:$G$501,MATCH(C181,'20 2026 DEPO KABUL'!$F$2:$F$501,0)),"")</f>
        <v/>
      </c>
      <c r="H181" s="1">
        <f>IFERROR(INDEX('20 2026 DEPO KABUL'!$H$2:$H$501,MATCH(C181,'20 2026 DEPO KABUL'!$F$2:$F$501,0)),"")</f>
        <v/>
      </c>
      <c r="I181" s="27" t="n"/>
      <c r="J181" s="27" t="n"/>
    </row>
    <row r="182" ht="15" customHeight="1">
      <c r="A182" s="27" t="n"/>
      <c r="B182" s="27" t="n"/>
      <c r="C182" s="27" t="n"/>
      <c r="D182" s="1">
        <f>IFERROR(INDEX('20 2026 DEPO KABUL'!$B$2:$B$501,MATCH(C182,'20 2026 DEPO KABUL'!$F$2:$F$501,0)),"")</f>
        <v/>
      </c>
      <c r="E182" s="27" t="n"/>
      <c r="F182" s="27" t="n"/>
      <c r="G182" s="1">
        <f>IFERROR(INDEX('20 2026 DEPO KABUL'!$G$2:$G$501,MATCH(C182,'20 2026 DEPO KABUL'!$F$2:$F$501,0)),"")</f>
        <v/>
      </c>
      <c r="H182" s="1">
        <f>IFERROR(INDEX('20 2026 DEPO KABUL'!$H$2:$H$501,MATCH(C182,'20 2026 DEPO KABUL'!$F$2:$F$501,0)),"")</f>
        <v/>
      </c>
      <c r="I182" s="27" t="n"/>
      <c r="J182" s="27" t="n"/>
    </row>
    <row r="183" ht="15" customHeight="1">
      <c r="A183" s="27" t="n"/>
      <c r="B183" s="27" t="n"/>
      <c r="C183" s="27" t="n"/>
      <c r="D183" s="1">
        <f>IFERROR(INDEX('20 2026 DEPO KABUL'!$B$2:$B$501,MATCH(C183,'20 2026 DEPO KABUL'!$F$2:$F$501,0)),"")</f>
        <v/>
      </c>
      <c r="E183" s="27" t="n"/>
      <c r="F183" s="27" t="n"/>
      <c r="G183" s="1">
        <f>IFERROR(INDEX('20 2026 DEPO KABUL'!$G$2:$G$501,MATCH(C183,'20 2026 DEPO KABUL'!$F$2:$F$501,0)),"")</f>
        <v/>
      </c>
      <c r="H183" s="1">
        <f>IFERROR(INDEX('20 2026 DEPO KABUL'!$H$2:$H$501,MATCH(C183,'20 2026 DEPO KABUL'!$F$2:$F$501,0)),"")</f>
        <v/>
      </c>
      <c r="I183" s="27" t="n"/>
      <c r="J183" s="27" t="n"/>
    </row>
    <row r="184" ht="15" customHeight="1">
      <c r="A184" s="27" t="n"/>
      <c r="B184" s="27" t="n"/>
      <c r="C184" s="27" t="n"/>
      <c r="D184" s="1">
        <f>IFERROR(INDEX('20 2026 DEPO KABUL'!$B$2:$B$501,MATCH(C184,'20 2026 DEPO KABUL'!$F$2:$F$501,0)),"")</f>
        <v/>
      </c>
      <c r="E184" s="27" t="n"/>
      <c r="F184" s="27" t="n"/>
      <c r="G184" s="1">
        <f>IFERROR(INDEX('20 2026 DEPO KABUL'!$G$2:$G$501,MATCH(C184,'20 2026 DEPO KABUL'!$F$2:$F$501,0)),"")</f>
        <v/>
      </c>
      <c r="H184" s="1">
        <f>IFERROR(INDEX('20 2026 DEPO KABUL'!$H$2:$H$501,MATCH(C184,'20 2026 DEPO KABUL'!$F$2:$F$501,0)),"")</f>
        <v/>
      </c>
      <c r="I184" s="27" t="n"/>
      <c r="J184" s="27" t="n"/>
    </row>
    <row r="185" ht="15" customHeight="1">
      <c r="A185" s="27" t="n"/>
      <c r="B185" s="27" t="n"/>
      <c r="C185" s="27" t="n"/>
      <c r="D185" s="1">
        <f>IFERROR(INDEX('20 2026 DEPO KABUL'!$B$2:$B$501,MATCH(C185,'20 2026 DEPO KABUL'!$F$2:$F$501,0)),"")</f>
        <v/>
      </c>
      <c r="E185" s="27" t="n"/>
      <c r="F185" s="27" t="n"/>
      <c r="G185" s="1">
        <f>IFERROR(INDEX('20 2026 DEPO KABUL'!$G$2:$G$501,MATCH(C185,'20 2026 DEPO KABUL'!$F$2:$F$501,0)),"")</f>
        <v/>
      </c>
      <c r="H185" s="1">
        <f>IFERROR(INDEX('20 2026 DEPO KABUL'!$H$2:$H$501,MATCH(C185,'20 2026 DEPO KABUL'!$F$2:$F$501,0)),"")</f>
        <v/>
      </c>
      <c r="I185" s="27" t="n"/>
      <c r="J185" s="27" t="n"/>
    </row>
    <row r="186" ht="15" customHeight="1">
      <c r="A186" s="27" t="n"/>
      <c r="B186" s="27" t="n"/>
      <c r="C186" s="27" t="n"/>
      <c r="D186" s="1">
        <f>IFERROR(INDEX('20 2026 DEPO KABUL'!$B$2:$B$501,MATCH(C186,'20 2026 DEPO KABUL'!$F$2:$F$501,0)),"")</f>
        <v/>
      </c>
      <c r="E186" s="27" t="n"/>
      <c r="F186" s="27" t="n"/>
      <c r="G186" s="1">
        <f>IFERROR(INDEX('20 2026 DEPO KABUL'!$G$2:$G$501,MATCH(C186,'20 2026 DEPO KABUL'!$F$2:$F$501,0)),"")</f>
        <v/>
      </c>
      <c r="H186" s="1">
        <f>IFERROR(INDEX('20 2026 DEPO KABUL'!$H$2:$H$501,MATCH(C186,'20 2026 DEPO KABUL'!$F$2:$F$501,0)),"")</f>
        <v/>
      </c>
      <c r="I186" s="27" t="n"/>
      <c r="J186" s="27" t="n"/>
    </row>
    <row r="187" ht="15" customHeight="1">
      <c r="A187" s="27" t="n"/>
      <c r="B187" s="27" t="n"/>
      <c r="C187" s="27" t="n"/>
      <c r="D187" s="1">
        <f>IFERROR(INDEX('20 2026 DEPO KABUL'!$B$2:$B$501,MATCH(C187,'20 2026 DEPO KABUL'!$F$2:$F$501,0)),"")</f>
        <v/>
      </c>
      <c r="E187" s="27" t="n"/>
      <c r="F187" s="27" t="n"/>
      <c r="G187" s="1">
        <f>IFERROR(INDEX('20 2026 DEPO KABUL'!$G$2:$G$501,MATCH(C187,'20 2026 DEPO KABUL'!$F$2:$F$501,0)),"")</f>
        <v/>
      </c>
      <c r="H187" s="1">
        <f>IFERROR(INDEX('20 2026 DEPO KABUL'!$H$2:$H$501,MATCH(C187,'20 2026 DEPO KABUL'!$F$2:$F$501,0)),"")</f>
        <v/>
      </c>
      <c r="I187" s="27" t="n"/>
      <c r="J187" s="27" t="n"/>
    </row>
    <row r="188" ht="15" customHeight="1">
      <c r="A188" s="27" t="n"/>
      <c r="B188" s="27" t="n"/>
      <c r="C188" s="27" t="n"/>
      <c r="D188" s="1">
        <f>IFERROR(INDEX('20 2026 DEPO KABUL'!$B$2:$B$501,MATCH(C188,'20 2026 DEPO KABUL'!$F$2:$F$501,0)),"")</f>
        <v/>
      </c>
      <c r="E188" s="27" t="n"/>
      <c r="F188" s="27" t="n"/>
      <c r="G188" s="1">
        <f>IFERROR(INDEX('20 2026 DEPO KABUL'!$G$2:$G$501,MATCH(C188,'20 2026 DEPO KABUL'!$F$2:$F$501,0)),"")</f>
        <v/>
      </c>
      <c r="H188" s="1">
        <f>IFERROR(INDEX('20 2026 DEPO KABUL'!$H$2:$H$501,MATCH(C188,'20 2026 DEPO KABUL'!$F$2:$F$501,0)),"")</f>
        <v/>
      </c>
      <c r="I188" s="27" t="n"/>
      <c r="J188" s="27" t="n"/>
    </row>
    <row r="189" ht="15" customHeight="1">
      <c r="A189" s="27" t="n"/>
      <c r="B189" s="27" t="n"/>
      <c r="C189" s="27" t="n"/>
      <c r="D189" s="1">
        <f>IFERROR(INDEX('20 2026 DEPO KABUL'!$B$2:$B$501,MATCH(C189,'20 2026 DEPO KABUL'!$F$2:$F$501,0)),"")</f>
        <v/>
      </c>
      <c r="E189" s="27" t="n"/>
      <c r="F189" s="27" t="n"/>
      <c r="G189" s="1">
        <f>IFERROR(INDEX('20 2026 DEPO KABUL'!$G$2:$G$501,MATCH(C189,'20 2026 DEPO KABUL'!$F$2:$F$501,0)),"")</f>
        <v/>
      </c>
      <c r="H189" s="1">
        <f>IFERROR(INDEX('20 2026 DEPO KABUL'!$H$2:$H$501,MATCH(C189,'20 2026 DEPO KABUL'!$F$2:$F$501,0)),"")</f>
        <v/>
      </c>
      <c r="I189" s="27" t="n"/>
      <c r="J189" s="27" t="n"/>
    </row>
    <row r="190" ht="15" customHeight="1">
      <c r="A190" s="27" t="n"/>
      <c r="B190" s="27" t="n"/>
      <c r="C190" s="27" t="n"/>
      <c r="D190" s="1">
        <f>IFERROR(INDEX('20 2026 DEPO KABUL'!$B$2:$B$501,MATCH(C190,'20 2026 DEPO KABUL'!$F$2:$F$501,0)),"")</f>
        <v/>
      </c>
      <c r="E190" s="27" t="n"/>
      <c r="F190" s="27" t="n"/>
      <c r="G190" s="1">
        <f>IFERROR(INDEX('20 2026 DEPO KABUL'!$G$2:$G$501,MATCH(C190,'20 2026 DEPO KABUL'!$F$2:$F$501,0)),"")</f>
        <v/>
      </c>
      <c r="H190" s="1">
        <f>IFERROR(INDEX('20 2026 DEPO KABUL'!$H$2:$H$501,MATCH(C190,'20 2026 DEPO KABUL'!$F$2:$F$501,0)),"")</f>
        <v/>
      </c>
      <c r="I190" s="27" t="n"/>
      <c r="J190" s="27" t="n"/>
    </row>
    <row r="191" ht="15" customHeight="1">
      <c r="A191" s="27" t="n"/>
      <c r="B191" s="27" t="n"/>
      <c r="C191" s="27" t="n"/>
      <c r="D191" s="1">
        <f>IFERROR(INDEX('20 2026 DEPO KABUL'!$B$2:$B$501,MATCH(C191,'20 2026 DEPO KABUL'!$F$2:$F$501,0)),"")</f>
        <v/>
      </c>
      <c r="E191" s="27" t="n"/>
      <c r="F191" s="27" t="n"/>
      <c r="G191" s="1">
        <f>IFERROR(INDEX('20 2026 DEPO KABUL'!$G$2:$G$501,MATCH(C191,'20 2026 DEPO KABUL'!$F$2:$F$501,0)),"")</f>
        <v/>
      </c>
      <c r="H191" s="1">
        <f>IFERROR(INDEX('20 2026 DEPO KABUL'!$H$2:$H$501,MATCH(C191,'20 2026 DEPO KABUL'!$F$2:$F$501,0)),"")</f>
        <v/>
      </c>
      <c r="I191" s="27" t="n"/>
      <c r="J191" s="27" t="n"/>
    </row>
    <row r="192" ht="15" customHeight="1">
      <c r="A192" s="27" t="n"/>
      <c r="B192" s="27" t="n"/>
      <c r="C192" s="27" t="n"/>
      <c r="D192" s="1">
        <f>IFERROR(INDEX('20 2026 DEPO KABUL'!$B$2:$B$501,MATCH(C192,'20 2026 DEPO KABUL'!$F$2:$F$501,0)),"")</f>
        <v/>
      </c>
      <c r="E192" s="27" t="n"/>
      <c r="F192" s="27" t="n"/>
      <c r="G192" s="1">
        <f>IFERROR(INDEX('20 2026 DEPO KABUL'!$G$2:$G$501,MATCH(C192,'20 2026 DEPO KABUL'!$F$2:$F$501,0)),"")</f>
        <v/>
      </c>
      <c r="H192" s="1">
        <f>IFERROR(INDEX('20 2026 DEPO KABUL'!$H$2:$H$501,MATCH(C192,'20 2026 DEPO KABUL'!$F$2:$F$501,0)),"")</f>
        <v/>
      </c>
      <c r="I192" s="27" t="n"/>
      <c r="J192" s="27" t="n"/>
    </row>
    <row r="193" ht="15" customHeight="1">
      <c r="A193" s="27" t="n"/>
      <c r="B193" s="27" t="n"/>
      <c r="C193" s="27" t="n"/>
      <c r="D193" s="1">
        <f>IFERROR(INDEX('20 2026 DEPO KABUL'!$B$2:$B$501,MATCH(C193,'20 2026 DEPO KABUL'!$F$2:$F$501,0)),"")</f>
        <v/>
      </c>
      <c r="E193" s="27" t="n"/>
      <c r="F193" s="27" t="n"/>
      <c r="G193" s="1">
        <f>IFERROR(INDEX('20 2026 DEPO KABUL'!$G$2:$G$501,MATCH(C193,'20 2026 DEPO KABUL'!$F$2:$F$501,0)),"")</f>
        <v/>
      </c>
      <c r="H193" s="1">
        <f>IFERROR(INDEX('20 2026 DEPO KABUL'!$H$2:$H$501,MATCH(C193,'20 2026 DEPO KABUL'!$F$2:$F$501,0)),"")</f>
        <v/>
      </c>
      <c r="I193" s="27" t="n"/>
      <c r="J193" s="27" t="n"/>
    </row>
    <row r="194" ht="15" customHeight="1">
      <c r="A194" s="27" t="n"/>
      <c r="B194" s="27" t="n"/>
      <c r="C194" s="27" t="n"/>
      <c r="D194" s="1">
        <f>IFERROR(INDEX('20 2026 DEPO KABUL'!$B$2:$B$501,MATCH(C194,'20 2026 DEPO KABUL'!$F$2:$F$501,0)),"")</f>
        <v/>
      </c>
      <c r="E194" s="27" t="n"/>
      <c r="F194" s="27" t="n"/>
      <c r="G194" s="1">
        <f>IFERROR(INDEX('20 2026 DEPO KABUL'!$G$2:$G$501,MATCH(C194,'20 2026 DEPO KABUL'!$F$2:$F$501,0)),"")</f>
        <v/>
      </c>
      <c r="H194" s="1">
        <f>IFERROR(INDEX('20 2026 DEPO KABUL'!$H$2:$H$501,MATCH(C194,'20 2026 DEPO KABUL'!$F$2:$F$501,0)),"")</f>
        <v/>
      </c>
      <c r="I194" s="27" t="n"/>
      <c r="J194" s="27" t="n"/>
    </row>
    <row r="195" ht="15" customHeight="1">
      <c r="A195" s="27" t="n"/>
      <c r="B195" s="27" t="n"/>
      <c r="C195" s="27" t="n"/>
      <c r="D195" s="1">
        <f>IFERROR(INDEX('20 2026 DEPO KABUL'!$B$2:$B$501,MATCH(C195,'20 2026 DEPO KABUL'!$F$2:$F$501,0)),"")</f>
        <v/>
      </c>
      <c r="E195" s="27" t="n"/>
      <c r="F195" s="27" t="n"/>
      <c r="G195" s="1">
        <f>IFERROR(INDEX('20 2026 DEPO KABUL'!$G$2:$G$501,MATCH(C195,'20 2026 DEPO KABUL'!$F$2:$F$501,0)),"")</f>
        <v/>
      </c>
      <c r="H195" s="1">
        <f>IFERROR(INDEX('20 2026 DEPO KABUL'!$H$2:$H$501,MATCH(C195,'20 2026 DEPO KABUL'!$F$2:$F$501,0)),"")</f>
        <v/>
      </c>
      <c r="I195" s="27" t="n"/>
      <c r="J195" s="27" t="n"/>
    </row>
    <row r="196" ht="15" customHeight="1">
      <c r="A196" s="27" t="n"/>
      <c r="B196" s="27" t="n"/>
      <c r="C196" s="27" t="n"/>
      <c r="D196" s="1">
        <f>IFERROR(INDEX('20 2026 DEPO KABUL'!$B$2:$B$501,MATCH(C196,'20 2026 DEPO KABUL'!$F$2:$F$501,0)),"")</f>
        <v/>
      </c>
      <c r="E196" s="27" t="n"/>
      <c r="F196" s="27" t="n"/>
      <c r="G196" s="1">
        <f>IFERROR(INDEX('20 2026 DEPO KABUL'!$G$2:$G$501,MATCH(C196,'20 2026 DEPO KABUL'!$F$2:$F$501,0)),"")</f>
        <v/>
      </c>
      <c r="H196" s="1">
        <f>IFERROR(INDEX('20 2026 DEPO KABUL'!$H$2:$H$501,MATCH(C196,'20 2026 DEPO KABUL'!$F$2:$F$501,0)),"")</f>
        <v/>
      </c>
      <c r="I196" s="27" t="n"/>
      <c r="J196" s="27" t="n"/>
    </row>
    <row r="197" ht="15" customHeight="1">
      <c r="A197" s="27" t="n"/>
      <c r="B197" s="27" t="n"/>
      <c r="C197" s="27" t="n"/>
      <c r="D197" s="1">
        <f>IFERROR(INDEX('20 2026 DEPO KABUL'!$B$2:$B$501,MATCH(C197,'20 2026 DEPO KABUL'!$F$2:$F$501,0)),"")</f>
        <v/>
      </c>
      <c r="E197" s="27" t="n"/>
      <c r="F197" s="27" t="n"/>
      <c r="G197" s="1">
        <f>IFERROR(INDEX('20 2026 DEPO KABUL'!$G$2:$G$501,MATCH(C197,'20 2026 DEPO KABUL'!$F$2:$F$501,0)),"")</f>
        <v/>
      </c>
      <c r="H197" s="1">
        <f>IFERROR(INDEX('20 2026 DEPO KABUL'!$H$2:$H$501,MATCH(C197,'20 2026 DEPO KABUL'!$F$2:$F$501,0)),"")</f>
        <v/>
      </c>
      <c r="I197" s="27" t="n"/>
      <c r="J197" s="27" t="n"/>
    </row>
    <row r="198" ht="15" customHeight="1">
      <c r="A198" s="27" t="n"/>
      <c r="B198" s="27" t="n"/>
      <c r="C198" s="27" t="n"/>
      <c r="D198" s="1">
        <f>IFERROR(INDEX('20 2026 DEPO KABUL'!$B$2:$B$501,MATCH(C198,'20 2026 DEPO KABUL'!$F$2:$F$501,0)),"")</f>
        <v/>
      </c>
      <c r="E198" s="27" t="n"/>
      <c r="F198" s="27" t="n"/>
      <c r="G198" s="1">
        <f>IFERROR(INDEX('20 2026 DEPO KABUL'!$G$2:$G$501,MATCH(C198,'20 2026 DEPO KABUL'!$F$2:$F$501,0)),"")</f>
        <v/>
      </c>
      <c r="H198" s="1">
        <f>IFERROR(INDEX('20 2026 DEPO KABUL'!$H$2:$H$501,MATCH(C198,'20 2026 DEPO KABUL'!$F$2:$F$501,0)),"")</f>
        <v/>
      </c>
      <c r="I198" s="27" t="n"/>
      <c r="J198" s="27" t="n"/>
    </row>
    <row r="199" ht="15" customHeight="1">
      <c r="A199" s="27" t="n"/>
      <c r="B199" s="27" t="n"/>
      <c r="C199" s="27" t="n"/>
      <c r="D199" s="1">
        <f>IFERROR(INDEX('20 2026 DEPO KABUL'!$B$2:$B$501,MATCH(C199,'20 2026 DEPO KABUL'!$F$2:$F$501,0)),"")</f>
        <v/>
      </c>
      <c r="E199" s="27" t="n"/>
      <c r="F199" s="27" t="n"/>
      <c r="G199" s="1">
        <f>IFERROR(INDEX('20 2026 DEPO KABUL'!$G$2:$G$501,MATCH(C199,'20 2026 DEPO KABUL'!$F$2:$F$501,0)),"")</f>
        <v/>
      </c>
      <c r="H199" s="1">
        <f>IFERROR(INDEX('20 2026 DEPO KABUL'!$H$2:$H$501,MATCH(C199,'20 2026 DEPO KABUL'!$F$2:$F$501,0)),"")</f>
        <v/>
      </c>
      <c r="I199" s="27" t="n"/>
      <c r="J199" s="27" t="n"/>
    </row>
    <row r="200" ht="15" customHeight="1">
      <c r="A200" s="27" t="n"/>
      <c r="B200" s="27" t="n"/>
      <c r="C200" s="27" t="n"/>
      <c r="D200" s="1">
        <f>IFERROR(INDEX('20 2026 DEPO KABUL'!$B$2:$B$501,MATCH(C200,'20 2026 DEPO KABUL'!$F$2:$F$501,0)),"")</f>
        <v/>
      </c>
      <c r="E200" s="27" t="n"/>
      <c r="F200" s="27" t="n"/>
      <c r="G200" s="1">
        <f>IFERROR(INDEX('20 2026 DEPO KABUL'!$G$2:$G$501,MATCH(C200,'20 2026 DEPO KABUL'!$F$2:$F$501,0)),"")</f>
        <v/>
      </c>
      <c r="H200" s="1">
        <f>IFERROR(INDEX('20 2026 DEPO KABUL'!$H$2:$H$501,MATCH(C200,'20 2026 DEPO KABUL'!$F$2:$F$501,0)),"")</f>
        <v/>
      </c>
      <c r="I200" s="27" t="n"/>
      <c r="J200" s="27" t="n"/>
    </row>
    <row r="201" ht="15" customHeight="1">
      <c r="A201" s="27" t="n"/>
      <c r="B201" s="27" t="n"/>
      <c r="C201" s="27" t="n"/>
      <c r="D201" s="1">
        <f>IFERROR(INDEX('20 2026 DEPO KABUL'!$B$2:$B$501,MATCH(C201,'20 2026 DEPO KABUL'!$F$2:$F$501,0)),"")</f>
        <v/>
      </c>
      <c r="E201" s="27" t="n"/>
      <c r="F201" s="27" t="n"/>
      <c r="G201" s="1">
        <f>IFERROR(INDEX('20 2026 DEPO KABUL'!$G$2:$G$501,MATCH(C201,'20 2026 DEPO KABUL'!$F$2:$F$501,0)),"")</f>
        <v/>
      </c>
      <c r="H201" s="1">
        <f>IFERROR(INDEX('20 2026 DEPO KABUL'!$H$2:$H$501,MATCH(C201,'20 2026 DEPO KABUL'!$F$2:$F$501,0)),"")</f>
        <v/>
      </c>
      <c r="I201" s="27" t="n"/>
      <c r="J201" s="27" t="n"/>
    </row>
    <row r="202" ht="15" customHeight="1">
      <c r="A202" s="27" t="n"/>
      <c r="B202" s="27" t="n"/>
      <c r="C202" s="27" t="n"/>
      <c r="D202" s="1">
        <f>IFERROR(INDEX('20 2026 DEPO KABUL'!$B$2:$B$501,MATCH(C202,'20 2026 DEPO KABUL'!$F$2:$F$501,0)),"")</f>
        <v/>
      </c>
      <c r="E202" s="27" t="n"/>
      <c r="F202" s="27" t="n"/>
      <c r="G202" s="1">
        <f>IFERROR(INDEX('20 2026 DEPO KABUL'!$G$2:$G$501,MATCH(C202,'20 2026 DEPO KABUL'!$F$2:$F$501,0)),"")</f>
        <v/>
      </c>
      <c r="H202" s="1">
        <f>IFERROR(INDEX('20 2026 DEPO KABUL'!$H$2:$H$501,MATCH(C202,'20 2026 DEPO KABUL'!$F$2:$F$501,0)),"")</f>
        <v/>
      </c>
      <c r="I202" s="27" t="n"/>
      <c r="J202" s="27" t="n"/>
    </row>
    <row r="203" ht="15" customHeight="1">
      <c r="A203" s="27" t="n"/>
      <c r="B203" s="27" t="n"/>
      <c r="C203" s="27" t="n"/>
      <c r="D203" s="1">
        <f>IFERROR(INDEX('20 2026 DEPO KABUL'!$B$2:$B$501,MATCH(C203,'20 2026 DEPO KABUL'!$F$2:$F$501,0)),"")</f>
        <v/>
      </c>
      <c r="E203" s="27" t="n"/>
      <c r="F203" s="27" t="n"/>
      <c r="G203" s="1">
        <f>IFERROR(INDEX('20 2026 DEPO KABUL'!$G$2:$G$501,MATCH(C203,'20 2026 DEPO KABUL'!$F$2:$F$501,0)),"")</f>
        <v/>
      </c>
      <c r="H203" s="1">
        <f>IFERROR(INDEX('20 2026 DEPO KABUL'!$H$2:$H$501,MATCH(C203,'20 2026 DEPO KABUL'!$F$2:$F$501,0)),"")</f>
        <v/>
      </c>
      <c r="I203" s="27" t="n"/>
      <c r="J203" s="27" t="n"/>
    </row>
    <row r="204" ht="15" customHeight="1">
      <c r="A204" s="27" t="n"/>
      <c r="B204" s="27" t="n"/>
      <c r="C204" s="27" t="n"/>
      <c r="D204" s="1">
        <f>IFERROR(INDEX('20 2026 DEPO KABUL'!$B$2:$B$501,MATCH(C204,'20 2026 DEPO KABUL'!$F$2:$F$501,0)),"")</f>
        <v/>
      </c>
      <c r="E204" s="27" t="n"/>
      <c r="F204" s="27" t="n"/>
      <c r="G204" s="1">
        <f>IFERROR(INDEX('20 2026 DEPO KABUL'!$G$2:$G$501,MATCH(C204,'20 2026 DEPO KABUL'!$F$2:$F$501,0)),"")</f>
        <v/>
      </c>
      <c r="H204" s="1">
        <f>IFERROR(INDEX('20 2026 DEPO KABUL'!$H$2:$H$501,MATCH(C204,'20 2026 DEPO KABUL'!$F$2:$F$501,0)),"")</f>
        <v/>
      </c>
      <c r="I204" s="27" t="n"/>
      <c r="J204" s="27" t="n"/>
    </row>
    <row r="205" ht="15" customHeight="1">
      <c r="A205" s="27" t="n"/>
      <c r="B205" s="27" t="n"/>
      <c r="C205" s="27" t="n"/>
      <c r="D205" s="1">
        <f>IFERROR(INDEX('20 2026 DEPO KABUL'!$B$2:$B$501,MATCH(C205,'20 2026 DEPO KABUL'!$F$2:$F$501,0)),"")</f>
        <v/>
      </c>
      <c r="E205" s="27" t="n"/>
      <c r="F205" s="27" t="n"/>
      <c r="G205" s="1">
        <f>IFERROR(INDEX('20 2026 DEPO KABUL'!$G$2:$G$501,MATCH(C205,'20 2026 DEPO KABUL'!$F$2:$F$501,0)),"")</f>
        <v/>
      </c>
      <c r="H205" s="1">
        <f>IFERROR(INDEX('20 2026 DEPO KABUL'!$H$2:$H$501,MATCH(C205,'20 2026 DEPO KABUL'!$F$2:$F$501,0)),"")</f>
        <v/>
      </c>
      <c r="I205" s="27" t="n"/>
      <c r="J205" s="27" t="n"/>
    </row>
    <row r="206" ht="15" customHeight="1">
      <c r="A206" s="27" t="n"/>
      <c r="B206" s="27" t="n"/>
      <c r="C206" s="27" t="n"/>
      <c r="D206" s="1">
        <f>IFERROR(INDEX('20 2026 DEPO KABUL'!$B$2:$B$501,MATCH(C206,'20 2026 DEPO KABUL'!$F$2:$F$501,0)),"")</f>
        <v/>
      </c>
      <c r="E206" s="27" t="n"/>
      <c r="F206" s="27" t="n"/>
      <c r="G206" s="1">
        <f>IFERROR(INDEX('20 2026 DEPO KABUL'!$G$2:$G$501,MATCH(C206,'20 2026 DEPO KABUL'!$F$2:$F$501,0)),"")</f>
        <v/>
      </c>
      <c r="H206" s="1">
        <f>IFERROR(INDEX('20 2026 DEPO KABUL'!$H$2:$H$501,MATCH(C206,'20 2026 DEPO KABUL'!$F$2:$F$501,0)),"")</f>
        <v/>
      </c>
      <c r="I206" s="27" t="n"/>
      <c r="J206" s="27" t="n"/>
    </row>
    <row r="207" ht="15" customHeight="1">
      <c r="A207" s="27" t="n"/>
      <c r="B207" s="27" t="n"/>
      <c r="C207" s="27" t="n"/>
      <c r="D207" s="1">
        <f>IFERROR(INDEX('20 2026 DEPO KABUL'!$B$2:$B$501,MATCH(C207,'20 2026 DEPO KABUL'!$F$2:$F$501,0)),"")</f>
        <v/>
      </c>
      <c r="E207" s="27" t="n"/>
      <c r="F207" s="27" t="n"/>
      <c r="G207" s="1">
        <f>IFERROR(INDEX('20 2026 DEPO KABUL'!$G$2:$G$501,MATCH(C207,'20 2026 DEPO KABUL'!$F$2:$F$501,0)),"")</f>
        <v/>
      </c>
      <c r="H207" s="1">
        <f>IFERROR(INDEX('20 2026 DEPO KABUL'!$H$2:$H$501,MATCH(C207,'20 2026 DEPO KABUL'!$F$2:$F$501,0)),"")</f>
        <v/>
      </c>
      <c r="I207" s="27" t="n"/>
      <c r="J207" s="27" t="n"/>
    </row>
    <row r="208" ht="15" customHeight="1">
      <c r="A208" s="27" t="n"/>
      <c r="B208" s="27" t="n"/>
      <c r="C208" s="27" t="n"/>
      <c r="D208" s="1">
        <f>IFERROR(INDEX('20 2026 DEPO KABUL'!$B$2:$B$501,MATCH(C208,'20 2026 DEPO KABUL'!$F$2:$F$501,0)),"")</f>
        <v/>
      </c>
      <c r="E208" s="27" t="n"/>
      <c r="F208" s="27" t="n"/>
      <c r="G208" s="1">
        <f>IFERROR(INDEX('20 2026 DEPO KABUL'!$G$2:$G$501,MATCH(C208,'20 2026 DEPO KABUL'!$F$2:$F$501,0)),"")</f>
        <v/>
      </c>
      <c r="H208" s="1">
        <f>IFERROR(INDEX('20 2026 DEPO KABUL'!$H$2:$H$501,MATCH(C208,'20 2026 DEPO KABUL'!$F$2:$F$501,0)),"")</f>
        <v/>
      </c>
      <c r="I208" s="27" t="n"/>
      <c r="J208" s="27" t="n"/>
    </row>
    <row r="209" ht="15" customHeight="1">
      <c r="A209" s="27" t="n"/>
      <c r="B209" s="27" t="n"/>
      <c r="C209" s="27" t="n"/>
      <c r="D209" s="1">
        <f>IFERROR(INDEX('20 2026 DEPO KABUL'!$B$2:$B$501,MATCH(C209,'20 2026 DEPO KABUL'!$F$2:$F$501,0)),"")</f>
        <v/>
      </c>
      <c r="E209" s="27" t="n"/>
      <c r="F209" s="27" t="n"/>
      <c r="G209" s="1">
        <f>IFERROR(INDEX('20 2026 DEPO KABUL'!$G$2:$G$501,MATCH(C209,'20 2026 DEPO KABUL'!$F$2:$F$501,0)),"")</f>
        <v/>
      </c>
      <c r="H209" s="1">
        <f>IFERROR(INDEX('20 2026 DEPO KABUL'!$H$2:$H$501,MATCH(C209,'20 2026 DEPO KABUL'!$F$2:$F$501,0)),"")</f>
        <v/>
      </c>
      <c r="I209" s="27" t="n"/>
      <c r="J209" s="27" t="n"/>
    </row>
    <row r="210" ht="15" customHeight="1">
      <c r="A210" s="27" t="n"/>
      <c r="B210" s="27" t="n"/>
      <c r="C210" s="27" t="n"/>
      <c r="D210" s="1">
        <f>IFERROR(INDEX('20 2026 DEPO KABUL'!$B$2:$B$501,MATCH(C210,'20 2026 DEPO KABUL'!$F$2:$F$501,0)),"")</f>
        <v/>
      </c>
      <c r="E210" s="27" t="n"/>
      <c r="F210" s="27" t="n"/>
      <c r="G210" s="1">
        <f>IFERROR(INDEX('20 2026 DEPO KABUL'!$G$2:$G$501,MATCH(C210,'20 2026 DEPO KABUL'!$F$2:$F$501,0)),"")</f>
        <v/>
      </c>
      <c r="H210" s="1">
        <f>IFERROR(INDEX('20 2026 DEPO KABUL'!$H$2:$H$501,MATCH(C210,'20 2026 DEPO KABUL'!$F$2:$F$501,0)),"")</f>
        <v/>
      </c>
      <c r="I210" s="27" t="n"/>
      <c r="J210" s="27" t="n"/>
    </row>
    <row r="211" ht="15" customHeight="1">
      <c r="A211" s="27" t="n"/>
      <c r="B211" s="27" t="n"/>
      <c r="C211" s="27" t="n"/>
      <c r="D211" s="1">
        <f>IFERROR(INDEX('20 2026 DEPO KABUL'!$B$2:$B$501,MATCH(C211,'20 2026 DEPO KABUL'!$F$2:$F$501,0)),"")</f>
        <v/>
      </c>
      <c r="E211" s="27" t="n"/>
      <c r="F211" s="27" t="n"/>
      <c r="G211" s="1">
        <f>IFERROR(INDEX('20 2026 DEPO KABUL'!$G$2:$G$501,MATCH(C211,'20 2026 DEPO KABUL'!$F$2:$F$501,0)),"")</f>
        <v/>
      </c>
      <c r="H211" s="1">
        <f>IFERROR(INDEX('20 2026 DEPO KABUL'!$H$2:$H$501,MATCH(C211,'20 2026 DEPO KABUL'!$F$2:$F$501,0)),"")</f>
        <v/>
      </c>
      <c r="I211" s="27" t="n"/>
      <c r="J211" s="27" t="n"/>
    </row>
    <row r="212" ht="15" customHeight="1">
      <c r="A212" s="27" t="n"/>
      <c r="B212" s="27" t="n"/>
      <c r="C212" s="27" t="n"/>
      <c r="D212" s="1">
        <f>IFERROR(INDEX('20 2026 DEPO KABUL'!$B$2:$B$501,MATCH(C212,'20 2026 DEPO KABUL'!$F$2:$F$501,0)),"")</f>
        <v/>
      </c>
      <c r="E212" s="27" t="n"/>
      <c r="F212" s="27" t="n"/>
      <c r="G212" s="1">
        <f>IFERROR(INDEX('20 2026 DEPO KABUL'!$G$2:$G$501,MATCH(C212,'20 2026 DEPO KABUL'!$F$2:$F$501,0)),"")</f>
        <v/>
      </c>
      <c r="H212" s="1">
        <f>IFERROR(INDEX('20 2026 DEPO KABUL'!$H$2:$H$501,MATCH(C212,'20 2026 DEPO KABUL'!$F$2:$F$501,0)),"")</f>
        <v/>
      </c>
      <c r="I212" s="27" t="n"/>
      <c r="J212" s="27" t="n"/>
    </row>
    <row r="213" ht="15" customHeight="1">
      <c r="A213" s="27" t="n"/>
      <c r="B213" s="27" t="n"/>
      <c r="C213" s="27" t="n"/>
      <c r="D213" s="1">
        <f>IFERROR(INDEX('20 2026 DEPO KABUL'!$B$2:$B$501,MATCH(C213,'20 2026 DEPO KABUL'!$F$2:$F$501,0)),"")</f>
        <v/>
      </c>
      <c r="E213" s="27" t="n"/>
      <c r="F213" s="27" t="n"/>
      <c r="G213" s="1">
        <f>IFERROR(INDEX('20 2026 DEPO KABUL'!$G$2:$G$501,MATCH(C213,'20 2026 DEPO KABUL'!$F$2:$F$501,0)),"")</f>
        <v/>
      </c>
      <c r="H213" s="1">
        <f>IFERROR(INDEX('20 2026 DEPO KABUL'!$H$2:$H$501,MATCH(C213,'20 2026 DEPO KABUL'!$F$2:$F$501,0)),"")</f>
        <v/>
      </c>
      <c r="I213" s="27" t="n"/>
      <c r="J213" s="27" t="n"/>
    </row>
    <row r="214" ht="15" customHeight="1">
      <c r="A214" s="27" t="n"/>
      <c r="B214" s="27" t="n"/>
      <c r="C214" s="27" t="n"/>
      <c r="D214" s="1">
        <f>IFERROR(INDEX('20 2026 DEPO KABUL'!$B$2:$B$501,MATCH(C214,'20 2026 DEPO KABUL'!$F$2:$F$501,0)),"")</f>
        <v/>
      </c>
      <c r="E214" s="27" t="n"/>
      <c r="F214" s="27" t="n"/>
      <c r="G214" s="1">
        <f>IFERROR(INDEX('20 2026 DEPO KABUL'!$G$2:$G$501,MATCH(C214,'20 2026 DEPO KABUL'!$F$2:$F$501,0)),"")</f>
        <v/>
      </c>
      <c r="H214" s="1">
        <f>IFERROR(INDEX('20 2026 DEPO KABUL'!$H$2:$H$501,MATCH(C214,'20 2026 DEPO KABUL'!$F$2:$F$501,0)),"")</f>
        <v/>
      </c>
      <c r="I214" s="27" t="n"/>
      <c r="J214" s="27" t="n"/>
    </row>
    <row r="215" ht="15" customHeight="1">
      <c r="A215" s="27" t="n"/>
      <c r="B215" s="27" t="n"/>
      <c r="C215" s="27" t="n"/>
      <c r="D215" s="1">
        <f>IFERROR(INDEX('20 2026 DEPO KABUL'!$B$2:$B$501,MATCH(C215,'20 2026 DEPO KABUL'!$F$2:$F$501,0)),"")</f>
        <v/>
      </c>
      <c r="E215" s="27" t="n"/>
      <c r="F215" s="27" t="n"/>
      <c r="G215" s="1">
        <f>IFERROR(INDEX('20 2026 DEPO KABUL'!$G$2:$G$501,MATCH(C215,'20 2026 DEPO KABUL'!$F$2:$F$501,0)),"")</f>
        <v/>
      </c>
      <c r="H215" s="1">
        <f>IFERROR(INDEX('20 2026 DEPO KABUL'!$H$2:$H$501,MATCH(C215,'20 2026 DEPO KABUL'!$F$2:$F$501,0)),"")</f>
        <v/>
      </c>
      <c r="I215" s="27" t="n"/>
      <c r="J215" s="27" t="n"/>
    </row>
    <row r="216" ht="15" customHeight="1">
      <c r="A216" s="27" t="n"/>
      <c r="B216" s="27" t="n"/>
      <c r="C216" s="27" t="n"/>
      <c r="D216" s="1">
        <f>IFERROR(INDEX('20 2026 DEPO KABUL'!$B$2:$B$501,MATCH(C216,'20 2026 DEPO KABUL'!$F$2:$F$501,0)),"")</f>
        <v/>
      </c>
      <c r="E216" s="27" t="n"/>
      <c r="F216" s="27" t="n"/>
      <c r="G216" s="1">
        <f>IFERROR(INDEX('20 2026 DEPO KABUL'!$G$2:$G$501,MATCH(C216,'20 2026 DEPO KABUL'!$F$2:$F$501,0)),"")</f>
        <v/>
      </c>
      <c r="H216" s="1">
        <f>IFERROR(INDEX('20 2026 DEPO KABUL'!$H$2:$H$501,MATCH(C216,'20 2026 DEPO KABUL'!$F$2:$F$501,0)),"")</f>
        <v/>
      </c>
      <c r="I216" s="27" t="n"/>
      <c r="J216" s="27" t="n"/>
    </row>
    <row r="217" ht="15" customHeight="1">
      <c r="A217" s="27" t="n"/>
      <c r="B217" s="27" t="n"/>
      <c r="C217" s="27" t="n"/>
      <c r="D217" s="1">
        <f>IFERROR(INDEX('20 2026 DEPO KABUL'!$B$2:$B$501,MATCH(C217,'20 2026 DEPO KABUL'!$F$2:$F$501,0)),"")</f>
        <v/>
      </c>
      <c r="E217" s="27" t="n"/>
      <c r="F217" s="27" t="n"/>
      <c r="G217" s="1">
        <f>IFERROR(INDEX('20 2026 DEPO KABUL'!$G$2:$G$501,MATCH(C217,'20 2026 DEPO KABUL'!$F$2:$F$501,0)),"")</f>
        <v/>
      </c>
      <c r="H217" s="1">
        <f>IFERROR(INDEX('20 2026 DEPO KABUL'!$H$2:$H$501,MATCH(C217,'20 2026 DEPO KABUL'!$F$2:$F$501,0)),"")</f>
        <v/>
      </c>
      <c r="I217" s="27" t="n"/>
      <c r="J217" s="27" t="n"/>
    </row>
    <row r="218" ht="15" customHeight="1">
      <c r="A218" s="27" t="n"/>
      <c r="B218" s="27" t="n"/>
      <c r="C218" s="27" t="n"/>
      <c r="D218" s="1">
        <f>IFERROR(INDEX('20 2026 DEPO KABUL'!$B$2:$B$501,MATCH(C218,'20 2026 DEPO KABUL'!$F$2:$F$501,0)),"")</f>
        <v/>
      </c>
      <c r="E218" s="27" t="n"/>
      <c r="F218" s="27" t="n"/>
      <c r="G218" s="1">
        <f>IFERROR(INDEX('20 2026 DEPO KABUL'!$G$2:$G$501,MATCH(C218,'20 2026 DEPO KABUL'!$F$2:$F$501,0)),"")</f>
        <v/>
      </c>
      <c r="H218" s="1">
        <f>IFERROR(INDEX('20 2026 DEPO KABUL'!$H$2:$H$501,MATCH(C218,'20 2026 DEPO KABUL'!$F$2:$F$501,0)),"")</f>
        <v/>
      </c>
      <c r="I218" s="27" t="n"/>
      <c r="J218" s="27" t="n"/>
    </row>
    <row r="219" ht="15" customHeight="1">
      <c r="A219" s="27" t="n"/>
      <c r="B219" s="27" t="n"/>
      <c r="C219" s="27" t="n"/>
      <c r="D219" s="1">
        <f>IFERROR(INDEX('20 2026 DEPO KABUL'!$B$2:$B$501,MATCH(C219,'20 2026 DEPO KABUL'!$F$2:$F$501,0)),"")</f>
        <v/>
      </c>
      <c r="E219" s="27" t="n"/>
      <c r="F219" s="27" t="n"/>
      <c r="G219" s="1">
        <f>IFERROR(INDEX('20 2026 DEPO KABUL'!$G$2:$G$501,MATCH(C219,'20 2026 DEPO KABUL'!$F$2:$F$501,0)),"")</f>
        <v/>
      </c>
      <c r="H219" s="1">
        <f>IFERROR(INDEX('20 2026 DEPO KABUL'!$H$2:$H$501,MATCH(C219,'20 2026 DEPO KABUL'!$F$2:$F$501,0)),"")</f>
        <v/>
      </c>
      <c r="I219" s="27" t="n"/>
      <c r="J219" s="27" t="n"/>
    </row>
    <row r="220" ht="15" customHeight="1">
      <c r="A220" s="27" t="n"/>
      <c r="B220" s="27" t="n"/>
      <c r="C220" s="27" t="n"/>
      <c r="D220" s="1">
        <f>IFERROR(INDEX('20 2026 DEPO KABUL'!$B$2:$B$501,MATCH(C220,'20 2026 DEPO KABUL'!$F$2:$F$501,0)),"")</f>
        <v/>
      </c>
      <c r="E220" s="27" t="n"/>
      <c r="F220" s="27" t="n"/>
      <c r="G220" s="1">
        <f>IFERROR(INDEX('20 2026 DEPO KABUL'!$G$2:$G$501,MATCH(C220,'20 2026 DEPO KABUL'!$F$2:$F$501,0)),"")</f>
        <v/>
      </c>
      <c r="H220" s="1">
        <f>IFERROR(INDEX('20 2026 DEPO KABUL'!$H$2:$H$501,MATCH(C220,'20 2026 DEPO KABUL'!$F$2:$F$501,0)),"")</f>
        <v/>
      </c>
      <c r="I220" s="27" t="n"/>
      <c r="J220" s="27" t="n"/>
    </row>
    <row r="221" ht="15" customHeight="1">
      <c r="A221" s="27" t="n"/>
      <c r="B221" s="27" t="n"/>
      <c r="C221" s="27" t="n"/>
      <c r="D221" s="1">
        <f>IFERROR(INDEX('20 2026 DEPO KABUL'!$B$2:$B$501,MATCH(C221,'20 2026 DEPO KABUL'!$F$2:$F$501,0)),"")</f>
        <v/>
      </c>
      <c r="E221" s="27" t="n"/>
      <c r="F221" s="27" t="n"/>
      <c r="G221" s="1">
        <f>IFERROR(INDEX('20 2026 DEPO KABUL'!$G$2:$G$501,MATCH(C221,'20 2026 DEPO KABUL'!$F$2:$F$501,0)),"")</f>
        <v/>
      </c>
      <c r="H221" s="1">
        <f>IFERROR(INDEX('20 2026 DEPO KABUL'!$H$2:$H$501,MATCH(C221,'20 2026 DEPO KABUL'!$F$2:$F$501,0)),"")</f>
        <v/>
      </c>
      <c r="I221" s="27" t="n"/>
      <c r="J221" s="27" t="n"/>
    </row>
    <row r="222" ht="15" customHeight="1">
      <c r="A222" s="27" t="n"/>
      <c r="B222" s="27" t="n"/>
      <c r="C222" s="27" t="n"/>
      <c r="D222" s="1">
        <f>IFERROR(INDEX('20 2026 DEPO KABUL'!$B$2:$B$501,MATCH(C222,'20 2026 DEPO KABUL'!$F$2:$F$501,0)),"")</f>
        <v/>
      </c>
      <c r="E222" s="27" t="n"/>
      <c r="F222" s="27" t="n"/>
      <c r="G222" s="1">
        <f>IFERROR(INDEX('20 2026 DEPO KABUL'!$G$2:$G$501,MATCH(C222,'20 2026 DEPO KABUL'!$F$2:$F$501,0)),"")</f>
        <v/>
      </c>
      <c r="H222" s="1">
        <f>IFERROR(INDEX('20 2026 DEPO KABUL'!$H$2:$H$501,MATCH(C222,'20 2026 DEPO KABUL'!$F$2:$F$501,0)),"")</f>
        <v/>
      </c>
      <c r="I222" s="27" t="n"/>
      <c r="J222" s="27" t="n"/>
    </row>
    <row r="223" ht="15" customHeight="1">
      <c r="A223" s="27" t="n"/>
      <c r="B223" s="27" t="n"/>
      <c r="C223" s="27" t="n"/>
      <c r="D223" s="1">
        <f>IFERROR(INDEX('20 2026 DEPO KABUL'!$B$2:$B$501,MATCH(C223,'20 2026 DEPO KABUL'!$F$2:$F$501,0)),"")</f>
        <v/>
      </c>
      <c r="E223" s="27" t="n"/>
      <c r="F223" s="27" t="n"/>
      <c r="G223" s="1">
        <f>IFERROR(INDEX('20 2026 DEPO KABUL'!$G$2:$G$501,MATCH(C223,'20 2026 DEPO KABUL'!$F$2:$F$501,0)),"")</f>
        <v/>
      </c>
      <c r="H223" s="1">
        <f>IFERROR(INDEX('20 2026 DEPO KABUL'!$H$2:$H$501,MATCH(C223,'20 2026 DEPO KABUL'!$F$2:$F$501,0)),"")</f>
        <v/>
      </c>
      <c r="I223" s="27" t="n"/>
      <c r="J223" s="27" t="n"/>
    </row>
    <row r="224" ht="15" customHeight="1">
      <c r="A224" s="27" t="n"/>
      <c r="B224" s="27" t="n"/>
      <c r="C224" s="27" t="n"/>
      <c r="D224" s="1">
        <f>IFERROR(INDEX('20 2026 DEPO KABUL'!$B$2:$B$501,MATCH(C224,'20 2026 DEPO KABUL'!$F$2:$F$501,0)),"")</f>
        <v/>
      </c>
      <c r="E224" s="27" t="n"/>
      <c r="F224" s="27" t="n"/>
      <c r="G224" s="1">
        <f>IFERROR(INDEX('20 2026 DEPO KABUL'!$G$2:$G$501,MATCH(C224,'20 2026 DEPO KABUL'!$F$2:$F$501,0)),"")</f>
        <v/>
      </c>
      <c r="H224" s="1">
        <f>IFERROR(INDEX('20 2026 DEPO KABUL'!$H$2:$H$501,MATCH(C224,'20 2026 DEPO KABUL'!$F$2:$F$501,0)),"")</f>
        <v/>
      </c>
      <c r="I224" s="27" t="n"/>
      <c r="J224" s="27" t="n"/>
    </row>
    <row r="225" ht="15" customHeight="1">
      <c r="A225" s="27" t="n"/>
      <c r="B225" s="27" t="n"/>
      <c r="C225" s="27" t="n"/>
      <c r="D225" s="1">
        <f>IFERROR(INDEX('20 2026 DEPO KABUL'!$B$2:$B$501,MATCH(C225,'20 2026 DEPO KABUL'!$F$2:$F$501,0)),"")</f>
        <v/>
      </c>
      <c r="E225" s="27" t="n"/>
      <c r="F225" s="27" t="n"/>
      <c r="G225" s="1">
        <f>IFERROR(INDEX('20 2026 DEPO KABUL'!$G$2:$G$501,MATCH(C225,'20 2026 DEPO KABUL'!$F$2:$F$501,0)),"")</f>
        <v/>
      </c>
      <c r="H225" s="1">
        <f>IFERROR(INDEX('20 2026 DEPO KABUL'!$H$2:$H$501,MATCH(C225,'20 2026 DEPO KABUL'!$F$2:$F$501,0)),"")</f>
        <v/>
      </c>
      <c r="I225" s="27" t="n"/>
      <c r="J225" s="27" t="n"/>
    </row>
    <row r="226" ht="15" customHeight="1">
      <c r="A226" s="27" t="n"/>
      <c r="B226" s="27" t="n"/>
      <c r="C226" s="27" t="n"/>
      <c r="D226" s="1">
        <f>IFERROR(INDEX('20 2026 DEPO KABUL'!$B$2:$B$501,MATCH(C226,'20 2026 DEPO KABUL'!$F$2:$F$501,0)),"")</f>
        <v/>
      </c>
      <c r="E226" s="27" t="n"/>
      <c r="F226" s="27" t="n"/>
      <c r="G226" s="1">
        <f>IFERROR(INDEX('20 2026 DEPO KABUL'!$G$2:$G$501,MATCH(C226,'20 2026 DEPO KABUL'!$F$2:$F$501,0)),"")</f>
        <v/>
      </c>
      <c r="H226" s="1">
        <f>IFERROR(INDEX('20 2026 DEPO KABUL'!$H$2:$H$501,MATCH(C226,'20 2026 DEPO KABUL'!$F$2:$F$501,0)),"")</f>
        <v/>
      </c>
      <c r="I226" s="27" t="n"/>
      <c r="J226" s="27" t="n"/>
    </row>
    <row r="227" ht="15" customHeight="1">
      <c r="A227" s="27" t="n"/>
      <c r="B227" s="27" t="n"/>
      <c r="C227" s="27" t="n"/>
      <c r="D227" s="1">
        <f>IFERROR(INDEX('20 2026 DEPO KABUL'!$B$2:$B$501,MATCH(C227,'20 2026 DEPO KABUL'!$F$2:$F$501,0)),"")</f>
        <v/>
      </c>
      <c r="E227" s="27" t="n"/>
      <c r="F227" s="27" t="n"/>
      <c r="G227" s="1">
        <f>IFERROR(INDEX('20 2026 DEPO KABUL'!$G$2:$G$501,MATCH(C227,'20 2026 DEPO KABUL'!$F$2:$F$501,0)),"")</f>
        <v/>
      </c>
      <c r="H227" s="1">
        <f>IFERROR(INDEX('20 2026 DEPO KABUL'!$H$2:$H$501,MATCH(C227,'20 2026 DEPO KABUL'!$F$2:$F$501,0)),"")</f>
        <v/>
      </c>
      <c r="I227" s="27" t="n"/>
      <c r="J227" s="27" t="n"/>
    </row>
    <row r="228" ht="15" customHeight="1">
      <c r="A228" s="27" t="n"/>
      <c r="B228" s="27" t="n"/>
      <c r="C228" s="27" t="n"/>
      <c r="D228" s="1">
        <f>IFERROR(INDEX('20 2026 DEPO KABUL'!$B$2:$B$501,MATCH(C228,'20 2026 DEPO KABUL'!$F$2:$F$501,0)),"")</f>
        <v/>
      </c>
      <c r="E228" s="27" t="n"/>
      <c r="F228" s="27" t="n"/>
      <c r="G228" s="1">
        <f>IFERROR(INDEX('20 2026 DEPO KABUL'!$G$2:$G$501,MATCH(C228,'20 2026 DEPO KABUL'!$F$2:$F$501,0)),"")</f>
        <v/>
      </c>
      <c r="H228" s="1">
        <f>IFERROR(INDEX('20 2026 DEPO KABUL'!$H$2:$H$501,MATCH(C228,'20 2026 DEPO KABUL'!$F$2:$F$501,0)),"")</f>
        <v/>
      </c>
      <c r="I228" s="27" t="n"/>
      <c r="J228" s="27" t="n"/>
    </row>
    <row r="229" ht="15" customHeight="1">
      <c r="A229" s="27" t="n"/>
      <c r="B229" s="27" t="n"/>
      <c r="C229" s="27" t="n"/>
      <c r="D229" s="1">
        <f>IFERROR(INDEX('20 2026 DEPO KABUL'!$B$2:$B$501,MATCH(C229,'20 2026 DEPO KABUL'!$F$2:$F$501,0)),"")</f>
        <v/>
      </c>
      <c r="E229" s="27" t="n"/>
      <c r="F229" s="27" t="n"/>
      <c r="G229" s="1">
        <f>IFERROR(INDEX('20 2026 DEPO KABUL'!$G$2:$G$501,MATCH(C229,'20 2026 DEPO KABUL'!$F$2:$F$501,0)),"")</f>
        <v/>
      </c>
      <c r="H229" s="1">
        <f>IFERROR(INDEX('20 2026 DEPO KABUL'!$H$2:$H$501,MATCH(C229,'20 2026 DEPO KABUL'!$F$2:$F$501,0)),"")</f>
        <v/>
      </c>
      <c r="I229" s="27" t="n"/>
      <c r="J229" s="27" t="n"/>
    </row>
    <row r="230" ht="15" customHeight="1">
      <c r="A230" s="27" t="n"/>
      <c r="B230" s="27" t="n"/>
      <c r="C230" s="27" t="n"/>
      <c r="D230" s="1">
        <f>IFERROR(INDEX('20 2026 DEPO KABUL'!$B$2:$B$501,MATCH(C230,'20 2026 DEPO KABUL'!$F$2:$F$501,0)),"")</f>
        <v/>
      </c>
      <c r="E230" s="27" t="n"/>
      <c r="F230" s="27" t="n"/>
      <c r="G230" s="1">
        <f>IFERROR(INDEX('20 2026 DEPO KABUL'!$G$2:$G$501,MATCH(C230,'20 2026 DEPO KABUL'!$F$2:$F$501,0)),"")</f>
        <v/>
      </c>
      <c r="H230" s="1">
        <f>IFERROR(INDEX('20 2026 DEPO KABUL'!$H$2:$H$501,MATCH(C230,'20 2026 DEPO KABUL'!$F$2:$F$501,0)),"")</f>
        <v/>
      </c>
      <c r="I230" s="27" t="n"/>
      <c r="J230" s="27" t="n"/>
    </row>
    <row r="231" ht="15" customHeight="1">
      <c r="A231" s="27" t="n"/>
      <c r="B231" s="27" t="n"/>
      <c r="C231" s="27" t="n"/>
      <c r="D231" s="1">
        <f>IFERROR(INDEX('20 2026 DEPO KABUL'!$B$2:$B$501,MATCH(C231,'20 2026 DEPO KABUL'!$F$2:$F$501,0)),"")</f>
        <v/>
      </c>
      <c r="E231" s="27" t="n"/>
      <c r="F231" s="27" t="n"/>
      <c r="G231" s="1">
        <f>IFERROR(INDEX('20 2026 DEPO KABUL'!$G$2:$G$501,MATCH(C231,'20 2026 DEPO KABUL'!$F$2:$F$501,0)),"")</f>
        <v/>
      </c>
      <c r="H231" s="1">
        <f>IFERROR(INDEX('20 2026 DEPO KABUL'!$H$2:$H$501,MATCH(C231,'20 2026 DEPO KABUL'!$F$2:$F$501,0)),"")</f>
        <v/>
      </c>
      <c r="I231" s="27" t="n"/>
      <c r="J231" s="27" t="n"/>
    </row>
    <row r="232" ht="15" customHeight="1">
      <c r="A232" s="27" t="n"/>
      <c r="B232" s="27" t="n"/>
      <c r="C232" s="27" t="n"/>
      <c r="D232" s="1">
        <f>IFERROR(INDEX('20 2026 DEPO KABUL'!$B$2:$B$501,MATCH(C232,'20 2026 DEPO KABUL'!$F$2:$F$501,0)),"")</f>
        <v/>
      </c>
      <c r="E232" s="27" t="n"/>
      <c r="F232" s="27" t="n"/>
      <c r="G232" s="1">
        <f>IFERROR(INDEX('20 2026 DEPO KABUL'!$G$2:$G$501,MATCH(C232,'20 2026 DEPO KABUL'!$F$2:$F$501,0)),"")</f>
        <v/>
      </c>
      <c r="H232" s="1">
        <f>IFERROR(INDEX('20 2026 DEPO KABUL'!$H$2:$H$501,MATCH(C232,'20 2026 DEPO KABUL'!$F$2:$F$501,0)),"")</f>
        <v/>
      </c>
      <c r="I232" s="27" t="n"/>
      <c r="J232" s="27" t="n"/>
    </row>
    <row r="233" ht="15" customHeight="1">
      <c r="A233" s="27" t="n"/>
      <c r="B233" s="27" t="n"/>
      <c r="C233" s="27" t="n"/>
      <c r="D233" s="1">
        <f>IFERROR(INDEX('20 2026 DEPO KABUL'!$B$2:$B$501,MATCH(C233,'20 2026 DEPO KABUL'!$F$2:$F$501,0)),"")</f>
        <v/>
      </c>
      <c r="E233" s="27" t="n"/>
      <c r="F233" s="27" t="n"/>
      <c r="G233" s="1">
        <f>IFERROR(INDEX('20 2026 DEPO KABUL'!$G$2:$G$501,MATCH(C233,'20 2026 DEPO KABUL'!$F$2:$F$501,0)),"")</f>
        <v/>
      </c>
      <c r="H233" s="1">
        <f>IFERROR(INDEX('20 2026 DEPO KABUL'!$H$2:$H$501,MATCH(C233,'20 2026 DEPO KABUL'!$F$2:$F$501,0)),"")</f>
        <v/>
      </c>
      <c r="I233" s="27" t="n"/>
      <c r="J233" s="27" t="n"/>
    </row>
    <row r="234" ht="15" customHeight="1">
      <c r="A234" s="27" t="n"/>
      <c r="B234" s="27" t="n"/>
      <c r="C234" s="27" t="n"/>
      <c r="D234" s="1">
        <f>IFERROR(INDEX('20 2026 DEPO KABUL'!$B$2:$B$501,MATCH(C234,'20 2026 DEPO KABUL'!$F$2:$F$501,0)),"")</f>
        <v/>
      </c>
      <c r="E234" s="27" t="n"/>
      <c r="F234" s="27" t="n"/>
      <c r="G234" s="1">
        <f>IFERROR(INDEX('20 2026 DEPO KABUL'!$G$2:$G$501,MATCH(C234,'20 2026 DEPO KABUL'!$F$2:$F$501,0)),"")</f>
        <v/>
      </c>
      <c r="H234" s="1">
        <f>IFERROR(INDEX('20 2026 DEPO KABUL'!$H$2:$H$501,MATCH(C234,'20 2026 DEPO KABUL'!$F$2:$F$501,0)),"")</f>
        <v/>
      </c>
      <c r="I234" s="27" t="n"/>
      <c r="J234" s="27" t="n"/>
    </row>
    <row r="235" ht="15" customHeight="1">
      <c r="A235" s="27" t="n"/>
      <c r="B235" s="27" t="n"/>
      <c r="C235" s="27" t="n"/>
      <c r="D235" s="1">
        <f>IFERROR(INDEX('20 2026 DEPO KABUL'!$B$2:$B$501,MATCH(C235,'20 2026 DEPO KABUL'!$F$2:$F$501,0)),"")</f>
        <v/>
      </c>
      <c r="E235" s="27" t="n"/>
      <c r="F235" s="27" t="n"/>
      <c r="G235" s="1">
        <f>IFERROR(INDEX('20 2026 DEPO KABUL'!$G$2:$G$501,MATCH(C235,'20 2026 DEPO KABUL'!$F$2:$F$501,0)),"")</f>
        <v/>
      </c>
      <c r="H235" s="1">
        <f>IFERROR(INDEX('20 2026 DEPO KABUL'!$H$2:$H$501,MATCH(C235,'20 2026 DEPO KABUL'!$F$2:$F$501,0)),"")</f>
        <v/>
      </c>
      <c r="I235" s="27" t="n"/>
      <c r="J235" s="27" t="n"/>
    </row>
    <row r="236" ht="15" customHeight="1">
      <c r="A236" s="27" t="n"/>
      <c r="B236" s="27" t="n"/>
      <c r="C236" s="27" t="n"/>
      <c r="D236" s="1">
        <f>IFERROR(INDEX('20 2026 DEPO KABUL'!$B$2:$B$501,MATCH(C236,'20 2026 DEPO KABUL'!$F$2:$F$501,0)),"")</f>
        <v/>
      </c>
      <c r="E236" s="27" t="n"/>
      <c r="F236" s="27" t="n"/>
      <c r="G236" s="1">
        <f>IFERROR(INDEX('20 2026 DEPO KABUL'!$G$2:$G$501,MATCH(C236,'20 2026 DEPO KABUL'!$F$2:$F$501,0)),"")</f>
        <v/>
      </c>
      <c r="H236" s="1">
        <f>IFERROR(INDEX('20 2026 DEPO KABUL'!$H$2:$H$501,MATCH(C236,'20 2026 DEPO KABUL'!$F$2:$F$501,0)),"")</f>
        <v/>
      </c>
      <c r="I236" s="27" t="n"/>
      <c r="J236" s="27" t="n"/>
    </row>
    <row r="237" ht="15" customHeight="1">
      <c r="A237" s="27" t="n"/>
      <c r="B237" s="27" t="n"/>
      <c r="C237" s="27" t="n"/>
      <c r="D237" s="1">
        <f>IFERROR(INDEX('20 2026 DEPO KABUL'!$B$2:$B$501,MATCH(C237,'20 2026 DEPO KABUL'!$F$2:$F$501,0)),"")</f>
        <v/>
      </c>
      <c r="E237" s="27" t="n"/>
      <c r="F237" s="27" t="n"/>
      <c r="G237" s="1">
        <f>IFERROR(INDEX('20 2026 DEPO KABUL'!$G$2:$G$501,MATCH(C237,'20 2026 DEPO KABUL'!$F$2:$F$501,0)),"")</f>
        <v/>
      </c>
      <c r="H237" s="1">
        <f>IFERROR(INDEX('20 2026 DEPO KABUL'!$H$2:$H$501,MATCH(C237,'20 2026 DEPO KABUL'!$F$2:$F$501,0)),"")</f>
        <v/>
      </c>
      <c r="I237" s="27" t="n"/>
      <c r="J237" s="27" t="n"/>
    </row>
    <row r="238" ht="15" customHeight="1">
      <c r="A238" s="27" t="n"/>
      <c r="B238" s="27" t="n"/>
      <c r="C238" s="27" t="n"/>
      <c r="D238" s="1">
        <f>IFERROR(INDEX('20 2026 DEPO KABUL'!$B$2:$B$501,MATCH(C238,'20 2026 DEPO KABUL'!$F$2:$F$501,0)),"")</f>
        <v/>
      </c>
      <c r="E238" s="27" t="n"/>
      <c r="F238" s="27" t="n"/>
      <c r="G238" s="1">
        <f>IFERROR(INDEX('20 2026 DEPO KABUL'!$G$2:$G$501,MATCH(C238,'20 2026 DEPO KABUL'!$F$2:$F$501,0)),"")</f>
        <v/>
      </c>
      <c r="H238" s="1">
        <f>IFERROR(INDEX('20 2026 DEPO KABUL'!$H$2:$H$501,MATCH(C238,'20 2026 DEPO KABUL'!$F$2:$F$501,0)),"")</f>
        <v/>
      </c>
      <c r="I238" s="27" t="n"/>
      <c r="J238" s="27" t="n"/>
    </row>
    <row r="239" ht="15" customHeight="1">
      <c r="A239" s="27" t="n"/>
      <c r="B239" s="27" t="n"/>
      <c r="C239" s="27" t="n"/>
      <c r="D239" s="1">
        <f>IFERROR(INDEX('20 2026 DEPO KABUL'!$B$2:$B$501,MATCH(C239,'20 2026 DEPO KABUL'!$F$2:$F$501,0)),"")</f>
        <v/>
      </c>
      <c r="E239" s="27" t="n"/>
      <c r="F239" s="27" t="n"/>
      <c r="G239" s="1">
        <f>IFERROR(INDEX('20 2026 DEPO KABUL'!$G$2:$G$501,MATCH(C239,'20 2026 DEPO KABUL'!$F$2:$F$501,0)),"")</f>
        <v/>
      </c>
      <c r="H239" s="1">
        <f>IFERROR(INDEX('20 2026 DEPO KABUL'!$H$2:$H$501,MATCH(C239,'20 2026 DEPO KABUL'!$F$2:$F$501,0)),"")</f>
        <v/>
      </c>
      <c r="I239" s="27" t="n"/>
      <c r="J239" s="27" t="n"/>
    </row>
    <row r="240" ht="15" customHeight="1">
      <c r="A240" s="27" t="n"/>
      <c r="B240" s="27" t="n"/>
      <c r="C240" s="27" t="n"/>
      <c r="D240" s="1">
        <f>IFERROR(INDEX('20 2026 DEPO KABUL'!$B$2:$B$501,MATCH(C240,'20 2026 DEPO KABUL'!$F$2:$F$501,0)),"")</f>
        <v/>
      </c>
      <c r="E240" s="27" t="n"/>
      <c r="F240" s="27" t="n"/>
      <c r="G240" s="1">
        <f>IFERROR(INDEX('20 2026 DEPO KABUL'!$G$2:$G$501,MATCH(C240,'20 2026 DEPO KABUL'!$F$2:$F$501,0)),"")</f>
        <v/>
      </c>
      <c r="H240" s="1">
        <f>IFERROR(INDEX('20 2026 DEPO KABUL'!$H$2:$H$501,MATCH(C240,'20 2026 DEPO KABUL'!$F$2:$F$501,0)),"")</f>
        <v/>
      </c>
      <c r="I240" s="27" t="n"/>
      <c r="J240" s="27" t="n"/>
    </row>
    <row r="241" ht="15" customHeight="1">
      <c r="A241" s="27" t="n"/>
      <c r="B241" s="27" t="n"/>
      <c r="C241" s="27" t="n"/>
      <c r="D241" s="1">
        <f>IFERROR(INDEX('20 2026 DEPO KABUL'!$B$2:$B$501,MATCH(C241,'20 2026 DEPO KABUL'!$F$2:$F$501,0)),"")</f>
        <v/>
      </c>
      <c r="E241" s="27" t="n"/>
      <c r="F241" s="27" t="n"/>
      <c r="G241" s="1">
        <f>IFERROR(INDEX('20 2026 DEPO KABUL'!$G$2:$G$501,MATCH(C241,'20 2026 DEPO KABUL'!$F$2:$F$501,0)),"")</f>
        <v/>
      </c>
      <c r="H241" s="1">
        <f>IFERROR(INDEX('20 2026 DEPO KABUL'!$H$2:$H$501,MATCH(C241,'20 2026 DEPO KABUL'!$F$2:$F$501,0)),"")</f>
        <v/>
      </c>
      <c r="I241" s="27" t="n"/>
      <c r="J241" s="27" t="n"/>
    </row>
    <row r="242" ht="15" customHeight="1">
      <c r="A242" s="27" t="n"/>
      <c r="B242" s="27" t="n"/>
      <c r="C242" s="27" t="n"/>
      <c r="D242" s="1">
        <f>IFERROR(INDEX('20 2026 DEPO KABUL'!$B$2:$B$501,MATCH(C242,'20 2026 DEPO KABUL'!$F$2:$F$501,0)),"")</f>
        <v/>
      </c>
      <c r="E242" s="27" t="n"/>
      <c r="F242" s="27" t="n"/>
      <c r="G242" s="1">
        <f>IFERROR(INDEX('20 2026 DEPO KABUL'!$G$2:$G$501,MATCH(C242,'20 2026 DEPO KABUL'!$F$2:$F$501,0)),"")</f>
        <v/>
      </c>
      <c r="H242" s="1">
        <f>IFERROR(INDEX('20 2026 DEPO KABUL'!$H$2:$H$501,MATCH(C242,'20 2026 DEPO KABUL'!$F$2:$F$501,0)),"")</f>
        <v/>
      </c>
      <c r="I242" s="27" t="n"/>
      <c r="J242" s="27" t="n"/>
    </row>
    <row r="243" ht="15" customHeight="1">
      <c r="A243" s="27" t="n"/>
      <c r="B243" s="27" t="n"/>
      <c r="C243" s="27" t="n"/>
      <c r="D243" s="1">
        <f>IFERROR(INDEX('20 2026 DEPO KABUL'!$B$2:$B$501,MATCH(C243,'20 2026 DEPO KABUL'!$F$2:$F$501,0)),"")</f>
        <v/>
      </c>
      <c r="E243" s="27" t="n"/>
      <c r="F243" s="27" t="n"/>
      <c r="G243" s="1">
        <f>IFERROR(INDEX('20 2026 DEPO KABUL'!$G$2:$G$501,MATCH(C243,'20 2026 DEPO KABUL'!$F$2:$F$501,0)),"")</f>
        <v/>
      </c>
      <c r="H243" s="1">
        <f>IFERROR(INDEX('20 2026 DEPO KABUL'!$H$2:$H$501,MATCH(C243,'20 2026 DEPO KABUL'!$F$2:$F$501,0)),"")</f>
        <v/>
      </c>
      <c r="I243" s="27" t="n"/>
      <c r="J243" s="27" t="n"/>
    </row>
    <row r="244" ht="15" customHeight="1">
      <c r="A244" s="27" t="n"/>
      <c r="B244" s="27" t="n"/>
      <c r="C244" s="27" t="n"/>
      <c r="D244" s="1">
        <f>IFERROR(INDEX('20 2026 DEPO KABUL'!$B$2:$B$501,MATCH(C244,'20 2026 DEPO KABUL'!$F$2:$F$501,0)),"")</f>
        <v/>
      </c>
      <c r="E244" s="27" t="n"/>
      <c r="F244" s="27" t="n"/>
      <c r="G244" s="1">
        <f>IFERROR(INDEX('20 2026 DEPO KABUL'!$G$2:$G$501,MATCH(C244,'20 2026 DEPO KABUL'!$F$2:$F$501,0)),"")</f>
        <v/>
      </c>
      <c r="H244" s="1">
        <f>IFERROR(INDEX('20 2026 DEPO KABUL'!$H$2:$H$501,MATCH(C244,'20 2026 DEPO KABUL'!$F$2:$F$501,0)),"")</f>
        <v/>
      </c>
      <c r="I244" s="27" t="n"/>
      <c r="J244" s="27" t="n"/>
    </row>
    <row r="245" ht="15" customHeight="1">
      <c r="A245" s="27" t="n"/>
      <c r="B245" s="27" t="n"/>
      <c r="C245" s="27" t="n"/>
      <c r="D245" s="1">
        <f>IFERROR(INDEX('20 2026 DEPO KABUL'!$B$2:$B$501,MATCH(C245,'20 2026 DEPO KABUL'!$F$2:$F$501,0)),"")</f>
        <v/>
      </c>
      <c r="E245" s="27" t="n"/>
      <c r="F245" s="27" t="n"/>
      <c r="G245" s="1">
        <f>IFERROR(INDEX('20 2026 DEPO KABUL'!$G$2:$G$501,MATCH(C245,'20 2026 DEPO KABUL'!$F$2:$F$501,0)),"")</f>
        <v/>
      </c>
      <c r="H245" s="1">
        <f>IFERROR(INDEX('20 2026 DEPO KABUL'!$H$2:$H$501,MATCH(C245,'20 2026 DEPO KABUL'!$F$2:$F$501,0)),"")</f>
        <v/>
      </c>
      <c r="I245" s="27" t="n"/>
      <c r="J245" s="27" t="n"/>
    </row>
    <row r="246" ht="15" customHeight="1">
      <c r="A246" s="27" t="n"/>
      <c r="B246" s="27" t="n"/>
      <c r="C246" s="27" t="n"/>
      <c r="D246" s="1">
        <f>IFERROR(INDEX('20 2026 DEPO KABUL'!$B$2:$B$501,MATCH(C246,'20 2026 DEPO KABUL'!$F$2:$F$501,0)),"")</f>
        <v/>
      </c>
      <c r="E246" s="27" t="n"/>
      <c r="F246" s="27" t="n"/>
      <c r="G246" s="1">
        <f>IFERROR(INDEX('20 2026 DEPO KABUL'!$G$2:$G$501,MATCH(C246,'20 2026 DEPO KABUL'!$F$2:$F$501,0)),"")</f>
        <v/>
      </c>
      <c r="H246" s="1">
        <f>IFERROR(INDEX('20 2026 DEPO KABUL'!$H$2:$H$501,MATCH(C246,'20 2026 DEPO KABUL'!$F$2:$F$501,0)),"")</f>
        <v/>
      </c>
      <c r="I246" s="27" t="n"/>
      <c r="J246" s="27" t="n"/>
    </row>
    <row r="247" ht="15" customHeight="1">
      <c r="A247" s="27" t="n"/>
      <c r="B247" s="27" t="n"/>
      <c r="C247" s="27" t="n"/>
      <c r="D247" s="1">
        <f>IFERROR(INDEX('20 2026 DEPO KABUL'!$B$2:$B$501,MATCH(C247,'20 2026 DEPO KABUL'!$F$2:$F$501,0)),"")</f>
        <v/>
      </c>
      <c r="E247" s="27" t="n"/>
      <c r="F247" s="27" t="n"/>
      <c r="G247" s="1">
        <f>IFERROR(INDEX('20 2026 DEPO KABUL'!$G$2:$G$501,MATCH(C247,'20 2026 DEPO KABUL'!$F$2:$F$501,0)),"")</f>
        <v/>
      </c>
      <c r="H247" s="1">
        <f>IFERROR(INDEX('20 2026 DEPO KABUL'!$H$2:$H$501,MATCH(C247,'20 2026 DEPO KABUL'!$F$2:$F$501,0)),"")</f>
        <v/>
      </c>
      <c r="I247" s="27" t="n"/>
      <c r="J247" s="27" t="n"/>
    </row>
    <row r="248" ht="15" customHeight="1">
      <c r="A248" s="27" t="n"/>
      <c r="B248" s="27" t="n"/>
      <c r="C248" s="27" t="n"/>
      <c r="D248" s="1">
        <f>IFERROR(INDEX('20 2026 DEPO KABUL'!$B$2:$B$501,MATCH(C248,'20 2026 DEPO KABUL'!$F$2:$F$501,0)),"")</f>
        <v/>
      </c>
      <c r="E248" s="27" t="n"/>
      <c r="F248" s="27" t="n"/>
      <c r="G248" s="1">
        <f>IFERROR(INDEX('20 2026 DEPO KABUL'!$G$2:$G$501,MATCH(C248,'20 2026 DEPO KABUL'!$F$2:$F$501,0)),"")</f>
        <v/>
      </c>
      <c r="H248" s="1">
        <f>IFERROR(INDEX('20 2026 DEPO KABUL'!$H$2:$H$501,MATCH(C248,'20 2026 DEPO KABUL'!$F$2:$F$501,0)),"")</f>
        <v/>
      </c>
      <c r="I248" s="27" t="n"/>
      <c r="J248" s="27" t="n"/>
    </row>
    <row r="249" ht="15" customHeight="1">
      <c r="A249" s="27" t="n"/>
      <c r="B249" s="27" t="n"/>
      <c r="C249" s="27" t="n"/>
      <c r="D249" s="1">
        <f>IFERROR(INDEX('20 2026 DEPO KABUL'!$B$2:$B$501,MATCH(C249,'20 2026 DEPO KABUL'!$F$2:$F$501,0)),"")</f>
        <v/>
      </c>
      <c r="E249" s="27" t="n"/>
      <c r="F249" s="27" t="n"/>
      <c r="G249" s="1">
        <f>IFERROR(INDEX('20 2026 DEPO KABUL'!$G$2:$G$501,MATCH(C249,'20 2026 DEPO KABUL'!$F$2:$F$501,0)),"")</f>
        <v/>
      </c>
      <c r="H249" s="1">
        <f>IFERROR(INDEX('20 2026 DEPO KABUL'!$H$2:$H$501,MATCH(C249,'20 2026 DEPO KABUL'!$F$2:$F$501,0)),"")</f>
        <v/>
      </c>
      <c r="I249" s="27" t="n"/>
      <c r="J249" s="27" t="n"/>
    </row>
    <row r="250" ht="15" customHeight="1">
      <c r="A250" s="27" t="n"/>
      <c r="B250" s="27" t="n"/>
      <c r="C250" s="27" t="n"/>
      <c r="D250" s="1">
        <f>IFERROR(INDEX('20 2026 DEPO KABUL'!$B$2:$B$501,MATCH(C250,'20 2026 DEPO KABUL'!$F$2:$F$501,0)),"")</f>
        <v/>
      </c>
      <c r="E250" s="27" t="n"/>
      <c r="F250" s="27" t="n"/>
      <c r="G250" s="1">
        <f>IFERROR(INDEX('20 2026 DEPO KABUL'!$G$2:$G$501,MATCH(C250,'20 2026 DEPO KABUL'!$F$2:$F$501,0)),"")</f>
        <v/>
      </c>
      <c r="H250" s="1">
        <f>IFERROR(INDEX('20 2026 DEPO KABUL'!$H$2:$H$501,MATCH(C250,'20 2026 DEPO KABUL'!$F$2:$F$501,0)),"")</f>
        <v/>
      </c>
      <c r="I250" s="27" t="n"/>
      <c r="J250" s="27" t="n"/>
    </row>
    <row r="251" ht="15" customHeight="1">
      <c r="A251" s="27" t="n"/>
      <c r="B251" s="27" t="n"/>
      <c r="C251" s="27" t="n"/>
      <c r="D251" s="1">
        <f>IFERROR(INDEX('20 2026 DEPO KABUL'!$B$2:$B$501,MATCH(C251,'20 2026 DEPO KABUL'!$F$2:$F$501,0)),"")</f>
        <v/>
      </c>
      <c r="E251" s="27" t="n"/>
      <c r="F251" s="27" t="n"/>
      <c r="G251" s="1">
        <f>IFERROR(INDEX('20 2026 DEPO KABUL'!$G$2:$G$501,MATCH(C251,'20 2026 DEPO KABUL'!$F$2:$F$501,0)),"")</f>
        <v/>
      </c>
      <c r="H251" s="1">
        <f>IFERROR(INDEX('20 2026 DEPO KABUL'!$H$2:$H$501,MATCH(C251,'20 2026 DEPO KABUL'!$F$2:$F$501,0)),"")</f>
        <v/>
      </c>
      <c r="I251" s="27" t="n"/>
      <c r="J251" s="27" t="n"/>
    </row>
    <row r="252" ht="15" customHeight="1">
      <c r="A252" s="27" t="n"/>
      <c r="B252" s="27" t="n"/>
      <c r="C252" s="27" t="n"/>
      <c r="D252" s="1">
        <f>IFERROR(INDEX('20 2026 DEPO KABUL'!$B$2:$B$501,MATCH(C252,'20 2026 DEPO KABUL'!$F$2:$F$501,0)),"")</f>
        <v/>
      </c>
      <c r="E252" s="27" t="n"/>
      <c r="F252" s="27" t="n"/>
      <c r="G252" s="1">
        <f>IFERROR(INDEX('20 2026 DEPO KABUL'!$G$2:$G$501,MATCH(C252,'20 2026 DEPO KABUL'!$F$2:$F$501,0)),"")</f>
        <v/>
      </c>
      <c r="H252" s="1">
        <f>IFERROR(INDEX('20 2026 DEPO KABUL'!$H$2:$H$501,MATCH(C252,'20 2026 DEPO KABUL'!$F$2:$F$501,0)),"")</f>
        <v/>
      </c>
      <c r="I252" s="27" t="n"/>
      <c r="J252" s="27" t="n"/>
    </row>
    <row r="253" ht="15" customHeight="1">
      <c r="A253" s="27" t="n"/>
      <c r="B253" s="27" t="n"/>
      <c r="C253" s="27" t="n"/>
      <c r="D253" s="1">
        <f>IFERROR(INDEX('20 2026 DEPO KABUL'!$B$2:$B$501,MATCH(C253,'20 2026 DEPO KABUL'!$F$2:$F$501,0)),"")</f>
        <v/>
      </c>
      <c r="E253" s="27" t="n"/>
      <c r="F253" s="27" t="n"/>
      <c r="G253" s="1">
        <f>IFERROR(INDEX('20 2026 DEPO KABUL'!$G$2:$G$501,MATCH(C253,'20 2026 DEPO KABUL'!$F$2:$F$501,0)),"")</f>
        <v/>
      </c>
      <c r="H253" s="1">
        <f>IFERROR(INDEX('20 2026 DEPO KABUL'!$H$2:$H$501,MATCH(C253,'20 2026 DEPO KABUL'!$F$2:$F$501,0)),"")</f>
        <v/>
      </c>
      <c r="I253" s="27" t="n"/>
      <c r="J253" s="27" t="n"/>
    </row>
    <row r="254" ht="15" customHeight="1">
      <c r="A254" s="27" t="n"/>
      <c r="B254" s="27" t="n"/>
      <c r="C254" s="27" t="n"/>
      <c r="D254" s="1">
        <f>IFERROR(INDEX('20 2026 DEPO KABUL'!$B$2:$B$501,MATCH(C254,'20 2026 DEPO KABUL'!$F$2:$F$501,0)),"")</f>
        <v/>
      </c>
      <c r="E254" s="27" t="n"/>
      <c r="F254" s="27" t="n"/>
      <c r="G254" s="1">
        <f>IFERROR(INDEX('20 2026 DEPO KABUL'!$G$2:$G$501,MATCH(C254,'20 2026 DEPO KABUL'!$F$2:$F$501,0)),"")</f>
        <v/>
      </c>
      <c r="H254" s="1">
        <f>IFERROR(INDEX('20 2026 DEPO KABUL'!$H$2:$H$501,MATCH(C254,'20 2026 DEPO KABUL'!$F$2:$F$501,0)),"")</f>
        <v/>
      </c>
      <c r="I254" s="27" t="n"/>
      <c r="J254" s="27" t="n"/>
    </row>
    <row r="255" ht="15" customHeight="1">
      <c r="A255" s="27" t="n"/>
      <c r="B255" s="27" t="n"/>
      <c r="C255" s="27" t="n"/>
      <c r="D255" s="1">
        <f>IFERROR(INDEX('20 2026 DEPO KABUL'!$B$2:$B$501,MATCH(C255,'20 2026 DEPO KABUL'!$F$2:$F$501,0)),"")</f>
        <v/>
      </c>
      <c r="E255" s="27" t="n"/>
      <c r="F255" s="27" t="n"/>
      <c r="G255" s="1">
        <f>IFERROR(INDEX('20 2026 DEPO KABUL'!$G$2:$G$501,MATCH(C255,'20 2026 DEPO KABUL'!$F$2:$F$501,0)),"")</f>
        <v/>
      </c>
      <c r="H255" s="1">
        <f>IFERROR(INDEX('20 2026 DEPO KABUL'!$H$2:$H$501,MATCH(C255,'20 2026 DEPO KABUL'!$F$2:$F$501,0)),"")</f>
        <v/>
      </c>
      <c r="I255" s="27" t="n"/>
      <c r="J255" s="27" t="n"/>
    </row>
    <row r="256" ht="15" customHeight="1">
      <c r="A256" s="27" t="n"/>
      <c r="B256" s="27" t="n"/>
      <c r="C256" s="27" t="n"/>
      <c r="D256" s="1">
        <f>IFERROR(INDEX('20 2026 DEPO KABUL'!$B$2:$B$501,MATCH(C256,'20 2026 DEPO KABUL'!$F$2:$F$501,0)),"")</f>
        <v/>
      </c>
      <c r="E256" s="27" t="n"/>
      <c r="F256" s="27" t="n"/>
      <c r="G256" s="1">
        <f>IFERROR(INDEX('20 2026 DEPO KABUL'!$G$2:$G$501,MATCH(C256,'20 2026 DEPO KABUL'!$F$2:$F$501,0)),"")</f>
        <v/>
      </c>
      <c r="H256" s="1">
        <f>IFERROR(INDEX('20 2026 DEPO KABUL'!$H$2:$H$501,MATCH(C256,'20 2026 DEPO KABUL'!$F$2:$F$501,0)),"")</f>
        <v/>
      </c>
      <c r="I256" s="27" t="n"/>
      <c r="J256" s="27" t="n"/>
    </row>
    <row r="257" ht="15" customHeight="1">
      <c r="A257" s="27" t="n"/>
      <c r="B257" s="27" t="n"/>
      <c r="C257" s="27" t="n"/>
      <c r="D257" s="1">
        <f>IFERROR(INDEX('20 2026 DEPO KABUL'!$B$2:$B$501,MATCH(C257,'20 2026 DEPO KABUL'!$F$2:$F$501,0)),"")</f>
        <v/>
      </c>
      <c r="E257" s="27" t="n"/>
      <c r="F257" s="27" t="n"/>
      <c r="G257" s="1">
        <f>IFERROR(INDEX('20 2026 DEPO KABUL'!$G$2:$G$501,MATCH(C257,'20 2026 DEPO KABUL'!$F$2:$F$501,0)),"")</f>
        <v/>
      </c>
      <c r="H257" s="1">
        <f>IFERROR(INDEX('20 2026 DEPO KABUL'!$H$2:$H$501,MATCH(C257,'20 2026 DEPO KABUL'!$F$2:$F$501,0)),"")</f>
        <v/>
      </c>
      <c r="I257" s="27" t="n"/>
      <c r="J257" s="27" t="n"/>
    </row>
    <row r="258" ht="15" customHeight="1">
      <c r="A258" s="27" t="n"/>
      <c r="B258" s="27" t="n"/>
      <c r="C258" s="27" t="n"/>
      <c r="D258" s="1">
        <f>IFERROR(INDEX('20 2026 DEPO KABUL'!$B$2:$B$501,MATCH(C258,'20 2026 DEPO KABUL'!$F$2:$F$501,0)),"")</f>
        <v/>
      </c>
      <c r="E258" s="27" t="n"/>
      <c r="F258" s="27" t="n"/>
      <c r="G258" s="1">
        <f>IFERROR(INDEX('20 2026 DEPO KABUL'!$G$2:$G$501,MATCH(C258,'20 2026 DEPO KABUL'!$F$2:$F$501,0)),"")</f>
        <v/>
      </c>
      <c r="H258" s="1">
        <f>IFERROR(INDEX('20 2026 DEPO KABUL'!$H$2:$H$501,MATCH(C258,'20 2026 DEPO KABUL'!$F$2:$F$501,0)),"")</f>
        <v/>
      </c>
      <c r="I258" s="27" t="n"/>
      <c r="J258" s="27" t="n"/>
    </row>
    <row r="259" ht="15" customHeight="1">
      <c r="A259" s="27" t="n"/>
      <c r="B259" s="27" t="n"/>
      <c r="C259" s="27" t="n"/>
      <c r="D259" s="1">
        <f>IFERROR(INDEX('20 2026 DEPO KABUL'!$B$2:$B$501,MATCH(C259,'20 2026 DEPO KABUL'!$F$2:$F$501,0)),"")</f>
        <v/>
      </c>
      <c r="E259" s="27" t="n"/>
      <c r="F259" s="27" t="n"/>
      <c r="G259" s="1">
        <f>IFERROR(INDEX('20 2026 DEPO KABUL'!$G$2:$G$501,MATCH(C259,'20 2026 DEPO KABUL'!$F$2:$F$501,0)),"")</f>
        <v/>
      </c>
      <c r="H259" s="1">
        <f>IFERROR(INDEX('20 2026 DEPO KABUL'!$H$2:$H$501,MATCH(C259,'20 2026 DEPO KABUL'!$F$2:$F$501,0)),"")</f>
        <v/>
      </c>
      <c r="I259" s="27" t="n"/>
      <c r="J259" s="27" t="n"/>
    </row>
    <row r="260" ht="15" customHeight="1">
      <c r="A260" s="27" t="n"/>
      <c r="B260" s="27" t="n"/>
      <c r="C260" s="27" t="n"/>
      <c r="D260" s="1">
        <f>IFERROR(INDEX('20 2026 DEPO KABUL'!$B$2:$B$501,MATCH(C260,'20 2026 DEPO KABUL'!$F$2:$F$501,0)),"")</f>
        <v/>
      </c>
      <c r="E260" s="27" t="n"/>
      <c r="F260" s="27" t="n"/>
      <c r="G260" s="1">
        <f>IFERROR(INDEX('20 2026 DEPO KABUL'!$G$2:$G$501,MATCH(C260,'20 2026 DEPO KABUL'!$F$2:$F$501,0)),"")</f>
        <v/>
      </c>
      <c r="H260" s="1">
        <f>IFERROR(INDEX('20 2026 DEPO KABUL'!$H$2:$H$501,MATCH(C260,'20 2026 DEPO KABUL'!$F$2:$F$501,0)),"")</f>
        <v/>
      </c>
      <c r="I260" s="27" t="n"/>
      <c r="J260" s="27" t="n"/>
    </row>
    <row r="261" ht="15" customHeight="1">
      <c r="A261" s="27" t="n"/>
      <c r="B261" s="27" t="n"/>
      <c r="C261" s="27" t="n"/>
      <c r="D261" s="1">
        <f>IFERROR(INDEX('20 2026 DEPO KABUL'!$B$2:$B$501,MATCH(C261,'20 2026 DEPO KABUL'!$F$2:$F$501,0)),"")</f>
        <v/>
      </c>
      <c r="E261" s="27" t="n"/>
      <c r="F261" s="27" t="n"/>
      <c r="G261" s="1">
        <f>IFERROR(INDEX('20 2026 DEPO KABUL'!$G$2:$G$501,MATCH(C261,'20 2026 DEPO KABUL'!$F$2:$F$501,0)),"")</f>
        <v/>
      </c>
      <c r="H261" s="1">
        <f>IFERROR(INDEX('20 2026 DEPO KABUL'!$H$2:$H$501,MATCH(C261,'20 2026 DEPO KABUL'!$F$2:$F$501,0)),"")</f>
        <v/>
      </c>
      <c r="I261" s="27" t="n"/>
      <c r="J261" s="27" t="n"/>
    </row>
    <row r="262" ht="15" customHeight="1">
      <c r="A262" s="27" t="n"/>
      <c r="B262" s="27" t="n"/>
      <c r="C262" s="27" t="n"/>
      <c r="D262" s="1">
        <f>IFERROR(INDEX('20 2026 DEPO KABUL'!$B$2:$B$501,MATCH(C262,'20 2026 DEPO KABUL'!$F$2:$F$501,0)),"")</f>
        <v/>
      </c>
      <c r="E262" s="27" t="n"/>
      <c r="F262" s="27" t="n"/>
      <c r="G262" s="1">
        <f>IFERROR(INDEX('20 2026 DEPO KABUL'!$G$2:$G$501,MATCH(C262,'20 2026 DEPO KABUL'!$F$2:$F$501,0)),"")</f>
        <v/>
      </c>
      <c r="H262" s="1">
        <f>IFERROR(INDEX('20 2026 DEPO KABUL'!$H$2:$H$501,MATCH(C262,'20 2026 DEPO KABUL'!$F$2:$F$501,0)),"")</f>
        <v/>
      </c>
      <c r="I262" s="27" t="n"/>
      <c r="J262" s="27" t="n"/>
    </row>
    <row r="263" ht="15" customHeight="1">
      <c r="A263" s="27" t="n"/>
      <c r="B263" s="27" t="n"/>
      <c r="C263" s="27" t="n"/>
      <c r="D263" s="1">
        <f>IFERROR(INDEX('20 2026 DEPO KABUL'!$B$2:$B$501,MATCH(C263,'20 2026 DEPO KABUL'!$F$2:$F$501,0)),"")</f>
        <v/>
      </c>
      <c r="E263" s="27" t="n"/>
      <c r="F263" s="27" t="n"/>
      <c r="G263" s="1">
        <f>IFERROR(INDEX('20 2026 DEPO KABUL'!$G$2:$G$501,MATCH(C263,'20 2026 DEPO KABUL'!$F$2:$F$501,0)),"")</f>
        <v/>
      </c>
      <c r="H263" s="1">
        <f>IFERROR(INDEX('20 2026 DEPO KABUL'!$H$2:$H$501,MATCH(C263,'20 2026 DEPO KABUL'!$F$2:$F$501,0)),"")</f>
        <v/>
      </c>
      <c r="I263" s="27" t="n"/>
      <c r="J263" s="27" t="n"/>
    </row>
    <row r="264" ht="15" customHeight="1">
      <c r="A264" s="27" t="n"/>
      <c r="B264" s="27" t="n"/>
      <c r="C264" s="27" t="n"/>
      <c r="D264" s="1">
        <f>IFERROR(INDEX('20 2026 DEPO KABUL'!$B$2:$B$501,MATCH(C264,'20 2026 DEPO KABUL'!$F$2:$F$501,0)),"")</f>
        <v/>
      </c>
      <c r="E264" s="27" t="n"/>
      <c r="F264" s="27" t="n"/>
      <c r="G264" s="1">
        <f>IFERROR(INDEX('20 2026 DEPO KABUL'!$G$2:$G$501,MATCH(C264,'20 2026 DEPO KABUL'!$F$2:$F$501,0)),"")</f>
        <v/>
      </c>
      <c r="H264" s="1">
        <f>IFERROR(INDEX('20 2026 DEPO KABUL'!$H$2:$H$501,MATCH(C264,'20 2026 DEPO KABUL'!$F$2:$F$501,0)),"")</f>
        <v/>
      </c>
      <c r="I264" s="27" t="n"/>
      <c r="J264" s="27" t="n"/>
    </row>
    <row r="265" ht="15" customHeight="1">
      <c r="A265" s="27" t="n"/>
      <c r="B265" s="27" t="n"/>
      <c r="C265" s="27" t="n"/>
      <c r="D265" s="1">
        <f>IFERROR(INDEX('20 2026 DEPO KABUL'!$B$2:$B$501,MATCH(C265,'20 2026 DEPO KABUL'!$F$2:$F$501,0)),"")</f>
        <v/>
      </c>
      <c r="E265" s="27" t="n"/>
      <c r="F265" s="27" t="n"/>
      <c r="G265" s="1">
        <f>IFERROR(INDEX('20 2026 DEPO KABUL'!$G$2:$G$501,MATCH(C265,'20 2026 DEPO KABUL'!$F$2:$F$501,0)),"")</f>
        <v/>
      </c>
      <c r="H265" s="1">
        <f>IFERROR(INDEX('20 2026 DEPO KABUL'!$H$2:$H$501,MATCH(C265,'20 2026 DEPO KABUL'!$F$2:$F$501,0)),"")</f>
        <v/>
      </c>
      <c r="I265" s="27" t="n"/>
      <c r="J265" s="27" t="n"/>
    </row>
    <row r="266" ht="15" customHeight="1">
      <c r="A266" s="27" t="n"/>
      <c r="B266" s="27" t="n"/>
      <c r="C266" s="27" t="n"/>
      <c r="D266" s="1">
        <f>IFERROR(INDEX('20 2026 DEPO KABUL'!$B$2:$B$501,MATCH(C266,'20 2026 DEPO KABUL'!$F$2:$F$501,0)),"")</f>
        <v/>
      </c>
      <c r="E266" s="27" t="n"/>
      <c r="F266" s="27" t="n"/>
      <c r="G266" s="1">
        <f>IFERROR(INDEX('20 2026 DEPO KABUL'!$G$2:$G$501,MATCH(C266,'20 2026 DEPO KABUL'!$F$2:$F$501,0)),"")</f>
        <v/>
      </c>
      <c r="H266" s="1">
        <f>IFERROR(INDEX('20 2026 DEPO KABUL'!$H$2:$H$501,MATCH(C266,'20 2026 DEPO KABUL'!$F$2:$F$501,0)),"")</f>
        <v/>
      </c>
      <c r="I266" s="27" t="n"/>
      <c r="J266" s="27" t="n"/>
    </row>
    <row r="267" ht="15" customHeight="1">
      <c r="A267" s="27" t="n"/>
      <c r="B267" s="27" t="n"/>
      <c r="C267" s="27" t="n"/>
      <c r="D267" s="1">
        <f>IFERROR(INDEX('20 2026 DEPO KABUL'!$B$2:$B$501,MATCH(C267,'20 2026 DEPO KABUL'!$F$2:$F$501,0)),"")</f>
        <v/>
      </c>
      <c r="E267" s="27" t="n"/>
      <c r="F267" s="27" t="n"/>
      <c r="G267" s="1">
        <f>IFERROR(INDEX('20 2026 DEPO KABUL'!$G$2:$G$501,MATCH(C267,'20 2026 DEPO KABUL'!$F$2:$F$501,0)),"")</f>
        <v/>
      </c>
      <c r="H267" s="1">
        <f>IFERROR(INDEX('20 2026 DEPO KABUL'!$H$2:$H$501,MATCH(C267,'20 2026 DEPO KABUL'!$F$2:$F$501,0)),"")</f>
        <v/>
      </c>
      <c r="I267" s="27" t="n"/>
      <c r="J267" s="27" t="n"/>
    </row>
    <row r="268" ht="15" customHeight="1">
      <c r="A268" s="27" t="n"/>
      <c r="B268" s="27" t="n"/>
      <c r="C268" s="27" t="n"/>
      <c r="D268" s="1">
        <f>IFERROR(INDEX('20 2026 DEPO KABUL'!$B$2:$B$501,MATCH(C268,'20 2026 DEPO KABUL'!$F$2:$F$501,0)),"")</f>
        <v/>
      </c>
      <c r="E268" s="27" t="n"/>
      <c r="F268" s="27" t="n"/>
      <c r="G268" s="1">
        <f>IFERROR(INDEX('20 2026 DEPO KABUL'!$G$2:$G$501,MATCH(C268,'20 2026 DEPO KABUL'!$F$2:$F$501,0)),"")</f>
        <v/>
      </c>
      <c r="H268" s="1">
        <f>IFERROR(INDEX('20 2026 DEPO KABUL'!$H$2:$H$501,MATCH(C268,'20 2026 DEPO KABUL'!$F$2:$F$501,0)),"")</f>
        <v/>
      </c>
      <c r="I268" s="27" t="n"/>
      <c r="J268" s="27" t="n"/>
    </row>
    <row r="269" ht="15" customHeight="1">
      <c r="A269" s="27" t="n"/>
      <c r="B269" s="27" t="n"/>
      <c r="C269" s="27" t="n"/>
      <c r="D269" s="1">
        <f>IFERROR(INDEX('20 2026 DEPO KABUL'!$B$2:$B$501,MATCH(C269,'20 2026 DEPO KABUL'!$F$2:$F$501,0)),"")</f>
        <v/>
      </c>
      <c r="E269" s="27" t="n"/>
      <c r="F269" s="27" t="n"/>
      <c r="G269" s="1">
        <f>IFERROR(INDEX('20 2026 DEPO KABUL'!$G$2:$G$501,MATCH(C269,'20 2026 DEPO KABUL'!$F$2:$F$501,0)),"")</f>
        <v/>
      </c>
      <c r="H269" s="1">
        <f>IFERROR(INDEX('20 2026 DEPO KABUL'!$H$2:$H$501,MATCH(C269,'20 2026 DEPO KABUL'!$F$2:$F$501,0)),"")</f>
        <v/>
      </c>
      <c r="I269" s="27" t="n"/>
      <c r="J269" s="27" t="n"/>
    </row>
    <row r="270" ht="15" customHeight="1">
      <c r="A270" s="27" t="n"/>
      <c r="B270" s="27" t="n"/>
      <c r="C270" s="27" t="n"/>
      <c r="D270" s="1">
        <f>IFERROR(INDEX('20 2026 DEPO KABUL'!$B$2:$B$501,MATCH(C270,'20 2026 DEPO KABUL'!$F$2:$F$501,0)),"")</f>
        <v/>
      </c>
      <c r="E270" s="27" t="n"/>
      <c r="F270" s="27" t="n"/>
      <c r="G270" s="1">
        <f>IFERROR(INDEX('20 2026 DEPO KABUL'!$G$2:$G$501,MATCH(C270,'20 2026 DEPO KABUL'!$F$2:$F$501,0)),"")</f>
        <v/>
      </c>
      <c r="H270" s="1">
        <f>IFERROR(INDEX('20 2026 DEPO KABUL'!$H$2:$H$501,MATCH(C270,'20 2026 DEPO KABUL'!$F$2:$F$501,0)),"")</f>
        <v/>
      </c>
      <c r="I270" s="27" t="n"/>
      <c r="J270" s="27" t="n"/>
    </row>
    <row r="271" ht="15" customHeight="1">
      <c r="A271" s="27" t="n"/>
      <c r="B271" s="27" t="n"/>
      <c r="C271" s="27" t="n"/>
      <c r="D271" s="1">
        <f>IFERROR(INDEX('20 2026 DEPO KABUL'!$B$2:$B$501,MATCH(C271,'20 2026 DEPO KABUL'!$F$2:$F$501,0)),"")</f>
        <v/>
      </c>
      <c r="E271" s="27" t="n"/>
      <c r="F271" s="27" t="n"/>
      <c r="G271" s="1">
        <f>IFERROR(INDEX('20 2026 DEPO KABUL'!$G$2:$G$501,MATCH(C271,'20 2026 DEPO KABUL'!$F$2:$F$501,0)),"")</f>
        <v/>
      </c>
      <c r="H271" s="1">
        <f>IFERROR(INDEX('20 2026 DEPO KABUL'!$H$2:$H$501,MATCH(C271,'20 2026 DEPO KABUL'!$F$2:$F$501,0)),"")</f>
        <v/>
      </c>
      <c r="I271" s="27" t="n"/>
      <c r="J271" s="27" t="n"/>
    </row>
    <row r="272" ht="15" customHeight="1">
      <c r="A272" s="27" t="n"/>
      <c r="B272" s="27" t="n"/>
      <c r="C272" s="27" t="n"/>
      <c r="D272" s="1">
        <f>IFERROR(INDEX('20 2026 DEPO KABUL'!$B$2:$B$501,MATCH(C272,'20 2026 DEPO KABUL'!$F$2:$F$501,0)),"")</f>
        <v/>
      </c>
      <c r="E272" s="27" t="n"/>
      <c r="F272" s="27" t="n"/>
      <c r="G272" s="1">
        <f>IFERROR(INDEX('20 2026 DEPO KABUL'!$G$2:$G$501,MATCH(C272,'20 2026 DEPO KABUL'!$F$2:$F$501,0)),"")</f>
        <v/>
      </c>
      <c r="H272" s="1">
        <f>IFERROR(INDEX('20 2026 DEPO KABUL'!$H$2:$H$501,MATCH(C272,'20 2026 DEPO KABUL'!$F$2:$F$501,0)),"")</f>
        <v/>
      </c>
      <c r="I272" s="27" t="n"/>
      <c r="J272" s="27" t="n"/>
    </row>
    <row r="273" ht="15" customHeight="1">
      <c r="A273" s="27" t="n"/>
      <c r="B273" s="27" t="n"/>
      <c r="C273" s="27" t="n"/>
      <c r="D273" s="1">
        <f>IFERROR(INDEX('20 2026 DEPO KABUL'!$B$2:$B$501,MATCH(C273,'20 2026 DEPO KABUL'!$F$2:$F$501,0)),"")</f>
        <v/>
      </c>
      <c r="E273" s="27" t="n"/>
      <c r="F273" s="27" t="n"/>
      <c r="G273" s="1">
        <f>IFERROR(INDEX('20 2026 DEPO KABUL'!$G$2:$G$501,MATCH(C273,'20 2026 DEPO KABUL'!$F$2:$F$501,0)),"")</f>
        <v/>
      </c>
      <c r="H273" s="1">
        <f>IFERROR(INDEX('20 2026 DEPO KABUL'!$H$2:$H$501,MATCH(C273,'20 2026 DEPO KABUL'!$F$2:$F$501,0)),"")</f>
        <v/>
      </c>
      <c r="I273" s="27" t="n"/>
      <c r="J273" s="27" t="n"/>
    </row>
    <row r="274" ht="15" customHeight="1">
      <c r="A274" s="27" t="n"/>
      <c r="B274" s="27" t="n"/>
      <c r="C274" s="27" t="n"/>
      <c r="D274" s="1">
        <f>IFERROR(INDEX('20 2026 DEPO KABUL'!$B$2:$B$501,MATCH(C274,'20 2026 DEPO KABUL'!$F$2:$F$501,0)),"")</f>
        <v/>
      </c>
      <c r="E274" s="27" t="n"/>
      <c r="F274" s="27" t="n"/>
      <c r="G274" s="1">
        <f>IFERROR(INDEX('20 2026 DEPO KABUL'!$G$2:$G$501,MATCH(C274,'20 2026 DEPO KABUL'!$F$2:$F$501,0)),"")</f>
        <v/>
      </c>
      <c r="H274" s="1">
        <f>IFERROR(INDEX('20 2026 DEPO KABUL'!$H$2:$H$501,MATCH(C274,'20 2026 DEPO KABUL'!$F$2:$F$501,0)),"")</f>
        <v/>
      </c>
      <c r="I274" s="27" t="n"/>
      <c r="J274" s="27" t="n"/>
    </row>
    <row r="275" ht="15" customHeight="1">
      <c r="A275" s="27" t="n"/>
      <c r="B275" s="27" t="n"/>
      <c r="C275" s="27" t="n"/>
      <c r="D275" s="1">
        <f>IFERROR(INDEX('20 2026 DEPO KABUL'!$B$2:$B$501,MATCH(C275,'20 2026 DEPO KABUL'!$F$2:$F$501,0)),"")</f>
        <v/>
      </c>
      <c r="E275" s="27" t="n"/>
      <c r="F275" s="27" t="n"/>
      <c r="G275" s="1">
        <f>IFERROR(INDEX('20 2026 DEPO KABUL'!$G$2:$G$501,MATCH(C275,'20 2026 DEPO KABUL'!$F$2:$F$501,0)),"")</f>
        <v/>
      </c>
      <c r="H275" s="1">
        <f>IFERROR(INDEX('20 2026 DEPO KABUL'!$H$2:$H$501,MATCH(C275,'20 2026 DEPO KABUL'!$F$2:$F$501,0)),"")</f>
        <v/>
      </c>
      <c r="I275" s="27" t="n"/>
      <c r="J275" s="27" t="n"/>
    </row>
    <row r="276" ht="15" customHeight="1">
      <c r="A276" s="27" t="n"/>
      <c r="B276" s="27" t="n"/>
      <c r="C276" s="27" t="n"/>
      <c r="D276" s="1">
        <f>IFERROR(INDEX('20 2026 DEPO KABUL'!$B$2:$B$501,MATCH(C276,'20 2026 DEPO KABUL'!$F$2:$F$501,0)),"")</f>
        <v/>
      </c>
      <c r="E276" s="27" t="n"/>
      <c r="F276" s="27" t="n"/>
      <c r="G276" s="1">
        <f>IFERROR(INDEX('20 2026 DEPO KABUL'!$G$2:$G$501,MATCH(C276,'20 2026 DEPO KABUL'!$F$2:$F$501,0)),"")</f>
        <v/>
      </c>
      <c r="H276" s="1">
        <f>IFERROR(INDEX('20 2026 DEPO KABUL'!$H$2:$H$501,MATCH(C276,'20 2026 DEPO KABUL'!$F$2:$F$501,0)),"")</f>
        <v/>
      </c>
      <c r="I276" s="27" t="n"/>
      <c r="J276" s="27" t="n"/>
    </row>
    <row r="277" ht="15" customHeight="1">
      <c r="A277" s="27" t="n"/>
      <c r="B277" s="27" t="n"/>
      <c r="C277" s="27" t="n"/>
      <c r="D277" s="1">
        <f>IFERROR(INDEX('20 2026 DEPO KABUL'!$B$2:$B$501,MATCH(C277,'20 2026 DEPO KABUL'!$F$2:$F$501,0)),"")</f>
        <v/>
      </c>
      <c r="E277" s="27" t="n"/>
      <c r="F277" s="27" t="n"/>
      <c r="G277" s="1">
        <f>IFERROR(INDEX('20 2026 DEPO KABUL'!$G$2:$G$501,MATCH(C277,'20 2026 DEPO KABUL'!$F$2:$F$501,0)),"")</f>
        <v/>
      </c>
      <c r="H277" s="1">
        <f>IFERROR(INDEX('20 2026 DEPO KABUL'!$H$2:$H$501,MATCH(C277,'20 2026 DEPO KABUL'!$F$2:$F$501,0)),"")</f>
        <v/>
      </c>
      <c r="I277" s="27" t="n"/>
      <c r="J277" s="27" t="n"/>
    </row>
    <row r="278" ht="15" customHeight="1">
      <c r="A278" s="27" t="n"/>
      <c r="B278" s="27" t="n"/>
      <c r="C278" s="27" t="n"/>
      <c r="D278" s="1">
        <f>IFERROR(INDEX('20 2026 DEPO KABUL'!$B$2:$B$501,MATCH(C278,'20 2026 DEPO KABUL'!$F$2:$F$501,0)),"")</f>
        <v/>
      </c>
      <c r="E278" s="27" t="n"/>
      <c r="F278" s="27" t="n"/>
      <c r="G278" s="1">
        <f>IFERROR(INDEX('20 2026 DEPO KABUL'!$G$2:$G$501,MATCH(C278,'20 2026 DEPO KABUL'!$F$2:$F$501,0)),"")</f>
        <v/>
      </c>
      <c r="H278" s="1">
        <f>IFERROR(INDEX('20 2026 DEPO KABUL'!$H$2:$H$501,MATCH(C278,'20 2026 DEPO KABUL'!$F$2:$F$501,0)),"")</f>
        <v/>
      </c>
      <c r="I278" s="27" t="n"/>
      <c r="J278" s="27" t="n"/>
    </row>
    <row r="279" ht="15" customHeight="1">
      <c r="A279" s="27" t="n"/>
      <c r="B279" s="27" t="n"/>
      <c r="C279" s="27" t="n"/>
      <c r="D279" s="1">
        <f>IFERROR(INDEX('20 2026 DEPO KABUL'!$B$2:$B$501,MATCH(C279,'20 2026 DEPO KABUL'!$F$2:$F$501,0)),"")</f>
        <v/>
      </c>
      <c r="E279" s="27" t="n"/>
      <c r="F279" s="27" t="n"/>
      <c r="G279" s="1">
        <f>IFERROR(INDEX('20 2026 DEPO KABUL'!$G$2:$G$501,MATCH(C279,'20 2026 DEPO KABUL'!$F$2:$F$501,0)),"")</f>
        <v/>
      </c>
      <c r="H279" s="1">
        <f>IFERROR(INDEX('20 2026 DEPO KABUL'!$H$2:$H$501,MATCH(C279,'20 2026 DEPO KABUL'!$F$2:$F$501,0)),"")</f>
        <v/>
      </c>
      <c r="I279" s="27" t="n"/>
      <c r="J279" s="27" t="n"/>
    </row>
    <row r="280" ht="15" customHeight="1">
      <c r="A280" s="27" t="n"/>
      <c r="B280" s="27" t="n"/>
      <c r="C280" s="27" t="n"/>
      <c r="D280" s="1">
        <f>IFERROR(INDEX('20 2026 DEPO KABUL'!$B$2:$B$501,MATCH(C280,'20 2026 DEPO KABUL'!$F$2:$F$501,0)),"")</f>
        <v/>
      </c>
      <c r="E280" s="27" t="n"/>
      <c r="F280" s="27" t="n"/>
      <c r="G280" s="1">
        <f>IFERROR(INDEX('20 2026 DEPO KABUL'!$G$2:$G$501,MATCH(C280,'20 2026 DEPO KABUL'!$F$2:$F$501,0)),"")</f>
        <v/>
      </c>
      <c r="H280" s="1">
        <f>IFERROR(INDEX('20 2026 DEPO KABUL'!$H$2:$H$501,MATCH(C280,'20 2026 DEPO KABUL'!$F$2:$F$501,0)),"")</f>
        <v/>
      </c>
      <c r="I280" s="27" t="n"/>
      <c r="J280" s="27" t="n"/>
    </row>
    <row r="281" ht="15" customHeight="1">
      <c r="A281" s="27" t="n"/>
      <c r="B281" s="27" t="n"/>
      <c r="C281" s="27" t="n"/>
      <c r="D281" s="1">
        <f>IFERROR(INDEX('20 2026 DEPO KABUL'!$B$2:$B$501,MATCH(C281,'20 2026 DEPO KABUL'!$F$2:$F$501,0)),"")</f>
        <v/>
      </c>
      <c r="E281" s="27" t="n"/>
      <c r="F281" s="27" t="n"/>
      <c r="G281" s="1">
        <f>IFERROR(INDEX('20 2026 DEPO KABUL'!$G$2:$G$501,MATCH(C281,'20 2026 DEPO KABUL'!$F$2:$F$501,0)),"")</f>
        <v/>
      </c>
      <c r="H281" s="1">
        <f>IFERROR(INDEX('20 2026 DEPO KABUL'!$H$2:$H$501,MATCH(C281,'20 2026 DEPO KABUL'!$F$2:$F$501,0)),"")</f>
        <v/>
      </c>
      <c r="I281" s="27" t="n"/>
      <c r="J281" s="27" t="n"/>
    </row>
    <row r="282" ht="15" customHeight="1">
      <c r="A282" s="27" t="n"/>
      <c r="B282" s="27" t="n"/>
      <c r="C282" s="27" t="n"/>
      <c r="D282" s="1">
        <f>IFERROR(INDEX('20 2026 DEPO KABUL'!$B$2:$B$501,MATCH(C282,'20 2026 DEPO KABUL'!$F$2:$F$501,0)),"")</f>
        <v/>
      </c>
      <c r="E282" s="27" t="n"/>
      <c r="F282" s="27" t="n"/>
      <c r="G282" s="1">
        <f>IFERROR(INDEX('20 2026 DEPO KABUL'!$G$2:$G$501,MATCH(C282,'20 2026 DEPO KABUL'!$F$2:$F$501,0)),"")</f>
        <v/>
      </c>
      <c r="H282" s="1">
        <f>IFERROR(INDEX('20 2026 DEPO KABUL'!$H$2:$H$501,MATCH(C282,'20 2026 DEPO KABUL'!$F$2:$F$501,0)),"")</f>
        <v/>
      </c>
      <c r="I282" s="27" t="n"/>
      <c r="J282" s="27" t="n"/>
    </row>
    <row r="283" ht="15" customHeight="1">
      <c r="A283" s="27" t="n"/>
      <c r="B283" s="27" t="n"/>
      <c r="C283" s="27" t="n"/>
      <c r="D283" s="1">
        <f>IFERROR(INDEX('20 2026 DEPO KABUL'!$B$2:$B$501,MATCH(C283,'20 2026 DEPO KABUL'!$F$2:$F$501,0)),"")</f>
        <v/>
      </c>
      <c r="E283" s="27" t="n"/>
      <c r="F283" s="27" t="n"/>
      <c r="G283" s="1">
        <f>IFERROR(INDEX('20 2026 DEPO KABUL'!$G$2:$G$501,MATCH(C283,'20 2026 DEPO KABUL'!$F$2:$F$501,0)),"")</f>
        <v/>
      </c>
      <c r="H283" s="1">
        <f>IFERROR(INDEX('20 2026 DEPO KABUL'!$H$2:$H$501,MATCH(C283,'20 2026 DEPO KABUL'!$F$2:$F$501,0)),"")</f>
        <v/>
      </c>
      <c r="I283" s="27" t="n"/>
      <c r="J283" s="27" t="n"/>
    </row>
    <row r="284" ht="15" customHeight="1">
      <c r="A284" s="27" t="n"/>
      <c r="B284" s="27" t="n"/>
      <c r="C284" s="27" t="n"/>
      <c r="D284" s="1">
        <f>IFERROR(INDEX('20 2026 DEPO KABUL'!$B$2:$B$501,MATCH(C284,'20 2026 DEPO KABUL'!$F$2:$F$501,0)),"")</f>
        <v/>
      </c>
      <c r="E284" s="27" t="n"/>
      <c r="F284" s="27" t="n"/>
      <c r="G284" s="1">
        <f>IFERROR(INDEX('20 2026 DEPO KABUL'!$G$2:$G$501,MATCH(C284,'20 2026 DEPO KABUL'!$F$2:$F$501,0)),"")</f>
        <v/>
      </c>
      <c r="H284" s="1">
        <f>IFERROR(INDEX('20 2026 DEPO KABUL'!$H$2:$H$501,MATCH(C284,'20 2026 DEPO KABUL'!$F$2:$F$501,0)),"")</f>
        <v/>
      </c>
      <c r="I284" s="27" t="n"/>
      <c r="J284" s="27" t="n"/>
    </row>
    <row r="285" ht="15" customHeight="1">
      <c r="A285" s="27" t="n"/>
      <c r="B285" s="27" t="n"/>
      <c r="C285" s="27" t="n"/>
      <c r="D285" s="1">
        <f>IFERROR(INDEX('20 2026 DEPO KABUL'!$B$2:$B$501,MATCH(C285,'20 2026 DEPO KABUL'!$F$2:$F$501,0)),"")</f>
        <v/>
      </c>
      <c r="E285" s="27" t="n"/>
      <c r="F285" s="27" t="n"/>
      <c r="G285" s="1">
        <f>IFERROR(INDEX('20 2026 DEPO KABUL'!$G$2:$G$501,MATCH(C285,'20 2026 DEPO KABUL'!$F$2:$F$501,0)),"")</f>
        <v/>
      </c>
      <c r="H285" s="1">
        <f>IFERROR(INDEX('20 2026 DEPO KABUL'!$H$2:$H$501,MATCH(C285,'20 2026 DEPO KABUL'!$F$2:$F$501,0)),"")</f>
        <v/>
      </c>
      <c r="I285" s="27" t="n"/>
      <c r="J285" s="27" t="n"/>
    </row>
    <row r="286" ht="15" customHeight="1">
      <c r="A286" s="27" t="n"/>
      <c r="B286" s="27" t="n"/>
      <c r="C286" s="27" t="n"/>
      <c r="D286" s="1">
        <f>IFERROR(INDEX('20 2026 DEPO KABUL'!$B$2:$B$501,MATCH(C286,'20 2026 DEPO KABUL'!$F$2:$F$501,0)),"")</f>
        <v/>
      </c>
      <c r="E286" s="27" t="n"/>
      <c r="F286" s="27" t="n"/>
      <c r="G286" s="1">
        <f>IFERROR(INDEX('20 2026 DEPO KABUL'!$G$2:$G$501,MATCH(C286,'20 2026 DEPO KABUL'!$F$2:$F$501,0)),"")</f>
        <v/>
      </c>
      <c r="H286" s="1">
        <f>IFERROR(INDEX('20 2026 DEPO KABUL'!$H$2:$H$501,MATCH(C286,'20 2026 DEPO KABUL'!$F$2:$F$501,0)),"")</f>
        <v/>
      </c>
      <c r="I286" s="27" t="n"/>
      <c r="J286" s="27" t="n"/>
    </row>
    <row r="287" ht="15" customHeight="1">
      <c r="A287" s="27" t="n"/>
      <c r="B287" s="27" t="n"/>
      <c r="C287" s="27" t="n"/>
      <c r="D287" s="1">
        <f>IFERROR(INDEX('20 2026 DEPO KABUL'!$B$2:$B$501,MATCH(C287,'20 2026 DEPO KABUL'!$F$2:$F$501,0)),"")</f>
        <v/>
      </c>
      <c r="E287" s="27" t="n"/>
      <c r="F287" s="27" t="n"/>
      <c r="G287" s="1">
        <f>IFERROR(INDEX('20 2026 DEPO KABUL'!$G$2:$G$501,MATCH(C287,'20 2026 DEPO KABUL'!$F$2:$F$501,0)),"")</f>
        <v/>
      </c>
      <c r="H287" s="1">
        <f>IFERROR(INDEX('20 2026 DEPO KABUL'!$H$2:$H$501,MATCH(C287,'20 2026 DEPO KABUL'!$F$2:$F$501,0)),"")</f>
        <v/>
      </c>
      <c r="I287" s="27" t="n"/>
      <c r="J287" s="27" t="n"/>
    </row>
    <row r="288" ht="15" customHeight="1">
      <c r="A288" s="27" t="n"/>
      <c r="B288" s="27" t="n"/>
      <c r="C288" s="27" t="n"/>
      <c r="D288" s="1">
        <f>IFERROR(INDEX('20 2026 DEPO KABUL'!$B$2:$B$501,MATCH(C288,'20 2026 DEPO KABUL'!$F$2:$F$501,0)),"")</f>
        <v/>
      </c>
      <c r="E288" s="27" t="n"/>
      <c r="F288" s="27" t="n"/>
      <c r="G288" s="1">
        <f>IFERROR(INDEX('20 2026 DEPO KABUL'!$G$2:$G$501,MATCH(C288,'20 2026 DEPO KABUL'!$F$2:$F$501,0)),"")</f>
        <v/>
      </c>
      <c r="H288" s="1">
        <f>IFERROR(INDEX('20 2026 DEPO KABUL'!$H$2:$H$501,MATCH(C288,'20 2026 DEPO KABUL'!$F$2:$F$501,0)),"")</f>
        <v/>
      </c>
      <c r="I288" s="27" t="n"/>
      <c r="J288" s="27" t="n"/>
    </row>
    <row r="289" ht="15" customHeight="1">
      <c r="A289" s="27" t="n"/>
      <c r="B289" s="27" t="n"/>
      <c r="C289" s="27" t="n"/>
      <c r="D289" s="1">
        <f>IFERROR(INDEX('20 2026 DEPO KABUL'!$B$2:$B$501,MATCH(C289,'20 2026 DEPO KABUL'!$F$2:$F$501,0)),"")</f>
        <v/>
      </c>
      <c r="E289" s="27" t="n"/>
      <c r="F289" s="27" t="n"/>
      <c r="G289" s="1">
        <f>IFERROR(INDEX('20 2026 DEPO KABUL'!$G$2:$G$501,MATCH(C289,'20 2026 DEPO KABUL'!$F$2:$F$501,0)),"")</f>
        <v/>
      </c>
      <c r="H289" s="1">
        <f>IFERROR(INDEX('20 2026 DEPO KABUL'!$H$2:$H$501,MATCH(C289,'20 2026 DEPO KABUL'!$F$2:$F$501,0)),"")</f>
        <v/>
      </c>
      <c r="I289" s="27" t="n"/>
      <c r="J289" s="27" t="n"/>
    </row>
    <row r="290" ht="15" customHeight="1">
      <c r="A290" s="27" t="n"/>
      <c r="B290" s="27" t="n"/>
      <c r="C290" s="27" t="n"/>
      <c r="D290" s="1">
        <f>IFERROR(INDEX('20 2026 DEPO KABUL'!$B$2:$B$501,MATCH(C290,'20 2026 DEPO KABUL'!$F$2:$F$501,0)),"")</f>
        <v/>
      </c>
      <c r="E290" s="27" t="n"/>
      <c r="F290" s="27" t="n"/>
      <c r="G290" s="1">
        <f>IFERROR(INDEX('20 2026 DEPO KABUL'!$G$2:$G$501,MATCH(C290,'20 2026 DEPO KABUL'!$F$2:$F$501,0)),"")</f>
        <v/>
      </c>
      <c r="H290" s="1">
        <f>IFERROR(INDEX('20 2026 DEPO KABUL'!$H$2:$H$501,MATCH(C290,'20 2026 DEPO KABUL'!$F$2:$F$501,0)),"")</f>
        <v/>
      </c>
      <c r="I290" s="27" t="n"/>
      <c r="J290" s="27" t="n"/>
    </row>
    <row r="291" ht="15" customHeight="1">
      <c r="A291" s="27" t="n"/>
      <c r="B291" s="27" t="n"/>
      <c r="C291" s="27" t="n"/>
      <c r="D291" s="1">
        <f>IFERROR(INDEX('20 2026 DEPO KABUL'!$B$2:$B$501,MATCH(C291,'20 2026 DEPO KABUL'!$F$2:$F$501,0)),"")</f>
        <v/>
      </c>
      <c r="E291" s="27" t="n"/>
      <c r="F291" s="27" t="n"/>
      <c r="G291" s="1">
        <f>IFERROR(INDEX('20 2026 DEPO KABUL'!$G$2:$G$501,MATCH(C291,'20 2026 DEPO KABUL'!$F$2:$F$501,0)),"")</f>
        <v/>
      </c>
      <c r="H291" s="1">
        <f>IFERROR(INDEX('20 2026 DEPO KABUL'!$H$2:$H$501,MATCH(C291,'20 2026 DEPO KABUL'!$F$2:$F$501,0)),"")</f>
        <v/>
      </c>
      <c r="I291" s="27" t="n"/>
      <c r="J291" s="27" t="n"/>
    </row>
    <row r="292" ht="15" customHeight="1">
      <c r="A292" s="27" t="n"/>
      <c r="B292" s="27" t="n"/>
      <c r="C292" s="27" t="n"/>
      <c r="D292" s="1">
        <f>IFERROR(INDEX('20 2026 DEPO KABUL'!$B$2:$B$501,MATCH(C292,'20 2026 DEPO KABUL'!$F$2:$F$501,0)),"")</f>
        <v/>
      </c>
      <c r="E292" s="27" t="n"/>
      <c r="F292" s="27" t="n"/>
      <c r="G292" s="1">
        <f>IFERROR(INDEX('20 2026 DEPO KABUL'!$G$2:$G$501,MATCH(C292,'20 2026 DEPO KABUL'!$F$2:$F$501,0)),"")</f>
        <v/>
      </c>
      <c r="H292" s="1">
        <f>IFERROR(INDEX('20 2026 DEPO KABUL'!$H$2:$H$501,MATCH(C292,'20 2026 DEPO KABUL'!$F$2:$F$501,0)),"")</f>
        <v/>
      </c>
      <c r="I292" s="27" t="n"/>
      <c r="J292" s="27" t="n"/>
    </row>
    <row r="293" ht="15" customHeight="1">
      <c r="A293" s="27" t="n"/>
      <c r="B293" s="27" t="n"/>
      <c r="C293" s="27" t="n"/>
      <c r="D293" s="1">
        <f>IFERROR(INDEX('20 2026 DEPO KABUL'!$B$2:$B$501,MATCH(C293,'20 2026 DEPO KABUL'!$F$2:$F$501,0)),"")</f>
        <v/>
      </c>
      <c r="E293" s="27" t="n"/>
      <c r="F293" s="27" t="n"/>
      <c r="G293" s="1">
        <f>IFERROR(INDEX('20 2026 DEPO KABUL'!$G$2:$G$501,MATCH(C293,'20 2026 DEPO KABUL'!$F$2:$F$501,0)),"")</f>
        <v/>
      </c>
      <c r="H293" s="1">
        <f>IFERROR(INDEX('20 2026 DEPO KABUL'!$H$2:$H$501,MATCH(C293,'20 2026 DEPO KABUL'!$F$2:$F$501,0)),"")</f>
        <v/>
      </c>
      <c r="I293" s="27" t="n"/>
      <c r="J293" s="27" t="n"/>
    </row>
    <row r="294" ht="15" customHeight="1">
      <c r="A294" s="27" t="n"/>
      <c r="B294" s="27" t="n"/>
      <c r="C294" s="27" t="n"/>
      <c r="D294" s="1">
        <f>IFERROR(INDEX('20 2026 DEPO KABUL'!$B$2:$B$501,MATCH(C294,'20 2026 DEPO KABUL'!$F$2:$F$501,0)),"")</f>
        <v/>
      </c>
      <c r="E294" s="27" t="n"/>
      <c r="F294" s="27" t="n"/>
      <c r="G294" s="1">
        <f>IFERROR(INDEX('20 2026 DEPO KABUL'!$G$2:$G$501,MATCH(C294,'20 2026 DEPO KABUL'!$F$2:$F$501,0)),"")</f>
        <v/>
      </c>
      <c r="H294" s="1">
        <f>IFERROR(INDEX('20 2026 DEPO KABUL'!$H$2:$H$501,MATCH(C294,'20 2026 DEPO KABUL'!$F$2:$F$501,0)),"")</f>
        <v/>
      </c>
      <c r="I294" s="27" t="n"/>
      <c r="J294" s="27" t="n"/>
    </row>
    <row r="295" ht="15" customHeight="1">
      <c r="A295" s="27" t="n"/>
      <c r="B295" s="27" t="n"/>
      <c r="C295" s="27" t="n"/>
      <c r="D295" s="1">
        <f>IFERROR(INDEX('20 2026 DEPO KABUL'!$B$2:$B$501,MATCH(C295,'20 2026 DEPO KABUL'!$F$2:$F$501,0)),"")</f>
        <v/>
      </c>
      <c r="E295" s="27" t="n"/>
      <c r="F295" s="27" t="n"/>
      <c r="G295" s="1">
        <f>IFERROR(INDEX('20 2026 DEPO KABUL'!$G$2:$G$501,MATCH(C295,'20 2026 DEPO KABUL'!$F$2:$F$501,0)),"")</f>
        <v/>
      </c>
      <c r="H295" s="1">
        <f>IFERROR(INDEX('20 2026 DEPO KABUL'!$H$2:$H$501,MATCH(C295,'20 2026 DEPO KABUL'!$F$2:$F$501,0)),"")</f>
        <v/>
      </c>
      <c r="I295" s="27" t="n"/>
      <c r="J295" s="27" t="n"/>
    </row>
    <row r="296" ht="15" customHeight="1">
      <c r="A296" s="27" t="n"/>
      <c r="B296" s="27" t="n"/>
      <c r="C296" s="27" t="n"/>
      <c r="D296" s="1">
        <f>IFERROR(INDEX('20 2026 DEPO KABUL'!$B$2:$B$501,MATCH(C296,'20 2026 DEPO KABUL'!$F$2:$F$501,0)),"")</f>
        <v/>
      </c>
      <c r="E296" s="27" t="n"/>
      <c r="F296" s="27" t="n"/>
      <c r="G296" s="1">
        <f>IFERROR(INDEX('20 2026 DEPO KABUL'!$G$2:$G$501,MATCH(C296,'20 2026 DEPO KABUL'!$F$2:$F$501,0)),"")</f>
        <v/>
      </c>
      <c r="H296" s="1">
        <f>IFERROR(INDEX('20 2026 DEPO KABUL'!$H$2:$H$501,MATCH(C296,'20 2026 DEPO KABUL'!$F$2:$F$501,0)),"")</f>
        <v/>
      </c>
      <c r="I296" s="27" t="n"/>
      <c r="J296" s="27" t="n"/>
    </row>
    <row r="297" ht="15" customHeight="1">
      <c r="A297" s="27" t="n"/>
      <c r="B297" s="27" t="n"/>
      <c r="C297" s="27" t="n"/>
      <c r="D297" s="1">
        <f>IFERROR(INDEX('20 2026 DEPO KABUL'!$B$2:$B$501,MATCH(C297,'20 2026 DEPO KABUL'!$F$2:$F$501,0)),"")</f>
        <v/>
      </c>
      <c r="E297" s="27" t="n"/>
      <c r="F297" s="27" t="n"/>
      <c r="G297" s="1">
        <f>IFERROR(INDEX('20 2026 DEPO KABUL'!$G$2:$G$501,MATCH(C297,'20 2026 DEPO KABUL'!$F$2:$F$501,0)),"")</f>
        <v/>
      </c>
      <c r="H297" s="1">
        <f>IFERROR(INDEX('20 2026 DEPO KABUL'!$H$2:$H$501,MATCH(C297,'20 2026 DEPO KABUL'!$F$2:$F$501,0)),"")</f>
        <v/>
      </c>
      <c r="I297" s="27" t="n"/>
      <c r="J297" s="27" t="n"/>
    </row>
    <row r="298" ht="15" customHeight="1">
      <c r="A298" s="27" t="n"/>
      <c r="B298" s="27" t="n"/>
      <c r="C298" s="27" t="n"/>
      <c r="D298" s="1">
        <f>IFERROR(INDEX('20 2026 DEPO KABUL'!$B$2:$B$501,MATCH(C298,'20 2026 DEPO KABUL'!$F$2:$F$501,0)),"")</f>
        <v/>
      </c>
      <c r="E298" s="27" t="n"/>
      <c r="F298" s="27" t="n"/>
      <c r="G298" s="1">
        <f>IFERROR(INDEX('20 2026 DEPO KABUL'!$G$2:$G$501,MATCH(C298,'20 2026 DEPO KABUL'!$F$2:$F$501,0)),"")</f>
        <v/>
      </c>
      <c r="H298" s="1">
        <f>IFERROR(INDEX('20 2026 DEPO KABUL'!$H$2:$H$501,MATCH(C298,'20 2026 DEPO KABUL'!$F$2:$F$501,0)),"")</f>
        <v/>
      </c>
      <c r="I298" s="27" t="n"/>
      <c r="J298" s="27" t="n"/>
    </row>
    <row r="299" ht="15" customHeight="1">
      <c r="A299" s="27" t="n"/>
      <c r="B299" s="27" t="n"/>
      <c r="C299" s="27" t="n"/>
      <c r="D299" s="1">
        <f>IFERROR(INDEX('20 2026 DEPO KABUL'!$B$2:$B$501,MATCH(C299,'20 2026 DEPO KABUL'!$F$2:$F$501,0)),"")</f>
        <v/>
      </c>
      <c r="E299" s="27" t="n"/>
      <c r="F299" s="27" t="n"/>
      <c r="G299" s="1">
        <f>IFERROR(INDEX('20 2026 DEPO KABUL'!$G$2:$G$501,MATCH(C299,'20 2026 DEPO KABUL'!$F$2:$F$501,0)),"")</f>
        <v/>
      </c>
      <c r="H299" s="1">
        <f>IFERROR(INDEX('20 2026 DEPO KABUL'!$H$2:$H$501,MATCH(C299,'20 2026 DEPO KABUL'!$F$2:$F$501,0)),"")</f>
        <v/>
      </c>
      <c r="I299" s="27" t="n"/>
      <c r="J299" s="27" t="n"/>
    </row>
    <row r="300" ht="15" customHeight="1">
      <c r="A300" s="27" t="n"/>
      <c r="B300" s="27" t="n"/>
      <c r="C300" s="27" t="n"/>
      <c r="D300" s="1">
        <f>IFERROR(INDEX('20 2026 DEPO KABUL'!$B$2:$B$501,MATCH(C300,'20 2026 DEPO KABUL'!$F$2:$F$501,0)),"")</f>
        <v/>
      </c>
      <c r="E300" s="27" t="n"/>
      <c r="F300" s="27" t="n"/>
      <c r="G300" s="1">
        <f>IFERROR(INDEX('20 2026 DEPO KABUL'!$G$2:$G$501,MATCH(C300,'20 2026 DEPO KABUL'!$F$2:$F$501,0)),"")</f>
        <v/>
      </c>
      <c r="H300" s="1">
        <f>IFERROR(INDEX('20 2026 DEPO KABUL'!$H$2:$H$501,MATCH(C300,'20 2026 DEPO KABUL'!$F$2:$F$501,0)),"")</f>
        <v/>
      </c>
      <c r="I300" s="27" t="n"/>
      <c r="J300" s="27" t="n"/>
    </row>
    <row r="301" ht="15" customHeight="1">
      <c r="A301" s="27" t="n"/>
      <c r="B301" s="27" t="n"/>
      <c r="C301" s="27" t="n"/>
      <c r="D301" s="1">
        <f>IFERROR(INDEX('20 2026 DEPO KABUL'!$B$2:$B$501,MATCH(C301,'20 2026 DEPO KABUL'!$F$2:$F$501,0)),"")</f>
        <v/>
      </c>
      <c r="E301" s="27" t="n"/>
      <c r="F301" s="27" t="n"/>
      <c r="G301" s="1">
        <f>IFERROR(INDEX('20 2026 DEPO KABUL'!$G$2:$G$501,MATCH(C301,'20 2026 DEPO KABUL'!$F$2:$F$501,0)),"")</f>
        <v/>
      </c>
      <c r="H301" s="1">
        <f>IFERROR(INDEX('20 2026 DEPO KABUL'!$H$2:$H$501,MATCH(C301,'20 2026 DEPO KABUL'!$F$2:$F$501,0)),"")</f>
        <v/>
      </c>
      <c r="I301" s="27" t="n"/>
      <c r="J301" s="27" t="n"/>
    </row>
    <row r="302" ht="15" customHeight="1">
      <c r="A302" s="27" t="n"/>
      <c r="B302" s="27" t="n"/>
      <c r="C302" s="27" t="n"/>
      <c r="D302" s="1">
        <f>IFERROR(INDEX('20 2026 DEPO KABUL'!$B$2:$B$501,MATCH(C302,'20 2026 DEPO KABUL'!$F$2:$F$501,0)),"")</f>
        <v/>
      </c>
      <c r="E302" s="27" t="n"/>
      <c r="F302" s="27" t="n"/>
      <c r="G302" s="1">
        <f>IFERROR(INDEX('20 2026 DEPO KABUL'!$G$2:$G$501,MATCH(C302,'20 2026 DEPO KABUL'!$F$2:$F$501,0)),"")</f>
        <v/>
      </c>
      <c r="H302" s="1">
        <f>IFERROR(INDEX('20 2026 DEPO KABUL'!$H$2:$H$501,MATCH(C302,'20 2026 DEPO KABUL'!$F$2:$F$501,0)),"")</f>
        <v/>
      </c>
      <c r="I302" s="27" t="n"/>
      <c r="J302" s="27" t="n"/>
    </row>
    <row r="303" ht="15" customHeight="1">
      <c r="A303" s="27" t="n"/>
      <c r="B303" s="27" t="n"/>
      <c r="C303" s="27" t="n"/>
      <c r="D303" s="1">
        <f>IFERROR(INDEX('20 2026 DEPO KABUL'!$B$2:$B$501,MATCH(C303,'20 2026 DEPO KABUL'!$F$2:$F$501,0)),"")</f>
        <v/>
      </c>
      <c r="E303" s="27" t="n"/>
      <c r="F303" s="27" t="n"/>
      <c r="G303" s="1">
        <f>IFERROR(INDEX('20 2026 DEPO KABUL'!$G$2:$G$501,MATCH(C303,'20 2026 DEPO KABUL'!$F$2:$F$501,0)),"")</f>
        <v/>
      </c>
      <c r="H303" s="1">
        <f>IFERROR(INDEX('20 2026 DEPO KABUL'!$H$2:$H$501,MATCH(C303,'20 2026 DEPO KABUL'!$F$2:$F$501,0)),"")</f>
        <v/>
      </c>
      <c r="I303" s="27" t="n"/>
      <c r="J303" s="27" t="n"/>
    </row>
    <row r="304" ht="15" customHeight="1">
      <c r="A304" s="27" t="n"/>
      <c r="B304" s="27" t="n"/>
      <c r="C304" s="27" t="n"/>
      <c r="D304" s="1">
        <f>IFERROR(INDEX('20 2026 DEPO KABUL'!$B$2:$B$501,MATCH(C304,'20 2026 DEPO KABUL'!$F$2:$F$501,0)),"")</f>
        <v/>
      </c>
      <c r="E304" s="27" t="n"/>
      <c r="F304" s="27" t="n"/>
      <c r="G304" s="1">
        <f>IFERROR(INDEX('20 2026 DEPO KABUL'!$G$2:$G$501,MATCH(C304,'20 2026 DEPO KABUL'!$F$2:$F$501,0)),"")</f>
        <v/>
      </c>
      <c r="H304" s="1">
        <f>IFERROR(INDEX('20 2026 DEPO KABUL'!$H$2:$H$501,MATCH(C304,'20 2026 DEPO KABUL'!$F$2:$F$501,0)),"")</f>
        <v/>
      </c>
      <c r="I304" s="27" t="n"/>
      <c r="J304" s="27" t="n"/>
    </row>
    <row r="305" ht="15" customHeight="1">
      <c r="A305" s="27" t="n"/>
      <c r="B305" s="27" t="n"/>
      <c r="C305" s="27" t="n"/>
      <c r="D305" s="1">
        <f>IFERROR(INDEX('20 2026 DEPO KABUL'!$B$2:$B$501,MATCH(C305,'20 2026 DEPO KABUL'!$F$2:$F$501,0)),"")</f>
        <v/>
      </c>
      <c r="E305" s="27" t="n"/>
      <c r="F305" s="27" t="n"/>
      <c r="G305" s="1">
        <f>IFERROR(INDEX('20 2026 DEPO KABUL'!$G$2:$G$501,MATCH(C305,'20 2026 DEPO KABUL'!$F$2:$F$501,0)),"")</f>
        <v/>
      </c>
      <c r="H305" s="1">
        <f>IFERROR(INDEX('20 2026 DEPO KABUL'!$H$2:$H$501,MATCH(C305,'20 2026 DEPO KABUL'!$F$2:$F$501,0)),"")</f>
        <v/>
      </c>
      <c r="I305" s="27" t="n"/>
      <c r="J305" s="27" t="n"/>
    </row>
    <row r="306" ht="15" customHeight="1">
      <c r="A306" s="27" t="n"/>
      <c r="B306" s="27" t="n"/>
      <c r="C306" s="27" t="n"/>
      <c r="D306" s="1">
        <f>IFERROR(INDEX('20 2026 DEPO KABUL'!$B$2:$B$501,MATCH(C306,'20 2026 DEPO KABUL'!$F$2:$F$501,0)),"")</f>
        <v/>
      </c>
      <c r="E306" s="27" t="n"/>
      <c r="F306" s="27" t="n"/>
      <c r="G306" s="1">
        <f>IFERROR(INDEX('20 2026 DEPO KABUL'!$G$2:$G$501,MATCH(C306,'20 2026 DEPO KABUL'!$F$2:$F$501,0)),"")</f>
        <v/>
      </c>
      <c r="H306" s="1">
        <f>IFERROR(INDEX('20 2026 DEPO KABUL'!$H$2:$H$501,MATCH(C306,'20 2026 DEPO KABUL'!$F$2:$F$501,0)),"")</f>
        <v/>
      </c>
      <c r="I306" s="27" t="n"/>
      <c r="J306" s="27" t="n"/>
    </row>
    <row r="307" ht="15" customHeight="1">
      <c r="A307" s="27" t="n"/>
      <c r="B307" s="27" t="n"/>
      <c r="C307" s="27" t="n"/>
      <c r="D307" s="1">
        <f>IFERROR(INDEX('20 2026 DEPO KABUL'!$B$2:$B$501,MATCH(C307,'20 2026 DEPO KABUL'!$F$2:$F$501,0)),"")</f>
        <v/>
      </c>
      <c r="E307" s="27" t="n"/>
      <c r="F307" s="27" t="n"/>
      <c r="G307" s="1">
        <f>IFERROR(INDEX('20 2026 DEPO KABUL'!$G$2:$G$501,MATCH(C307,'20 2026 DEPO KABUL'!$F$2:$F$501,0)),"")</f>
        <v/>
      </c>
      <c r="H307" s="1">
        <f>IFERROR(INDEX('20 2026 DEPO KABUL'!$H$2:$H$501,MATCH(C307,'20 2026 DEPO KABUL'!$F$2:$F$501,0)),"")</f>
        <v/>
      </c>
      <c r="I307" s="27" t="n"/>
      <c r="J307" s="27" t="n"/>
    </row>
    <row r="308" ht="15" customHeight="1">
      <c r="A308" s="27" t="n"/>
      <c r="B308" s="27" t="n"/>
      <c r="C308" s="27" t="n"/>
      <c r="D308" s="1">
        <f>IFERROR(INDEX('20 2026 DEPO KABUL'!$B$2:$B$501,MATCH(C308,'20 2026 DEPO KABUL'!$F$2:$F$501,0)),"")</f>
        <v/>
      </c>
      <c r="E308" s="27" t="n"/>
      <c r="F308" s="27" t="n"/>
      <c r="G308" s="1">
        <f>IFERROR(INDEX('20 2026 DEPO KABUL'!$G$2:$G$501,MATCH(C308,'20 2026 DEPO KABUL'!$F$2:$F$501,0)),"")</f>
        <v/>
      </c>
      <c r="H308" s="1">
        <f>IFERROR(INDEX('20 2026 DEPO KABUL'!$H$2:$H$501,MATCH(C308,'20 2026 DEPO KABUL'!$F$2:$F$501,0)),"")</f>
        <v/>
      </c>
      <c r="I308" s="27" t="n"/>
      <c r="J308" s="27" t="n"/>
    </row>
    <row r="309" ht="15" customHeight="1">
      <c r="A309" s="27" t="n"/>
      <c r="B309" s="27" t="n"/>
      <c r="C309" s="27" t="n"/>
      <c r="D309" s="1">
        <f>IFERROR(INDEX('20 2026 DEPO KABUL'!$B$2:$B$501,MATCH(C309,'20 2026 DEPO KABUL'!$F$2:$F$501,0)),"")</f>
        <v/>
      </c>
      <c r="E309" s="27" t="n"/>
      <c r="F309" s="27" t="n"/>
      <c r="G309" s="1">
        <f>IFERROR(INDEX('20 2026 DEPO KABUL'!$G$2:$G$501,MATCH(C309,'20 2026 DEPO KABUL'!$F$2:$F$501,0)),"")</f>
        <v/>
      </c>
      <c r="H309" s="1">
        <f>IFERROR(INDEX('20 2026 DEPO KABUL'!$H$2:$H$501,MATCH(C309,'20 2026 DEPO KABUL'!$F$2:$F$501,0)),"")</f>
        <v/>
      </c>
      <c r="I309" s="27" t="n"/>
      <c r="J309" s="27" t="n"/>
    </row>
    <row r="310" ht="15" customHeight="1">
      <c r="A310" s="27" t="n"/>
      <c r="B310" s="27" t="n"/>
      <c r="C310" s="27" t="n"/>
      <c r="D310" s="1">
        <f>IFERROR(INDEX('20 2026 DEPO KABUL'!$B$2:$B$501,MATCH(C310,'20 2026 DEPO KABUL'!$F$2:$F$501,0)),"")</f>
        <v/>
      </c>
      <c r="E310" s="27" t="n"/>
      <c r="F310" s="27" t="n"/>
      <c r="G310" s="1">
        <f>IFERROR(INDEX('20 2026 DEPO KABUL'!$G$2:$G$501,MATCH(C310,'20 2026 DEPO KABUL'!$F$2:$F$501,0)),"")</f>
        <v/>
      </c>
      <c r="H310" s="1">
        <f>IFERROR(INDEX('20 2026 DEPO KABUL'!$H$2:$H$501,MATCH(C310,'20 2026 DEPO KABUL'!$F$2:$F$501,0)),"")</f>
        <v/>
      </c>
      <c r="I310" s="27" t="n"/>
      <c r="J310" s="27" t="n"/>
    </row>
    <row r="311" ht="15" customHeight="1">
      <c r="A311" s="27" t="n"/>
      <c r="B311" s="27" t="n"/>
      <c r="C311" s="27" t="n"/>
      <c r="D311" s="1">
        <f>IFERROR(INDEX('20 2026 DEPO KABUL'!$B$2:$B$501,MATCH(C311,'20 2026 DEPO KABUL'!$F$2:$F$501,0)),"")</f>
        <v/>
      </c>
      <c r="E311" s="27" t="n"/>
      <c r="F311" s="27" t="n"/>
      <c r="G311" s="1">
        <f>IFERROR(INDEX('20 2026 DEPO KABUL'!$G$2:$G$501,MATCH(C311,'20 2026 DEPO KABUL'!$F$2:$F$501,0)),"")</f>
        <v/>
      </c>
      <c r="H311" s="1">
        <f>IFERROR(INDEX('20 2026 DEPO KABUL'!$H$2:$H$501,MATCH(C311,'20 2026 DEPO KABUL'!$F$2:$F$501,0)),"")</f>
        <v/>
      </c>
      <c r="I311" s="27" t="n"/>
      <c r="J311" s="27" t="n"/>
    </row>
    <row r="312" ht="15" customHeight="1">
      <c r="A312" s="27" t="n"/>
      <c r="B312" s="27" t="n"/>
      <c r="C312" s="27" t="n"/>
      <c r="D312" s="1">
        <f>IFERROR(INDEX('20 2026 DEPO KABUL'!$B$2:$B$501,MATCH(C312,'20 2026 DEPO KABUL'!$F$2:$F$501,0)),"")</f>
        <v/>
      </c>
      <c r="E312" s="27" t="n"/>
      <c r="F312" s="27" t="n"/>
      <c r="G312" s="1">
        <f>IFERROR(INDEX('20 2026 DEPO KABUL'!$G$2:$G$501,MATCH(C312,'20 2026 DEPO KABUL'!$F$2:$F$501,0)),"")</f>
        <v/>
      </c>
      <c r="H312" s="1">
        <f>IFERROR(INDEX('20 2026 DEPO KABUL'!$H$2:$H$501,MATCH(C312,'20 2026 DEPO KABUL'!$F$2:$F$501,0)),"")</f>
        <v/>
      </c>
      <c r="I312" s="27" t="n"/>
      <c r="J312" s="27" t="n"/>
    </row>
    <row r="313" ht="15" customHeight="1">
      <c r="A313" s="27" t="n"/>
      <c r="B313" s="27" t="n"/>
      <c r="C313" s="27" t="n"/>
      <c r="D313" s="1">
        <f>IFERROR(INDEX('20 2026 DEPO KABUL'!$B$2:$B$501,MATCH(C313,'20 2026 DEPO KABUL'!$F$2:$F$501,0)),"")</f>
        <v/>
      </c>
      <c r="E313" s="27" t="n"/>
      <c r="F313" s="27" t="n"/>
      <c r="G313" s="1">
        <f>IFERROR(INDEX('20 2026 DEPO KABUL'!$G$2:$G$501,MATCH(C313,'20 2026 DEPO KABUL'!$F$2:$F$501,0)),"")</f>
        <v/>
      </c>
      <c r="H313" s="1">
        <f>IFERROR(INDEX('20 2026 DEPO KABUL'!$H$2:$H$501,MATCH(C313,'20 2026 DEPO KABUL'!$F$2:$F$501,0)),"")</f>
        <v/>
      </c>
      <c r="I313" s="27" t="n"/>
      <c r="J313" s="27" t="n"/>
    </row>
    <row r="314" ht="15" customHeight="1">
      <c r="A314" s="27" t="n"/>
      <c r="B314" s="27" t="n"/>
      <c r="C314" s="27" t="n"/>
      <c r="D314" s="1">
        <f>IFERROR(INDEX('20 2026 DEPO KABUL'!$B$2:$B$501,MATCH(C314,'20 2026 DEPO KABUL'!$F$2:$F$501,0)),"")</f>
        <v/>
      </c>
      <c r="E314" s="27" t="n"/>
      <c r="F314" s="27" t="n"/>
      <c r="G314" s="1">
        <f>IFERROR(INDEX('20 2026 DEPO KABUL'!$G$2:$G$501,MATCH(C314,'20 2026 DEPO KABUL'!$F$2:$F$501,0)),"")</f>
        <v/>
      </c>
      <c r="H314" s="1">
        <f>IFERROR(INDEX('20 2026 DEPO KABUL'!$H$2:$H$501,MATCH(C314,'20 2026 DEPO KABUL'!$F$2:$F$501,0)),"")</f>
        <v/>
      </c>
      <c r="I314" s="27" t="n"/>
      <c r="J314" s="27" t="n"/>
    </row>
    <row r="315" ht="15" customHeight="1">
      <c r="A315" s="27" t="n"/>
      <c r="B315" s="27" t="n"/>
      <c r="C315" s="27" t="n"/>
      <c r="D315" s="1">
        <f>IFERROR(INDEX('20 2026 DEPO KABUL'!$B$2:$B$501,MATCH(C315,'20 2026 DEPO KABUL'!$F$2:$F$501,0)),"")</f>
        <v/>
      </c>
      <c r="E315" s="27" t="n"/>
      <c r="F315" s="27" t="n"/>
      <c r="G315" s="1">
        <f>IFERROR(INDEX('20 2026 DEPO KABUL'!$G$2:$G$501,MATCH(C315,'20 2026 DEPO KABUL'!$F$2:$F$501,0)),"")</f>
        <v/>
      </c>
      <c r="H315" s="1">
        <f>IFERROR(INDEX('20 2026 DEPO KABUL'!$H$2:$H$501,MATCH(C315,'20 2026 DEPO KABUL'!$F$2:$F$501,0)),"")</f>
        <v/>
      </c>
      <c r="I315" s="27" t="n"/>
      <c r="J315" s="27" t="n"/>
    </row>
    <row r="316" ht="15" customHeight="1">
      <c r="A316" s="27" t="n"/>
      <c r="B316" s="27" t="n"/>
      <c r="C316" s="27" t="n"/>
      <c r="D316" s="1">
        <f>IFERROR(INDEX('20 2026 DEPO KABUL'!$B$2:$B$501,MATCH(C316,'20 2026 DEPO KABUL'!$F$2:$F$501,0)),"")</f>
        <v/>
      </c>
      <c r="E316" s="27" t="n"/>
      <c r="F316" s="27" t="n"/>
      <c r="G316" s="1">
        <f>IFERROR(INDEX('20 2026 DEPO KABUL'!$G$2:$G$501,MATCH(C316,'20 2026 DEPO KABUL'!$F$2:$F$501,0)),"")</f>
        <v/>
      </c>
      <c r="H316" s="1">
        <f>IFERROR(INDEX('20 2026 DEPO KABUL'!$H$2:$H$501,MATCH(C316,'20 2026 DEPO KABUL'!$F$2:$F$501,0)),"")</f>
        <v/>
      </c>
      <c r="I316" s="27" t="n"/>
      <c r="J316" s="27" t="n"/>
    </row>
    <row r="317" ht="15" customHeight="1">
      <c r="A317" s="27" t="n"/>
      <c r="B317" s="27" t="n"/>
      <c r="C317" s="27" t="n"/>
      <c r="D317" s="1">
        <f>IFERROR(INDEX('20 2026 DEPO KABUL'!$B$2:$B$501,MATCH(C317,'20 2026 DEPO KABUL'!$F$2:$F$501,0)),"")</f>
        <v/>
      </c>
      <c r="E317" s="27" t="n"/>
      <c r="F317" s="27" t="n"/>
      <c r="G317" s="1">
        <f>IFERROR(INDEX('20 2026 DEPO KABUL'!$G$2:$G$501,MATCH(C317,'20 2026 DEPO KABUL'!$F$2:$F$501,0)),"")</f>
        <v/>
      </c>
      <c r="H317" s="1">
        <f>IFERROR(INDEX('20 2026 DEPO KABUL'!$H$2:$H$501,MATCH(C317,'20 2026 DEPO KABUL'!$F$2:$F$501,0)),"")</f>
        <v/>
      </c>
      <c r="I317" s="27" t="n"/>
      <c r="J317" s="27" t="n"/>
    </row>
    <row r="318" ht="15" customHeight="1">
      <c r="A318" s="27" t="n"/>
      <c r="B318" s="27" t="n"/>
      <c r="C318" s="27" t="n"/>
      <c r="D318" s="1">
        <f>IFERROR(INDEX('20 2026 DEPO KABUL'!$B$2:$B$501,MATCH(C318,'20 2026 DEPO KABUL'!$F$2:$F$501,0)),"")</f>
        <v/>
      </c>
      <c r="E318" s="27" t="n"/>
      <c r="F318" s="27" t="n"/>
      <c r="G318" s="1">
        <f>IFERROR(INDEX('20 2026 DEPO KABUL'!$G$2:$G$501,MATCH(C318,'20 2026 DEPO KABUL'!$F$2:$F$501,0)),"")</f>
        <v/>
      </c>
      <c r="H318" s="1">
        <f>IFERROR(INDEX('20 2026 DEPO KABUL'!$H$2:$H$501,MATCH(C318,'20 2026 DEPO KABUL'!$F$2:$F$501,0)),"")</f>
        <v/>
      </c>
      <c r="I318" s="27" t="n"/>
      <c r="J318" s="27" t="n"/>
    </row>
    <row r="319" ht="15" customHeight="1">
      <c r="A319" s="27" t="n"/>
      <c r="B319" s="27" t="n"/>
      <c r="C319" s="27" t="n"/>
      <c r="D319" s="1">
        <f>IFERROR(INDEX('20 2026 DEPO KABUL'!$B$2:$B$501,MATCH(C319,'20 2026 DEPO KABUL'!$F$2:$F$501,0)),"")</f>
        <v/>
      </c>
      <c r="E319" s="27" t="n"/>
      <c r="F319" s="27" t="n"/>
      <c r="G319" s="1">
        <f>IFERROR(INDEX('20 2026 DEPO KABUL'!$G$2:$G$501,MATCH(C319,'20 2026 DEPO KABUL'!$F$2:$F$501,0)),"")</f>
        <v/>
      </c>
      <c r="H319" s="1">
        <f>IFERROR(INDEX('20 2026 DEPO KABUL'!$H$2:$H$501,MATCH(C319,'20 2026 DEPO KABUL'!$F$2:$F$501,0)),"")</f>
        <v/>
      </c>
      <c r="I319" s="27" t="n"/>
      <c r="J319" s="27" t="n"/>
    </row>
    <row r="320" ht="15" customHeight="1">
      <c r="A320" s="27" t="n"/>
      <c r="B320" s="27" t="n"/>
      <c r="C320" s="27" t="n"/>
      <c r="D320" s="1">
        <f>IFERROR(INDEX('20 2026 DEPO KABUL'!$B$2:$B$501,MATCH(C320,'20 2026 DEPO KABUL'!$F$2:$F$501,0)),"")</f>
        <v/>
      </c>
      <c r="E320" s="27" t="n"/>
      <c r="F320" s="27" t="n"/>
      <c r="G320" s="1">
        <f>IFERROR(INDEX('20 2026 DEPO KABUL'!$G$2:$G$501,MATCH(C320,'20 2026 DEPO KABUL'!$F$2:$F$501,0)),"")</f>
        <v/>
      </c>
      <c r="H320" s="1">
        <f>IFERROR(INDEX('20 2026 DEPO KABUL'!$H$2:$H$501,MATCH(C320,'20 2026 DEPO KABUL'!$F$2:$F$501,0)),"")</f>
        <v/>
      </c>
      <c r="I320" s="27" t="n"/>
      <c r="J320" s="27" t="n"/>
    </row>
    <row r="321" ht="15" customHeight="1">
      <c r="A321" s="27" t="n"/>
      <c r="B321" s="27" t="n"/>
      <c r="C321" s="27" t="n"/>
      <c r="D321" s="1">
        <f>IFERROR(INDEX('20 2026 DEPO KABUL'!$B$2:$B$501,MATCH(C321,'20 2026 DEPO KABUL'!$F$2:$F$501,0)),"")</f>
        <v/>
      </c>
      <c r="E321" s="27" t="n"/>
      <c r="F321" s="27" t="n"/>
      <c r="G321" s="1">
        <f>IFERROR(INDEX('20 2026 DEPO KABUL'!$G$2:$G$501,MATCH(C321,'20 2026 DEPO KABUL'!$F$2:$F$501,0)),"")</f>
        <v/>
      </c>
      <c r="H321" s="1">
        <f>IFERROR(INDEX('20 2026 DEPO KABUL'!$H$2:$H$501,MATCH(C321,'20 2026 DEPO KABUL'!$F$2:$F$501,0)),"")</f>
        <v/>
      </c>
      <c r="I321" s="27" t="n"/>
      <c r="J321" s="27" t="n"/>
    </row>
    <row r="322" ht="15" customHeight="1">
      <c r="A322" s="27" t="n"/>
      <c r="B322" s="27" t="n"/>
      <c r="C322" s="27" t="n"/>
      <c r="D322" s="1">
        <f>IFERROR(INDEX('20 2026 DEPO KABUL'!$B$2:$B$501,MATCH(C322,'20 2026 DEPO KABUL'!$F$2:$F$501,0)),"")</f>
        <v/>
      </c>
      <c r="E322" s="27" t="n"/>
      <c r="F322" s="27" t="n"/>
      <c r="G322" s="1">
        <f>IFERROR(INDEX('20 2026 DEPO KABUL'!$G$2:$G$501,MATCH(C322,'20 2026 DEPO KABUL'!$F$2:$F$501,0)),"")</f>
        <v/>
      </c>
      <c r="H322" s="1">
        <f>IFERROR(INDEX('20 2026 DEPO KABUL'!$H$2:$H$501,MATCH(C322,'20 2026 DEPO KABUL'!$F$2:$F$501,0)),"")</f>
        <v/>
      </c>
      <c r="I322" s="27" t="n"/>
      <c r="J322" s="27" t="n"/>
    </row>
    <row r="323" ht="15" customHeight="1">
      <c r="A323" s="27" t="n"/>
      <c r="B323" s="27" t="n"/>
      <c r="C323" s="27" t="n"/>
      <c r="D323" s="1">
        <f>IFERROR(INDEX('20 2026 DEPO KABUL'!$B$2:$B$501,MATCH(C323,'20 2026 DEPO KABUL'!$F$2:$F$501,0)),"")</f>
        <v/>
      </c>
      <c r="E323" s="27" t="n"/>
      <c r="F323" s="27" t="n"/>
      <c r="G323" s="1">
        <f>IFERROR(INDEX('20 2026 DEPO KABUL'!$G$2:$G$501,MATCH(C323,'20 2026 DEPO KABUL'!$F$2:$F$501,0)),"")</f>
        <v/>
      </c>
      <c r="H323" s="1">
        <f>IFERROR(INDEX('20 2026 DEPO KABUL'!$H$2:$H$501,MATCH(C323,'20 2026 DEPO KABUL'!$F$2:$F$501,0)),"")</f>
        <v/>
      </c>
      <c r="I323" s="27" t="n"/>
      <c r="J323" s="27" t="n"/>
    </row>
    <row r="324" ht="15" customHeight="1">
      <c r="A324" s="27" t="n"/>
      <c r="B324" s="27" t="n"/>
      <c r="C324" s="27" t="n"/>
      <c r="D324" s="1">
        <f>IFERROR(INDEX('20 2026 DEPO KABUL'!$B$2:$B$501,MATCH(C324,'20 2026 DEPO KABUL'!$F$2:$F$501,0)),"")</f>
        <v/>
      </c>
      <c r="E324" s="27" t="n"/>
      <c r="F324" s="27" t="n"/>
      <c r="G324" s="1">
        <f>IFERROR(INDEX('20 2026 DEPO KABUL'!$G$2:$G$501,MATCH(C324,'20 2026 DEPO KABUL'!$F$2:$F$501,0)),"")</f>
        <v/>
      </c>
      <c r="H324" s="1">
        <f>IFERROR(INDEX('20 2026 DEPO KABUL'!$H$2:$H$501,MATCH(C324,'20 2026 DEPO KABUL'!$F$2:$F$501,0)),"")</f>
        <v/>
      </c>
      <c r="I324" s="27" t="n"/>
      <c r="J324" s="27" t="n"/>
    </row>
    <row r="325" ht="15" customHeight="1">
      <c r="A325" s="27" t="n"/>
      <c r="B325" s="27" t="n"/>
      <c r="C325" s="27" t="n"/>
      <c r="D325" s="1">
        <f>IFERROR(INDEX('20 2026 DEPO KABUL'!$B$2:$B$501,MATCH(C325,'20 2026 DEPO KABUL'!$F$2:$F$501,0)),"")</f>
        <v/>
      </c>
      <c r="E325" s="27" t="n"/>
      <c r="F325" s="27" t="n"/>
      <c r="G325" s="1">
        <f>IFERROR(INDEX('20 2026 DEPO KABUL'!$G$2:$G$501,MATCH(C325,'20 2026 DEPO KABUL'!$F$2:$F$501,0)),"")</f>
        <v/>
      </c>
      <c r="H325" s="1">
        <f>IFERROR(INDEX('20 2026 DEPO KABUL'!$H$2:$H$501,MATCH(C325,'20 2026 DEPO KABUL'!$F$2:$F$501,0)),"")</f>
        <v/>
      </c>
      <c r="I325" s="27" t="n"/>
      <c r="J325" s="27" t="n"/>
    </row>
    <row r="326" ht="15" customHeight="1">
      <c r="A326" s="27" t="n"/>
      <c r="B326" s="27" t="n"/>
      <c r="C326" s="27" t="n"/>
      <c r="D326" s="1">
        <f>IFERROR(INDEX('20 2026 DEPO KABUL'!$B$2:$B$501,MATCH(C326,'20 2026 DEPO KABUL'!$F$2:$F$501,0)),"")</f>
        <v/>
      </c>
      <c r="E326" s="27" t="n"/>
      <c r="F326" s="27" t="n"/>
      <c r="G326" s="1">
        <f>IFERROR(INDEX('20 2026 DEPO KABUL'!$G$2:$G$501,MATCH(C326,'20 2026 DEPO KABUL'!$F$2:$F$501,0)),"")</f>
        <v/>
      </c>
      <c r="H326" s="1">
        <f>IFERROR(INDEX('20 2026 DEPO KABUL'!$H$2:$H$501,MATCH(C326,'20 2026 DEPO KABUL'!$F$2:$F$501,0)),"")</f>
        <v/>
      </c>
      <c r="I326" s="27" t="n"/>
      <c r="J326" s="27" t="n"/>
    </row>
    <row r="327" ht="15" customHeight="1">
      <c r="A327" s="27" t="n"/>
      <c r="B327" s="27" t="n"/>
      <c r="C327" s="27" t="n"/>
      <c r="D327" s="1">
        <f>IFERROR(INDEX('20 2026 DEPO KABUL'!$B$2:$B$501,MATCH(C327,'20 2026 DEPO KABUL'!$F$2:$F$501,0)),"")</f>
        <v/>
      </c>
      <c r="E327" s="27" t="n"/>
      <c r="F327" s="27" t="n"/>
      <c r="G327" s="1">
        <f>IFERROR(INDEX('20 2026 DEPO KABUL'!$G$2:$G$501,MATCH(C327,'20 2026 DEPO KABUL'!$F$2:$F$501,0)),"")</f>
        <v/>
      </c>
      <c r="H327" s="1">
        <f>IFERROR(INDEX('20 2026 DEPO KABUL'!$H$2:$H$501,MATCH(C327,'20 2026 DEPO KABUL'!$F$2:$F$501,0)),"")</f>
        <v/>
      </c>
      <c r="I327" s="27" t="n"/>
      <c r="J327" s="27" t="n"/>
    </row>
    <row r="328" ht="15" customHeight="1">
      <c r="A328" s="27" t="n"/>
      <c r="B328" s="27" t="n"/>
      <c r="C328" s="27" t="n"/>
      <c r="D328" s="1">
        <f>IFERROR(INDEX('20 2026 DEPO KABUL'!$B$2:$B$501,MATCH(C328,'20 2026 DEPO KABUL'!$F$2:$F$501,0)),"")</f>
        <v/>
      </c>
      <c r="E328" s="27" t="n"/>
      <c r="F328" s="27" t="n"/>
      <c r="G328" s="1">
        <f>IFERROR(INDEX('20 2026 DEPO KABUL'!$G$2:$G$501,MATCH(C328,'20 2026 DEPO KABUL'!$F$2:$F$501,0)),"")</f>
        <v/>
      </c>
      <c r="H328" s="1">
        <f>IFERROR(INDEX('20 2026 DEPO KABUL'!$H$2:$H$501,MATCH(C328,'20 2026 DEPO KABUL'!$F$2:$F$501,0)),"")</f>
        <v/>
      </c>
      <c r="I328" s="27" t="n"/>
      <c r="J328" s="27" t="n"/>
    </row>
    <row r="329" ht="15" customHeight="1">
      <c r="A329" s="27" t="n"/>
      <c r="B329" s="27" t="n"/>
      <c r="C329" s="27" t="n"/>
      <c r="D329" s="1">
        <f>IFERROR(INDEX('20 2026 DEPO KABUL'!$B$2:$B$501,MATCH(C329,'20 2026 DEPO KABUL'!$F$2:$F$501,0)),"")</f>
        <v/>
      </c>
      <c r="E329" s="27" t="n"/>
      <c r="F329" s="27" t="n"/>
      <c r="G329" s="1">
        <f>IFERROR(INDEX('20 2026 DEPO KABUL'!$G$2:$G$501,MATCH(C329,'20 2026 DEPO KABUL'!$F$2:$F$501,0)),"")</f>
        <v/>
      </c>
      <c r="H329" s="1">
        <f>IFERROR(INDEX('20 2026 DEPO KABUL'!$H$2:$H$501,MATCH(C329,'20 2026 DEPO KABUL'!$F$2:$F$501,0)),"")</f>
        <v/>
      </c>
      <c r="I329" s="27" t="n"/>
      <c r="J329" s="27" t="n"/>
    </row>
    <row r="330" ht="15" customHeight="1">
      <c r="A330" s="27" t="n"/>
      <c r="B330" s="27" t="n"/>
      <c r="C330" s="27" t="n"/>
      <c r="D330" s="1">
        <f>IFERROR(INDEX('20 2026 DEPO KABUL'!$B$2:$B$501,MATCH(C330,'20 2026 DEPO KABUL'!$F$2:$F$501,0)),"")</f>
        <v/>
      </c>
      <c r="E330" s="27" t="n"/>
      <c r="F330" s="27" t="n"/>
      <c r="G330" s="1">
        <f>IFERROR(INDEX('20 2026 DEPO KABUL'!$G$2:$G$501,MATCH(C330,'20 2026 DEPO KABUL'!$F$2:$F$501,0)),"")</f>
        <v/>
      </c>
      <c r="H330" s="1">
        <f>IFERROR(INDEX('20 2026 DEPO KABUL'!$H$2:$H$501,MATCH(C330,'20 2026 DEPO KABUL'!$F$2:$F$501,0)),"")</f>
        <v/>
      </c>
      <c r="I330" s="27" t="n"/>
      <c r="J330" s="27" t="n"/>
    </row>
    <row r="331" ht="15" customHeight="1">
      <c r="A331" s="27" t="n"/>
      <c r="B331" s="27" t="n"/>
      <c r="C331" s="27" t="n"/>
      <c r="D331" s="1">
        <f>IFERROR(INDEX('20 2026 DEPO KABUL'!$B$2:$B$501,MATCH(C331,'20 2026 DEPO KABUL'!$F$2:$F$501,0)),"")</f>
        <v/>
      </c>
      <c r="E331" s="27" t="n"/>
      <c r="F331" s="27" t="n"/>
      <c r="G331" s="1">
        <f>IFERROR(INDEX('20 2026 DEPO KABUL'!$G$2:$G$501,MATCH(C331,'20 2026 DEPO KABUL'!$F$2:$F$501,0)),"")</f>
        <v/>
      </c>
      <c r="H331" s="1">
        <f>IFERROR(INDEX('20 2026 DEPO KABUL'!$H$2:$H$501,MATCH(C331,'20 2026 DEPO KABUL'!$F$2:$F$501,0)),"")</f>
        <v/>
      </c>
      <c r="I331" s="27" t="n"/>
      <c r="J331" s="27" t="n"/>
    </row>
    <row r="332" ht="15" customHeight="1">
      <c r="A332" s="27" t="n"/>
      <c r="B332" s="27" t="n"/>
      <c r="C332" s="27" t="n"/>
      <c r="D332" s="1">
        <f>IFERROR(INDEX('20 2026 DEPO KABUL'!$B$2:$B$501,MATCH(C332,'20 2026 DEPO KABUL'!$F$2:$F$501,0)),"")</f>
        <v/>
      </c>
      <c r="E332" s="27" t="n"/>
      <c r="F332" s="27" t="n"/>
      <c r="G332" s="1">
        <f>IFERROR(INDEX('20 2026 DEPO KABUL'!$G$2:$G$501,MATCH(C332,'20 2026 DEPO KABUL'!$F$2:$F$501,0)),"")</f>
        <v/>
      </c>
      <c r="H332" s="1">
        <f>IFERROR(INDEX('20 2026 DEPO KABUL'!$H$2:$H$501,MATCH(C332,'20 2026 DEPO KABUL'!$F$2:$F$501,0)),"")</f>
        <v/>
      </c>
      <c r="I332" s="27" t="n"/>
      <c r="J332" s="27" t="n"/>
    </row>
    <row r="333" ht="15" customHeight="1">
      <c r="A333" s="27" t="n"/>
      <c r="B333" s="27" t="n"/>
      <c r="C333" s="27" t="n"/>
      <c r="D333" s="1">
        <f>IFERROR(INDEX('20 2026 DEPO KABUL'!$B$2:$B$501,MATCH(C333,'20 2026 DEPO KABUL'!$F$2:$F$501,0)),"")</f>
        <v/>
      </c>
      <c r="E333" s="27" t="n"/>
      <c r="F333" s="27" t="n"/>
      <c r="G333" s="1">
        <f>IFERROR(INDEX('20 2026 DEPO KABUL'!$G$2:$G$501,MATCH(C333,'20 2026 DEPO KABUL'!$F$2:$F$501,0)),"")</f>
        <v/>
      </c>
      <c r="H333" s="1">
        <f>IFERROR(INDEX('20 2026 DEPO KABUL'!$H$2:$H$501,MATCH(C333,'20 2026 DEPO KABUL'!$F$2:$F$501,0)),"")</f>
        <v/>
      </c>
      <c r="I333" s="27" t="n"/>
      <c r="J333" s="27" t="n"/>
    </row>
    <row r="334" ht="15" customHeight="1">
      <c r="A334" s="27" t="n"/>
      <c r="B334" s="27" t="n"/>
      <c r="C334" s="27" t="n"/>
      <c r="D334" s="1">
        <f>IFERROR(INDEX('20 2026 DEPO KABUL'!$B$2:$B$501,MATCH(C334,'20 2026 DEPO KABUL'!$F$2:$F$501,0)),"")</f>
        <v/>
      </c>
      <c r="E334" s="27" t="n"/>
      <c r="F334" s="27" t="n"/>
      <c r="G334" s="1">
        <f>IFERROR(INDEX('20 2026 DEPO KABUL'!$G$2:$G$501,MATCH(C334,'20 2026 DEPO KABUL'!$F$2:$F$501,0)),"")</f>
        <v/>
      </c>
      <c r="H334" s="1">
        <f>IFERROR(INDEX('20 2026 DEPO KABUL'!$H$2:$H$501,MATCH(C334,'20 2026 DEPO KABUL'!$F$2:$F$501,0)),"")</f>
        <v/>
      </c>
      <c r="I334" s="27" t="n"/>
      <c r="J334" s="27" t="n"/>
    </row>
    <row r="335" ht="15" customHeight="1">
      <c r="A335" s="27" t="n"/>
      <c r="B335" s="27" t="n"/>
      <c r="C335" s="27" t="n"/>
      <c r="D335" s="1">
        <f>IFERROR(INDEX('20 2026 DEPO KABUL'!$B$2:$B$501,MATCH(C335,'20 2026 DEPO KABUL'!$F$2:$F$501,0)),"")</f>
        <v/>
      </c>
      <c r="E335" s="27" t="n"/>
      <c r="F335" s="27" t="n"/>
      <c r="G335" s="1">
        <f>IFERROR(INDEX('20 2026 DEPO KABUL'!$G$2:$G$501,MATCH(C335,'20 2026 DEPO KABUL'!$F$2:$F$501,0)),"")</f>
        <v/>
      </c>
      <c r="H335" s="1">
        <f>IFERROR(INDEX('20 2026 DEPO KABUL'!$H$2:$H$501,MATCH(C335,'20 2026 DEPO KABUL'!$F$2:$F$501,0)),"")</f>
        <v/>
      </c>
      <c r="I335" s="27" t="n"/>
      <c r="J335" s="27" t="n"/>
    </row>
    <row r="336" ht="15" customHeight="1">
      <c r="A336" s="27" t="n"/>
      <c r="B336" s="27" t="n"/>
      <c r="C336" s="27" t="n"/>
      <c r="D336" s="1">
        <f>IFERROR(INDEX('20 2026 DEPO KABUL'!$B$2:$B$501,MATCH(C336,'20 2026 DEPO KABUL'!$F$2:$F$501,0)),"")</f>
        <v/>
      </c>
      <c r="E336" s="27" t="n"/>
      <c r="F336" s="27" t="n"/>
      <c r="G336" s="1">
        <f>IFERROR(INDEX('20 2026 DEPO KABUL'!$G$2:$G$501,MATCH(C336,'20 2026 DEPO KABUL'!$F$2:$F$501,0)),"")</f>
        <v/>
      </c>
      <c r="H336" s="1">
        <f>IFERROR(INDEX('20 2026 DEPO KABUL'!$H$2:$H$501,MATCH(C336,'20 2026 DEPO KABUL'!$F$2:$F$501,0)),"")</f>
        <v/>
      </c>
      <c r="I336" s="27" t="n"/>
      <c r="J336" s="27" t="n"/>
    </row>
    <row r="337" ht="15" customHeight="1">
      <c r="A337" s="27" t="n"/>
      <c r="B337" s="27" t="n"/>
      <c r="C337" s="27" t="n"/>
      <c r="D337" s="1">
        <f>IFERROR(INDEX('20 2026 DEPO KABUL'!$B$2:$B$501,MATCH(C337,'20 2026 DEPO KABUL'!$F$2:$F$501,0)),"")</f>
        <v/>
      </c>
      <c r="E337" s="27" t="n"/>
      <c r="F337" s="27" t="n"/>
      <c r="G337" s="1">
        <f>IFERROR(INDEX('20 2026 DEPO KABUL'!$G$2:$G$501,MATCH(C337,'20 2026 DEPO KABUL'!$F$2:$F$501,0)),"")</f>
        <v/>
      </c>
      <c r="H337" s="1">
        <f>IFERROR(INDEX('20 2026 DEPO KABUL'!$H$2:$H$501,MATCH(C337,'20 2026 DEPO KABUL'!$F$2:$F$501,0)),"")</f>
        <v/>
      </c>
      <c r="I337" s="27" t="n"/>
      <c r="J337" s="27" t="n"/>
    </row>
    <row r="338" ht="15" customHeight="1">
      <c r="A338" s="27" t="n"/>
      <c r="B338" s="27" t="n"/>
      <c r="C338" s="27" t="n"/>
      <c r="D338" s="1">
        <f>IFERROR(INDEX('20 2026 DEPO KABUL'!$B$2:$B$501,MATCH(C338,'20 2026 DEPO KABUL'!$F$2:$F$501,0)),"")</f>
        <v/>
      </c>
      <c r="E338" s="27" t="n"/>
      <c r="F338" s="27" t="n"/>
      <c r="G338" s="1">
        <f>IFERROR(INDEX('20 2026 DEPO KABUL'!$G$2:$G$501,MATCH(C338,'20 2026 DEPO KABUL'!$F$2:$F$501,0)),"")</f>
        <v/>
      </c>
      <c r="H338" s="1">
        <f>IFERROR(INDEX('20 2026 DEPO KABUL'!$H$2:$H$501,MATCH(C338,'20 2026 DEPO KABUL'!$F$2:$F$501,0)),"")</f>
        <v/>
      </c>
      <c r="I338" s="27" t="n"/>
      <c r="J338" s="27" t="n"/>
    </row>
    <row r="339" ht="15" customHeight="1">
      <c r="A339" s="27" t="n"/>
      <c r="B339" s="27" t="n"/>
      <c r="C339" s="27" t="n"/>
      <c r="D339" s="1">
        <f>IFERROR(INDEX('20 2026 DEPO KABUL'!$B$2:$B$501,MATCH(C339,'20 2026 DEPO KABUL'!$F$2:$F$501,0)),"")</f>
        <v/>
      </c>
      <c r="E339" s="27" t="n"/>
      <c r="F339" s="27" t="n"/>
      <c r="G339" s="1">
        <f>IFERROR(INDEX('20 2026 DEPO KABUL'!$G$2:$G$501,MATCH(C339,'20 2026 DEPO KABUL'!$F$2:$F$501,0)),"")</f>
        <v/>
      </c>
      <c r="H339" s="1">
        <f>IFERROR(INDEX('20 2026 DEPO KABUL'!$H$2:$H$501,MATCH(C339,'20 2026 DEPO KABUL'!$F$2:$F$501,0)),"")</f>
        <v/>
      </c>
      <c r="I339" s="27" t="n"/>
      <c r="J339" s="27" t="n"/>
    </row>
    <row r="340" ht="15" customHeight="1">
      <c r="A340" s="27" t="n"/>
      <c r="B340" s="27" t="n"/>
      <c r="C340" s="27" t="n"/>
      <c r="D340" s="1">
        <f>IFERROR(INDEX('20 2026 DEPO KABUL'!$B$2:$B$501,MATCH(C340,'20 2026 DEPO KABUL'!$F$2:$F$501,0)),"")</f>
        <v/>
      </c>
      <c r="E340" s="27" t="n"/>
      <c r="F340" s="27" t="n"/>
      <c r="G340" s="1">
        <f>IFERROR(INDEX('20 2026 DEPO KABUL'!$G$2:$G$501,MATCH(C340,'20 2026 DEPO KABUL'!$F$2:$F$501,0)),"")</f>
        <v/>
      </c>
      <c r="H340" s="1">
        <f>IFERROR(INDEX('20 2026 DEPO KABUL'!$H$2:$H$501,MATCH(C340,'20 2026 DEPO KABUL'!$F$2:$F$501,0)),"")</f>
        <v/>
      </c>
      <c r="I340" s="27" t="n"/>
      <c r="J340" s="27" t="n"/>
    </row>
    <row r="341" ht="15" customHeight="1">
      <c r="A341" s="27" t="n"/>
      <c r="B341" s="27" t="n"/>
      <c r="C341" s="27" t="n"/>
      <c r="D341" s="1">
        <f>IFERROR(INDEX('20 2026 DEPO KABUL'!$B$2:$B$501,MATCH(C341,'20 2026 DEPO KABUL'!$F$2:$F$501,0)),"")</f>
        <v/>
      </c>
      <c r="E341" s="27" t="n"/>
      <c r="F341" s="27" t="n"/>
      <c r="G341" s="1">
        <f>IFERROR(INDEX('20 2026 DEPO KABUL'!$G$2:$G$501,MATCH(C341,'20 2026 DEPO KABUL'!$F$2:$F$501,0)),"")</f>
        <v/>
      </c>
      <c r="H341" s="1">
        <f>IFERROR(INDEX('20 2026 DEPO KABUL'!$H$2:$H$501,MATCH(C341,'20 2026 DEPO KABUL'!$F$2:$F$501,0)),"")</f>
        <v/>
      </c>
      <c r="I341" s="27" t="n"/>
      <c r="J341" s="27" t="n"/>
    </row>
    <row r="342" ht="15" customHeight="1">
      <c r="A342" s="27" t="n"/>
      <c r="B342" s="27" t="n"/>
      <c r="C342" s="27" t="n"/>
      <c r="D342" s="1">
        <f>IFERROR(INDEX('20 2026 DEPO KABUL'!$B$2:$B$501,MATCH(C342,'20 2026 DEPO KABUL'!$F$2:$F$501,0)),"")</f>
        <v/>
      </c>
      <c r="E342" s="27" t="n"/>
      <c r="F342" s="27" t="n"/>
      <c r="G342" s="1">
        <f>IFERROR(INDEX('20 2026 DEPO KABUL'!$G$2:$G$501,MATCH(C342,'20 2026 DEPO KABUL'!$F$2:$F$501,0)),"")</f>
        <v/>
      </c>
      <c r="H342" s="1">
        <f>IFERROR(INDEX('20 2026 DEPO KABUL'!$H$2:$H$501,MATCH(C342,'20 2026 DEPO KABUL'!$F$2:$F$501,0)),"")</f>
        <v/>
      </c>
      <c r="I342" s="27" t="n"/>
      <c r="J342" s="27" t="n"/>
    </row>
    <row r="343" ht="15" customHeight="1">
      <c r="A343" s="27" t="n"/>
      <c r="B343" s="27" t="n"/>
      <c r="C343" s="27" t="n"/>
      <c r="D343" s="1">
        <f>IFERROR(INDEX('20 2026 DEPO KABUL'!$B$2:$B$501,MATCH(C343,'20 2026 DEPO KABUL'!$F$2:$F$501,0)),"")</f>
        <v/>
      </c>
      <c r="E343" s="27" t="n"/>
      <c r="F343" s="27" t="n"/>
      <c r="G343" s="1">
        <f>IFERROR(INDEX('20 2026 DEPO KABUL'!$G$2:$G$501,MATCH(C343,'20 2026 DEPO KABUL'!$F$2:$F$501,0)),"")</f>
        <v/>
      </c>
      <c r="H343" s="1">
        <f>IFERROR(INDEX('20 2026 DEPO KABUL'!$H$2:$H$501,MATCH(C343,'20 2026 DEPO KABUL'!$F$2:$F$501,0)),"")</f>
        <v/>
      </c>
      <c r="I343" s="27" t="n"/>
      <c r="J343" s="27" t="n"/>
    </row>
    <row r="344" ht="15" customHeight="1">
      <c r="A344" s="27" t="n"/>
      <c r="B344" s="27" t="n"/>
      <c r="C344" s="27" t="n"/>
      <c r="D344" s="1">
        <f>IFERROR(INDEX('20 2026 DEPO KABUL'!$B$2:$B$501,MATCH(C344,'20 2026 DEPO KABUL'!$F$2:$F$501,0)),"")</f>
        <v/>
      </c>
      <c r="E344" s="27" t="n"/>
      <c r="F344" s="27" t="n"/>
      <c r="G344" s="1">
        <f>IFERROR(INDEX('20 2026 DEPO KABUL'!$G$2:$G$501,MATCH(C344,'20 2026 DEPO KABUL'!$F$2:$F$501,0)),"")</f>
        <v/>
      </c>
      <c r="H344" s="1">
        <f>IFERROR(INDEX('20 2026 DEPO KABUL'!$H$2:$H$501,MATCH(C344,'20 2026 DEPO KABUL'!$F$2:$F$501,0)),"")</f>
        <v/>
      </c>
      <c r="I344" s="27" t="n"/>
      <c r="J344" s="27" t="n"/>
    </row>
    <row r="345" ht="15" customHeight="1">
      <c r="A345" s="27" t="n"/>
      <c r="B345" s="27" t="n"/>
      <c r="C345" s="27" t="n"/>
      <c r="D345" s="1">
        <f>IFERROR(INDEX('20 2026 DEPO KABUL'!$B$2:$B$501,MATCH(C345,'20 2026 DEPO KABUL'!$F$2:$F$501,0)),"")</f>
        <v/>
      </c>
      <c r="E345" s="27" t="n"/>
      <c r="F345" s="27" t="n"/>
      <c r="G345" s="1">
        <f>IFERROR(INDEX('20 2026 DEPO KABUL'!$G$2:$G$501,MATCH(C345,'20 2026 DEPO KABUL'!$F$2:$F$501,0)),"")</f>
        <v/>
      </c>
      <c r="H345" s="1">
        <f>IFERROR(INDEX('20 2026 DEPO KABUL'!$H$2:$H$501,MATCH(C345,'20 2026 DEPO KABUL'!$F$2:$F$501,0)),"")</f>
        <v/>
      </c>
      <c r="I345" s="27" t="n"/>
      <c r="J345" s="27" t="n"/>
    </row>
    <row r="346" ht="15" customHeight="1">
      <c r="A346" s="27" t="n"/>
      <c r="B346" s="27" t="n"/>
      <c r="C346" s="27" t="n"/>
      <c r="D346" s="1">
        <f>IFERROR(INDEX('20 2026 DEPO KABUL'!$B$2:$B$501,MATCH(C346,'20 2026 DEPO KABUL'!$F$2:$F$501,0)),"")</f>
        <v/>
      </c>
      <c r="E346" s="27" t="n"/>
      <c r="F346" s="27" t="n"/>
      <c r="G346" s="1">
        <f>IFERROR(INDEX('20 2026 DEPO KABUL'!$G$2:$G$501,MATCH(C346,'20 2026 DEPO KABUL'!$F$2:$F$501,0)),"")</f>
        <v/>
      </c>
      <c r="H346" s="1">
        <f>IFERROR(INDEX('20 2026 DEPO KABUL'!$H$2:$H$501,MATCH(C346,'20 2026 DEPO KABUL'!$F$2:$F$501,0)),"")</f>
        <v/>
      </c>
      <c r="I346" s="27" t="n"/>
      <c r="J346" s="27" t="n"/>
    </row>
    <row r="347" ht="15" customHeight="1">
      <c r="A347" s="27" t="n"/>
      <c r="B347" s="27" t="n"/>
      <c r="C347" s="27" t="n"/>
      <c r="D347" s="1">
        <f>IFERROR(INDEX('20 2026 DEPO KABUL'!$B$2:$B$501,MATCH(C347,'20 2026 DEPO KABUL'!$F$2:$F$501,0)),"")</f>
        <v/>
      </c>
      <c r="E347" s="27" t="n"/>
      <c r="F347" s="27" t="n"/>
      <c r="G347" s="1">
        <f>IFERROR(INDEX('20 2026 DEPO KABUL'!$G$2:$G$501,MATCH(C347,'20 2026 DEPO KABUL'!$F$2:$F$501,0)),"")</f>
        <v/>
      </c>
      <c r="H347" s="1">
        <f>IFERROR(INDEX('20 2026 DEPO KABUL'!$H$2:$H$501,MATCH(C347,'20 2026 DEPO KABUL'!$F$2:$F$501,0)),"")</f>
        <v/>
      </c>
      <c r="I347" s="27" t="n"/>
      <c r="J347" s="27" t="n"/>
    </row>
    <row r="348" ht="15" customHeight="1">
      <c r="A348" s="27" t="n"/>
      <c r="B348" s="27" t="n"/>
      <c r="C348" s="27" t="n"/>
      <c r="D348" s="1">
        <f>IFERROR(INDEX('20 2026 DEPO KABUL'!$B$2:$B$501,MATCH(C348,'20 2026 DEPO KABUL'!$F$2:$F$501,0)),"")</f>
        <v/>
      </c>
      <c r="E348" s="27" t="n"/>
      <c r="F348" s="27" t="n"/>
      <c r="G348" s="1">
        <f>IFERROR(INDEX('20 2026 DEPO KABUL'!$G$2:$G$501,MATCH(C348,'20 2026 DEPO KABUL'!$F$2:$F$501,0)),"")</f>
        <v/>
      </c>
      <c r="H348" s="1">
        <f>IFERROR(INDEX('20 2026 DEPO KABUL'!$H$2:$H$501,MATCH(C348,'20 2026 DEPO KABUL'!$F$2:$F$501,0)),"")</f>
        <v/>
      </c>
      <c r="I348" s="27" t="n"/>
      <c r="J348" s="27" t="n"/>
    </row>
    <row r="349" ht="15" customHeight="1">
      <c r="A349" s="27" t="n"/>
      <c r="B349" s="27" t="n"/>
      <c r="C349" s="27" t="n"/>
      <c r="D349" s="1">
        <f>IFERROR(INDEX('20 2026 DEPO KABUL'!$B$2:$B$501,MATCH(C349,'20 2026 DEPO KABUL'!$F$2:$F$501,0)),"")</f>
        <v/>
      </c>
      <c r="E349" s="27" t="n"/>
      <c r="F349" s="27" t="n"/>
      <c r="G349" s="1">
        <f>IFERROR(INDEX('20 2026 DEPO KABUL'!$G$2:$G$501,MATCH(C349,'20 2026 DEPO KABUL'!$F$2:$F$501,0)),"")</f>
        <v/>
      </c>
      <c r="H349" s="1">
        <f>IFERROR(INDEX('20 2026 DEPO KABUL'!$H$2:$H$501,MATCH(C349,'20 2026 DEPO KABUL'!$F$2:$F$501,0)),"")</f>
        <v/>
      </c>
      <c r="I349" s="27" t="n"/>
      <c r="J349" s="27" t="n"/>
    </row>
    <row r="350" ht="15" customHeight="1">
      <c r="A350" s="27" t="n"/>
      <c r="B350" s="27" t="n"/>
      <c r="C350" s="27" t="n"/>
      <c r="D350" s="1">
        <f>IFERROR(INDEX('20 2026 DEPO KABUL'!$B$2:$B$501,MATCH(C350,'20 2026 DEPO KABUL'!$F$2:$F$501,0)),"")</f>
        <v/>
      </c>
      <c r="E350" s="27" t="n"/>
      <c r="F350" s="27" t="n"/>
      <c r="G350" s="1">
        <f>IFERROR(INDEX('20 2026 DEPO KABUL'!$G$2:$G$501,MATCH(C350,'20 2026 DEPO KABUL'!$F$2:$F$501,0)),"")</f>
        <v/>
      </c>
      <c r="H350" s="1">
        <f>IFERROR(INDEX('20 2026 DEPO KABUL'!$H$2:$H$501,MATCH(C350,'20 2026 DEPO KABUL'!$F$2:$F$501,0)),"")</f>
        <v/>
      </c>
      <c r="I350" s="27" t="n"/>
      <c r="J350" s="27" t="n"/>
    </row>
    <row r="351" ht="15" customHeight="1">
      <c r="A351" s="27" t="n"/>
      <c r="B351" s="27" t="n"/>
      <c r="C351" s="27" t="n"/>
      <c r="D351" s="1">
        <f>IFERROR(INDEX('20 2026 DEPO KABUL'!$B$2:$B$501,MATCH(C351,'20 2026 DEPO KABUL'!$F$2:$F$501,0)),"")</f>
        <v/>
      </c>
      <c r="E351" s="27" t="n"/>
      <c r="F351" s="27" t="n"/>
      <c r="G351" s="1">
        <f>IFERROR(INDEX('20 2026 DEPO KABUL'!$G$2:$G$501,MATCH(C351,'20 2026 DEPO KABUL'!$F$2:$F$501,0)),"")</f>
        <v/>
      </c>
      <c r="H351" s="1">
        <f>IFERROR(INDEX('20 2026 DEPO KABUL'!$H$2:$H$501,MATCH(C351,'20 2026 DEPO KABUL'!$F$2:$F$501,0)),"")</f>
        <v/>
      </c>
      <c r="I351" s="27" t="n"/>
      <c r="J351" s="27" t="n"/>
    </row>
    <row r="352" ht="15" customHeight="1">
      <c r="A352" s="27" t="n"/>
      <c r="B352" s="27" t="n"/>
      <c r="C352" s="27" t="n"/>
      <c r="D352" s="1">
        <f>IFERROR(INDEX('20 2026 DEPO KABUL'!$B$2:$B$501,MATCH(C352,'20 2026 DEPO KABUL'!$F$2:$F$501,0)),"")</f>
        <v/>
      </c>
      <c r="E352" s="27" t="n"/>
      <c r="F352" s="27" t="n"/>
      <c r="G352" s="1">
        <f>IFERROR(INDEX('20 2026 DEPO KABUL'!$G$2:$G$501,MATCH(C352,'20 2026 DEPO KABUL'!$F$2:$F$501,0)),"")</f>
        <v/>
      </c>
      <c r="H352" s="1">
        <f>IFERROR(INDEX('20 2026 DEPO KABUL'!$H$2:$H$501,MATCH(C352,'20 2026 DEPO KABUL'!$F$2:$F$501,0)),"")</f>
        <v/>
      </c>
      <c r="I352" s="27" t="n"/>
      <c r="J352" s="27" t="n"/>
    </row>
    <row r="353" ht="15" customHeight="1">
      <c r="A353" s="27" t="n"/>
      <c r="B353" s="27" t="n"/>
      <c r="C353" s="27" t="n"/>
      <c r="D353" s="1">
        <f>IFERROR(INDEX('20 2026 DEPO KABUL'!$B$2:$B$501,MATCH(C353,'20 2026 DEPO KABUL'!$F$2:$F$501,0)),"")</f>
        <v/>
      </c>
      <c r="E353" s="27" t="n"/>
      <c r="F353" s="27" t="n"/>
      <c r="G353" s="1">
        <f>IFERROR(INDEX('20 2026 DEPO KABUL'!$G$2:$G$501,MATCH(C353,'20 2026 DEPO KABUL'!$F$2:$F$501,0)),"")</f>
        <v/>
      </c>
      <c r="H353" s="1">
        <f>IFERROR(INDEX('20 2026 DEPO KABUL'!$H$2:$H$501,MATCH(C353,'20 2026 DEPO KABUL'!$F$2:$F$501,0)),"")</f>
        <v/>
      </c>
      <c r="I353" s="27" t="n"/>
      <c r="J353" s="27" t="n"/>
    </row>
    <row r="354" ht="15" customHeight="1">
      <c r="A354" s="27" t="n"/>
      <c r="B354" s="27" t="n"/>
      <c r="C354" s="27" t="n"/>
      <c r="D354" s="1">
        <f>IFERROR(INDEX('20 2026 DEPO KABUL'!$B$2:$B$501,MATCH(C354,'20 2026 DEPO KABUL'!$F$2:$F$501,0)),"")</f>
        <v/>
      </c>
      <c r="E354" s="27" t="n"/>
      <c r="F354" s="27" t="n"/>
      <c r="G354" s="1">
        <f>IFERROR(INDEX('20 2026 DEPO KABUL'!$G$2:$G$501,MATCH(C354,'20 2026 DEPO KABUL'!$F$2:$F$501,0)),"")</f>
        <v/>
      </c>
      <c r="H354" s="1">
        <f>IFERROR(INDEX('20 2026 DEPO KABUL'!$H$2:$H$501,MATCH(C354,'20 2026 DEPO KABUL'!$F$2:$F$501,0)),"")</f>
        <v/>
      </c>
      <c r="I354" s="27" t="n"/>
      <c r="J354" s="27" t="n"/>
    </row>
    <row r="355" ht="15" customHeight="1">
      <c r="A355" s="27" t="n"/>
      <c r="B355" s="27" t="n"/>
      <c r="C355" s="27" t="n"/>
      <c r="D355" s="1">
        <f>IFERROR(INDEX('20 2026 DEPO KABUL'!$B$2:$B$501,MATCH(C355,'20 2026 DEPO KABUL'!$F$2:$F$501,0)),"")</f>
        <v/>
      </c>
      <c r="E355" s="27" t="n"/>
      <c r="F355" s="27" t="n"/>
      <c r="G355" s="1">
        <f>IFERROR(INDEX('20 2026 DEPO KABUL'!$G$2:$G$501,MATCH(C355,'20 2026 DEPO KABUL'!$F$2:$F$501,0)),"")</f>
        <v/>
      </c>
      <c r="H355" s="1">
        <f>IFERROR(INDEX('20 2026 DEPO KABUL'!$H$2:$H$501,MATCH(C355,'20 2026 DEPO KABUL'!$F$2:$F$501,0)),"")</f>
        <v/>
      </c>
      <c r="I355" s="27" t="n"/>
      <c r="J355" s="27" t="n"/>
    </row>
    <row r="356" ht="15" customHeight="1">
      <c r="A356" s="27" t="n"/>
      <c r="B356" s="27" t="n"/>
      <c r="C356" s="27" t="n"/>
      <c r="D356" s="1">
        <f>IFERROR(INDEX('20 2026 DEPO KABUL'!$B$2:$B$501,MATCH(C356,'20 2026 DEPO KABUL'!$F$2:$F$501,0)),"")</f>
        <v/>
      </c>
      <c r="E356" s="27" t="n"/>
      <c r="F356" s="27" t="n"/>
      <c r="G356" s="1">
        <f>IFERROR(INDEX('20 2026 DEPO KABUL'!$G$2:$G$501,MATCH(C356,'20 2026 DEPO KABUL'!$F$2:$F$501,0)),"")</f>
        <v/>
      </c>
      <c r="H356" s="1">
        <f>IFERROR(INDEX('20 2026 DEPO KABUL'!$H$2:$H$501,MATCH(C356,'20 2026 DEPO KABUL'!$F$2:$F$501,0)),"")</f>
        <v/>
      </c>
      <c r="I356" s="27" t="n"/>
      <c r="J356" s="27" t="n"/>
    </row>
    <row r="357" ht="15" customHeight="1">
      <c r="A357" s="27" t="n"/>
      <c r="B357" s="27" t="n"/>
      <c r="C357" s="27" t="n"/>
      <c r="D357" s="1">
        <f>IFERROR(INDEX('20 2026 DEPO KABUL'!$B$2:$B$501,MATCH(C357,'20 2026 DEPO KABUL'!$F$2:$F$501,0)),"")</f>
        <v/>
      </c>
      <c r="E357" s="27" t="n"/>
      <c r="F357" s="27" t="n"/>
      <c r="G357" s="1">
        <f>IFERROR(INDEX('20 2026 DEPO KABUL'!$G$2:$G$501,MATCH(C357,'20 2026 DEPO KABUL'!$F$2:$F$501,0)),"")</f>
        <v/>
      </c>
      <c r="H357" s="1">
        <f>IFERROR(INDEX('20 2026 DEPO KABUL'!$H$2:$H$501,MATCH(C357,'20 2026 DEPO KABUL'!$F$2:$F$501,0)),"")</f>
        <v/>
      </c>
      <c r="I357" s="27" t="n"/>
      <c r="J357" s="27" t="n"/>
    </row>
    <row r="358" ht="15" customHeight="1">
      <c r="A358" s="27" t="n"/>
      <c r="B358" s="27" t="n"/>
      <c r="C358" s="27" t="n"/>
      <c r="D358" s="1">
        <f>IFERROR(INDEX('20 2026 DEPO KABUL'!$B$2:$B$501,MATCH(C358,'20 2026 DEPO KABUL'!$F$2:$F$501,0)),"")</f>
        <v/>
      </c>
      <c r="E358" s="27" t="n"/>
      <c r="F358" s="27" t="n"/>
      <c r="G358" s="1">
        <f>IFERROR(INDEX('20 2026 DEPO KABUL'!$G$2:$G$501,MATCH(C358,'20 2026 DEPO KABUL'!$F$2:$F$501,0)),"")</f>
        <v/>
      </c>
      <c r="H358" s="1">
        <f>IFERROR(INDEX('20 2026 DEPO KABUL'!$H$2:$H$501,MATCH(C358,'20 2026 DEPO KABUL'!$F$2:$F$501,0)),"")</f>
        <v/>
      </c>
      <c r="I358" s="27" t="n"/>
      <c r="J358" s="27" t="n"/>
    </row>
    <row r="359" ht="15" customHeight="1">
      <c r="A359" s="27" t="n"/>
      <c r="B359" s="27" t="n"/>
      <c r="C359" s="27" t="n"/>
      <c r="D359" s="1">
        <f>IFERROR(INDEX('20 2026 DEPO KABUL'!$B$2:$B$501,MATCH(C359,'20 2026 DEPO KABUL'!$F$2:$F$501,0)),"")</f>
        <v/>
      </c>
      <c r="E359" s="27" t="n"/>
      <c r="F359" s="27" t="n"/>
      <c r="G359" s="1">
        <f>IFERROR(INDEX('20 2026 DEPO KABUL'!$G$2:$G$501,MATCH(C359,'20 2026 DEPO KABUL'!$F$2:$F$501,0)),"")</f>
        <v/>
      </c>
      <c r="H359" s="1">
        <f>IFERROR(INDEX('20 2026 DEPO KABUL'!$H$2:$H$501,MATCH(C359,'20 2026 DEPO KABUL'!$F$2:$F$501,0)),"")</f>
        <v/>
      </c>
      <c r="I359" s="27" t="n"/>
      <c r="J359" s="27" t="n"/>
    </row>
    <row r="360" ht="15" customHeight="1">
      <c r="A360" s="27" t="n"/>
      <c r="B360" s="27" t="n"/>
      <c r="C360" s="27" t="n"/>
      <c r="D360" s="1">
        <f>IFERROR(INDEX('20 2026 DEPO KABUL'!$B$2:$B$501,MATCH(C360,'20 2026 DEPO KABUL'!$F$2:$F$501,0)),"")</f>
        <v/>
      </c>
      <c r="E360" s="27" t="n"/>
      <c r="F360" s="27" t="n"/>
      <c r="G360" s="1">
        <f>IFERROR(INDEX('20 2026 DEPO KABUL'!$G$2:$G$501,MATCH(C360,'20 2026 DEPO KABUL'!$F$2:$F$501,0)),"")</f>
        <v/>
      </c>
      <c r="H360" s="1">
        <f>IFERROR(INDEX('20 2026 DEPO KABUL'!$H$2:$H$501,MATCH(C360,'20 2026 DEPO KABUL'!$F$2:$F$501,0)),"")</f>
        <v/>
      </c>
      <c r="I360" s="27" t="n"/>
      <c r="J360" s="27" t="n"/>
    </row>
    <row r="361" ht="15" customHeight="1">
      <c r="A361" s="27" t="n"/>
      <c r="B361" s="27" t="n"/>
      <c r="C361" s="27" t="n"/>
      <c r="D361" s="1">
        <f>IFERROR(INDEX('20 2026 DEPO KABUL'!$B$2:$B$501,MATCH(C361,'20 2026 DEPO KABUL'!$F$2:$F$501,0)),"")</f>
        <v/>
      </c>
      <c r="E361" s="27" t="n"/>
      <c r="F361" s="27" t="n"/>
      <c r="G361" s="1">
        <f>IFERROR(INDEX('20 2026 DEPO KABUL'!$G$2:$G$501,MATCH(C361,'20 2026 DEPO KABUL'!$F$2:$F$501,0)),"")</f>
        <v/>
      </c>
      <c r="H361" s="1">
        <f>IFERROR(INDEX('20 2026 DEPO KABUL'!$H$2:$H$501,MATCH(C361,'20 2026 DEPO KABUL'!$F$2:$F$501,0)),"")</f>
        <v/>
      </c>
      <c r="I361" s="27" t="n"/>
      <c r="J361" s="27" t="n"/>
    </row>
    <row r="362" ht="15" customHeight="1">
      <c r="A362" s="27" t="n"/>
      <c r="B362" s="27" t="n"/>
      <c r="C362" s="27" t="n"/>
      <c r="D362" s="1">
        <f>IFERROR(INDEX('20 2026 DEPO KABUL'!$B$2:$B$501,MATCH(C362,'20 2026 DEPO KABUL'!$F$2:$F$501,0)),"")</f>
        <v/>
      </c>
      <c r="E362" s="27" t="n"/>
      <c r="F362" s="27" t="n"/>
      <c r="G362" s="1">
        <f>IFERROR(INDEX('20 2026 DEPO KABUL'!$G$2:$G$501,MATCH(C362,'20 2026 DEPO KABUL'!$F$2:$F$501,0)),"")</f>
        <v/>
      </c>
      <c r="H362" s="1">
        <f>IFERROR(INDEX('20 2026 DEPO KABUL'!$H$2:$H$501,MATCH(C362,'20 2026 DEPO KABUL'!$F$2:$F$501,0)),"")</f>
        <v/>
      </c>
      <c r="I362" s="27" t="n"/>
      <c r="J362" s="27" t="n"/>
    </row>
    <row r="363" ht="15" customHeight="1">
      <c r="A363" s="27" t="n"/>
      <c r="B363" s="27" t="n"/>
      <c r="C363" s="27" t="n"/>
      <c r="D363" s="1">
        <f>IFERROR(INDEX('20 2026 DEPO KABUL'!$B$2:$B$501,MATCH(C363,'20 2026 DEPO KABUL'!$F$2:$F$501,0)),"")</f>
        <v/>
      </c>
      <c r="E363" s="27" t="n"/>
      <c r="F363" s="27" t="n"/>
      <c r="G363" s="1">
        <f>IFERROR(INDEX('20 2026 DEPO KABUL'!$G$2:$G$501,MATCH(C363,'20 2026 DEPO KABUL'!$F$2:$F$501,0)),"")</f>
        <v/>
      </c>
      <c r="H363" s="1">
        <f>IFERROR(INDEX('20 2026 DEPO KABUL'!$H$2:$H$501,MATCH(C363,'20 2026 DEPO KABUL'!$F$2:$F$501,0)),"")</f>
        <v/>
      </c>
      <c r="I363" s="27" t="n"/>
      <c r="J363" s="27" t="n"/>
    </row>
    <row r="364" ht="15" customHeight="1">
      <c r="A364" s="27" t="n"/>
      <c r="B364" s="27" t="n"/>
      <c r="C364" s="27" t="n"/>
      <c r="D364" s="1">
        <f>IFERROR(INDEX('20 2026 DEPO KABUL'!$B$2:$B$501,MATCH(C364,'20 2026 DEPO KABUL'!$F$2:$F$501,0)),"")</f>
        <v/>
      </c>
      <c r="E364" s="27" t="n"/>
      <c r="F364" s="27" t="n"/>
      <c r="G364" s="1">
        <f>IFERROR(INDEX('20 2026 DEPO KABUL'!$G$2:$G$501,MATCH(C364,'20 2026 DEPO KABUL'!$F$2:$F$501,0)),"")</f>
        <v/>
      </c>
      <c r="H364" s="1">
        <f>IFERROR(INDEX('20 2026 DEPO KABUL'!$H$2:$H$501,MATCH(C364,'20 2026 DEPO KABUL'!$F$2:$F$501,0)),"")</f>
        <v/>
      </c>
      <c r="I364" s="27" t="n"/>
      <c r="J364" s="27" t="n"/>
    </row>
    <row r="365" ht="15" customHeight="1">
      <c r="A365" s="27" t="n"/>
      <c r="B365" s="27" t="n"/>
      <c r="C365" s="27" t="n"/>
      <c r="D365" s="1">
        <f>IFERROR(INDEX('20 2026 DEPO KABUL'!$B$2:$B$501,MATCH(C365,'20 2026 DEPO KABUL'!$F$2:$F$501,0)),"")</f>
        <v/>
      </c>
      <c r="E365" s="27" t="n"/>
      <c r="F365" s="27" t="n"/>
      <c r="G365" s="1">
        <f>IFERROR(INDEX('20 2026 DEPO KABUL'!$G$2:$G$501,MATCH(C365,'20 2026 DEPO KABUL'!$F$2:$F$501,0)),"")</f>
        <v/>
      </c>
      <c r="H365" s="1">
        <f>IFERROR(INDEX('20 2026 DEPO KABUL'!$H$2:$H$501,MATCH(C365,'20 2026 DEPO KABUL'!$F$2:$F$501,0)),"")</f>
        <v/>
      </c>
      <c r="I365" s="27" t="n"/>
      <c r="J365" s="27" t="n"/>
    </row>
    <row r="366" ht="15" customHeight="1">
      <c r="A366" s="27" t="n"/>
      <c r="B366" s="27" t="n"/>
      <c r="C366" s="27" t="n"/>
      <c r="D366" s="1">
        <f>IFERROR(INDEX('20 2026 DEPO KABUL'!$B$2:$B$501,MATCH(C366,'20 2026 DEPO KABUL'!$F$2:$F$501,0)),"")</f>
        <v/>
      </c>
      <c r="E366" s="27" t="n"/>
      <c r="F366" s="27" t="n"/>
      <c r="G366" s="1">
        <f>IFERROR(INDEX('20 2026 DEPO KABUL'!$G$2:$G$501,MATCH(C366,'20 2026 DEPO KABUL'!$F$2:$F$501,0)),"")</f>
        <v/>
      </c>
      <c r="H366" s="1">
        <f>IFERROR(INDEX('20 2026 DEPO KABUL'!$H$2:$H$501,MATCH(C366,'20 2026 DEPO KABUL'!$F$2:$F$501,0)),"")</f>
        <v/>
      </c>
      <c r="I366" s="27" t="n"/>
      <c r="J366" s="27" t="n"/>
    </row>
    <row r="367" ht="15" customHeight="1">
      <c r="A367" s="27" t="n"/>
      <c r="B367" s="27" t="n"/>
      <c r="C367" s="27" t="n"/>
      <c r="D367" s="1">
        <f>IFERROR(INDEX('20 2026 DEPO KABUL'!$B$2:$B$501,MATCH(C367,'20 2026 DEPO KABUL'!$F$2:$F$501,0)),"")</f>
        <v/>
      </c>
      <c r="E367" s="27" t="n"/>
      <c r="F367" s="27" t="n"/>
      <c r="G367" s="1">
        <f>IFERROR(INDEX('20 2026 DEPO KABUL'!$G$2:$G$501,MATCH(C367,'20 2026 DEPO KABUL'!$F$2:$F$501,0)),"")</f>
        <v/>
      </c>
      <c r="H367" s="1">
        <f>IFERROR(INDEX('20 2026 DEPO KABUL'!$H$2:$H$501,MATCH(C367,'20 2026 DEPO KABUL'!$F$2:$F$501,0)),"")</f>
        <v/>
      </c>
      <c r="I367" s="27" t="n"/>
      <c r="J367" s="27" t="n"/>
    </row>
    <row r="368" ht="15" customHeight="1">
      <c r="A368" s="27" t="n"/>
      <c r="B368" s="27" t="n"/>
      <c r="C368" s="27" t="n"/>
      <c r="D368" s="1">
        <f>IFERROR(INDEX('20 2026 DEPO KABUL'!$B$2:$B$501,MATCH(C368,'20 2026 DEPO KABUL'!$F$2:$F$501,0)),"")</f>
        <v/>
      </c>
      <c r="E368" s="27" t="n"/>
      <c r="F368" s="27" t="n"/>
      <c r="G368" s="1">
        <f>IFERROR(INDEX('20 2026 DEPO KABUL'!$G$2:$G$501,MATCH(C368,'20 2026 DEPO KABUL'!$F$2:$F$501,0)),"")</f>
        <v/>
      </c>
      <c r="H368" s="1">
        <f>IFERROR(INDEX('20 2026 DEPO KABUL'!$H$2:$H$501,MATCH(C368,'20 2026 DEPO KABUL'!$F$2:$F$501,0)),"")</f>
        <v/>
      </c>
      <c r="I368" s="27" t="n"/>
      <c r="J368" s="27" t="n"/>
    </row>
    <row r="369" ht="15" customHeight="1">
      <c r="A369" s="27" t="n"/>
      <c r="B369" s="27" t="n"/>
      <c r="C369" s="27" t="n"/>
      <c r="D369" s="1">
        <f>IFERROR(INDEX('20 2026 DEPO KABUL'!$B$2:$B$501,MATCH(C369,'20 2026 DEPO KABUL'!$F$2:$F$501,0)),"")</f>
        <v/>
      </c>
      <c r="E369" s="27" t="n"/>
      <c r="F369" s="27" t="n"/>
      <c r="G369" s="1">
        <f>IFERROR(INDEX('20 2026 DEPO KABUL'!$G$2:$G$501,MATCH(C369,'20 2026 DEPO KABUL'!$F$2:$F$501,0)),"")</f>
        <v/>
      </c>
      <c r="H369" s="1">
        <f>IFERROR(INDEX('20 2026 DEPO KABUL'!$H$2:$H$501,MATCH(C369,'20 2026 DEPO KABUL'!$F$2:$F$501,0)),"")</f>
        <v/>
      </c>
      <c r="I369" s="27" t="n"/>
      <c r="J369" s="27" t="n"/>
    </row>
    <row r="370" ht="15" customHeight="1">
      <c r="A370" s="27" t="n"/>
      <c r="B370" s="27" t="n"/>
      <c r="C370" s="27" t="n"/>
      <c r="D370" s="1">
        <f>IFERROR(INDEX('20 2026 DEPO KABUL'!$B$2:$B$501,MATCH(C370,'20 2026 DEPO KABUL'!$F$2:$F$501,0)),"")</f>
        <v/>
      </c>
      <c r="E370" s="27" t="n"/>
      <c r="F370" s="27" t="n"/>
      <c r="G370" s="1">
        <f>IFERROR(INDEX('20 2026 DEPO KABUL'!$G$2:$G$501,MATCH(C370,'20 2026 DEPO KABUL'!$F$2:$F$501,0)),"")</f>
        <v/>
      </c>
      <c r="H370" s="1">
        <f>IFERROR(INDEX('20 2026 DEPO KABUL'!$H$2:$H$501,MATCH(C370,'20 2026 DEPO KABUL'!$F$2:$F$501,0)),"")</f>
        <v/>
      </c>
      <c r="I370" s="27" t="n"/>
      <c r="J370" s="27" t="n"/>
    </row>
    <row r="371" ht="15" customHeight="1">
      <c r="A371" s="27" t="n"/>
      <c r="B371" s="27" t="n"/>
      <c r="C371" s="27" t="n"/>
      <c r="D371" s="1">
        <f>IFERROR(INDEX('20 2026 DEPO KABUL'!$B$2:$B$501,MATCH(C371,'20 2026 DEPO KABUL'!$F$2:$F$501,0)),"")</f>
        <v/>
      </c>
      <c r="E371" s="27" t="n"/>
      <c r="F371" s="27" t="n"/>
      <c r="G371" s="1">
        <f>IFERROR(INDEX('20 2026 DEPO KABUL'!$G$2:$G$501,MATCH(C371,'20 2026 DEPO KABUL'!$F$2:$F$501,0)),"")</f>
        <v/>
      </c>
      <c r="H371" s="1">
        <f>IFERROR(INDEX('20 2026 DEPO KABUL'!$H$2:$H$501,MATCH(C371,'20 2026 DEPO KABUL'!$F$2:$F$501,0)),"")</f>
        <v/>
      </c>
      <c r="I371" s="27" t="n"/>
      <c r="J371" s="27" t="n"/>
    </row>
    <row r="372" ht="15" customHeight="1">
      <c r="A372" s="27" t="n"/>
      <c r="B372" s="27" t="n"/>
      <c r="C372" s="27" t="n"/>
      <c r="D372" s="1">
        <f>IFERROR(INDEX('20 2026 DEPO KABUL'!$B$2:$B$501,MATCH(C372,'20 2026 DEPO KABUL'!$F$2:$F$501,0)),"")</f>
        <v/>
      </c>
      <c r="E372" s="27" t="n"/>
      <c r="F372" s="27" t="n"/>
      <c r="G372" s="1">
        <f>IFERROR(INDEX('20 2026 DEPO KABUL'!$G$2:$G$501,MATCH(C372,'20 2026 DEPO KABUL'!$F$2:$F$501,0)),"")</f>
        <v/>
      </c>
      <c r="H372" s="1">
        <f>IFERROR(INDEX('20 2026 DEPO KABUL'!$H$2:$H$501,MATCH(C372,'20 2026 DEPO KABUL'!$F$2:$F$501,0)),"")</f>
        <v/>
      </c>
      <c r="I372" s="27" t="n"/>
      <c r="J372" s="27" t="n"/>
    </row>
    <row r="373" ht="15" customHeight="1">
      <c r="A373" s="27" t="n"/>
      <c r="B373" s="27" t="n"/>
      <c r="C373" s="27" t="n"/>
      <c r="D373" s="1">
        <f>IFERROR(INDEX('20 2026 DEPO KABUL'!$B$2:$B$501,MATCH(C373,'20 2026 DEPO KABUL'!$F$2:$F$501,0)),"")</f>
        <v/>
      </c>
      <c r="E373" s="27" t="n"/>
      <c r="F373" s="27" t="n"/>
      <c r="G373" s="1">
        <f>IFERROR(INDEX('20 2026 DEPO KABUL'!$G$2:$G$501,MATCH(C373,'20 2026 DEPO KABUL'!$F$2:$F$501,0)),"")</f>
        <v/>
      </c>
      <c r="H373" s="1">
        <f>IFERROR(INDEX('20 2026 DEPO KABUL'!$H$2:$H$501,MATCH(C373,'20 2026 DEPO KABUL'!$F$2:$F$501,0)),"")</f>
        <v/>
      </c>
      <c r="I373" s="27" t="n"/>
      <c r="J373" s="27" t="n"/>
    </row>
    <row r="374" ht="15" customHeight="1">
      <c r="A374" s="27" t="n"/>
      <c r="B374" s="27" t="n"/>
      <c r="C374" s="27" t="n"/>
      <c r="D374" s="1">
        <f>IFERROR(INDEX('20 2026 DEPO KABUL'!$B$2:$B$501,MATCH(C374,'20 2026 DEPO KABUL'!$F$2:$F$501,0)),"")</f>
        <v/>
      </c>
      <c r="E374" s="27" t="n"/>
      <c r="F374" s="27" t="n"/>
      <c r="G374" s="1">
        <f>IFERROR(INDEX('20 2026 DEPO KABUL'!$G$2:$G$501,MATCH(C374,'20 2026 DEPO KABUL'!$F$2:$F$501,0)),"")</f>
        <v/>
      </c>
      <c r="H374" s="1">
        <f>IFERROR(INDEX('20 2026 DEPO KABUL'!$H$2:$H$501,MATCH(C374,'20 2026 DEPO KABUL'!$F$2:$F$501,0)),"")</f>
        <v/>
      </c>
      <c r="I374" s="27" t="n"/>
      <c r="J374" s="27" t="n"/>
    </row>
    <row r="375" ht="15" customHeight="1">
      <c r="A375" s="27" t="n"/>
      <c r="B375" s="27" t="n"/>
      <c r="C375" s="27" t="n"/>
      <c r="D375" s="1">
        <f>IFERROR(INDEX('20 2026 DEPO KABUL'!$B$2:$B$501,MATCH(C375,'20 2026 DEPO KABUL'!$F$2:$F$501,0)),"")</f>
        <v/>
      </c>
      <c r="E375" s="27" t="n"/>
      <c r="F375" s="27" t="n"/>
      <c r="G375" s="1">
        <f>IFERROR(INDEX('20 2026 DEPO KABUL'!$G$2:$G$501,MATCH(C375,'20 2026 DEPO KABUL'!$F$2:$F$501,0)),"")</f>
        <v/>
      </c>
      <c r="H375" s="1">
        <f>IFERROR(INDEX('20 2026 DEPO KABUL'!$H$2:$H$501,MATCH(C375,'20 2026 DEPO KABUL'!$F$2:$F$501,0)),"")</f>
        <v/>
      </c>
      <c r="I375" s="27" t="n"/>
      <c r="J375" s="27" t="n"/>
    </row>
    <row r="376" ht="15" customHeight="1">
      <c r="A376" s="27" t="n"/>
      <c r="B376" s="27" t="n"/>
      <c r="C376" s="27" t="n"/>
      <c r="D376" s="1">
        <f>IFERROR(INDEX('20 2026 DEPO KABUL'!$B$2:$B$501,MATCH(C376,'20 2026 DEPO KABUL'!$F$2:$F$501,0)),"")</f>
        <v/>
      </c>
      <c r="E376" s="27" t="n"/>
      <c r="F376" s="27" t="n"/>
      <c r="G376" s="1">
        <f>IFERROR(INDEX('20 2026 DEPO KABUL'!$G$2:$G$501,MATCH(C376,'20 2026 DEPO KABUL'!$F$2:$F$501,0)),"")</f>
        <v/>
      </c>
      <c r="H376" s="1">
        <f>IFERROR(INDEX('20 2026 DEPO KABUL'!$H$2:$H$501,MATCH(C376,'20 2026 DEPO KABUL'!$F$2:$F$501,0)),"")</f>
        <v/>
      </c>
      <c r="I376" s="27" t="n"/>
      <c r="J376" s="27" t="n"/>
    </row>
    <row r="377" ht="15" customHeight="1">
      <c r="A377" s="27" t="n"/>
      <c r="B377" s="27" t="n"/>
      <c r="C377" s="27" t="n"/>
      <c r="D377" s="1">
        <f>IFERROR(INDEX('20 2026 DEPO KABUL'!$B$2:$B$501,MATCH(C377,'20 2026 DEPO KABUL'!$F$2:$F$501,0)),"")</f>
        <v/>
      </c>
      <c r="E377" s="27" t="n"/>
      <c r="F377" s="27" t="n"/>
      <c r="G377" s="1">
        <f>IFERROR(INDEX('20 2026 DEPO KABUL'!$G$2:$G$501,MATCH(C377,'20 2026 DEPO KABUL'!$F$2:$F$501,0)),"")</f>
        <v/>
      </c>
      <c r="H377" s="1">
        <f>IFERROR(INDEX('20 2026 DEPO KABUL'!$H$2:$H$501,MATCH(C377,'20 2026 DEPO KABUL'!$F$2:$F$501,0)),"")</f>
        <v/>
      </c>
      <c r="I377" s="27" t="n"/>
      <c r="J377" s="27" t="n"/>
    </row>
    <row r="378" ht="15" customHeight="1">
      <c r="A378" s="27" t="n"/>
      <c r="B378" s="27" t="n"/>
      <c r="C378" s="27" t="n"/>
      <c r="D378" s="1">
        <f>IFERROR(INDEX('20 2026 DEPO KABUL'!$B$2:$B$501,MATCH(C378,'20 2026 DEPO KABUL'!$F$2:$F$501,0)),"")</f>
        <v/>
      </c>
      <c r="E378" s="27" t="n"/>
      <c r="F378" s="27" t="n"/>
      <c r="G378" s="1">
        <f>IFERROR(INDEX('20 2026 DEPO KABUL'!$G$2:$G$501,MATCH(C378,'20 2026 DEPO KABUL'!$F$2:$F$501,0)),"")</f>
        <v/>
      </c>
      <c r="H378" s="1">
        <f>IFERROR(INDEX('20 2026 DEPO KABUL'!$H$2:$H$501,MATCH(C378,'20 2026 DEPO KABUL'!$F$2:$F$501,0)),"")</f>
        <v/>
      </c>
      <c r="I378" s="27" t="n"/>
      <c r="J378" s="27" t="n"/>
    </row>
    <row r="379" ht="15" customHeight="1">
      <c r="A379" s="27" t="n"/>
      <c r="B379" s="27" t="n"/>
      <c r="C379" s="27" t="n"/>
      <c r="D379" s="1">
        <f>IFERROR(INDEX('20 2026 DEPO KABUL'!$B$2:$B$501,MATCH(C379,'20 2026 DEPO KABUL'!$F$2:$F$501,0)),"")</f>
        <v/>
      </c>
      <c r="E379" s="27" t="n"/>
      <c r="F379" s="27" t="n"/>
      <c r="G379" s="1">
        <f>IFERROR(INDEX('20 2026 DEPO KABUL'!$G$2:$G$501,MATCH(C379,'20 2026 DEPO KABUL'!$F$2:$F$501,0)),"")</f>
        <v/>
      </c>
      <c r="H379" s="1">
        <f>IFERROR(INDEX('20 2026 DEPO KABUL'!$H$2:$H$501,MATCH(C379,'20 2026 DEPO KABUL'!$F$2:$F$501,0)),"")</f>
        <v/>
      </c>
      <c r="I379" s="27" t="n"/>
      <c r="J379" s="27" t="n"/>
    </row>
    <row r="380" ht="15" customHeight="1">
      <c r="A380" s="27" t="n"/>
      <c r="B380" s="27" t="n"/>
      <c r="C380" s="27" t="n"/>
      <c r="D380" s="1">
        <f>IFERROR(INDEX('20 2026 DEPO KABUL'!$B$2:$B$501,MATCH(C380,'20 2026 DEPO KABUL'!$F$2:$F$501,0)),"")</f>
        <v/>
      </c>
      <c r="E380" s="27" t="n"/>
      <c r="F380" s="27" t="n"/>
      <c r="G380" s="1">
        <f>IFERROR(INDEX('20 2026 DEPO KABUL'!$G$2:$G$501,MATCH(C380,'20 2026 DEPO KABUL'!$F$2:$F$501,0)),"")</f>
        <v/>
      </c>
      <c r="H380" s="1">
        <f>IFERROR(INDEX('20 2026 DEPO KABUL'!$H$2:$H$501,MATCH(C380,'20 2026 DEPO KABUL'!$F$2:$F$501,0)),"")</f>
        <v/>
      </c>
      <c r="I380" s="27" t="n"/>
      <c r="J380" s="27" t="n"/>
    </row>
    <row r="381" ht="15" customHeight="1">
      <c r="A381" s="27" t="n"/>
      <c r="B381" s="27" t="n"/>
      <c r="C381" s="27" t="n"/>
      <c r="D381" s="1">
        <f>IFERROR(INDEX('20 2026 DEPO KABUL'!$B$2:$B$501,MATCH(C381,'20 2026 DEPO KABUL'!$F$2:$F$501,0)),"")</f>
        <v/>
      </c>
      <c r="E381" s="27" t="n"/>
      <c r="F381" s="27" t="n"/>
      <c r="G381" s="1">
        <f>IFERROR(INDEX('20 2026 DEPO KABUL'!$G$2:$G$501,MATCH(C381,'20 2026 DEPO KABUL'!$F$2:$F$501,0)),"")</f>
        <v/>
      </c>
      <c r="H381" s="1">
        <f>IFERROR(INDEX('20 2026 DEPO KABUL'!$H$2:$H$501,MATCH(C381,'20 2026 DEPO KABUL'!$F$2:$F$501,0)),"")</f>
        <v/>
      </c>
      <c r="I381" s="27" t="n"/>
      <c r="J381" s="27" t="n"/>
    </row>
    <row r="382" ht="15" customHeight="1">
      <c r="A382" s="27" t="n"/>
      <c r="B382" s="27" t="n"/>
      <c r="C382" s="27" t="n"/>
      <c r="D382" s="1">
        <f>IFERROR(INDEX('20 2026 DEPO KABUL'!$B$2:$B$501,MATCH(C382,'20 2026 DEPO KABUL'!$F$2:$F$501,0)),"")</f>
        <v/>
      </c>
      <c r="E382" s="27" t="n"/>
      <c r="F382" s="27" t="n"/>
      <c r="G382" s="1">
        <f>IFERROR(INDEX('20 2026 DEPO KABUL'!$G$2:$G$501,MATCH(C382,'20 2026 DEPO KABUL'!$F$2:$F$501,0)),"")</f>
        <v/>
      </c>
      <c r="H382" s="1">
        <f>IFERROR(INDEX('20 2026 DEPO KABUL'!$H$2:$H$501,MATCH(C382,'20 2026 DEPO KABUL'!$F$2:$F$501,0)),"")</f>
        <v/>
      </c>
      <c r="I382" s="27" t="n"/>
      <c r="J382" s="27" t="n"/>
    </row>
    <row r="383" ht="15" customHeight="1">
      <c r="A383" s="27" t="n"/>
      <c r="B383" s="27" t="n"/>
      <c r="C383" s="27" t="n"/>
      <c r="D383" s="1">
        <f>IFERROR(INDEX('20 2026 DEPO KABUL'!$B$2:$B$501,MATCH(C383,'20 2026 DEPO KABUL'!$F$2:$F$501,0)),"")</f>
        <v/>
      </c>
      <c r="E383" s="27" t="n"/>
      <c r="F383" s="27" t="n"/>
      <c r="G383" s="1">
        <f>IFERROR(INDEX('20 2026 DEPO KABUL'!$G$2:$G$501,MATCH(C383,'20 2026 DEPO KABUL'!$F$2:$F$501,0)),"")</f>
        <v/>
      </c>
      <c r="H383" s="1">
        <f>IFERROR(INDEX('20 2026 DEPO KABUL'!$H$2:$H$501,MATCH(C383,'20 2026 DEPO KABUL'!$F$2:$F$501,0)),"")</f>
        <v/>
      </c>
      <c r="I383" s="27" t="n"/>
      <c r="J383" s="27" t="n"/>
    </row>
    <row r="384" ht="15" customHeight="1">
      <c r="A384" s="27" t="n"/>
      <c r="B384" s="27" t="n"/>
      <c r="C384" s="27" t="n"/>
      <c r="D384" s="1">
        <f>IFERROR(INDEX('20 2026 DEPO KABUL'!$B$2:$B$501,MATCH(C384,'20 2026 DEPO KABUL'!$F$2:$F$501,0)),"")</f>
        <v/>
      </c>
      <c r="E384" s="27" t="n"/>
      <c r="F384" s="27" t="n"/>
      <c r="G384" s="1">
        <f>IFERROR(INDEX('20 2026 DEPO KABUL'!$G$2:$G$501,MATCH(C384,'20 2026 DEPO KABUL'!$F$2:$F$501,0)),"")</f>
        <v/>
      </c>
      <c r="H384" s="1">
        <f>IFERROR(INDEX('20 2026 DEPO KABUL'!$H$2:$H$501,MATCH(C384,'20 2026 DEPO KABUL'!$F$2:$F$501,0)),"")</f>
        <v/>
      </c>
      <c r="I384" s="27" t="n"/>
      <c r="J384" s="27" t="n"/>
    </row>
    <row r="385" ht="15" customHeight="1">
      <c r="A385" s="27" t="n"/>
      <c r="B385" s="27" t="n"/>
      <c r="C385" s="27" t="n"/>
      <c r="D385" s="1">
        <f>IFERROR(INDEX('20 2026 DEPO KABUL'!$B$2:$B$501,MATCH(C385,'20 2026 DEPO KABUL'!$F$2:$F$501,0)),"")</f>
        <v/>
      </c>
      <c r="E385" s="27" t="n"/>
      <c r="F385" s="27" t="n"/>
      <c r="G385" s="1">
        <f>IFERROR(INDEX('20 2026 DEPO KABUL'!$G$2:$G$501,MATCH(C385,'20 2026 DEPO KABUL'!$F$2:$F$501,0)),"")</f>
        <v/>
      </c>
      <c r="H385" s="1">
        <f>IFERROR(INDEX('20 2026 DEPO KABUL'!$H$2:$H$501,MATCH(C385,'20 2026 DEPO KABUL'!$F$2:$F$501,0)),"")</f>
        <v/>
      </c>
      <c r="I385" s="27" t="n"/>
      <c r="J385" s="27" t="n"/>
    </row>
    <row r="386" ht="15" customHeight="1">
      <c r="A386" s="27" t="n"/>
      <c r="B386" s="27" t="n"/>
      <c r="C386" s="27" t="n"/>
      <c r="D386" s="1">
        <f>IFERROR(INDEX('20 2026 DEPO KABUL'!$B$2:$B$501,MATCH(C386,'20 2026 DEPO KABUL'!$F$2:$F$501,0)),"")</f>
        <v/>
      </c>
      <c r="E386" s="27" t="n"/>
      <c r="F386" s="27" t="n"/>
      <c r="G386" s="1">
        <f>IFERROR(INDEX('20 2026 DEPO KABUL'!$G$2:$G$501,MATCH(C386,'20 2026 DEPO KABUL'!$F$2:$F$501,0)),"")</f>
        <v/>
      </c>
      <c r="H386" s="1">
        <f>IFERROR(INDEX('20 2026 DEPO KABUL'!$H$2:$H$501,MATCH(C386,'20 2026 DEPO KABUL'!$F$2:$F$501,0)),"")</f>
        <v/>
      </c>
      <c r="I386" s="27" t="n"/>
      <c r="J386" s="27" t="n"/>
    </row>
    <row r="387" ht="15" customHeight="1">
      <c r="A387" s="27" t="n"/>
      <c r="B387" s="27" t="n"/>
      <c r="C387" s="27" t="n"/>
      <c r="D387" s="1">
        <f>IFERROR(INDEX('20 2026 DEPO KABUL'!$B$2:$B$501,MATCH(C387,'20 2026 DEPO KABUL'!$F$2:$F$501,0)),"")</f>
        <v/>
      </c>
      <c r="E387" s="27" t="n"/>
      <c r="F387" s="27" t="n"/>
      <c r="G387" s="1">
        <f>IFERROR(INDEX('20 2026 DEPO KABUL'!$G$2:$G$501,MATCH(C387,'20 2026 DEPO KABUL'!$F$2:$F$501,0)),"")</f>
        <v/>
      </c>
      <c r="H387" s="1">
        <f>IFERROR(INDEX('20 2026 DEPO KABUL'!$H$2:$H$501,MATCH(C387,'20 2026 DEPO KABUL'!$F$2:$F$501,0)),"")</f>
        <v/>
      </c>
      <c r="I387" s="27" t="n"/>
      <c r="J387" s="27" t="n"/>
    </row>
    <row r="388" ht="15" customHeight="1">
      <c r="A388" s="27" t="n"/>
      <c r="B388" s="27" t="n"/>
      <c r="C388" s="27" t="n"/>
      <c r="D388" s="1">
        <f>IFERROR(INDEX('20 2026 DEPO KABUL'!$B$2:$B$501,MATCH(C388,'20 2026 DEPO KABUL'!$F$2:$F$501,0)),"")</f>
        <v/>
      </c>
      <c r="E388" s="27" t="n"/>
      <c r="F388" s="27" t="n"/>
      <c r="G388" s="1">
        <f>IFERROR(INDEX('20 2026 DEPO KABUL'!$G$2:$G$501,MATCH(C388,'20 2026 DEPO KABUL'!$F$2:$F$501,0)),"")</f>
        <v/>
      </c>
      <c r="H388" s="1">
        <f>IFERROR(INDEX('20 2026 DEPO KABUL'!$H$2:$H$501,MATCH(C388,'20 2026 DEPO KABUL'!$F$2:$F$501,0)),"")</f>
        <v/>
      </c>
      <c r="I388" s="27" t="n"/>
      <c r="J388" s="27" t="n"/>
    </row>
    <row r="389" ht="15" customHeight="1">
      <c r="A389" s="27" t="n"/>
      <c r="B389" s="27" t="n"/>
      <c r="C389" s="27" t="n"/>
      <c r="D389" s="1">
        <f>IFERROR(INDEX('20 2026 DEPO KABUL'!$B$2:$B$501,MATCH(C389,'20 2026 DEPO KABUL'!$F$2:$F$501,0)),"")</f>
        <v/>
      </c>
      <c r="E389" s="27" t="n"/>
      <c r="F389" s="27" t="n"/>
      <c r="G389" s="1">
        <f>IFERROR(INDEX('20 2026 DEPO KABUL'!$G$2:$G$501,MATCH(C389,'20 2026 DEPO KABUL'!$F$2:$F$501,0)),"")</f>
        <v/>
      </c>
      <c r="H389" s="1">
        <f>IFERROR(INDEX('20 2026 DEPO KABUL'!$H$2:$H$501,MATCH(C389,'20 2026 DEPO KABUL'!$F$2:$F$501,0)),"")</f>
        <v/>
      </c>
      <c r="I389" s="27" t="n"/>
      <c r="J389" s="27" t="n"/>
    </row>
    <row r="390" ht="15" customHeight="1">
      <c r="A390" s="27" t="n"/>
      <c r="B390" s="27" t="n"/>
      <c r="C390" s="27" t="n"/>
      <c r="D390" s="1">
        <f>IFERROR(INDEX('20 2026 DEPO KABUL'!$B$2:$B$501,MATCH(C390,'20 2026 DEPO KABUL'!$F$2:$F$501,0)),"")</f>
        <v/>
      </c>
      <c r="E390" s="27" t="n"/>
      <c r="F390" s="27" t="n"/>
      <c r="G390" s="1">
        <f>IFERROR(INDEX('20 2026 DEPO KABUL'!$G$2:$G$501,MATCH(C390,'20 2026 DEPO KABUL'!$F$2:$F$501,0)),"")</f>
        <v/>
      </c>
      <c r="H390" s="1">
        <f>IFERROR(INDEX('20 2026 DEPO KABUL'!$H$2:$H$501,MATCH(C390,'20 2026 DEPO KABUL'!$F$2:$F$501,0)),"")</f>
        <v/>
      </c>
      <c r="I390" s="27" t="n"/>
      <c r="J390" s="27" t="n"/>
    </row>
    <row r="391" ht="15" customHeight="1">
      <c r="A391" s="27" t="n"/>
      <c r="B391" s="27" t="n"/>
      <c r="C391" s="27" t="n"/>
      <c r="D391" s="1">
        <f>IFERROR(INDEX('20 2026 DEPO KABUL'!$B$2:$B$501,MATCH(C391,'20 2026 DEPO KABUL'!$F$2:$F$501,0)),"")</f>
        <v/>
      </c>
      <c r="E391" s="27" t="n"/>
      <c r="F391" s="27" t="n"/>
      <c r="G391" s="1">
        <f>IFERROR(INDEX('20 2026 DEPO KABUL'!$G$2:$G$501,MATCH(C391,'20 2026 DEPO KABUL'!$F$2:$F$501,0)),"")</f>
        <v/>
      </c>
      <c r="H391" s="1">
        <f>IFERROR(INDEX('20 2026 DEPO KABUL'!$H$2:$H$501,MATCH(C391,'20 2026 DEPO KABUL'!$F$2:$F$501,0)),"")</f>
        <v/>
      </c>
      <c r="I391" s="27" t="n"/>
      <c r="J391" s="27" t="n"/>
    </row>
    <row r="392" ht="15" customHeight="1">
      <c r="A392" s="27" t="n"/>
      <c r="B392" s="27" t="n"/>
      <c r="C392" s="27" t="n"/>
      <c r="D392" s="1">
        <f>IFERROR(INDEX('20 2026 DEPO KABUL'!$B$2:$B$501,MATCH(C392,'20 2026 DEPO KABUL'!$F$2:$F$501,0)),"")</f>
        <v/>
      </c>
      <c r="E392" s="27" t="n"/>
      <c r="F392" s="27" t="n"/>
      <c r="G392" s="1">
        <f>IFERROR(INDEX('20 2026 DEPO KABUL'!$G$2:$G$501,MATCH(C392,'20 2026 DEPO KABUL'!$F$2:$F$501,0)),"")</f>
        <v/>
      </c>
      <c r="H392" s="1">
        <f>IFERROR(INDEX('20 2026 DEPO KABUL'!$H$2:$H$501,MATCH(C392,'20 2026 DEPO KABUL'!$F$2:$F$501,0)),"")</f>
        <v/>
      </c>
      <c r="I392" s="27" t="n"/>
      <c r="J392" s="27" t="n"/>
    </row>
    <row r="393" ht="15" customHeight="1">
      <c r="A393" s="27" t="n"/>
      <c r="B393" s="27" t="n"/>
      <c r="C393" s="27" t="n"/>
      <c r="D393" s="1">
        <f>IFERROR(INDEX('20 2026 DEPO KABUL'!$B$2:$B$501,MATCH(C393,'20 2026 DEPO KABUL'!$F$2:$F$501,0)),"")</f>
        <v/>
      </c>
      <c r="E393" s="27" t="n"/>
      <c r="F393" s="27" t="n"/>
      <c r="G393" s="1">
        <f>IFERROR(INDEX('20 2026 DEPO KABUL'!$G$2:$G$501,MATCH(C393,'20 2026 DEPO KABUL'!$F$2:$F$501,0)),"")</f>
        <v/>
      </c>
      <c r="H393" s="1">
        <f>IFERROR(INDEX('20 2026 DEPO KABUL'!$H$2:$H$501,MATCH(C393,'20 2026 DEPO KABUL'!$F$2:$F$501,0)),"")</f>
        <v/>
      </c>
      <c r="I393" s="27" t="n"/>
      <c r="J393" s="27" t="n"/>
    </row>
    <row r="394" ht="15" customHeight="1">
      <c r="A394" s="27" t="n"/>
      <c r="B394" s="27" t="n"/>
      <c r="C394" s="27" t="n"/>
      <c r="D394" s="1">
        <f>IFERROR(INDEX('20 2026 DEPO KABUL'!$B$2:$B$501,MATCH(C394,'20 2026 DEPO KABUL'!$F$2:$F$501,0)),"")</f>
        <v/>
      </c>
      <c r="E394" s="27" t="n"/>
      <c r="F394" s="27" t="n"/>
      <c r="G394" s="1">
        <f>IFERROR(INDEX('20 2026 DEPO KABUL'!$G$2:$G$501,MATCH(C394,'20 2026 DEPO KABUL'!$F$2:$F$501,0)),"")</f>
        <v/>
      </c>
      <c r="H394" s="1">
        <f>IFERROR(INDEX('20 2026 DEPO KABUL'!$H$2:$H$501,MATCH(C394,'20 2026 DEPO KABUL'!$F$2:$F$501,0)),"")</f>
        <v/>
      </c>
      <c r="I394" s="27" t="n"/>
      <c r="J394" s="27" t="n"/>
    </row>
    <row r="395" ht="15" customHeight="1">
      <c r="A395" s="27" t="n"/>
      <c r="B395" s="27" t="n"/>
      <c r="C395" s="27" t="n"/>
      <c r="D395" s="1">
        <f>IFERROR(INDEX('20 2026 DEPO KABUL'!$B$2:$B$501,MATCH(C395,'20 2026 DEPO KABUL'!$F$2:$F$501,0)),"")</f>
        <v/>
      </c>
      <c r="E395" s="27" t="n"/>
      <c r="F395" s="27" t="n"/>
      <c r="G395" s="1">
        <f>IFERROR(INDEX('20 2026 DEPO KABUL'!$G$2:$G$501,MATCH(C395,'20 2026 DEPO KABUL'!$F$2:$F$501,0)),"")</f>
        <v/>
      </c>
      <c r="H395" s="1">
        <f>IFERROR(INDEX('20 2026 DEPO KABUL'!$H$2:$H$501,MATCH(C395,'20 2026 DEPO KABUL'!$F$2:$F$501,0)),"")</f>
        <v/>
      </c>
      <c r="I395" s="27" t="n"/>
      <c r="J395" s="27" t="n"/>
    </row>
    <row r="396" ht="15" customHeight="1">
      <c r="A396" s="27" t="n"/>
      <c r="B396" s="27" t="n"/>
      <c r="C396" s="27" t="n"/>
      <c r="D396" s="1">
        <f>IFERROR(INDEX('20 2026 DEPO KABUL'!$B$2:$B$501,MATCH(C396,'20 2026 DEPO KABUL'!$F$2:$F$501,0)),"")</f>
        <v/>
      </c>
      <c r="E396" s="27" t="n"/>
      <c r="F396" s="27" t="n"/>
      <c r="G396" s="1">
        <f>IFERROR(INDEX('20 2026 DEPO KABUL'!$G$2:$G$501,MATCH(C396,'20 2026 DEPO KABUL'!$F$2:$F$501,0)),"")</f>
        <v/>
      </c>
      <c r="H396" s="1">
        <f>IFERROR(INDEX('20 2026 DEPO KABUL'!$H$2:$H$501,MATCH(C396,'20 2026 DEPO KABUL'!$F$2:$F$501,0)),"")</f>
        <v/>
      </c>
      <c r="I396" s="27" t="n"/>
      <c r="J396" s="27" t="n"/>
    </row>
    <row r="397" ht="15" customHeight="1">
      <c r="A397" s="27" t="n"/>
      <c r="B397" s="27" t="n"/>
      <c r="C397" s="27" t="n"/>
      <c r="D397" s="1">
        <f>IFERROR(INDEX('20 2026 DEPO KABUL'!$B$2:$B$501,MATCH(C397,'20 2026 DEPO KABUL'!$F$2:$F$501,0)),"")</f>
        <v/>
      </c>
      <c r="E397" s="27" t="n"/>
      <c r="F397" s="27" t="n"/>
      <c r="G397" s="1">
        <f>IFERROR(INDEX('20 2026 DEPO KABUL'!$G$2:$G$501,MATCH(C397,'20 2026 DEPO KABUL'!$F$2:$F$501,0)),"")</f>
        <v/>
      </c>
      <c r="H397" s="1">
        <f>IFERROR(INDEX('20 2026 DEPO KABUL'!$H$2:$H$501,MATCH(C397,'20 2026 DEPO KABUL'!$F$2:$F$501,0)),"")</f>
        <v/>
      </c>
      <c r="I397" s="27" t="n"/>
      <c r="J397" s="27" t="n"/>
    </row>
    <row r="398" ht="15" customHeight="1">
      <c r="A398" s="27" t="n"/>
      <c r="B398" s="27" t="n"/>
      <c r="C398" s="27" t="n"/>
      <c r="D398" s="1">
        <f>IFERROR(INDEX('20 2026 DEPO KABUL'!$B$2:$B$501,MATCH(C398,'20 2026 DEPO KABUL'!$F$2:$F$501,0)),"")</f>
        <v/>
      </c>
      <c r="E398" s="27" t="n"/>
      <c r="F398" s="27" t="n"/>
      <c r="G398" s="1">
        <f>IFERROR(INDEX('20 2026 DEPO KABUL'!$G$2:$G$501,MATCH(C398,'20 2026 DEPO KABUL'!$F$2:$F$501,0)),"")</f>
        <v/>
      </c>
      <c r="H398" s="1">
        <f>IFERROR(INDEX('20 2026 DEPO KABUL'!$H$2:$H$501,MATCH(C398,'20 2026 DEPO KABUL'!$F$2:$F$501,0)),"")</f>
        <v/>
      </c>
      <c r="I398" s="27" t="n"/>
      <c r="J398" s="27" t="n"/>
    </row>
    <row r="399" ht="15" customHeight="1">
      <c r="A399" s="27" t="n"/>
      <c r="B399" s="27" t="n"/>
      <c r="C399" s="27" t="n"/>
      <c r="D399" s="1">
        <f>IFERROR(INDEX('20 2026 DEPO KABUL'!$B$2:$B$501,MATCH(C399,'20 2026 DEPO KABUL'!$F$2:$F$501,0)),"")</f>
        <v/>
      </c>
      <c r="E399" s="27" t="n"/>
      <c r="F399" s="27" t="n"/>
      <c r="G399" s="1">
        <f>IFERROR(INDEX('20 2026 DEPO KABUL'!$G$2:$G$501,MATCH(C399,'20 2026 DEPO KABUL'!$F$2:$F$501,0)),"")</f>
        <v/>
      </c>
      <c r="H399" s="1">
        <f>IFERROR(INDEX('20 2026 DEPO KABUL'!$H$2:$H$501,MATCH(C399,'20 2026 DEPO KABUL'!$F$2:$F$501,0)),"")</f>
        <v/>
      </c>
      <c r="I399" s="27" t="n"/>
      <c r="J399" s="27" t="n"/>
    </row>
    <row r="400" ht="15" customHeight="1">
      <c r="A400" s="27" t="n"/>
      <c r="B400" s="27" t="n"/>
      <c r="C400" s="27" t="n"/>
      <c r="D400" s="1">
        <f>IFERROR(INDEX('20 2026 DEPO KABUL'!$B$2:$B$501,MATCH(C400,'20 2026 DEPO KABUL'!$F$2:$F$501,0)),"")</f>
        <v/>
      </c>
      <c r="E400" s="27" t="n"/>
      <c r="F400" s="27" t="n"/>
      <c r="G400" s="1">
        <f>IFERROR(INDEX('20 2026 DEPO KABUL'!$G$2:$G$501,MATCH(C400,'20 2026 DEPO KABUL'!$F$2:$F$501,0)),"")</f>
        <v/>
      </c>
      <c r="H400" s="1">
        <f>IFERROR(INDEX('20 2026 DEPO KABUL'!$H$2:$H$501,MATCH(C400,'20 2026 DEPO KABUL'!$F$2:$F$501,0)),"")</f>
        <v/>
      </c>
      <c r="I400" s="27" t="n"/>
      <c r="J400" s="27" t="n"/>
    </row>
    <row r="401" ht="15" customHeight="1">
      <c r="A401" s="27" t="n"/>
      <c r="B401" s="27" t="n"/>
      <c r="C401" s="27" t="n"/>
      <c r="D401" s="1">
        <f>IFERROR(INDEX('20 2026 DEPO KABUL'!$B$2:$B$501,MATCH(C401,'20 2026 DEPO KABUL'!$F$2:$F$501,0)),"")</f>
        <v/>
      </c>
      <c r="E401" s="27" t="n"/>
      <c r="F401" s="27" t="n"/>
      <c r="G401" s="1">
        <f>IFERROR(INDEX('20 2026 DEPO KABUL'!$G$2:$G$501,MATCH(C401,'20 2026 DEPO KABUL'!$F$2:$F$501,0)),"")</f>
        <v/>
      </c>
      <c r="H401" s="1">
        <f>IFERROR(INDEX('20 2026 DEPO KABUL'!$H$2:$H$501,MATCH(C401,'20 2026 DEPO KABUL'!$F$2:$F$501,0)),"")</f>
        <v/>
      </c>
      <c r="I401" s="27" t="n"/>
      <c r="J401" s="27" t="n"/>
    </row>
    <row r="402" ht="15" customHeight="1">
      <c r="A402" s="27" t="n"/>
      <c r="B402" s="27" t="n"/>
      <c r="C402" s="27" t="n"/>
      <c r="D402" s="1">
        <f>IFERROR(INDEX('20 2026 DEPO KABUL'!$B$2:$B$501,MATCH(C402,'20 2026 DEPO KABUL'!$F$2:$F$501,0)),"")</f>
        <v/>
      </c>
      <c r="E402" s="27" t="n"/>
      <c r="F402" s="27" t="n"/>
      <c r="G402" s="1">
        <f>IFERROR(INDEX('20 2026 DEPO KABUL'!$G$2:$G$501,MATCH(C402,'20 2026 DEPO KABUL'!$F$2:$F$501,0)),"")</f>
        <v/>
      </c>
      <c r="H402" s="1">
        <f>IFERROR(INDEX('20 2026 DEPO KABUL'!$H$2:$H$501,MATCH(C402,'20 2026 DEPO KABUL'!$F$2:$F$501,0)),"")</f>
        <v/>
      </c>
      <c r="I402" s="27" t="n"/>
      <c r="J402" s="27" t="n"/>
    </row>
    <row r="403" ht="15" customHeight="1">
      <c r="A403" s="27" t="n"/>
      <c r="B403" s="27" t="n"/>
      <c r="C403" s="27" t="n"/>
      <c r="D403" s="1">
        <f>IFERROR(INDEX('20 2026 DEPO KABUL'!$B$2:$B$501,MATCH(C403,'20 2026 DEPO KABUL'!$F$2:$F$501,0)),"")</f>
        <v/>
      </c>
      <c r="E403" s="27" t="n"/>
      <c r="F403" s="27" t="n"/>
      <c r="G403" s="1">
        <f>IFERROR(INDEX('20 2026 DEPO KABUL'!$G$2:$G$501,MATCH(C403,'20 2026 DEPO KABUL'!$F$2:$F$501,0)),"")</f>
        <v/>
      </c>
      <c r="H403" s="1">
        <f>IFERROR(INDEX('20 2026 DEPO KABUL'!$H$2:$H$501,MATCH(C403,'20 2026 DEPO KABUL'!$F$2:$F$501,0)),"")</f>
        <v/>
      </c>
      <c r="I403" s="27" t="n"/>
      <c r="J403" s="27" t="n"/>
    </row>
    <row r="404" ht="15" customHeight="1">
      <c r="A404" s="27" t="n"/>
      <c r="B404" s="27" t="n"/>
      <c r="C404" s="27" t="n"/>
      <c r="D404" s="1">
        <f>IFERROR(INDEX('20 2026 DEPO KABUL'!$B$2:$B$501,MATCH(C404,'20 2026 DEPO KABUL'!$F$2:$F$501,0)),"")</f>
        <v/>
      </c>
      <c r="E404" s="27" t="n"/>
      <c r="F404" s="27" t="n"/>
      <c r="G404" s="1">
        <f>IFERROR(INDEX('20 2026 DEPO KABUL'!$G$2:$G$501,MATCH(C404,'20 2026 DEPO KABUL'!$F$2:$F$501,0)),"")</f>
        <v/>
      </c>
      <c r="H404" s="1">
        <f>IFERROR(INDEX('20 2026 DEPO KABUL'!$H$2:$H$501,MATCH(C404,'20 2026 DEPO KABUL'!$F$2:$F$501,0)),"")</f>
        <v/>
      </c>
      <c r="I404" s="27" t="n"/>
      <c r="J404" s="27" t="n"/>
    </row>
    <row r="405" ht="15" customHeight="1">
      <c r="A405" s="27" t="n"/>
      <c r="B405" s="27" t="n"/>
      <c r="C405" s="27" t="n"/>
      <c r="D405" s="1">
        <f>IFERROR(INDEX('20 2026 DEPO KABUL'!$B$2:$B$501,MATCH(C405,'20 2026 DEPO KABUL'!$F$2:$F$501,0)),"")</f>
        <v/>
      </c>
      <c r="E405" s="27" t="n"/>
      <c r="F405" s="27" t="n"/>
      <c r="G405" s="1">
        <f>IFERROR(INDEX('20 2026 DEPO KABUL'!$G$2:$G$501,MATCH(C405,'20 2026 DEPO KABUL'!$F$2:$F$501,0)),"")</f>
        <v/>
      </c>
      <c r="H405" s="1">
        <f>IFERROR(INDEX('20 2026 DEPO KABUL'!$H$2:$H$501,MATCH(C405,'20 2026 DEPO KABUL'!$F$2:$F$501,0)),"")</f>
        <v/>
      </c>
      <c r="I405" s="27" t="n"/>
      <c r="J405" s="27" t="n"/>
    </row>
    <row r="406" ht="15" customHeight="1">
      <c r="A406" s="27" t="n"/>
      <c r="B406" s="27" t="n"/>
      <c r="C406" s="27" t="n"/>
      <c r="D406" s="1">
        <f>IFERROR(INDEX('20 2026 DEPO KABUL'!$B$2:$B$501,MATCH(C406,'20 2026 DEPO KABUL'!$F$2:$F$501,0)),"")</f>
        <v/>
      </c>
      <c r="E406" s="27" t="n"/>
      <c r="F406" s="27" t="n"/>
      <c r="G406" s="1">
        <f>IFERROR(INDEX('20 2026 DEPO KABUL'!$G$2:$G$501,MATCH(C406,'20 2026 DEPO KABUL'!$F$2:$F$501,0)),"")</f>
        <v/>
      </c>
      <c r="H406" s="1">
        <f>IFERROR(INDEX('20 2026 DEPO KABUL'!$H$2:$H$501,MATCH(C406,'20 2026 DEPO KABUL'!$F$2:$F$501,0)),"")</f>
        <v/>
      </c>
      <c r="I406" s="27" t="n"/>
      <c r="J406" s="27" t="n"/>
    </row>
    <row r="407" ht="15" customHeight="1">
      <c r="A407" s="27" t="n"/>
      <c r="B407" s="27" t="n"/>
      <c r="C407" s="27" t="n"/>
      <c r="D407" s="1">
        <f>IFERROR(INDEX('20 2026 DEPO KABUL'!$B$2:$B$501,MATCH(C407,'20 2026 DEPO KABUL'!$F$2:$F$501,0)),"")</f>
        <v/>
      </c>
      <c r="E407" s="27" t="n"/>
      <c r="F407" s="27" t="n"/>
      <c r="G407" s="1">
        <f>IFERROR(INDEX('20 2026 DEPO KABUL'!$G$2:$G$501,MATCH(C407,'20 2026 DEPO KABUL'!$F$2:$F$501,0)),"")</f>
        <v/>
      </c>
      <c r="H407" s="1">
        <f>IFERROR(INDEX('20 2026 DEPO KABUL'!$H$2:$H$501,MATCH(C407,'20 2026 DEPO KABUL'!$F$2:$F$501,0)),"")</f>
        <v/>
      </c>
      <c r="I407" s="27" t="n"/>
      <c r="J407" s="27" t="n"/>
    </row>
    <row r="408" ht="15" customHeight="1">
      <c r="A408" s="27" t="n"/>
      <c r="B408" s="27" t="n"/>
      <c r="C408" s="27" t="n"/>
      <c r="D408" s="1">
        <f>IFERROR(INDEX('20 2026 DEPO KABUL'!$B$2:$B$501,MATCH(C408,'20 2026 DEPO KABUL'!$F$2:$F$501,0)),"")</f>
        <v/>
      </c>
      <c r="E408" s="27" t="n"/>
      <c r="F408" s="27" t="n"/>
      <c r="G408" s="1">
        <f>IFERROR(INDEX('20 2026 DEPO KABUL'!$G$2:$G$501,MATCH(C408,'20 2026 DEPO KABUL'!$F$2:$F$501,0)),"")</f>
        <v/>
      </c>
      <c r="H408" s="1">
        <f>IFERROR(INDEX('20 2026 DEPO KABUL'!$H$2:$H$501,MATCH(C408,'20 2026 DEPO KABUL'!$F$2:$F$501,0)),"")</f>
        <v/>
      </c>
      <c r="I408" s="27" t="n"/>
      <c r="J408" s="27" t="n"/>
    </row>
    <row r="409" ht="15" customHeight="1">
      <c r="A409" s="27" t="n"/>
      <c r="B409" s="27" t="n"/>
      <c r="C409" s="27" t="n"/>
      <c r="D409" s="1">
        <f>IFERROR(INDEX('20 2026 DEPO KABUL'!$B$2:$B$501,MATCH(C409,'20 2026 DEPO KABUL'!$F$2:$F$501,0)),"")</f>
        <v/>
      </c>
      <c r="E409" s="27" t="n"/>
      <c r="F409" s="27" t="n"/>
      <c r="G409" s="1">
        <f>IFERROR(INDEX('20 2026 DEPO KABUL'!$G$2:$G$501,MATCH(C409,'20 2026 DEPO KABUL'!$F$2:$F$501,0)),"")</f>
        <v/>
      </c>
      <c r="H409" s="1">
        <f>IFERROR(INDEX('20 2026 DEPO KABUL'!$H$2:$H$501,MATCH(C409,'20 2026 DEPO KABUL'!$F$2:$F$501,0)),"")</f>
        <v/>
      </c>
      <c r="I409" s="27" t="n"/>
      <c r="J409" s="27" t="n"/>
    </row>
    <row r="410" ht="15" customHeight="1">
      <c r="A410" s="27" t="n"/>
      <c r="B410" s="27" t="n"/>
      <c r="C410" s="27" t="n"/>
      <c r="D410" s="1">
        <f>IFERROR(INDEX('20 2026 DEPO KABUL'!$B$2:$B$501,MATCH(C410,'20 2026 DEPO KABUL'!$F$2:$F$501,0)),"")</f>
        <v/>
      </c>
      <c r="E410" s="27" t="n"/>
      <c r="F410" s="27" t="n"/>
      <c r="G410" s="1">
        <f>IFERROR(INDEX('20 2026 DEPO KABUL'!$G$2:$G$501,MATCH(C410,'20 2026 DEPO KABUL'!$F$2:$F$501,0)),"")</f>
        <v/>
      </c>
      <c r="H410" s="1">
        <f>IFERROR(INDEX('20 2026 DEPO KABUL'!$H$2:$H$501,MATCH(C410,'20 2026 DEPO KABUL'!$F$2:$F$501,0)),"")</f>
        <v/>
      </c>
      <c r="I410" s="27" t="n"/>
      <c r="J410" s="27" t="n"/>
    </row>
    <row r="411" ht="15" customHeight="1">
      <c r="A411" s="27" t="n"/>
      <c r="B411" s="27" t="n"/>
      <c r="C411" s="27" t="n"/>
      <c r="D411" s="1">
        <f>IFERROR(INDEX('20 2026 DEPO KABUL'!$B$2:$B$501,MATCH(C411,'20 2026 DEPO KABUL'!$F$2:$F$501,0)),"")</f>
        <v/>
      </c>
      <c r="E411" s="27" t="n"/>
      <c r="F411" s="27" t="n"/>
      <c r="G411" s="1">
        <f>IFERROR(INDEX('20 2026 DEPO KABUL'!$G$2:$G$501,MATCH(C411,'20 2026 DEPO KABUL'!$F$2:$F$501,0)),"")</f>
        <v/>
      </c>
      <c r="H411" s="1">
        <f>IFERROR(INDEX('20 2026 DEPO KABUL'!$H$2:$H$501,MATCH(C411,'20 2026 DEPO KABUL'!$F$2:$F$501,0)),"")</f>
        <v/>
      </c>
      <c r="I411" s="27" t="n"/>
      <c r="J411" s="27" t="n"/>
    </row>
    <row r="412" ht="15" customHeight="1">
      <c r="A412" s="27" t="n"/>
      <c r="B412" s="27" t="n"/>
      <c r="C412" s="27" t="n"/>
      <c r="D412" s="1">
        <f>IFERROR(INDEX('20 2026 DEPO KABUL'!$B$2:$B$501,MATCH(C412,'20 2026 DEPO KABUL'!$F$2:$F$501,0)),"")</f>
        <v/>
      </c>
      <c r="E412" s="27" t="n"/>
      <c r="F412" s="27" t="n"/>
      <c r="G412" s="1">
        <f>IFERROR(INDEX('20 2026 DEPO KABUL'!$G$2:$G$501,MATCH(C412,'20 2026 DEPO KABUL'!$F$2:$F$501,0)),"")</f>
        <v/>
      </c>
      <c r="H412" s="1">
        <f>IFERROR(INDEX('20 2026 DEPO KABUL'!$H$2:$H$501,MATCH(C412,'20 2026 DEPO KABUL'!$F$2:$F$501,0)),"")</f>
        <v/>
      </c>
      <c r="I412" s="27" t="n"/>
      <c r="J412" s="27" t="n"/>
    </row>
    <row r="413" ht="15" customHeight="1">
      <c r="A413" s="27" t="n"/>
      <c r="B413" s="27" t="n"/>
      <c r="C413" s="27" t="n"/>
      <c r="D413" s="1">
        <f>IFERROR(INDEX('20 2026 DEPO KABUL'!$B$2:$B$501,MATCH(C413,'20 2026 DEPO KABUL'!$F$2:$F$501,0)),"")</f>
        <v/>
      </c>
      <c r="E413" s="27" t="n"/>
      <c r="F413" s="27" t="n"/>
      <c r="G413" s="1">
        <f>IFERROR(INDEX('20 2026 DEPO KABUL'!$G$2:$G$501,MATCH(C413,'20 2026 DEPO KABUL'!$F$2:$F$501,0)),"")</f>
        <v/>
      </c>
      <c r="H413" s="1">
        <f>IFERROR(INDEX('20 2026 DEPO KABUL'!$H$2:$H$501,MATCH(C413,'20 2026 DEPO KABUL'!$F$2:$F$501,0)),"")</f>
        <v/>
      </c>
      <c r="I413" s="27" t="n"/>
      <c r="J413" s="27" t="n"/>
    </row>
    <row r="414" ht="15" customHeight="1">
      <c r="A414" s="27" t="n"/>
      <c r="B414" s="27" t="n"/>
      <c r="C414" s="27" t="n"/>
      <c r="D414" s="1">
        <f>IFERROR(INDEX('20 2026 DEPO KABUL'!$B$2:$B$501,MATCH(C414,'20 2026 DEPO KABUL'!$F$2:$F$501,0)),"")</f>
        <v/>
      </c>
      <c r="E414" s="27" t="n"/>
      <c r="F414" s="27" t="n"/>
      <c r="G414" s="1">
        <f>IFERROR(INDEX('20 2026 DEPO KABUL'!$G$2:$G$501,MATCH(C414,'20 2026 DEPO KABUL'!$F$2:$F$501,0)),"")</f>
        <v/>
      </c>
      <c r="H414" s="1">
        <f>IFERROR(INDEX('20 2026 DEPO KABUL'!$H$2:$H$501,MATCH(C414,'20 2026 DEPO KABUL'!$F$2:$F$501,0)),"")</f>
        <v/>
      </c>
      <c r="I414" s="27" t="n"/>
      <c r="J414" s="27" t="n"/>
    </row>
    <row r="415" ht="15" customHeight="1">
      <c r="A415" s="27" t="n"/>
      <c r="B415" s="27" t="n"/>
      <c r="C415" s="27" t="n"/>
      <c r="D415" s="1">
        <f>IFERROR(INDEX('20 2026 DEPO KABUL'!$B$2:$B$501,MATCH(C415,'20 2026 DEPO KABUL'!$F$2:$F$501,0)),"")</f>
        <v/>
      </c>
      <c r="E415" s="27" t="n"/>
      <c r="F415" s="27" t="n"/>
      <c r="G415" s="1">
        <f>IFERROR(INDEX('20 2026 DEPO KABUL'!$G$2:$G$501,MATCH(C415,'20 2026 DEPO KABUL'!$F$2:$F$501,0)),"")</f>
        <v/>
      </c>
      <c r="H415" s="1">
        <f>IFERROR(INDEX('20 2026 DEPO KABUL'!$H$2:$H$501,MATCH(C415,'20 2026 DEPO KABUL'!$F$2:$F$501,0)),"")</f>
        <v/>
      </c>
      <c r="I415" s="27" t="n"/>
      <c r="J415" s="27" t="n"/>
    </row>
    <row r="416" ht="15" customHeight="1">
      <c r="A416" s="27" t="n"/>
      <c r="B416" s="27" t="n"/>
      <c r="C416" s="27" t="n"/>
      <c r="D416" s="1">
        <f>IFERROR(INDEX('20 2026 DEPO KABUL'!$B$2:$B$501,MATCH(C416,'20 2026 DEPO KABUL'!$F$2:$F$501,0)),"")</f>
        <v/>
      </c>
      <c r="E416" s="27" t="n"/>
      <c r="F416" s="27" t="n"/>
      <c r="G416" s="1">
        <f>IFERROR(INDEX('20 2026 DEPO KABUL'!$G$2:$G$501,MATCH(C416,'20 2026 DEPO KABUL'!$F$2:$F$501,0)),"")</f>
        <v/>
      </c>
      <c r="H416" s="1">
        <f>IFERROR(INDEX('20 2026 DEPO KABUL'!$H$2:$H$501,MATCH(C416,'20 2026 DEPO KABUL'!$F$2:$F$501,0)),"")</f>
        <v/>
      </c>
      <c r="I416" s="27" t="n"/>
      <c r="J416" s="27" t="n"/>
    </row>
    <row r="417" ht="15" customHeight="1">
      <c r="A417" s="27" t="n"/>
      <c r="B417" s="27" t="n"/>
      <c r="C417" s="27" t="n"/>
      <c r="D417" s="1">
        <f>IFERROR(INDEX('20 2026 DEPO KABUL'!$B$2:$B$501,MATCH(C417,'20 2026 DEPO KABUL'!$F$2:$F$501,0)),"")</f>
        <v/>
      </c>
      <c r="E417" s="27" t="n"/>
      <c r="F417" s="27" t="n"/>
      <c r="G417" s="1">
        <f>IFERROR(INDEX('20 2026 DEPO KABUL'!$G$2:$G$501,MATCH(C417,'20 2026 DEPO KABUL'!$F$2:$F$501,0)),"")</f>
        <v/>
      </c>
      <c r="H417" s="1">
        <f>IFERROR(INDEX('20 2026 DEPO KABUL'!$H$2:$H$501,MATCH(C417,'20 2026 DEPO KABUL'!$F$2:$F$501,0)),"")</f>
        <v/>
      </c>
      <c r="I417" s="27" t="n"/>
      <c r="J417" s="27" t="n"/>
    </row>
    <row r="418" ht="15" customHeight="1">
      <c r="A418" s="27" t="n"/>
      <c r="B418" s="27" t="n"/>
      <c r="C418" s="27" t="n"/>
      <c r="D418" s="1">
        <f>IFERROR(INDEX('20 2026 DEPO KABUL'!$B$2:$B$501,MATCH(C418,'20 2026 DEPO KABUL'!$F$2:$F$501,0)),"")</f>
        <v/>
      </c>
      <c r="E418" s="27" t="n"/>
      <c r="F418" s="27" t="n"/>
      <c r="G418" s="1">
        <f>IFERROR(INDEX('20 2026 DEPO KABUL'!$G$2:$G$501,MATCH(C418,'20 2026 DEPO KABUL'!$F$2:$F$501,0)),"")</f>
        <v/>
      </c>
      <c r="H418" s="1">
        <f>IFERROR(INDEX('20 2026 DEPO KABUL'!$H$2:$H$501,MATCH(C418,'20 2026 DEPO KABUL'!$F$2:$F$501,0)),"")</f>
        <v/>
      </c>
      <c r="I418" s="27" t="n"/>
      <c r="J418" s="27" t="n"/>
    </row>
    <row r="419" ht="15" customHeight="1">
      <c r="A419" s="27" t="n"/>
      <c r="B419" s="27" t="n"/>
      <c r="C419" s="27" t="n"/>
      <c r="D419" s="1">
        <f>IFERROR(INDEX('20 2026 DEPO KABUL'!$B$2:$B$501,MATCH(C419,'20 2026 DEPO KABUL'!$F$2:$F$501,0)),"")</f>
        <v/>
      </c>
      <c r="E419" s="27" t="n"/>
      <c r="F419" s="27" t="n"/>
      <c r="G419" s="1">
        <f>IFERROR(INDEX('20 2026 DEPO KABUL'!$G$2:$G$501,MATCH(C419,'20 2026 DEPO KABUL'!$F$2:$F$501,0)),"")</f>
        <v/>
      </c>
      <c r="H419" s="1">
        <f>IFERROR(INDEX('20 2026 DEPO KABUL'!$H$2:$H$501,MATCH(C419,'20 2026 DEPO KABUL'!$F$2:$F$501,0)),"")</f>
        <v/>
      </c>
      <c r="I419" s="27" t="n"/>
      <c r="J419" s="27" t="n"/>
    </row>
    <row r="420" ht="15" customHeight="1">
      <c r="A420" s="27" t="n"/>
      <c r="B420" s="27" t="n"/>
      <c r="C420" s="27" t="n"/>
      <c r="D420" s="1">
        <f>IFERROR(INDEX('20 2026 DEPO KABUL'!$B$2:$B$501,MATCH(C420,'20 2026 DEPO KABUL'!$F$2:$F$501,0)),"")</f>
        <v/>
      </c>
      <c r="E420" s="27" t="n"/>
      <c r="F420" s="27" t="n"/>
      <c r="G420" s="1">
        <f>IFERROR(INDEX('20 2026 DEPO KABUL'!$G$2:$G$501,MATCH(C420,'20 2026 DEPO KABUL'!$F$2:$F$501,0)),"")</f>
        <v/>
      </c>
      <c r="H420" s="1">
        <f>IFERROR(INDEX('20 2026 DEPO KABUL'!$H$2:$H$501,MATCH(C420,'20 2026 DEPO KABUL'!$F$2:$F$501,0)),"")</f>
        <v/>
      </c>
      <c r="I420" s="27" t="n"/>
      <c r="J420" s="27" t="n"/>
    </row>
    <row r="421" ht="15" customHeight="1">
      <c r="A421" s="27" t="n"/>
      <c r="B421" s="27" t="n"/>
      <c r="C421" s="27" t="n"/>
      <c r="D421" s="1">
        <f>IFERROR(INDEX('20 2026 DEPO KABUL'!$B$2:$B$501,MATCH(C421,'20 2026 DEPO KABUL'!$F$2:$F$501,0)),"")</f>
        <v/>
      </c>
      <c r="E421" s="27" t="n"/>
      <c r="F421" s="27" t="n"/>
      <c r="G421" s="1">
        <f>IFERROR(INDEX('20 2026 DEPO KABUL'!$G$2:$G$501,MATCH(C421,'20 2026 DEPO KABUL'!$F$2:$F$501,0)),"")</f>
        <v/>
      </c>
      <c r="H421" s="1">
        <f>IFERROR(INDEX('20 2026 DEPO KABUL'!$H$2:$H$501,MATCH(C421,'20 2026 DEPO KABUL'!$F$2:$F$501,0)),"")</f>
        <v/>
      </c>
      <c r="I421" s="27" t="n"/>
      <c r="J421" s="27" t="n"/>
    </row>
    <row r="422" ht="15" customHeight="1">
      <c r="A422" s="27" t="n"/>
      <c r="B422" s="27" t="n"/>
      <c r="C422" s="27" t="n"/>
      <c r="D422" s="1">
        <f>IFERROR(INDEX('20 2026 DEPO KABUL'!$B$2:$B$501,MATCH(C422,'20 2026 DEPO KABUL'!$F$2:$F$501,0)),"")</f>
        <v/>
      </c>
      <c r="E422" s="27" t="n"/>
      <c r="F422" s="27" t="n"/>
      <c r="G422" s="1">
        <f>IFERROR(INDEX('20 2026 DEPO KABUL'!$G$2:$G$501,MATCH(C422,'20 2026 DEPO KABUL'!$F$2:$F$501,0)),"")</f>
        <v/>
      </c>
      <c r="H422" s="1">
        <f>IFERROR(INDEX('20 2026 DEPO KABUL'!$H$2:$H$501,MATCH(C422,'20 2026 DEPO KABUL'!$F$2:$F$501,0)),"")</f>
        <v/>
      </c>
      <c r="I422" s="27" t="n"/>
      <c r="J422" s="27" t="n"/>
    </row>
    <row r="423" ht="15" customHeight="1">
      <c r="A423" s="27" t="n"/>
      <c r="B423" s="27" t="n"/>
      <c r="C423" s="27" t="n"/>
      <c r="D423" s="1">
        <f>IFERROR(INDEX('20 2026 DEPO KABUL'!$B$2:$B$501,MATCH(C423,'20 2026 DEPO KABUL'!$F$2:$F$501,0)),"")</f>
        <v/>
      </c>
      <c r="E423" s="27" t="n"/>
      <c r="F423" s="27" t="n"/>
      <c r="G423" s="1">
        <f>IFERROR(INDEX('20 2026 DEPO KABUL'!$G$2:$G$501,MATCH(C423,'20 2026 DEPO KABUL'!$F$2:$F$501,0)),"")</f>
        <v/>
      </c>
      <c r="H423" s="1">
        <f>IFERROR(INDEX('20 2026 DEPO KABUL'!$H$2:$H$501,MATCH(C423,'20 2026 DEPO KABUL'!$F$2:$F$501,0)),"")</f>
        <v/>
      </c>
      <c r="I423" s="27" t="n"/>
      <c r="J423" s="27" t="n"/>
    </row>
    <row r="424" ht="15" customHeight="1">
      <c r="A424" s="27" t="n"/>
      <c r="B424" s="27" t="n"/>
      <c r="C424" s="27" t="n"/>
      <c r="D424" s="1">
        <f>IFERROR(INDEX('20 2026 DEPO KABUL'!$B$2:$B$501,MATCH(C424,'20 2026 DEPO KABUL'!$F$2:$F$501,0)),"")</f>
        <v/>
      </c>
      <c r="E424" s="27" t="n"/>
      <c r="F424" s="27" t="n"/>
      <c r="G424" s="1">
        <f>IFERROR(INDEX('20 2026 DEPO KABUL'!$G$2:$G$501,MATCH(C424,'20 2026 DEPO KABUL'!$F$2:$F$501,0)),"")</f>
        <v/>
      </c>
      <c r="H424" s="1">
        <f>IFERROR(INDEX('20 2026 DEPO KABUL'!$H$2:$H$501,MATCH(C424,'20 2026 DEPO KABUL'!$F$2:$F$501,0)),"")</f>
        <v/>
      </c>
      <c r="I424" s="27" t="n"/>
      <c r="J424" s="27" t="n"/>
    </row>
    <row r="425" ht="15" customHeight="1">
      <c r="A425" s="27" t="n"/>
      <c r="B425" s="27" t="n"/>
      <c r="C425" s="27" t="n"/>
      <c r="D425" s="1">
        <f>IFERROR(INDEX('20 2026 DEPO KABUL'!$B$2:$B$501,MATCH(C425,'20 2026 DEPO KABUL'!$F$2:$F$501,0)),"")</f>
        <v/>
      </c>
      <c r="E425" s="27" t="n"/>
      <c r="F425" s="27" t="n"/>
      <c r="G425" s="1">
        <f>IFERROR(INDEX('20 2026 DEPO KABUL'!$G$2:$G$501,MATCH(C425,'20 2026 DEPO KABUL'!$F$2:$F$501,0)),"")</f>
        <v/>
      </c>
      <c r="H425" s="1">
        <f>IFERROR(INDEX('20 2026 DEPO KABUL'!$H$2:$H$501,MATCH(C425,'20 2026 DEPO KABUL'!$F$2:$F$501,0)),"")</f>
        <v/>
      </c>
      <c r="I425" s="27" t="n"/>
      <c r="J425" s="27" t="n"/>
    </row>
    <row r="426" ht="15" customHeight="1">
      <c r="A426" s="27" t="n"/>
      <c r="B426" s="27" t="n"/>
      <c r="C426" s="27" t="n"/>
      <c r="D426" s="1">
        <f>IFERROR(INDEX('20 2026 DEPO KABUL'!$B$2:$B$501,MATCH(C426,'20 2026 DEPO KABUL'!$F$2:$F$501,0)),"")</f>
        <v/>
      </c>
      <c r="E426" s="27" t="n"/>
      <c r="F426" s="27" t="n"/>
      <c r="G426" s="1">
        <f>IFERROR(INDEX('20 2026 DEPO KABUL'!$G$2:$G$501,MATCH(C426,'20 2026 DEPO KABUL'!$F$2:$F$501,0)),"")</f>
        <v/>
      </c>
      <c r="H426" s="1">
        <f>IFERROR(INDEX('20 2026 DEPO KABUL'!$H$2:$H$501,MATCH(C426,'20 2026 DEPO KABUL'!$F$2:$F$501,0)),"")</f>
        <v/>
      </c>
      <c r="I426" s="27" t="n"/>
      <c r="J426" s="27" t="n"/>
    </row>
    <row r="427" ht="15" customHeight="1">
      <c r="A427" s="27" t="n"/>
      <c r="B427" s="27" t="n"/>
      <c r="C427" s="27" t="n"/>
      <c r="D427" s="1">
        <f>IFERROR(INDEX('20 2026 DEPO KABUL'!$B$2:$B$501,MATCH(C427,'20 2026 DEPO KABUL'!$F$2:$F$501,0)),"")</f>
        <v/>
      </c>
      <c r="E427" s="27" t="n"/>
      <c r="F427" s="27" t="n"/>
      <c r="G427" s="1">
        <f>IFERROR(INDEX('20 2026 DEPO KABUL'!$G$2:$G$501,MATCH(C427,'20 2026 DEPO KABUL'!$F$2:$F$501,0)),"")</f>
        <v/>
      </c>
      <c r="H427" s="1">
        <f>IFERROR(INDEX('20 2026 DEPO KABUL'!$H$2:$H$501,MATCH(C427,'20 2026 DEPO KABUL'!$F$2:$F$501,0)),"")</f>
        <v/>
      </c>
      <c r="I427" s="27" t="n"/>
      <c r="J427" s="27" t="n"/>
    </row>
    <row r="428" ht="15" customHeight="1">
      <c r="A428" s="27" t="n"/>
      <c r="B428" s="27" t="n"/>
      <c r="C428" s="27" t="n"/>
      <c r="D428" s="1">
        <f>IFERROR(INDEX('20 2026 DEPO KABUL'!$B$2:$B$501,MATCH(C428,'20 2026 DEPO KABUL'!$F$2:$F$501,0)),"")</f>
        <v/>
      </c>
      <c r="E428" s="27" t="n"/>
      <c r="F428" s="27" t="n"/>
      <c r="G428" s="1">
        <f>IFERROR(INDEX('20 2026 DEPO KABUL'!$G$2:$G$501,MATCH(C428,'20 2026 DEPO KABUL'!$F$2:$F$501,0)),"")</f>
        <v/>
      </c>
      <c r="H428" s="1">
        <f>IFERROR(INDEX('20 2026 DEPO KABUL'!$H$2:$H$501,MATCH(C428,'20 2026 DEPO KABUL'!$F$2:$F$501,0)),"")</f>
        <v/>
      </c>
      <c r="I428" s="27" t="n"/>
      <c r="J428" s="27" t="n"/>
    </row>
    <row r="429" ht="15" customHeight="1">
      <c r="A429" s="27" t="n"/>
      <c r="B429" s="27" t="n"/>
      <c r="C429" s="27" t="n"/>
      <c r="D429" s="1">
        <f>IFERROR(INDEX('20 2026 DEPO KABUL'!$B$2:$B$501,MATCH(C429,'20 2026 DEPO KABUL'!$F$2:$F$501,0)),"")</f>
        <v/>
      </c>
      <c r="E429" s="27" t="n"/>
      <c r="F429" s="27" t="n"/>
      <c r="G429" s="1">
        <f>IFERROR(INDEX('20 2026 DEPO KABUL'!$G$2:$G$501,MATCH(C429,'20 2026 DEPO KABUL'!$F$2:$F$501,0)),"")</f>
        <v/>
      </c>
      <c r="H429" s="1">
        <f>IFERROR(INDEX('20 2026 DEPO KABUL'!$H$2:$H$501,MATCH(C429,'20 2026 DEPO KABUL'!$F$2:$F$501,0)),"")</f>
        <v/>
      </c>
      <c r="I429" s="27" t="n"/>
      <c r="J429" s="27" t="n"/>
    </row>
    <row r="430" ht="15" customHeight="1">
      <c r="A430" s="27" t="n"/>
      <c r="B430" s="27" t="n"/>
      <c r="C430" s="27" t="n"/>
      <c r="D430" s="1">
        <f>IFERROR(INDEX('20 2026 DEPO KABUL'!$B$2:$B$501,MATCH(C430,'20 2026 DEPO KABUL'!$F$2:$F$501,0)),"")</f>
        <v/>
      </c>
      <c r="E430" s="27" t="n"/>
      <c r="F430" s="27" t="n"/>
      <c r="G430" s="1">
        <f>IFERROR(INDEX('20 2026 DEPO KABUL'!$G$2:$G$501,MATCH(C430,'20 2026 DEPO KABUL'!$F$2:$F$501,0)),"")</f>
        <v/>
      </c>
      <c r="H430" s="1">
        <f>IFERROR(INDEX('20 2026 DEPO KABUL'!$H$2:$H$501,MATCH(C430,'20 2026 DEPO KABUL'!$F$2:$F$501,0)),"")</f>
        <v/>
      </c>
      <c r="I430" s="27" t="n"/>
      <c r="J430" s="27" t="n"/>
    </row>
    <row r="431" ht="15" customHeight="1">
      <c r="A431" s="27" t="n"/>
      <c r="B431" s="27" t="n"/>
      <c r="C431" s="27" t="n"/>
      <c r="D431" s="1">
        <f>IFERROR(INDEX('20 2026 DEPO KABUL'!$B$2:$B$501,MATCH(C431,'20 2026 DEPO KABUL'!$F$2:$F$501,0)),"")</f>
        <v/>
      </c>
      <c r="E431" s="27" t="n"/>
      <c r="F431" s="27" t="n"/>
      <c r="G431" s="1">
        <f>IFERROR(INDEX('20 2026 DEPO KABUL'!$G$2:$G$501,MATCH(C431,'20 2026 DEPO KABUL'!$F$2:$F$501,0)),"")</f>
        <v/>
      </c>
      <c r="H431" s="1">
        <f>IFERROR(INDEX('20 2026 DEPO KABUL'!$H$2:$H$501,MATCH(C431,'20 2026 DEPO KABUL'!$F$2:$F$501,0)),"")</f>
        <v/>
      </c>
      <c r="I431" s="27" t="n"/>
      <c r="J431" s="27" t="n"/>
    </row>
    <row r="432" ht="15" customHeight="1">
      <c r="A432" s="27" t="n"/>
      <c r="B432" s="27" t="n"/>
      <c r="C432" s="27" t="n"/>
      <c r="D432" s="1">
        <f>IFERROR(INDEX('20 2026 DEPO KABUL'!$B$2:$B$501,MATCH(C432,'20 2026 DEPO KABUL'!$F$2:$F$501,0)),"")</f>
        <v/>
      </c>
      <c r="E432" s="27" t="n"/>
      <c r="F432" s="27" t="n"/>
      <c r="G432" s="1">
        <f>IFERROR(INDEX('20 2026 DEPO KABUL'!$G$2:$G$501,MATCH(C432,'20 2026 DEPO KABUL'!$F$2:$F$501,0)),"")</f>
        <v/>
      </c>
      <c r="H432" s="1">
        <f>IFERROR(INDEX('20 2026 DEPO KABUL'!$H$2:$H$501,MATCH(C432,'20 2026 DEPO KABUL'!$F$2:$F$501,0)),"")</f>
        <v/>
      </c>
      <c r="I432" s="27" t="n"/>
      <c r="J432" s="27" t="n"/>
    </row>
    <row r="433" ht="15" customHeight="1">
      <c r="A433" s="27" t="n"/>
      <c r="B433" s="27" t="n"/>
      <c r="C433" s="27" t="n"/>
      <c r="D433" s="1">
        <f>IFERROR(INDEX('20 2026 DEPO KABUL'!$B$2:$B$501,MATCH(C433,'20 2026 DEPO KABUL'!$F$2:$F$501,0)),"")</f>
        <v/>
      </c>
      <c r="E433" s="27" t="n"/>
      <c r="F433" s="27" t="n"/>
      <c r="G433" s="1">
        <f>IFERROR(INDEX('20 2026 DEPO KABUL'!$G$2:$G$501,MATCH(C433,'20 2026 DEPO KABUL'!$F$2:$F$501,0)),"")</f>
        <v/>
      </c>
      <c r="H433" s="1">
        <f>IFERROR(INDEX('20 2026 DEPO KABUL'!$H$2:$H$501,MATCH(C433,'20 2026 DEPO KABUL'!$F$2:$F$501,0)),"")</f>
        <v/>
      </c>
      <c r="I433" s="27" t="n"/>
      <c r="J433" s="27" t="n"/>
    </row>
    <row r="434" ht="15" customHeight="1">
      <c r="A434" s="27" t="n"/>
      <c r="B434" s="27" t="n"/>
      <c r="C434" s="27" t="n"/>
      <c r="D434" s="1">
        <f>IFERROR(INDEX('20 2026 DEPO KABUL'!$B$2:$B$501,MATCH(C434,'20 2026 DEPO KABUL'!$F$2:$F$501,0)),"")</f>
        <v/>
      </c>
      <c r="E434" s="27" t="n"/>
      <c r="F434" s="27" t="n"/>
      <c r="G434" s="1">
        <f>IFERROR(INDEX('20 2026 DEPO KABUL'!$G$2:$G$501,MATCH(C434,'20 2026 DEPO KABUL'!$F$2:$F$501,0)),"")</f>
        <v/>
      </c>
      <c r="H434" s="1">
        <f>IFERROR(INDEX('20 2026 DEPO KABUL'!$H$2:$H$501,MATCH(C434,'20 2026 DEPO KABUL'!$F$2:$F$501,0)),"")</f>
        <v/>
      </c>
      <c r="I434" s="27" t="n"/>
      <c r="J434" s="27" t="n"/>
    </row>
    <row r="435" ht="15" customHeight="1">
      <c r="A435" s="27" t="n"/>
      <c r="B435" s="27" t="n"/>
      <c r="C435" s="27" t="n"/>
      <c r="D435" s="1">
        <f>IFERROR(INDEX('20 2026 DEPO KABUL'!$B$2:$B$501,MATCH(C435,'20 2026 DEPO KABUL'!$F$2:$F$501,0)),"")</f>
        <v/>
      </c>
      <c r="E435" s="27" t="n"/>
      <c r="F435" s="27" t="n"/>
      <c r="G435" s="1">
        <f>IFERROR(INDEX('20 2026 DEPO KABUL'!$G$2:$G$501,MATCH(C435,'20 2026 DEPO KABUL'!$F$2:$F$501,0)),"")</f>
        <v/>
      </c>
      <c r="H435" s="1">
        <f>IFERROR(INDEX('20 2026 DEPO KABUL'!$H$2:$H$501,MATCH(C435,'20 2026 DEPO KABUL'!$F$2:$F$501,0)),"")</f>
        <v/>
      </c>
      <c r="I435" s="27" t="n"/>
      <c r="J435" s="27" t="n"/>
    </row>
    <row r="436" ht="15" customHeight="1">
      <c r="A436" s="27" t="n"/>
      <c r="B436" s="27" t="n"/>
      <c r="C436" s="27" t="n"/>
      <c r="D436" s="1">
        <f>IFERROR(INDEX('20 2026 DEPO KABUL'!$B$2:$B$501,MATCH(C436,'20 2026 DEPO KABUL'!$F$2:$F$501,0)),"")</f>
        <v/>
      </c>
      <c r="E436" s="27" t="n"/>
      <c r="F436" s="27" t="n"/>
      <c r="G436" s="1">
        <f>IFERROR(INDEX('20 2026 DEPO KABUL'!$G$2:$G$501,MATCH(C436,'20 2026 DEPO KABUL'!$F$2:$F$501,0)),"")</f>
        <v/>
      </c>
      <c r="H436" s="1">
        <f>IFERROR(INDEX('20 2026 DEPO KABUL'!$H$2:$H$501,MATCH(C436,'20 2026 DEPO KABUL'!$F$2:$F$501,0)),"")</f>
        <v/>
      </c>
      <c r="I436" s="27" t="n"/>
      <c r="J436" s="27" t="n"/>
    </row>
    <row r="437" ht="15" customHeight="1">
      <c r="A437" s="27" t="n"/>
      <c r="B437" s="27" t="n"/>
      <c r="C437" s="27" t="n"/>
      <c r="D437" s="1">
        <f>IFERROR(INDEX('20 2026 DEPO KABUL'!$B$2:$B$501,MATCH(C437,'20 2026 DEPO KABUL'!$F$2:$F$501,0)),"")</f>
        <v/>
      </c>
      <c r="E437" s="27" t="n"/>
      <c r="F437" s="27" t="n"/>
      <c r="G437" s="1">
        <f>IFERROR(INDEX('20 2026 DEPO KABUL'!$G$2:$G$501,MATCH(C437,'20 2026 DEPO KABUL'!$F$2:$F$501,0)),"")</f>
        <v/>
      </c>
      <c r="H437" s="1">
        <f>IFERROR(INDEX('20 2026 DEPO KABUL'!$H$2:$H$501,MATCH(C437,'20 2026 DEPO KABUL'!$F$2:$F$501,0)),"")</f>
        <v/>
      </c>
      <c r="I437" s="27" t="n"/>
      <c r="J437" s="27" t="n"/>
    </row>
    <row r="438" ht="15" customHeight="1">
      <c r="A438" s="27" t="n"/>
      <c r="B438" s="27" t="n"/>
      <c r="C438" s="27" t="n"/>
      <c r="D438" s="1">
        <f>IFERROR(INDEX('20 2026 DEPO KABUL'!$B$2:$B$501,MATCH(C438,'20 2026 DEPO KABUL'!$F$2:$F$501,0)),"")</f>
        <v/>
      </c>
      <c r="E438" s="27" t="n"/>
      <c r="F438" s="27" t="n"/>
      <c r="G438" s="1">
        <f>IFERROR(INDEX('20 2026 DEPO KABUL'!$G$2:$G$501,MATCH(C438,'20 2026 DEPO KABUL'!$F$2:$F$501,0)),"")</f>
        <v/>
      </c>
      <c r="H438" s="1">
        <f>IFERROR(INDEX('20 2026 DEPO KABUL'!$H$2:$H$501,MATCH(C438,'20 2026 DEPO KABUL'!$F$2:$F$501,0)),"")</f>
        <v/>
      </c>
      <c r="I438" s="27" t="n"/>
      <c r="J438" s="27" t="n"/>
    </row>
    <row r="439" ht="15" customHeight="1">
      <c r="A439" s="27" t="n"/>
      <c r="B439" s="27" t="n"/>
      <c r="C439" s="27" t="n"/>
      <c r="D439" s="1">
        <f>IFERROR(INDEX('20 2026 DEPO KABUL'!$B$2:$B$501,MATCH(C439,'20 2026 DEPO KABUL'!$F$2:$F$501,0)),"")</f>
        <v/>
      </c>
      <c r="E439" s="27" t="n"/>
      <c r="F439" s="27" t="n"/>
      <c r="G439" s="1">
        <f>IFERROR(INDEX('20 2026 DEPO KABUL'!$G$2:$G$501,MATCH(C439,'20 2026 DEPO KABUL'!$F$2:$F$501,0)),"")</f>
        <v/>
      </c>
      <c r="H439" s="1">
        <f>IFERROR(INDEX('20 2026 DEPO KABUL'!$H$2:$H$501,MATCH(C439,'20 2026 DEPO KABUL'!$F$2:$F$501,0)),"")</f>
        <v/>
      </c>
      <c r="I439" s="27" t="n"/>
      <c r="J439" s="27" t="n"/>
    </row>
    <row r="440" ht="15" customHeight="1">
      <c r="A440" s="27" t="n"/>
      <c r="B440" s="27" t="n"/>
      <c r="C440" s="27" t="n"/>
      <c r="D440" s="1">
        <f>IFERROR(INDEX('20 2026 DEPO KABUL'!$B$2:$B$501,MATCH(C440,'20 2026 DEPO KABUL'!$F$2:$F$501,0)),"")</f>
        <v/>
      </c>
      <c r="E440" s="27" t="n"/>
      <c r="F440" s="27" t="n"/>
      <c r="G440" s="1">
        <f>IFERROR(INDEX('20 2026 DEPO KABUL'!$G$2:$G$501,MATCH(C440,'20 2026 DEPO KABUL'!$F$2:$F$501,0)),"")</f>
        <v/>
      </c>
      <c r="H440" s="1">
        <f>IFERROR(INDEX('20 2026 DEPO KABUL'!$H$2:$H$501,MATCH(C440,'20 2026 DEPO KABUL'!$F$2:$F$501,0)),"")</f>
        <v/>
      </c>
      <c r="I440" s="27" t="n"/>
      <c r="J440" s="27" t="n"/>
    </row>
    <row r="441" ht="15" customHeight="1">
      <c r="A441" s="27" t="n"/>
      <c r="B441" s="27" t="n"/>
      <c r="C441" s="27" t="n"/>
      <c r="D441" s="1">
        <f>IFERROR(INDEX('20 2026 DEPO KABUL'!$B$2:$B$501,MATCH(C441,'20 2026 DEPO KABUL'!$F$2:$F$501,0)),"")</f>
        <v/>
      </c>
      <c r="E441" s="27" t="n"/>
      <c r="F441" s="27" t="n"/>
      <c r="G441" s="1">
        <f>IFERROR(INDEX('20 2026 DEPO KABUL'!$G$2:$G$501,MATCH(C441,'20 2026 DEPO KABUL'!$F$2:$F$501,0)),"")</f>
        <v/>
      </c>
      <c r="H441" s="1">
        <f>IFERROR(INDEX('20 2026 DEPO KABUL'!$H$2:$H$501,MATCH(C441,'20 2026 DEPO KABUL'!$F$2:$F$501,0)),"")</f>
        <v/>
      </c>
      <c r="I441" s="27" t="n"/>
      <c r="J441" s="27" t="n"/>
    </row>
    <row r="442" ht="15" customHeight="1">
      <c r="A442" s="27" t="n"/>
      <c r="B442" s="27" t="n"/>
      <c r="C442" s="27" t="n"/>
      <c r="D442" s="1">
        <f>IFERROR(INDEX('20 2026 DEPO KABUL'!$B$2:$B$501,MATCH(C442,'20 2026 DEPO KABUL'!$F$2:$F$501,0)),"")</f>
        <v/>
      </c>
      <c r="E442" s="27" t="n"/>
      <c r="F442" s="27" t="n"/>
      <c r="G442" s="1">
        <f>IFERROR(INDEX('20 2026 DEPO KABUL'!$G$2:$G$501,MATCH(C442,'20 2026 DEPO KABUL'!$F$2:$F$501,0)),"")</f>
        <v/>
      </c>
      <c r="H442" s="1">
        <f>IFERROR(INDEX('20 2026 DEPO KABUL'!$H$2:$H$501,MATCH(C442,'20 2026 DEPO KABUL'!$F$2:$F$501,0)),"")</f>
        <v/>
      </c>
      <c r="I442" s="27" t="n"/>
      <c r="J442" s="27" t="n"/>
    </row>
    <row r="443" ht="15" customHeight="1">
      <c r="A443" s="27" t="n"/>
      <c r="B443" s="27" t="n"/>
      <c r="C443" s="27" t="n"/>
      <c r="D443" s="1">
        <f>IFERROR(INDEX('20 2026 DEPO KABUL'!$B$2:$B$501,MATCH(C443,'20 2026 DEPO KABUL'!$F$2:$F$501,0)),"")</f>
        <v/>
      </c>
      <c r="E443" s="27" t="n"/>
      <c r="F443" s="27" t="n"/>
      <c r="G443" s="1">
        <f>IFERROR(INDEX('20 2026 DEPO KABUL'!$G$2:$G$501,MATCH(C443,'20 2026 DEPO KABUL'!$F$2:$F$501,0)),"")</f>
        <v/>
      </c>
      <c r="H443" s="1">
        <f>IFERROR(INDEX('20 2026 DEPO KABUL'!$H$2:$H$501,MATCH(C443,'20 2026 DEPO KABUL'!$F$2:$F$501,0)),"")</f>
        <v/>
      </c>
      <c r="I443" s="27" t="n"/>
      <c r="J443" s="27" t="n"/>
    </row>
    <row r="444" ht="15" customHeight="1">
      <c r="A444" s="27" t="n"/>
      <c r="B444" s="27" t="n"/>
      <c r="C444" s="27" t="n"/>
      <c r="D444" s="1">
        <f>IFERROR(INDEX('20 2026 DEPO KABUL'!$B$2:$B$501,MATCH(C444,'20 2026 DEPO KABUL'!$F$2:$F$501,0)),"")</f>
        <v/>
      </c>
      <c r="E444" s="27" t="n"/>
      <c r="F444" s="27" t="n"/>
      <c r="G444" s="1">
        <f>IFERROR(INDEX('20 2026 DEPO KABUL'!$G$2:$G$501,MATCH(C444,'20 2026 DEPO KABUL'!$F$2:$F$501,0)),"")</f>
        <v/>
      </c>
      <c r="H444" s="1">
        <f>IFERROR(INDEX('20 2026 DEPO KABUL'!$H$2:$H$501,MATCH(C444,'20 2026 DEPO KABUL'!$F$2:$F$501,0)),"")</f>
        <v/>
      </c>
      <c r="I444" s="27" t="n"/>
      <c r="J444" s="27" t="n"/>
    </row>
    <row r="445" ht="15" customHeight="1">
      <c r="A445" s="27" t="n"/>
      <c r="B445" s="27" t="n"/>
      <c r="C445" s="27" t="n"/>
      <c r="D445" s="1">
        <f>IFERROR(INDEX('20 2026 DEPO KABUL'!$B$2:$B$501,MATCH(C445,'20 2026 DEPO KABUL'!$F$2:$F$501,0)),"")</f>
        <v/>
      </c>
      <c r="E445" s="27" t="n"/>
      <c r="F445" s="27" t="n"/>
      <c r="G445" s="1">
        <f>IFERROR(INDEX('20 2026 DEPO KABUL'!$G$2:$G$501,MATCH(C445,'20 2026 DEPO KABUL'!$F$2:$F$501,0)),"")</f>
        <v/>
      </c>
      <c r="H445" s="1">
        <f>IFERROR(INDEX('20 2026 DEPO KABUL'!$H$2:$H$501,MATCH(C445,'20 2026 DEPO KABUL'!$F$2:$F$501,0)),"")</f>
        <v/>
      </c>
      <c r="I445" s="27" t="n"/>
      <c r="J445" s="27" t="n"/>
    </row>
    <row r="446" ht="15" customHeight="1">
      <c r="A446" s="27" t="n"/>
      <c r="B446" s="27" t="n"/>
      <c r="C446" s="27" t="n"/>
      <c r="D446" s="1">
        <f>IFERROR(INDEX('20 2026 DEPO KABUL'!$B$2:$B$501,MATCH(C446,'20 2026 DEPO KABUL'!$F$2:$F$501,0)),"")</f>
        <v/>
      </c>
      <c r="E446" s="27" t="n"/>
      <c r="F446" s="27" t="n"/>
      <c r="G446" s="1">
        <f>IFERROR(INDEX('20 2026 DEPO KABUL'!$G$2:$G$501,MATCH(C446,'20 2026 DEPO KABUL'!$F$2:$F$501,0)),"")</f>
        <v/>
      </c>
      <c r="H446" s="1">
        <f>IFERROR(INDEX('20 2026 DEPO KABUL'!$H$2:$H$501,MATCH(C446,'20 2026 DEPO KABUL'!$F$2:$F$501,0)),"")</f>
        <v/>
      </c>
      <c r="I446" s="27" t="n"/>
      <c r="J446" s="27" t="n"/>
    </row>
    <row r="447" ht="15" customHeight="1">
      <c r="A447" s="27" t="n"/>
      <c r="B447" s="27" t="n"/>
      <c r="C447" s="27" t="n"/>
      <c r="D447" s="1">
        <f>IFERROR(INDEX('20 2026 DEPO KABUL'!$B$2:$B$501,MATCH(C447,'20 2026 DEPO KABUL'!$F$2:$F$501,0)),"")</f>
        <v/>
      </c>
      <c r="E447" s="27" t="n"/>
      <c r="F447" s="27" t="n"/>
      <c r="G447" s="1">
        <f>IFERROR(INDEX('20 2026 DEPO KABUL'!$G$2:$G$501,MATCH(C447,'20 2026 DEPO KABUL'!$F$2:$F$501,0)),"")</f>
        <v/>
      </c>
      <c r="H447" s="1">
        <f>IFERROR(INDEX('20 2026 DEPO KABUL'!$H$2:$H$501,MATCH(C447,'20 2026 DEPO KABUL'!$F$2:$F$501,0)),"")</f>
        <v/>
      </c>
      <c r="I447" s="27" t="n"/>
      <c r="J447" s="27" t="n"/>
    </row>
    <row r="448" ht="15" customHeight="1">
      <c r="A448" s="27" t="n"/>
      <c r="B448" s="27" t="n"/>
      <c r="C448" s="27" t="n"/>
      <c r="D448" s="1">
        <f>IFERROR(INDEX('20 2026 DEPO KABUL'!$B$2:$B$501,MATCH(C448,'20 2026 DEPO KABUL'!$F$2:$F$501,0)),"")</f>
        <v/>
      </c>
      <c r="E448" s="27" t="n"/>
      <c r="F448" s="27" t="n"/>
      <c r="G448" s="1">
        <f>IFERROR(INDEX('20 2026 DEPO KABUL'!$G$2:$G$501,MATCH(C448,'20 2026 DEPO KABUL'!$F$2:$F$501,0)),"")</f>
        <v/>
      </c>
      <c r="H448" s="1">
        <f>IFERROR(INDEX('20 2026 DEPO KABUL'!$H$2:$H$501,MATCH(C448,'20 2026 DEPO KABUL'!$F$2:$F$501,0)),"")</f>
        <v/>
      </c>
      <c r="I448" s="27" t="n"/>
      <c r="J448" s="27" t="n"/>
    </row>
    <row r="449" ht="15" customHeight="1">
      <c r="A449" s="27" t="n"/>
      <c r="B449" s="27" t="n"/>
      <c r="C449" s="27" t="n"/>
      <c r="D449" s="1">
        <f>IFERROR(INDEX('20 2026 DEPO KABUL'!$B$2:$B$501,MATCH(C449,'20 2026 DEPO KABUL'!$F$2:$F$501,0)),"")</f>
        <v/>
      </c>
      <c r="E449" s="27" t="n"/>
      <c r="F449" s="27" t="n"/>
      <c r="G449" s="1">
        <f>IFERROR(INDEX('20 2026 DEPO KABUL'!$G$2:$G$501,MATCH(C449,'20 2026 DEPO KABUL'!$F$2:$F$501,0)),"")</f>
        <v/>
      </c>
      <c r="H449" s="1">
        <f>IFERROR(INDEX('20 2026 DEPO KABUL'!$H$2:$H$501,MATCH(C449,'20 2026 DEPO KABUL'!$F$2:$F$501,0)),"")</f>
        <v/>
      </c>
      <c r="I449" s="27" t="n"/>
      <c r="J449" s="27" t="n"/>
    </row>
    <row r="450" ht="15" customHeight="1">
      <c r="A450" s="27" t="n"/>
      <c r="B450" s="27" t="n"/>
      <c r="C450" s="27" t="n"/>
      <c r="D450" s="1">
        <f>IFERROR(INDEX('20 2026 DEPO KABUL'!$B$2:$B$501,MATCH(C450,'20 2026 DEPO KABUL'!$F$2:$F$501,0)),"")</f>
        <v/>
      </c>
      <c r="E450" s="27" t="n"/>
      <c r="F450" s="27" t="n"/>
      <c r="G450" s="1">
        <f>IFERROR(INDEX('20 2026 DEPO KABUL'!$G$2:$G$501,MATCH(C450,'20 2026 DEPO KABUL'!$F$2:$F$501,0)),"")</f>
        <v/>
      </c>
      <c r="H450" s="1">
        <f>IFERROR(INDEX('20 2026 DEPO KABUL'!$H$2:$H$501,MATCH(C450,'20 2026 DEPO KABUL'!$F$2:$F$501,0)),"")</f>
        <v/>
      </c>
      <c r="I450" s="27" t="n"/>
      <c r="J450" s="27" t="n"/>
    </row>
    <row r="451" ht="15" customHeight="1">
      <c r="A451" s="27" t="n"/>
      <c r="B451" s="27" t="n"/>
      <c r="C451" s="27" t="n"/>
      <c r="D451" s="1">
        <f>IFERROR(INDEX('20 2026 DEPO KABUL'!$B$2:$B$501,MATCH(C451,'20 2026 DEPO KABUL'!$F$2:$F$501,0)),"")</f>
        <v/>
      </c>
      <c r="E451" s="27" t="n"/>
      <c r="F451" s="27" t="n"/>
      <c r="G451" s="1">
        <f>IFERROR(INDEX('20 2026 DEPO KABUL'!$G$2:$G$501,MATCH(C451,'20 2026 DEPO KABUL'!$F$2:$F$501,0)),"")</f>
        <v/>
      </c>
      <c r="H451" s="1">
        <f>IFERROR(INDEX('20 2026 DEPO KABUL'!$H$2:$H$501,MATCH(C451,'20 2026 DEPO KABUL'!$F$2:$F$501,0)),"")</f>
        <v/>
      </c>
      <c r="I451" s="27" t="n"/>
      <c r="J451" s="27" t="n"/>
    </row>
    <row r="452" ht="15" customHeight="1">
      <c r="A452" s="27" t="n"/>
      <c r="B452" s="27" t="n"/>
      <c r="C452" s="27" t="n"/>
      <c r="D452" s="1">
        <f>IFERROR(INDEX('20 2026 DEPO KABUL'!$B$2:$B$501,MATCH(C452,'20 2026 DEPO KABUL'!$F$2:$F$501,0)),"")</f>
        <v/>
      </c>
      <c r="E452" s="27" t="n"/>
      <c r="F452" s="27" t="n"/>
      <c r="G452" s="1">
        <f>IFERROR(INDEX('20 2026 DEPO KABUL'!$G$2:$G$501,MATCH(C452,'20 2026 DEPO KABUL'!$F$2:$F$501,0)),"")</f>
        <v/>
      </c>
      <c r="H452" s="1">
        <f>IFERROR(INDEX('20 2026 DEPO KABUL'!$H$2:$H$501,MATCH(C452,'20 2026 DEPO KABUL'!$F$2:$F$501,0)),"")</f>
        <v/>
      </c>
      <c r="I452" s="27" t="n"/>
      <c r="J452" s="27" t="n"/>
    </row>
    <row r="453" ht="15" customHeight="1">
      <c r="A453" s="27" t="n"/>
      <c r="B453" s="27" t="n"/>
      <c r="C453" s="27" t="n"/>
      <c r="D453" s="1">
        <f>IFERROR(INDEX('20 2026 DEPO KABUL'!$B$2:$B$501,MATCH(C453,'20 2026 DEPO KABUL'!$F$2:$F$501,0)),"")</f>
        <v/>
      </c>
      <c r="E453" s="27" t="n"/>
      <c r="F453" s="27" t="n"/>
      <c r="G453" s="1">
        <f>IFERROR(INDEX('20 2026 DEPO KABUL'!$G$2:$G$501,MATCH(C453,'20 2026 DEPO KABUL'!$F$2:$F$501,0)),"")</f>
        <v/>
      </c>
      <c r="H453" s="1">
        <f>IFERROR(INDEX('20 2026 DEPO KABUL'!$H$2:$H$501,MATCH(C453,'20 2026 DEPO KABUL'!$F$2:$F$501,0)),"")</f>
        <v/>
      </c>
      <c r="I453" s="27" t="n"/>
      <c r="J453" s="27" t="n"/>
    </row>
    <row r="454" ht="15" customHeight="1">
      <c r="A454" s="27" t="n"/>
      <c r="B454" s="27" t="n"/>
      <c r="C454" s="27" t="n"/>
      <c r="D454" s="1">
        <f>IFERROR(INDEX('20 2026 DEPO KABUL'!$B$2:$B$501,MATCH(C454,'20 2026 DEPO KABUL'!$F$2:$F$501,0)),"")</f>
        <v/>
      </c>
      <c r="E454" s="27" t="n"/>
      <c r="F454" s="27" t="n"/>
      <c r="G454" s="1">
        <f>IFERROR(INDEX('20 2026 DEPO KABUL'!$G$2:$G$501,MATCH(C454,'20 2026 DEPO KABUL'!$F$2:$F$501,0)),"")</f>
        <v/>
      </c>
      <c r="H454" s="1">
        <f>IFERROR(INDEX('20 2026 DEPO KABUL'!$H$2:$H$501,MATCH(C454,'20 2026 DEPO KABUL'!$F$2:$F$501,0)),"")</f>
        <v/>
      </c>
      <c r="I454" s="27" t="n"/>
      <c r="J454" s="27" t="n"/>
    </row>
    <row r="455" ht="15" customHeight="1">
      <c r="A455" s="27" t="n"/>
      <c r="B455" s="27" t="n"/>
      <c r="C455" s="27" t="n"/>
      <c r="D455" s="1">
        <f>IFERROR(INDEX('20 2026 DEPO KABUL'!$B$2:$B$501,MATCH(C455,'20 2026 DEPO KABUL'!$F$2:$F$501,0)),"")</f>
        <v/>
      </c>
      <c r="E455" s="27" t="n"/>
      <c r="F455" s="27" t="n"/>
      <c r="G455" s="1">
        <f>IFERROR(INDEX('20 2026 DEPO KABUL'!$G$2:$G$501,MATCH(C455,'20 2026 DEPO KABUL'!$F$2:$F$501,0)),"")</f>
        <v/>
      </c>
      <c r="H455" s="1">
        <f>IFERROR(INDEX('20 2026 DEPO KABUL'!$H$2:$H$501,MATCH(C455,'20 2026 DEPO KABUL'!$F$2:$F$501,0)),"")</f>
        <v/>
      </c>
      <c r="I455" s="27" t="n"/>
      <c r="J455" s="27" t="n"/>
    </row>
    <row r="456" ht="15" customHeight="1">
      <c r="A456" s="27" t="n"/>
      <c r="B456" s="27" t="n"/>
      <c r="C456" s="27" t="n"/>
      <c r="D456" s="1">
        <f>IFERROR(INDEX('20 2026 DEPO KABUL'!$B$2:$B$501,MATCH(C456,'20 2026 DEPO KABUL'!$F$2:$F$501,0)),"")</f>
        <v/>
      </c>
      <c r="E456" s="27" t="n"/>
      <c r="F456" s="27" t="n"/>
      <c r="G456" s="1">
        <f>IFERROR(INDEX('20 2026 DEPO KABUL'!$G$2:$G$501,MATCH(C456,'20 2026 DEPO KABUL'!$F$2:$F$501,0)),"")</f>
        <v/>
      </c>
      <c r="H456" s="1">
        <f>IFERROR(INDEX('20 2026 DEPO KABUL'!$H$2:$H$501,MATCH(C456,'20 2026 DEPO KABUL'!$F$2:$F$501,0)),"")</f>
        <v/>
      </c>
      <c r="I456" s="27" t="n"/>
      <c r="J456" s="27" t="n"/>
    </row>
    <row r="457" ht="15" customHeight="1">
      <c r="A457" s="27" t="n"/>
      <c r="B457" s="27" t="n"/>
      <c r="C457" s="27" t="n"/>
      <c r="D457" s="1">
        <f>IFERROR(INDEX('20 2026 DEPO KABUL'!$B$2:$B$501,MATCH(C457,'20 2026 DEPO KABUL'!$F$2:$F$501,0)),"")</f>
        <v/>
      </c>
      <c r="E457" s="27" t="n"/>
      <c r="F457" s="27" t="n"/>
      <c r="G457" s="1">
        <f>IFERROR(INDEX('20 2026 DEPO KABUL'!$G$2:$G$501,MATCH(C457,'20 2026 DEPO KABUL'!$F$2:$F$501,0)),"")</f>
        <v/>
      </c>
      <c r="H457" s="1">
        <f>IFERROR(INDEX('20 2026 DEPO KABUL'!$H$2:$H$501,MATCH(C457,'20 2026 DEPO KABUL'!$F$2:$F$501,0)),"")</f>
        <v/>
      </c>
      <c r="I457" s="27" t="n"/>
      <c r="J457" s="27" t="n"/>
    </row>
    <row r="458" ht="15" customHeight="1">
      <c r="A458" s="27" t="n"/>
      <c r="B458" s="27" t="n"/>
      <c r="C458" s="27" t="n"/>
      <c r="D458" s="1">
        <f>IFERROR(INDEX('20 2026 DEPO KABUL'!$B$2:$B$501,MATCH(C458,'20 2026 DEPO KABUL'!$F$2:$F$501,0)),"")</f>
        <v/>
      </c>
      <c r="E458" s="27" t="n"/>
      <c r="F458" s="27" t="n"/>
      <c r="G458" s="1">
        <f>IFERROR(INDEX('20 2026 DEPO KABUL'!$G$2:$G$501,MATCH(C458,'20 2026 DEPO KABUL'!$F$2:$F$501,0)),"")</f>
        <v/>
      </c>
      <c r="H458" s="1">
        <f>IFERROR(INDEX('20 2026 DEPO KABUL'!$H$2:$H$501,MATCH(C458,'20 2026 DEPO KABUL'!$F$2:$F$501,0)),"")</f>
        <v/>
      </c>
      <c r="I458" s="27" t="n"/>
      <c r="J458" s="27" t="n"/>
    </row>
    <row r="459" ht="15" customHeight="1">
      <c r="A459" s="27" t="n"/>
      <c r="B459" s="27" t="n"/>
      <c r="C459" s="27" t="n"/>
      <c r="D459" s="1">
        <f>IFERROR(INDEX('20 2026 DEPO KABUL'!$B$2:$B$501,MATCH(C459,'20 2026 DEPO KABUL'!$F$2:$F$501,0)),"")</f>
        <v/>
      </c>
      <c r="E459" s="27" t="n"/>
      <c r="F459" s="27" t="n"/>
      <c r="G459" s="1">
        <f>IFERROR(INDEX('20 2026 DEPO KABUL'!$G$2:$G$501,MATCH(C459,'20 2026 DEPO KABUL'!$F$2:$F$501,0)),"")</f>
        <v/>
      </c>
      <c r="H459" s="1">
        <f>IFERROR(INDEX('20 2026 DEPO KABUL'!$H$2:$H$501,MATCH(C459,'20 2026 DEPO KABUL'!$F$2:$F$501,0)),"")</f>
        <v/>
      </c>
      <c r="I459" s="27" t="n"/>
      <c r="J459" s="27" t="n"/>
    </row>
    <row r="460" ht="15" customHeight="1">
      <c r="A460" s="27" t="n"/>
      <c r="B460" s="27" t="n"/>
      <c r="C460" s="27" t="n"/>
      <c r="D460" s="1">
        <f>IFERROR(INDEX('20 2026 DEPO KABUL'!$B$2:$B$501,MATCH(C460,'20 2026 DEPO KABUL'!$F$2:$F$501,0)),"")</f>
        <v/>
      </c>
      <c r="E460" s="27" t="n"/>
      <c r="F460" s="27" t="n"/>
      <c r="G460" s="1">
        <f>IFERROR(INDEX('20 2026 DEPO KABUL'!$G$2:$G$501,MATCH(C460,'20 2026 DEPO KABUL'!$F$2:$F$501,0)),"")</f>
        <v/>
      </c>
      <c r="H460" s="1">
        <f>IFERROR(INDEX('20 2026 DEPO KABUL'!$H$2:$H$501,MATCH(C460,'20 2026 DEPO KABUL'!$F$2:$F$501,0)),"")</f>
        <v/>
      </c>
      <c r="I460" s="27" t="n"/>
      <c r="J460" s="27" t="n"/>
    </row>
    <row r="461" ht="15" customHeight="1">
      <c r="A461" s="27" t="n"/>
      <c r="B461" s="27" t="n"/>
      <c r="C461" s="27" t="n"/>
      <c r="D461" s="1">
        <f>IFERROR(INDEX('20 2026 DEPO KABUL'!$B$2:$B$501,MATCH(C461,'20 2026 DEPO KABUL'!$F$2:$F$501,0)),"")</f>
        <v/>
      </c>
      <c r="E461" s="27" t="n"/>
      <c r="F461" s="27" t="n"/>
      <c r="G461" s="1">
        <f>IFERROR(INDEX('20 2026 DEPO KABUL'!$G$2:$G$501,MATCH(C461,'20 2026 DEPO KABUL'!$F$2:$F$501,0)),"")</f>
        <v/>
      </c>
      <c r="H461" s="1">
        <f>IFERROR(INDEX('20 2026 DEPO KABUL'!$H$2:$H$501,MATCH(C461,'20 2026 DEPO KABUL'!$F$2:$F$501,0)),"")</f>
        <v/>
      </c>
      <c r="I461" s="27" t="n"/>
      <c r="J461" s="27" t="n"/>
    </row>
    <row r="462" ht="15" customHeight="1">
      <c r="A462" s="27" t="n"/>
      <c r="B462" s="27" t="n"/>
      <c r="C462" s="27" t="n"/>
      <c r="D462" s="1">
        <f>IFERROR(INDEX('20 2026 DEPO KABUL'!$B$2:$B$501,MATCH(C462,'20 2026 DEPO KABUL'!$F$2:$F$501,0)),"")</f>
        <v/>
      </c>
      <c r="E462" s="27" t="n"/>
      <c r="F462" s="27" t="n"/>
      <c r="G462" s="1">
        <f>IFERROR(INDEX('20 2026 DEPO KABUL'!$G$2:$G$501,MATCH(C462,'20 2026 DEPO KABUL'!$F$2:$F$501,0)),"")</f>
        <v/>
      </c>
      <c r="H462" s="1">
        <f>IFERROR(INDEX('20 2026 DEPO KABUL'!$H$2:$H$501,MATCH(C462,'20 2026 DEPO KABUL'!$F$2:$F$501,0)),"")</f>
        <v/>
      </c>
      <c r="I462" s="27" t="n"/>
      <c r="J462" s="27" t="n"/>
    </row>
    <row r="463" ht="15" customHeight="1">
      <c r="A463" s="27" t="n"/>
      <c r="B463" s="27" t="n"/>
      <c r="C463" s="27" t="n"/>
      <c r="D463" s="1">
        <f>IFERROR(INDEX('20 2026 DEPO KABUL'!$B$2:$B$501,MATCH(C463,'20 2026 DEPO KABUL'!$F$2:$F$501,0)),"")</f>
        <v/>
      </c>
      <c r="E463" s="27" t="n"/>
      <c r="F463" s="27" t="n"/>
      <c r="G463" s="1">
        <f>IFERROR(INDEX('20 2026 DEPO KABUL'!$G$2:$G$501,MATCH(C463,'20 2026 DEPO KABUL'!$F$2:$F$501,0)),"")</f>
        <v/>
      </c>
      <c r="H463" s="1">
        <f>IFERROR(INDEX('20 2026 DEPO KABUL'!$H$2:$H$501,MATCH(C463,'20 2026 DEPO KABUL'!$F$2:$F$501,0)),"")</f>
        <v/>
      </c>
      <c r="I463" s="27" t="n"/>
      <c r="J463" s="27" t="n"/>
    </row>
    <row r="464" ht="15" customHeight="1">
      <c r="A464" s="27" t="n"/>
      <c r="B464" s="27" t="n"/>
      <c r="C464" s="27" t="n"/>
      <c r="D464" s="1">
        <f>IFERROR(INDEX('20 2026 DEPO KABUL'!$B$2:$B$501,MATCH(C464,'20 2026 DEPO KABUL'!$F$2:$F$501,0)),"")</f>
        <v/>
      </c>
      <c r="E464" s="27" t="n"/>
      <c r="F464" s="27" t="n"/>
      <c r="G464" s="1">
        <f>IFERROR(INDEX('20 2026 DEPO KABUL'!$G$2:$G$501,MATCH(C464,'20 2026 DEPO KABUL'!$F$2:$F$501,0)),"")</f>
        <v/>
      </c>
      <c r="H464" s="1">
        <f>IFERROR(INDEX('20 2026 DEPO KABUL'!$H$2:$H$501,MATCH(C464,'20 2026 DEPO KABUL'!$F$2:$F$501,0)),"")</f>
        <v/>
      </c>
      <c r="I464" s="27" t="n"/>
      <c r="J464" s="27" t="n"/>
    </row>
    <row r="465" ht="15" customHeight="1">
      <c r="A465" s="27" t="n"/>
      <c r="B465" s="27" t="n"/>
      <c r="C465" s="27" t="n"/>
      <c r="D465" s="1">
        <f>IFERROR(INDEX('20 2026 DEPO KABUL'!$B$2:$B$501,MATCH(C465,'20 2026 DEPO KABUL'!$F$2:$F$501,0)),"")</f>
        <v/>
      </c>
      <c r="E465" s="27" t="n"/>
      <c r="F465" s="27" t="n"/>
      <c r="G465" s="1">
        <f>IFERROR(INDEX('20 2026 DEPO KABUL'!$G$2:$G$501,MATCH(C465,'20 2026 DEPO KABUL'!$F$2:$F$501,0)),"")</f>
        <v/>
      </c>
      <c r="H465" s="1">
        <f>IFERROR(INDEX('20 2026 DEPO KABUL'!$H$2:$H$501,MATCH(C465,'20 2026 DEPO KABUL'!$F$2:$F$501,0)),"")</f>
        <v/>
      </c>
      <c r="I465" s="27" t="n"/>
      <c r="J465" s="27" t="n"/>
    </row>
    <row r="466" ht="15" customHeight="1">
      <c r="A466" s="27" t="n"/>
      <c r="B466" s="27" t="n"/>
      <c r="C466" s="27" t="n"/>
      <c r="D466" s="1">
        <f>IFERROR(INDEX('20 2026 DEPO KABUL'!$B$2:$B$501,MATCH(C466,'20 2026 DEPO KABUL'!$F$2:$F$501,0)),"")</f>
        <v/>
      </c>
      <c r="E466" s="27" t="n"/>
      <c r="F466" s="27" t="n"/>
      <c r="G466" s="1">
        <f>IFERROR(INDEX('20 2026 DEPO KABUL'!$G$2:$G$501,MATCH(C466,'20 2026 DEPO KABUL'!$F$2:$F$501,0)),"")</f>
        <v/>
      </c>
      <c r="H466" s="1">
        <f>IFERROR(INDEX('20 2026 DEPO KABUL'!$H$2:$H$501,MATCH(C466,'20 2026 DEPO KABUL'!$F$2:$F$501,0)),"")</f>
        <v/>
      </c>
      <c r="I466" s="27" t="n"/>
      <c r="J466" s="27" t="n"/>
    </row>
    <row r="467" ht="15" customHeight="1">
      <c r="A467" s="27" t="n"/>
      <c r="B467" s="27" t="n"/>
      <c r="C467" s="27" t="n"/>
      <c r="D467" s="1">
        <f>IFERROR(INDEX('20 2026 DEPO KABUL'!$B$2:$B$501,MATCH(C467,'20 2026 DEPO KABUL'!$F$2:$F$501,0)),"")</f>
        <v/>
      </c>
      <c r="E467" s="27" t="n"/>
      <c r="F467" s="27" t="n"/>
      <c r="G467" s="1">
        <f>IFERROR(INDEX('20 2026 DEPO KABUL'!$G$2:$G$501,MATCH(C467,'20 2026 DEPO KABUL'!$F$2:$F$501,0)),"")</f>
        <v/>
      </c>
      <c r="H467" s="1">
        <f>IFERROR(INDEX('20 2026 DEPO KABUL'!$H$2:$H$501,MATCH(C467,'20 2026 DEPO KABUL'!$F$2:$F$501,0)),"")</f>
        <v/>
      </c>
      <c r="I467" s="27" t="n"/>
      <c r="J467" s="27" t="n"/>
    </row>
    <row r="468" ht="15" customHeight="1">
      <c r="A468" s="27" t="n"/>
      <c r="B468" s="27" t="n"/>
      <c r="C468" s="27" t="n"/>
      <c r="D468" s="1">
        <f>IFERROR(INDEX('20 2026 DEPO KABUL'!$B$2:$B$501,MATCH(C468,'20 2026 DEPO KABUL'!$F$2:$F$501,0)),"")</f>
        <v/>
      </c>
      <c r="E468" s="27" t="n"/>
      <c r="F468" s="27" t="n"/>
      <c r="G468" s="1">
        <f>IFERROR(INDEX('20 2026 DEPO KABUL'!$G$2:$G$501,MATCH(C468,'20 2026 DEPO KABUL'!$F$2:$F$501,0)),"")</f>
        <v/>
      </c>
      <c r="H468" s="1">
        <f>IFERROR(INDEX('20 2026 DEPO KABUL'!$H$2:$H$501,MATCH(C468,'20 2026 DEPO KABUL'!$F$2:$F$501,0)),"")</f>
        <v/>
      </c>
      <c r="I468" s="27" t="n"/>
      <c r="J468" s="27" t="n"/>
    </row>
    <row r="469" ht="15" customHeight="1">
      <c r="A469" s="27" t="n"/>
      <c r="B469" s="27" t="n"/>
      <c r="C469" s="27" t="n"/>
      <c r="D469" s="1">
        <f>IFERROR(INDEX('20 2026 DEPO KABUL'!$B$2:$B$501,MATCH(C469,'20 2026 DEPO KABUL'!$F$2:$F$501,0)),"")</f>
        <v/>
      </c>
      <c r="E469" s="27" t="n"/>
      <c r="F469" s="27" t="n"/>
      <c r="G469" s="1">
        <f>IFERROR(INDEX('20 2026 DEPO KABUL'!$G$2:$G$501,MATCH(C469,'20 2026 DEPO KABUL'!$F$2:$F$501,0)),"")</f>
        <v/>
      </c>
      <c r="H469" s="1">
        <f>IFERROR(INDEX('20 2026 DEPO KABUL'!$H$2:$H$501,MATCH(C469,'20 2026 DEPO KABUL'!$F$2:$F$501,0)),"")</f>
        <v/>
      </c>
      <c r="I469" s="27" t="n"/>
      <c r="J469" s="27" t="n"/>
    </row>
    <row r="470" ht="15" customHeight="1">
      <c r="A470" s="27" t="n"/>
      <c r="B470" s="27" t="n"/>
      <c r="C470" s="27" t="n"/>
      <c r="D470" s="1">
        <f>IFERROR(INDEX('20 2026 DEPO KABUL'!$B$2:$B$501,MATCH(C470,'20 2026 DEPO KABUL'!$F$2:$F$501,0)),"")</f>
        <v/>
      </c>
      <c r="E470" s="27" t="n"/>
      <c r="F470" s="27" t="n"/>
      <c r="G470" s="1">
        <f>IFERROR(INDEX('20 2026 DEPO KABUL'!$G$2:$G$501,MATCH(C470,'20 2026 DEPO KABUL'!$F$2:$F$501,0)),"")</f>
        <v/>
      </c>
      <c r="H470" s="1">
        <f>IFERROR(INDEX('20 2026 DEPO KABUL'!$H$2:$H$501,MATCH(C470,'20 2026 DEPO KABUL'!$F$2:$F$501,0)),"")</f>
        <v/>
      </c>
      <c r="I470" s="27" t="n"/>
      <c r="J470" s="27" t="n"/>
    </row>
    <row r="471" ht="15" customHeight="1">
      <c r="A471" s="27" t="n"/>
      <c r="B471" s="27" t="n"/>
      <c r="C471" s="27" t="n"/>
      <c r="D471" s="1">
        <f>IFERROR(INDEX('20 2026 DEPO KABUL'!$B$2:$B$501,MATCH(C471,'20 2026 DEPO KABUL'!$F$2:$F$501,0)),"")</f>
        <v/>
      </c>
      <c r="E471" s="27" t="n"/>
      <c r="F471" s="27" t="n"/>
      <c r="G471" s="1">
        <f>IFERROR(INDEX('20 2026 DEPO KABUL'!$G$2:$G$501,MATCH(C471,'20 2026 DEPO KABUL'!$F$2:$F$501,0)),"")</f>
        <v/>
      </c>
      <c r="H471" s="1">
        <f>IFERROR(INDEX('20 2026 DEPO KABUL'!$H$2:$H$501,MATCH(C471,'20 2026 DEPO KABUL'!$F$2:$F$501,0)),"")</f>
        <v/>
      </c>
      <c r="I471" s="27" t="n"/>
      <c r="J471" s="27" t="n"/>
    </row>
    <row r="472" ht="15" customHeight="1">
      <c r="A472" s="27" t="n"/>
      <c r="B472" s="27" t="n"/>
      <c r="C472" s="27" t="n"/>
      <c r="D472" s="1">
        <f>IFERROR(INDEX('20 2026 DEPO KABUL'!$B$2:$B$501,MATCH(C472,'20 2026 DEPO KABUL'!$F$2:$F$501,0)),"")</f>
        <v/>
      </c>
      <c r="E472" s="27" t="n"/>
      <c r="F472" s="27" t="n"/>
      <c r="G472" s="1">
        <f>IFERROR(INDEX('20 2026 DEPO KABUL'!$G$2:$G$501,MATCH(C472,'20 2026 DEPO KABUL'!$F$2:$F$501,0)),"")</f>
        <v/>
      </c>
      <c r="H472" s="1">
        <f>IFERROR(INDEX('20 2026 DEPO KABUL'!$H$2:$H$501,MATCH(C472,'20 2026 DEPO KABUL'!$F$2:$F$501,0)),"")</f>
        <v/>
      </c>
      <c r="I472" s="27" t="n"/>
      <c r="J472" s="27" t="n"/>
    </row>
    <row r="473" ht="15" customHeight="1">
      <c r="A473" s="27" t="n"/>
      <c r="B473" s="27" t="n"/>
      <c r="C473" s="27" t="n"/>
      <c r="D473" s="1">
        <f>IFERROR(INDEX('20 2026 DEPO KABUL'!$B$2:$B$501,MATCH(C473,'20 2026 DEPO KABUL'!$F$2:$F$501,0)),"")</f>
        <v/>
      </c>
      <c r="E473" s="27" t="n"/>
      <c r="F473" s="27" t="n"/>
      <c r="G473" s="1">
        <f>IFERROR(INDEX('20 2026 DEPO KABUL'!$G$2:$G$501,MATCH(C473,'20 2026 DEPO KABUL'!$F$2:$F$501,0)),"")</f>
        <v/>
      </c>
      <c r="H473" s="1">
        <f>IFERROR(INDEX('20 2026 DEPO KABUL'!$H$2:$H$501,MATCH(C473,'20 2026 DEPO KABUL'!$F$2:$F$501,0)),"")</f>
        <v/>
      </c>
      <c r="I473" s="27" t="n"/>
      <c r="J473" s="27" t="n"/>
    </row>
    <row r="474" ht="15" customHeight="1">
      <c r="A474" s="27" t="n"/>
      <c r="B474" s="27" t="n"/>
      <c r="C474" s="27" t="n"/>
      <c r="D474" s="1">
        <f>IFERROR(INDEX('20 2026 DEPO KABUL'!$B$2:$B$501,MATCH(C474,'20 2026 DEPO KABUL'!$F$2:$F$501,0)),"")</f>
        <v/>
      </c>
      <c r="E474" s="27" t="n"/>
      <c r="F474" s="27" t="n"/>
      <c r="G474" s="1">
        <f>IFERROR(INDEX('20 2026 DEPO KABUL'!$G$2:$G$501,MATCH(C474,'20 2026 DEPO KABUL'!$F$2:$F$501,0)),"")</f>
        <v/>
      </c>
      <c r="H474" s="1">
        <f>IFERROR(INDEX('20 2026 DEPO KABUL'!$H$2:$H$501,MATCH(C474,'20 2026 DEPO KABUL'!$F$2:$F$501,0)),"")</f>
        <v/>
      </c>
      <c r="I474" s="27" t="n"/>
      <c r="J474" s="27" t="n"/>
    </row>
    <row r="475" ht="15" customHeight="1">
      <c r="A475" s="27" t="n"/>
      <c r="B475" s="27" t="n"/>
      <c r="C475" s="27" t="n"/>
      <c r="D475" s="1">
        <f>IFERROR(INDEX('20 2026 DEPO KABUL'!$B$2:$B$501,MATCH(C475,'20 2026 DEPO KABUL'!$F$2:$F$501,0)),"")</f>
        <v/>
      </c>
      <c r="E475" s="27" t="n"/>
      <c r="F475" s="27" t="n"/>
      <c r="G475" s="1">
        <f>IFERROR(INDEX('20 2026 DEPO KABUL'!$G$2:$G$501,MATCH(C475,'20 2026 DEPO KABUL'!$F$2:$F$501,0)),"")</f>
        <v/>
      </c>
      <c r="H475" s="1">
        <f>IFERROR(INDEX('20 2026 DEPO KABUL'!$H$2:$H$501,MATCH(C475,'20 2026 DEPO KABUL'!$F$2:$F$501,0)),"")</f>
        <v/>
      </c>
      <c r="I475" s="27" t="n"/>
      <c r="J475" s="27" t="n"/>
    </row>
    <row r="476" ht="15" customHeight="1">
      <c r="A476" s="27" t="n"/>
      <c r="B476" s="27" t="n"/>
      <c r="C476" s="27" t="n"/>
      <c r="D476" s="1">
        <f>IFERROR(INDEX('20 2026 DEPO KABUL'!$B$2:$B$501,MATCH(C476,'20 2026 DEPO KABUL'!$F$2:$F$501,0)),"")</f>
        <v/>
      </c>
      <c r="E476" s="27" t="n"/>
      <c r="F476" s="27" t="n"/>
      <c r="G476" s="1">
        <f>IFERROR(INDEX('20 2026 DEPO KABUL'!$G$2:$G$501,MATCH(C476,'20 2026 DEPO KABUL'!$F$2:$F$501,0)),"")</f>
        <v/>
      </c>
      <c r="H476" s="1">
        <f>IFERROR(INDEX('20 2026 DEPO KABUL'!$H$2:$H$501,MATCH(C476,'20 2026 DEPO KABUL'!$F$2:$F$501,0)),"")</f>
        <v/>
      </c>
      <c r="I476" s="27" t="n"/>
      <c r="J476" s="27" t="n"/>
    </row>
    <row r="477" ht="15" customHeight="1">
      <c r="A477" s="27" t="n"/>
      <c r="B477" s="27" t="n"/>
      <c r="C477" s="27" t="n"/>
      <c r="D477" s="1">
        <f>IFERROR(INDEX('20 2026 DEPO KABUL'!$B$2:$B$501,MATCH(C477,'20 2026 DEPO KABUL'!$F$2:$F$501,0)),"")</f>
        <v/>
      </c>
      <c r="E477" s="27" t="n"/>
      <c r="F477" s="27" t="n"/>
      <c r="G477" s="1">
        <f>IFERROR(INDEX('20 2026 DEPO KABUL'!$G$2:$G$501,MATCH(C477,'20 2026 DEPO KABUL'!$F$2:$F$501,0)),"")</f>
        <v/>
      </c>
      <c r="H477" s="1">
        <f>IFERROR(INDEX('20 2026 DEPO KABUL'!$H$2:$H$501,MATCH(C477,'20 2026 DEPO KABUL'!$F$2:$F$501,0)),"")</f>
        <v/>
      </c>
      <c r="I477" s="27" t="n"/>
      <c r="J477" s="27" t="n"/>
    </row>
    <row r="478" ht="15" customHeight="1">
      <c r="A478" s="27" t="n"/>
      <c r="B478" s="27" t="n"/>
      <c r="C478" s="27" t="n"/>
      <c r="D478" s="1">
        <f>IFERROR(INDEX('20 2026 DEPO KABUL'!$B$2:$B$501,MATCH(C478,'20 2026 DEPO KABUL'!$F$2:$F$501,0)),"")</f>
        <v/>
      </c>
      <c r="E478" s="27" t="n"/>
      <c r="F478" s="27" t="n"/>
      <c r="G478" s="1">
        <f>IFERROR(INDEX('20 2026 DEPO KABUL'!$G$2:$G$501,MATCH(C478,'20 2026 DEPO KABUL'!$F$2:$F$501,0)),"")</f>
        <v/>
      </c>
      <c r="H478" s="1">
        <f>IFERROR(INDEX('20 2026 DEPO KABUL'!$H$2:$H$501,MATCH(C478,'20 2026 DEPO KABUL'!$F$2:$F$501,0)),"")</f>
        <v/>
      </c>
      <c r="I478" s="27" t="n"/>
      <c r="J478" s="27" t="n"/>
    </row>
    <row r="479" ht="15" customHeight="1">
      <c r="A479" s="27" t="n"/>
      <c r="B479" s="27" t="n"/>
      <c r="C479" s="27" t="n"/>
      <c r="D479" s="1">
        <f>IFERROR(INDEX('20 2026 DEPO KABUL'!$B$2:$B$501,MATCH(C479,'20 2026 DEPO KABUL'!$F$2:$F$501,0)),"")</f>
        <v/>
      </c>
      <c r="E479" s="27" t="n"/>
      <c r="F479" s="27" t="n"/>
      <c r="G479" s="1">
        <f>IFERROR(INDEX('20 2026 DEPO KABUL'!$G$2:$G$501,MATCH(C479,'20 2026 DEPO KABUL'!$F$2:$F$501,0)),"")</f>
        <v/>
      </c>
      <c r="H479" s="1">
        <f>IFERROR(INDEX('20 2026 DEPO KABUL'!$H$2:$H$501,MATCH(C479,'20 2026 DEPO KABUL'!$F$2:$F$501,0)),"")</f>
        <v/>
      </c>
      <c r="I479" s="27" t="n"/>
      <c r="J479" s="27" t="n"/>
    </row>
    <row r="480" ht="15" customHeight="1">
      <c r="A480" s="27" t="n"/>
      <c r="B480" s="27" t="n"/>
      <c r="C480" s="27" t="n"/>
      <c r="D480" s="1">
        <f>IFERROR(INDEX('20 2026 DEPO KABUL'!$B$2:$B$501,MATCH(C480,'20 2026 DEPO KABUL'!$F$2:$F$501,0)),"")</f>
        <v/>
      </c>
      <c r="E480" s="27" t="n"/>
      <c r="F480" s="27" t="n"/>
      <c r="G480" s="1">
        <f>IFERROR(INDEX('20 2026 DEPO KABUL'!$G$2:$G$501,MATCH(C480,'20 2026 DEPO KABUL'!$F$2:$F$501,0)),"")</f>
        <v/>
      </c>
      <c r="H480" s="1">
        <f>IFERROR(INDEX('20 2026 DEPO KABUL'!$H$2:$H$501,MATCH(C480,'20 2026 DEPO KABUL'!$F$2:$F$501,0)),"")</f>
        <v/>
      </c>
      <c r="I480" s="27" t="n"/>
      <c r="J480" s="27" t="n"/>
    </row>
    <row r="481" ht="15" customHeight="1">
      <c r="A481" s="27" t="n"/>
      <c r="B481" s="27" t="n"/>
      <c r="C481" s="27" t="n"/>
      <c r="D481" s="1">
        <f>IFERROR(INDEX('20 2026 DEPO KABUL'!$B$2:$B$501,MATCH(C481,'20 2026 DEPO KABUL'!$F$2:$F$501,0)),"")</f>
        <v/>
      </c>
      <c r="E481" s="27" t="n"/>
      <c r="F481" s="27" t="n"/>
      <c r="G481" s="1">
        <f>IFERROR(INDEX('20 2026 DEPO KABUL'!$G$2:$G$501,MATCH(C481,'20 2026 DEPO KABUL'!$F$2:$F$501,0)),"")</f>
        <v/>
      </c>
      <c r="H481" s="1">
        <f>IFERROR(INDEX('20 2026 DEPO KABUL'!$H$2:$H$501,MATCH(C481,'20 2026 DEPO KABUL'!$F$2:$F$501,0)),"")</f>
        <v/>
      </c>
      <c r="I481" s="27" t="n"/>
      <c r="J481" s="27" t="n"/>
    </row>
    <row r="482" ht="15" customHeight="1">
      <c r="A482" s="27" t="n"/>
      <c r="B482" s="27" t="n"/>
      <c r="C482" s="27" t="n"/>
      <c r="D482" s="1">
        <f>IFERROR(INDEX('20 2026 DEPO KABUL'!$B$2:$B$501,MATCH(C482,'20 2026 DEPO KABUL'!$F$2:$F$501,0)),"")</f>
        <v/>
      </c>
      <c r="E482" s="27" t="n"/>
      <c r="F482" s="27" t="n"/>
      <c r="G482" s="1">
        <f>IFERROR(INDEX('20 2026 DEPO KABUL'!$G$2:$G$501,MATCH(C482,'20 2026 DEPO KABUL'!$F$2:$F$501,0)),"")</f>
        <v/>
      </c>
      <c r="H482" s="1">
        <f>IFERROR(INDEX('20 2026 DEPO KABUL'!$H$2:$H$501,MATCH(C482,'20 2026 DEPO KABUL'!$F$2:$F$501,0)),"")</f>
        <v/>
      </c>
      <c r="I482" s="27" t="n"/>
      <c r="J482" s="27" t="n"/>
    </row>
    <row r="483" ht="15" customHeight="1">
      <c r="A483" s="27" t="n"/>
      <c r="B483" s="27" t="n"/>
      <c r="C483" s="27" t="n"/>
      <c r="D483" s="1">
        <f>IFERROR(INDEX('20 2026 DEPO KABUL'!$B$2:$B$501,MATCH(C483,'20 2026 DEPO KABUL'!$F$2:$F$501,0)),"")</f>
        <v/>
      </c>
      <c r="E483" s="27" t="n"/>
      <c r="F483" s="27" t="n"/>
      <c r="G483" s="1">
        <f>IFERROR(INDEX('20 2026 DEPO KABUL'!$G$2:$G$501,MATCH(C483,'20 2026 DEPO KABUL'!$F$2:$F$501,0)),"")</f>
        <v/>
      </c>
      <c r="H483" s="1">
        <f>IFERROR(INDEX('20 2026 DEPO KABUL'!$H$2:$H$501,MATCH(C483,'20 2026 DEPO KABUL'!$F$2:$F$501,0)),"")</f>
        <v/>
      </c>
      <c r="I483" s="27" t="n"/>
      <c r="J483" s="27" t="n"/>
    </row>
    <row r="484" ht="15" customHeight="1">
      <c r="A484" s="27" t="n"/>
      <c r="B484" s="27" t="n"/>
      <c r="C484" s="27" t="n"/>
      <c r="D484" s="1">
        <f>IFERROR(INDEX('20 2026 DEPO KABUL'!$B$2:$B$501,MATCH(C484,'20 2026 DEPO KABUL'!$F$2:$F$501,0)),"")</f>
        <v/>
      </c>
      <c r="E484" s="27" t="n"/>
      <c r="F484" s="27" t="n"/>
      <c r="G484" s="1">
        <f>IFERROR(INDEX('20 2026 DEPO KABUL'!$G$2:$G$501,MATCH(C484,'20 2026 DEPO KABUL'!$F$2:$F$501,0)),"")</f>
        <v/>
      </c>
      <c r="H484" s="1">
        <f>IFERROR(INDEX('20 2026 DEPO KABUL'!$H$2:$H$501,MATCH(C484,'20 2026 DEPO KABUL'!$F$2:$F$501,0)),"")</f>
        <v/>
      </c>
      <c r="I484" s="27" t="n"/>
      <c r="J484" s="27" t="n"/>
    </row>
    <row r="485" ht="15" customHeight="1">
      <c r="A485" s="27" t="n"/>
      <c r="B485" s="27" t="n"/>
      <c r="C485" s="27" t="n"/>
      <c r="D485" s="1">
        <f>IFERROR(INDEX('20 2026 DEPO KABUL'!$B$2:$B$501,MATCH(C485,'20 2026 DEPO KABUL'!$F$2:$F$501,0)),"")</f>
        <v/>
      </c>
      <c r="E485" s="27" t="n"/>
      <c r="F485" s="27" t="n"/>
      <c r="G485" s="1">
        <f>IFERROR(INDEX('20 2026 DEPO KABUL'!$G$2:$G$501,MATCH(C485,'20 2026 DEPO KABUL'!$F$2:$F$501,0)),"")</f>
        <v/>
      </c>
      <c r="H485" s="1">
        <f>IFERROR(INDEX('20 2026 DEPO KABUL'!$H$2:$H$501,MATCH(C485,'20 2026 DEPO KABUL'!$F$2:$F$501,0)),"")</f>
        <v/>
      </c>
      <c r="I485" s="27" t="n"/>
      <c r="J485" s="27" t="n"/>
    </row>
    <row r="486" ht="15" customHeight="1">
      <c r="A486" s="27" t="n"/>
      <c r="B486" s="27" t="n"/>
      <c r="C486" s="27" t="n"/>
      <c r="D486" s="1">
        <f>IFERROR(INDEX('20 2026 DEPO KABUL'!$B$2:$B$501,MATCH(C486,'20 2026 DEPO KABUL'!$F$2:$F$501,0)),"")</f>
        <v/>
      </c>
      <c r="E486" s="27" t="n"/>
      <c r="F486" s="27" t="n"/>
      <c r="G486" s="1">
        <f>IFERROR(INDEX('20 2026 DEPO KABUL'!$G$2:$G$501,MATCH(C486,'20 2026 DEPO KABUL'!$F$2:$F$501,0)),"")</f>
        <v/>
      </c>
      <c r="H486" s="1">
        <f>IFERROR(INDEX('20 2026 DEPO KABUL'!$H$2:$H$501,MATCH(C486,'20 2026 DEPO KABUL'!$F$2:$F$501,0)),"")</f>
        <v/>
      </c>
      <c r="I486" s="27" t="n"/>
      <c r="J486" s="27" t="n"/>
    </row>
    <row r="487" ht="15" customHeight="1">
      <c r="A487" s="27" t="n"/>
      <c r="B487" s="27" t="n"/>
      <c r="C487" s="27" t="n"/>
      <c r="D487" s="1">
        <f>IFERROR(INDEX('20 2026 DEPO KABUL'!$B$2:$B$501,MATCH(C487,'20 2026 DEPO KABUL'!$F$2:$F$501,0)),"")</f>
        <v/>
      </c>
      <c r="E487" s="27" t="n"/>
      <c r="F487" s="27" t="n"/>
      <c r="G487" s="1">
        <f>IFERROR(INDEX('20 2026 DEPO KABUL'!$G$2:$G$501,MATCH(C487,'20 2026 DEPO KABUL'!$F$2:$F$501,0)),"")</f>
        <v/>
      </c>
      <c r="H487" s="1">
        <f>IFERROR(INDEX('20 2026 DEPO KABUL'!$H$2:$H$501,MATCH(C487,'20 2026 DEPO KABUL'!$F$2:$F$501,0)),"")</f>
        <v/>
      </c>
      <c r="I487" s="27" t="n"/>
      <c r="J487" s="27" t="n"/>
    </row>
    <row r="488" ht="15" customHeight="1">
      <c r="A488" s="27" t="n"/>
      <c r="B488" s="27" t="n"/>
      <c r="C488" s="27" t="n"/>
      <c r="D488" s="1">
        <f>IFERROR(INDEX('20 2026 DEPO KABUL'!$B$2:$B$501,MATCH(C488,'20 2026 DEPO KABUL'!$F$2:$F$501,0)),"")</f>
        <v/>
      </c>
      <c r="E488" s="27" t="n"/>
      <c r="F488" s="27" t="n"/>
      <c r="G488" s="1">
        <f>IFERROR(INDEX('20 2026 DEPO KABUL'!$G$2:$G$501,MATCH(C488,'20 2026 DEPO KABUL'!$F$2:$F$501,0)),"")</f>
        <v/>
      </c>
      <c r="H488" s="1">
        <f>IFERROR(INDEX('20 2026 DEPO KABUL'!$H$2:$H$501,MATCH(C488,'20 2026 DEPO KABUL'!$F$2:$F$501,0)),"")</f>
        <v/>
      </c>
      <c r="I488" s="27" t="n"/>
      <c r="J488" s="27" t="n"/>
    </row>
    <row r="489" ht="15" customHeight="1">
      <c r="A489" s="27" t="n"/>
      <c r="B489" s="27" t="n"/>
      <c r="C489" s="27" t="n"/>
      <c r="D489" s="1">
        <f>IFERROR(INDEX('20 2026 DEPO KABUL'!$B$2:$B$501,MATCH(C489,'20 2026 DEPO KABUL'!$F$2:$F$501,0)),"")</f>
        <v/>
      </c>
      <c r="E489" s="27" t="n"/>
      <c r="F489" s="27" t="n"/>
      <c r="G489" s="1">
        <f>IFERROR(INDEX('20 2026 DEPO KABUL'!$G$2:$G$501,MATCH(C489,'20 2026 DEPO KABUL'!$F$2:$F$501,0)),"")</f>
        <v/>
      </c>
      <c r="H489" s="1">
        <f>IFERROR(INDEX('20 2026 DEPO KABUL'!$H$2:$H$501,MATCH(C489,'20 2026 DEPO KABUL'!$F$2:$F$501,0)),"")</f>
        <v/>
      </c>
      <c r="I489" s="27" t="n"/>
      <c r="J489" s="27" t="n"/>
    </row>
    <row r="490" ht="15" customHeight="1">
      <c r="A490" s="27" t="n"/>
      <c r="B490" s="27" t="n"/>
      <c r="C490" s="27" t="n"/>
      <c r="D490" s="1">
        <f>IFERROR(INDEX('20 2026 DEPO KABUL'!$B$2:$B$501,MATCH(C490,'20 2026 DEPO KABUL'!$F$2:$F$501,0)),"")</f>
        <v/>
      </c>
      <c r="E490" s="27" t="n"/>
      <c r="F490" s="27" t="n"/>
      <c r="G490" s="1">
        <f>IFERROR(INDEX('20 2026 DEPO KABUL'!$G$2:$G$501,MATCH(C490,'20 2026 DEPO KABUL'!$F$2:$F$501,0)),"")</f>
        <v/>
      </c>
      <c r="H490" s="1">
        <f>IFERROR(INDEX('20 2026 DEPO KABUL'!$H$2:$H$501,MATCH(C490,'20 2026 DEPO KABUL'!$F$2:$F$501,0)),"")</f>
        <v/>
      </c>
      <c r="I490" s="27" t="n"/>
      <c r="J490" s="27" t="n"/>
    </row>
    <row r="491" ht="15" customHeight="1">
      <c r="A491" s="27" t="n"/>
      <c r="B491" s="27" t="n"/>
      <c r="C491" s="27" t="n"/>
      <c r="D491" s="1">
        <f>IFERROR(INDEX('20 2026 DEPO KABUL'!$B$2:$B$501,MATCH(C491,'20 2026 DEPO KABUL'!$F$2:$F$501,0)),"")</f>
        <v/>
      </c>
      <c r="E491" s="27" t="n"/>
      <c r="F491" s="27" t="n"/>
      <c r="G491" s="1">
        <f>IFERROR(INDEX('20 2026 DEPO KABUL'!$G$2:$G$501,MATCH(C491,'20 2026 DEPO KABUL'!$F$2:$F$501,0)),"")</f>
        <v/>
      </c>
      <c r="H491" s="1">
        <f>IFERROR(INDEX('20 2026 DEPO KABUL'!$H$2:$H$501,MATCH(C491,'20 2026 DEPO KABUL'!$F$2:$F$501,0)),"")</f>
        <v/>
      </c>
      <c r="I491" s="27" t="n"/>
      <c r="J491" s="27" t="n"/>
    </row>
    <row r="492" ht="15" customHeight="1">
      <c r="A492" s="27" t="n"/>
      <c r="B492" s="27" t="n"/>
      <c r="C492" s="27" t="n"/>
      <c r="D492" s="1">
        <f>IFERROR(INDEX('20 2026 DEPO KABUL'!$B$2:$B$501,MATCH(C492,'20 2026 DEPO KABUL'!$F$2:$F$501,0)),"")</f>
        <v/>
      </c>
      <c r="E492" s="27" t="n"/>
      <c r="F492" s="27" t="n"/>
      <c r="G492" s="1">
        <f>IFERROR(INDEX('20 2026 DEPO KABUL'!$G$2:$G$501,MATCH(C492,'20 2026 DEPO KABUL'!$F$2:$F$501,0)),"")</f>
        <v/>
      </c>
      <c r="H492" s="1">
        <f>IFERROR(INDEX('20 2026 DEPO KABUL'!$H$2:$H$501,MATCH(C492,'20 2026 DEPO KABUL'!$F$2:$F$501,0)),"")</f>
        <v/>
      </c>
      <c r="I492" s="27" t="n"/>
      <c r="J492" s="27" t="n"/>
    </row>
    <row r="493" ht="15" customHeight="1">
      <c r="A493" s="27" t="n"/>
      <c r="B493" s="27" t="n"/>
      <c r="C493" s="27" t="n"/>
      <c r="D493" s="1">
        <f>IFERROR(INDEX('20 2026 DEPO KABUL'!$B$2:$B$501,MATCH(C493,'20 2026 DEPO KABUL'!$F$2:$F$501,0)),"")</f>
        <v/>
      </c>
      <c r="E493" s="27" t="n"/>
      <c r="F493" s="27" t="n"/>
      <c r="G493" s="1">
        <f>IFERROR(INDEX('20 2026 DEPO KABUL'!$G$2:$G$501,MATCH(C493,'20 2026 DEPO KABUL'!$F$2:$F$501,0)),"")</f>
        <v/>
      </c>
      <c r="H493" s="1">
        <f>IFERROR(INDEX('20 2026 DEPO KABUL'!$H$2:$H$501,MATCH(C493,'20 2026 DEPO KABUL'!$F$2:$F$501,0)),"")</f>
        <v/>
      </c>
      <c r="I493" s="27" t="n"/>
      <c r="J493" s="27" t="n"/>
    </row>
    <row r="494" ht="15" customHeight="1">
      <c r="A494" s="27" t="n"/>
      <c r="B494" s="27" t="n"/>
      <c r="C494" s="27" t="n"/>
      <c r="D494" s="1">
        <f>IFERROR(INDEX('20 2026 DEPO KABUL'!$B$2:$B$501,MATCH(C494,'20 2026 DEPO KABUL'!$F$2:$F$501,0)),"")</f>
        <v/>
      </c>
      <c r="E494" s="27" t="n"/>
      <c r="F494" s="27" t="n"/>
      <c r="G494" s="1">
        <f>IFERROR(INDEX('20 2026 DEPO KABUL'!$G$2:$G$501,MATCH(C494,'20 2026 DEPO KABUL'!$F$2:$F$501,0)),"")</f>
        <v/>
      </c>
      <c r="H494" s="1">
        <f>IFERROR(INDEX('20 2026 DEPO KABUL'!$H$2:$H$501,MATCH(C494,'20 2026 DEPO KABUL'!$F$2:$F$501,0)),"")</f>
        <v/>
      </c>
      <c r="I494" s="27" t="n"/>
      <c r="J494" s="27" t="n"/>
    </row>
    <row r="495" ht="15" customHeight="1">
      <c r="A495" s="27" t="n"/>
      <c r="B495" s="27" t="n"/>
      <c r="C495" s="27" t="n"/>
      <c r="D495" s="1">
        <f>IFERROR(INDEX('20 2026 DEPO KABUL'!$B$2:$B$501,MATCH(C495,'20 2026 DEPO KABUL'!$F$2:$F$501,0)),"")</f>
        <v/>
      </c>
      <c r="E495" s="27" t="n"/>
      <c r="F495" s="27" t="n"/>
      <c r="G495" s="1">
        <f>IFERROR(INDEX('20 2026 DEPO KABUL'!$G$2:$G$501,MATCH(C495,'20 2026 DEPO KABUL'!$F$2:$F$501,0)),"")</f>
        <v/>
      </c>
      <c r="H495" s="1">
        <f>IFERROR(INDEX('20 2026 DEPO KABUL'!$H$2:$H$501,MATCH(C495,'20 2026 DEPO KABUL'!$F$2:$F$501,0)),"")</f>
        <v/>
      </c>
      <c r="I495" s="27" t="n"/>
      <c r="J495" s="27" t="n"/>
    </row>
    <row r="496" ht="15" customHeight="1">
      <c r="A496" s="27" t="n"/>
      <c r="B496" s="27" t="n"/>
      <c r="C496" s="27" t="n"/>
      <c r="D496" s="1">
        <f>IFERROR(INDEX('20 2026 DEPO KABUL'!$B$2:$B$501,MATCH(C496,'20 2026 DEPO KABUL'!$F$2:$F$501,0)),"")</f>
        <v/>
      </c>
      <c r="E496" s="27" t="n"/>
      <c r="F496" s="27" t="n"/>
      <c r="G496" s="1">
        <f>IFERROR(INDEX('20 2026 DEPO KABUL'!$G$2:$G$501,MATCH(C496,'20 2026 DEPO KABUL'!$F$2:$F$501,0)),"")</f>
        <v/>
      </c>
      <c r="H496" s="1">
        <f>IFERROR(INDEX('20 2026 DEPO KABUL'!$H$2:$H$501,MATCH(C496,'20 2026 DEPO KABUL'!$F$2:$F$501,0)),"")</f>
        <v/>
      </c>
      <c r="I496" s="27" t="n"/>
      <c r="J496" s="27" t="n"/>
    </row>
    <row r="497" ht="15" customHeight="1">
      <c r="A497" s="27" t="n"/>
      <c r="B497" s="27" t="n"/>
      <c r="C497" s="27" t="n"/>
      <c r="D497" s="1">
        <f>IFERROR(INDEX('20 2026 DEPO KABUL'!$B$2:$B$501,MATCH(C497,'20 2026 DEPO KABUL'!$F$2:$F$501,0)),"")</f>
        <v/>
      </c>
      <c r="E497" s="27" t="n"/>
      <c r="F497" s="27" t="n"/>
      <c r="G497" s="1">
        <f>IFERROR(INDEX('20 2026 DEPO KABUL'!$G$2:$G$501,MATCH(C497,'20 2026 DEPO KABUL'!$F$2:$F$501,0)),"")</f>
        <v/>
      </c>
      <c r="H497" s="1">
        <f>IFERROR(INDEX('20 2026 DEPO KABUL'!$H$2:$H$501,MATCH(C497,'20 2026 DEPO KABUL'!$F$2:$F$501,0)),"")</f>
        <v/>
      </c>
      <c r="I497" s="27" t="n"/>
      <c r="J497" s="27" t="n"/>
    </row>
    <row r="498" ht="15" customHeight="1">
      <c r="A498" s="27" t="n"/>
      <c r="B498" s="27" t="n"/>
      <c r="C498" s="27" t="n"/>
      <c r="D498" s="1">
        <f>IFERROR(INDEX('20 2026 DEPO KABUL'!$B$2:$B$501,MATCH(C498,'20 2026 DEPO KABUL'!$F$2:$F$501,0)),"")</f>
        <v/>
      </c>
      <c r="E498" s="27" t="n"/>
      <c r="F498" s="27" t="n"/>
      <c r="G498" s="1">
        <f>IFERROR(INDEX('20 2026 DEPO KABUL'!$G$2:$G$501,MATCH(C498,'20 2026 DEPO KABUL'!$F$2:$F$501,0)),"")</f>
        <v/>
      </c>
      <c r="H498" s="1">
        <f>IFERROR(INDEX('20 2026 DEPO KABUL'!$H$2:$H$501,MATCH(C498,'20 2026 DEPO KABUL'!$F$2:$F$501,0)),"")</f>
        <v/>
      </c>
      <c r="I498" s="27" t="n"/>
      <c r="J498" s="27" t="n"/>
    </row>
    <row r="499" ht="15" customHeight="1">
      <c r="A499" s="27" t="n"/>
      <c r="B499" s="27" t="n"/>
      <c r="C499" s="27" t="n"/>
      <c r="D499" s="1">
        <f>IFERROR(INDEX('20 2026 DEPO KABUL'!$B$2:$B$501,MATCH(C499,'20 2026 DEPO KABUL'!$F$2:$F$501,0)),"")</f>
        <v/>
      </c>
      <c r="E499" s="27" t="n"/>
      <c r="F499" s="27" t="n"/>
      <c r="G499" s="1">
        <f>IFERROR(INDEX('20 2026 DEPO KABUL'!$G$2:$G$501,MATCH(C499,'20 2026 DEPO KABUL'!$F$2:$F$501,0)),"")</f>
        <v/>
      </c>
      <c r="H499" s="1">
        <f>IFERROR(INDEX('20 2026 DEPO KABUL'!$H$2:$H$501,MATCH(C499,'20 2026 DEPO KABUL'!$F$2:$F$501,0)),"")</f>
        <v/>
      </c>
      <c r="I499" s="27" t="n"/>
      <c r="J499" s="27" t="n"/>
    </row>
    <row r="500" ht="15" customHeight="1">
      <c r="A500" s="27" t="n"/>
      <c r="B500" s="27" t="n"/>
      <c r="C500" s="27" t="n"/>
      <c r="D500" s="1">
        <f>IFERROR(INDEX('20 2026 DEPO KABUL'!$B$2:$B$501,MATCH(C500,'20 2026 DEPO KABUL'!$F$2:$F$501,0)),"")</f>
        <v/>
      </c>
      <c r="E500" s="27" t="n"/>
      <c r="F500" s="27" t="n"/>
      <c r="G500" s="1">
        <f>IFERROR(INDEX('20 2026 DEPO KABUL'!$G$2:$G$501,MATCH(C500,'20 2026 DEPO KABUL'!$F$2:$F$501,0)),"")</f>
        <v/>
      </c>
      <c r="H500" s="1">
        <f>IFERROR(INDEX('20 2026 DEPO KABUL'!$H$2:$H$501,MATCH(C500,'20 2026 DEPO KABUL'!$F$2:$F$501,0)),"")</f>
        <v/>
      </c>
      <c r="I500" s="27" t="n"/>
      <c r="J500" s="27" t="n"/>
    </row>
    <row r="501" ht="15" customHeight="1">
      <c r="A501" s="27" t="n"/>
      <c r="B501" s="27" t="n"/>
      <c r="C501" s="27" t="n"/>
      <c r="D501" s="1">
        <f>IFERROR(INDEX('20 2026 DEPO KABUL'!$B$2:$B$501,MATCH(C501,'20 2026 DEPO KABUL'!$F$2:$F$501,0)),"")</f>
        <v/>
      </c>
      <c r="E501" s="27" t="n"/>
      <c r="F501" s="27" t="n"/>
      <c r="G501" s="1">
        <f>IFERROR(INDEX('20 2026 DEPO KABUL'!$G$2:$G$501,MATCH(C501,'20 2026 DEPO KABUL'!$F$2:$F$501,0)),"")</f>
        <v/>
      </c>
      <c r="H501" s="1">
        <f>IFERROR(INDEX('20 2026 DEPO KABUL'!$H$2:$H$501,MATCH(C501,'20 2026 DEPO KABUL'!$F$2:$F$501,0)),"")</f>
        <v/>
      </c>
      <c r="I501" s="27" t="n"/>
      <c r="J501" s="27" t="n"/>
    </row>
    <row r="502" ht="15" customHeight="1">
      <c r="A502" s="1" t="inlineStr">
        <is>
          <t>15.04.2026</t>
        </is>
      </c>
      <c r="B502" s="1" t="inlineStr">
        <is>
          <t>270415</t>
        </is>
      </c>
      <c r="C502" s="1" t="inlineStr">
        <is>
          <t>251212</t>
        </is>
      </c>
      <c r="D502" s="1" t="inlineStr">
        <is>
          <t>Patates unu</t>
        </is>
      </c>
      <c r="E502" s="1" t="n"/>
      <c r="F502" s="1" t="n"/>
      <c r="G502" s="1" t="n"/>
      <c r="H502" s="1" t="n"/>
      <c r="I502" s="1" t="n"/>
      <c r="J502" s="1" t="inlineStr">
        <is>
          <t>Gerçek lot matrisi kaynağından konsolide</t>
        </is>
      </c>
    </row>
    <row r="503" ht="15" customHeight="1">
      <c r="A503" s="1" t="inlineStr">
        <is>
          <t>15.04.2026</t>
        </is>
      </c>
      <c r="B503" s="1" t="inlineStr">
        <is>
          <t>270415</t>
        </is>
      </c>
      <c r="C503" s="1" t="inlineStr">
        <is>
          <t>58138875</t>
        </is>
      </c>
      <c r="D503" s="1" t="inlineStr">
        <is>
          <t>Mısır nişastası</t>
        </is>
      </c>
      <c r="E503" s="1" t="n"/>
      <c r="F503" s="1" t="n"/>
      <c r="G503" s="1" t="n"/>
      <c r="H503" s="1" t="n"/>
      <c r="I503" s="1" t="n"/>
      <c r="J503" s="1" t="inlineStr">
        <is>
          <t>Gerçek lot matrisi kaynağından konsolide</t>
        </is>
      </c>
    </row>
    <row r="504" ht="15" customHeight="1">
      <c r="A504" s="1" t="inlineStr">
        <is>
          <t>15.04.2026</t>
        </is>
      </c>
      <c r="B504" s="1" t="inlineStr">
        <is>
          <t>270415</t>
        </is>
      </c>
      <c r="C504" s="1" t="inlineStr">
        <is>
          <t>9226</t>
        </is>
      </c>
      <c r="D504" s="1" t="inlineStr">
        <is>
          <t>Mısır unu</t>
        </is>
      </c>
      <c r="E504" s="1" t="n"/>
      <c r="F504" s="1" t="n"/>
      <c r="G504" s="1" t="n"/>
      <c r="H504" s="1" t="n"/>
      <c r="I504" s="1" t="n"/>
      <c r="J504" s="1" t="inlineStr">
        <is>
          <t>Gerçek lot matrisi kaynağından konsolide</t>
        </is>
      </c>
    </row>
    <row r="505" ht="15" customHeight="1">
      <c r="A505" s="1" t="inlineStr">
        <is>
          <t>15.04.2026</t>
        </is>
      </c>
      <c r="B505" s="1" t="inlineStr">
        <is>
          <t>270415</t>
        </is>
      </c>
      <c r="C505" s="1" t="inlineStr">
        <is>
          <t>20425</t>
        </is>
      </c>
      <c r="D505" s="1" t="inlineStr">
        <is>
          <t>Tuz</t>
        </is>
      </c>
      <c r="E505" s="1" t="n"/>
      <c r="F505" s="1" t="n"/>
      <c r="G505" s="1" t="n"/>
      <c r="H505" s="1" t="n"/>
      <c r="I505" s="1" t="n"/>
      <c r="J505" s="1" t="inlineStr">
        <is>
          <t>Gerçek lot matrisi kaynağından konsolide</t>
        </is>
      </c>
    </row>
    <row r="506" ht="15" customHeight="1">
      <c r="A506" s="1" t="inlineStr">
        <is>
          <t>15.04.2026</t>
        </is>
      </c>
      <c r="B506" s="1" t="inlineStr">
        <is>
          <t>270415</t>
        </is>
      </c>
      <c r="C506" s="1" t="inlineStr">
        <is>
          <t>070426-693</t>
        </is>
      </c>
      <c r="D506" s="1" t="inlineStr">
        <is>
          <t>Karabiber</t>
        </is>
      </c>
      <c r="E506" s="1" t="n"/>
      <c r="F506" s="1" t="n"/>
      <c r="G506" s="1" t="n"/>
      <c r="H506" s="1" t="n"/>
      <c r="I506" s="1" t="n"/>
      <c r="J506" s="1" t="inlineStr">
        <is>
          <t>Gerçek lot matrisi kaynağından konsolide</t>
        </is>
      </c>
    </row>
    <row r="507" ht="15" customHeight="1">
      <c r="A507" s="1" t="inlineStr">
        <is>
          <t>15.04.2026</t>
        </is>
      </c>
      <c r="B507" s="1" t="inlineStr">
        <is>
          <t>270415</t>
        </is>
      </c>
      <c r="C507" s="1" t="inlineStr">
        <is>
          <t>170226-157</t>
        </is>
      </c>
      <c r="D507" s="1" t="inlineStr">
        <is>
          <t>Sarımsak tozu</t>
        </is>
      </c>
      <c r="E507" s="1" t="n"/>
      <c r="F507" s="1" t="n"/>
      <c r="G507" s="1" t="n"/>
      <c r="H507" s="1" t="n"/>
      <c r="I507" s="1" t="n"/>
      <c r="J507" s="1" t="inlineStr">
        <is>
          <t>Gerçek lot matrisi kaynağından konsolide</t>
        </is>
      </c>
    </row>
    <row r="508" ht="15" customHeight="1">
      <c r="A508" s="1" t="inlineStr">
        <is>
          <t>15.04.2026</t>
        </is>
      </c>
      <c r="B508" s="1" t="inlineStr">
        <is>
          <t>270415</t>
        </is>
      </c>
      <c r="C508" s="1" t="inlineStr">
        <is>
          <t>280108-234</t>
        </is>
      </c>
      <c r="D508" s="1" t="inlineStr">
        <is>
          <t>BENECEL A4M</t>
        </is>
      </c>
      <c r="E508" s="1" t="n"/>
      <c r="F508" s="1" t="n"/>
      <c r="G508" s="1" t="n"/>
      <c r="H508" s="1" t="n"/>
      <c r="I508" s="1" t="n"/>
      <c r="J508" s="1" t="inlineStr">
        <is>
          <t>Gerçek lot matrisi kaynağından konsolide</t>
        </is>
      </c>
    </row>
    <row r="509" ht="15" customHeight="1">
      <c r="A509" s="1" t="inlineStr">
        <is>
          <t>15.04.2026</t>
        </is>
      </c>
      <c r="B509" s="1" t="inlineStr">
        <is>
          <t>270415</t>
        </is>
      </c>
      <c r="C509" s="1" t="inlineStr">
        <is>
          <t>01.09.EY</t>
        </is>
      </c>
      <c r="D509" s="1" t="inlineStr">
        <is>
          <t>Savour Tavuk Çeşnisi</t>
        </is>
      </c>
      <c r="E509" s="1" t="n"/>
      <c r="F509" s="1" t="n"/>
      <c r="G509" s="1" t="n"/>
      <c r="H509" s="1" t="n"/>
      <c r="I509" s="1" t="n"/>
      <c r="J509" s="1" t="inlineStr">
        <is>
          <t>Gerçek lot matrisi kaynağından konsolide</t>
        </is>
      </c>
    </row>
    <row r="510" ht="15" customHeight="1">
      <c r="A510" s="1" t="inlineStr">
        <is>
          <t>27.04.2026</t>
        </is>
      </c>
      <c r="B510" s="1" t="inlineStr">
        <is>
          <t>270427</t>
        </is>
      </c>
      <c r="C510" s="1" t="inlineStr">
        <is>
          <t>251212</t>
        </is>
      </c>
      <c r="D510" s="1" t="inlineStr">
        <is>
          <t>Patates unu</t>
        </is>
      </c>
      <c r="E510" s="1" t="n"/>
      <c r="F510" s="1" t="n"/>
      <c r="G510" s="1" t="n"/>
      <c r="H510" s="1" t="n"/>
      <c r="I510" s="1" t="n"/>
      <c r="J510" s="1" t="inlineStr">
        <is>
          <t>Gerçek lot matrisi kaynağından konsolide</t>
        </is>
      </c>
    </row>
    <row r="511" ht="15" customHeight="1">
      <c r="A511" s="1" t="inlineStr">
        <is>
          <t>27.04.2026</t>
        </is>
      </c>
      <c r="B511" s="1" t="inlineStr">
        <is>
          <t>270427</t>
        </is>
      </c>
      <c r="C511" s="1" t="inlineStr">
        <is>
          <t>58138875</t>
        </is>
      </c>
      <c r="D511" s="1" t="inlineStr">
        <is>
          <t>Mısır nişastası</t>
        </is>
      </c>
      <c r="E511" s="1" t="n"/>
      <c r="F511" s="1" t="n"/>
      <c r="G511" s="1" t="n"/>
      <c r="H511" s="1" t="n"/>
      <c r="I511" s="1" t="n"/>
      <c r="J511" s="1" t="inlineStr">
        <is>
          <t>Gerçek lot matrisi kaynağından konsolide</t>
        </is>
      </c>
    </row>
    <row r="512" ht="15" customHeight="1">
      <c r="A512" s="1" t="inlineStr">
        <is>
          <t>27.04.2026</t>
        </is>
      </c>
      <c r="B512" s="1" t="inlineStr">
        <is>
          <t>270427</t>
        </is>
      </c>
      <c r="C512" s="1" t="inlineStr">
        <is>
          <t>9226</t>
        </is>
      </c>
      <c r="D512" s="1" t="inlineStr">
        <is>
          <t>Mısır unu</t>
        </is>
      </c>
      <c r="E512" s="1" t="n"/>
      <c r="F512" s="1" t="n"/>
      <c r="G512" s="1" t="n"/>
      <c r="H512" s="1" t="n"/>
      <c r="I512" s="1" t="n"/>
      <c r="J512" s="1" t="inlineStr">
        <is>
          <t>Gerçek lot matrisi kaynağından konsolide</t>
        </is>
      </c>
    </row>
    <row r="513" ht="15" customHeight="1">
      <c r="A513" s="1" t="inlineStr">
        <is>
          <t>27.04.2026</t>
        </is>
      </c>
      <c r="B513" s="1" t="inlineStr">
        <is>
          <t>270427</t>
        </is>
      </c>
      <c r="C513" s="1" t="inlineStr">
        <is>
          <t>20425</t>
        </is>
      </c>
      <c r="D513" s="1" t="inlineStr">
        <is>
          <t>Tuz</t>
        </is>
      </c>
      <c r="E513" s="1" t="n"/>
      <c r="F513" s="1" t="n"/>
      <c r="G513" s="1" t="n"/>
      <c r="H513" s="1" t="n"/>
      <c r="I513" s="1" t="n"/>
      <c r="J513" s="1" t="inlineStr">
        <is>
          <t>Gerçek lot matrisi kaynağından konsolide</t>
        </is>
      </c>
    </row>
    <row r="514" ht="15" customHeight="1">
      <c r="A514" s="1" t="inlineStr">
        <is>
          <t>27.04.2026</t>
        </is>
      </c>
      <c r="B514" s="1" t="inlineStr">
        <is>
          <t>270427</t>
        </is>
      </c>
      <c r="C514" s="1" t="inlineStr">
        <is>
          <t>070426-693</t>
        </is>
      </c>
      <c r="D514" s="1" t="inlineStr">
        <is>
          <t>Karabiber</t>
        </is>
      </c>
      <c r="E514" s="1" t="n"/>
      <c r="F514" s="1" t="n"/>
      <c r="G514" s="1" t="n"/>
      <c r="H514" s="1" t="n"/>
      <c r="I514" s="1" t="n"/>
      <c r="J514" s="1" t="inlineStr">
        <is>
          <t>Gerçek lot matrisi kaynağından konsolide</t>
        </is>
      </c>
    </row>
    <row r="515" ht="15" customHeight="1">
      <c r="A515" s="1" t="inlineStr">
        <is>
          <t>27.04.2026</t>
        </is>
      </c>
      <c r="B515" s="1" t="inlineStr">
        <is>
          <t>270427</t>
        </is>
      </c>
      <c r="C515" s="1" t="inlineStr">
        <is>
          <t>170226-157</t>
        </is>
      </c>
      <c r="D515" s="1" t="inlineStr">
        <is>
          <t>Sarımsak tozu</t>
        </is>
      </c>
      <c r="E515" s="1" t="n"/>
      <c r="F515" s="1" t="n"/>
      <c r="G515" s="1" t="n"/>
      <c r="H515" s="1" t="n"/>
      <c r="I515" s="1" t="n"/>
      <c r="J515" s="1" t="inlineStr">
        <is>
          <t>Gerçek lot matrisi kaynağından konsolide</t>
        </is>
      </c>
    </row>
    <row r="516" ht="15" customHeight="1">
      <c r="A516" s="1" t="inlineStr">
        <is>
          <t>27.04.2026</t>
        </is>
      </c>
      <c r="B516" s="1" t="inlineStr">
        <is>
          <t>270427</t>
        </is>
      </c>
      <c r="C516" s="1" t="inlineStr">
        <is>
          <t>280108-234</t>
        </is>
      </c>
      <c r="D516" s="1" t="inlineStr">
        <is>
          <t>BENECEL A4M</t>
        </is>
      </c>
      <c r="E516" s="1" t="n"/>
      <c r="F516" s="1" t="n"/>
      <c r="G516" s="1" t="n"/>
      <c r="H516" s="1" t="n"/>
      <c r="I516" s="1" t="n"/>
      <c r="J516" s="1" t="inlineStr">
        <is>
          <t>Gerçek lot matrisi kaynağından konsolide</t>
        </is>
      </c>
    </row>
    <row r="517" ht="15" customHeight="1">
      <c r="A517" s="1" t="inlineStr">
        <is>
          <t>27.04.2026</t>
        </is>
      </c>
      <c r="B517" s="1" t="inlineStr">
        <is>
          <t>270427</t>
        </is>
      </c>
      <c r="C517" s="1" t="inlineStr">
        <is>
          <t>01.09.EY</t>
        </is>
      </c>
      <c r="D517" s="1" t="inlineStr">
        <is>
          <t>Savour Tavuk Çeşnisi</t>
        </is>
      </c>
      <c r="E517" s="1" t="n"/>
      <c r="F517" s="1" t="n"/>
      <c r="G517" s="1" t="n"/>
      <c r="H517" s="1" t="n"/>
      <c r="I517" s="1" t="n"/>
      <c r="J517" s="1" t="inlineStr">
        <is>
          <t>Gerçek lot matrisi kaynağından konsolide</t>
        </is>
      </c>
    </row>
    <row r="518" ht="15" customHeight="1">
      <c r="A518" s="1" t="inlineStr">
        <is>
          <t>04.05.2026</t>
        </is>
      </c>
      <c r="B518" s="1" t="inlineStr">
        <is>
          <t>270504</t>
        </is>
      </c>
      <c r="C518" s="1" t="inlineStr">
        <is>
          <t>251212</t>
        </is>
      </c>
      <c r="D518" s="1" t="inlineStr">
        <is>
          <t>Patates unu</t>
        </is>
      </c>
      <c r="E518" s="1" t="n"/>
      <c r="F518" s="1" t="n"/>
      <c r="G518" s="1" t="n"/>
      <c r="H518" s="1" t="n"/>
      <c r="I518" s="1" t="n"/>
      <c r="J518" s="1" t="inlineStr">
        <is>
          <t>Gerçek lot matrisi kaynağından konsolide</t>
        </is>
      </c>
    </row>
    <row r="519" ht="15" customHeight="1">
      <c r="A519" s="1" t="inlineStr">
        <is>
          <t>04.05.2026</t>
        </is>
      </c>
      <c r="B519" s="1" t="inlineStr">
        <is>
          <t>270504</t>
        </is>
      </c>
      <c r="C519" s="1" t="inlineStr">
        <is>
          <t>58138875</t>
        </is>
      </c>
      <c r="D519" s="1" t="inlineStr">
        <is>
          <t>Mısır nişastası</t>
        </is>
      </c>
      <c r="E519" s="1" t="n"/>
      <c r="F519" s="1" t="n"/>
      <c r="G519" s="1" t="n"/>
      <c r="H519" s="1" t="n"/>
      <c r="I519" s="1" t="n"/>
      <c r="J519" s="1" t="inlineStr">
        <is>
          <t>Gerçek lot matrisi kaynağından konsolide</t>
        </is>
      </c>
    </row>
    <row r="520" ht="15" customHeight="1">
      <c r="A520" s="1" t="inlineStr">
        <is>
          <t>04.05.2026</t>
        </is>
      </c>
      <c r="B520" s="1" t="inlineStr">
        <is>
          <t>270504</t>
        </is>
      </c>
      <c r="C520" s="1" t="inlineStr">
        <is>
          <t>9226</t>
        </is>
      </c>
      <c r="D520" s="1" t="inlineStr">
        <is>
          <t>Mısır unu</t>
        </is>
      </c>
      <c r="E520" s="1" t="n"/>
      <c r="F520" s="1" t="n"/>
      <c r="G520" s="1" t="n"/>
      <c r="H520" s="1" t="n"/>
      <c r="I520" s="1" t="n"/>
      <c r="J520" s="1" t="inlineStr">
        <is>
          <t>Gerçek lot matrisi kaynağından konsolide</t>
        </is>
      </c>
    </row>
    <row r="521" ht="15" customHeight="1">
      <c r="A521" s="1" t="inlineStr">
        <is>
          <t>04.05.2026</t>
        </is>
      </c>
      <c r="B521" s="1" t="inlineStr">
        <is>
          <t>270504</t>
        </is>
      </c>
      <c r="C521" s="1" t="inlineStr">
        <is>
          <t>20425</t>
        </is>
      </c>
      <c r="D521" s="1" t="inlineStr">
        <is>
          <t>Tuz</t>
        </is>
      </c>
      <c r="E521" s="1" t="n"/>
      <c r="F521" s="1" t="n"/>
      <c r="G521" s="1" t="n"/>
      <c r="H521" s="1" t="n"/>
      <c r="I521" s="1" t="n"/>
      <c r="J521" s="1" t="inlineStr">
        <is>
          <t>Gerçek lot matrisi kaynağından konsolide</t>
        </is>
      </c>
    </row>
    <row r="522" ht="15" customHeight="1">
      <c r="A522" s="1" t="inlineStr">
        <is>
          <t>04.05.2026</t>
        </is>
      </c>
      <c r="B522" s="1" t="inlineStr">
        <is>
          <t>270504</t>
        </is>
      </c>
      <c r="C522" s="1" t="inlineStr">
        <is>
          <t>070426-693</t>
        </is>
      </c>
      <c r="D522" s="1" t="inlineStr">
        <is>
          <t>Karabiber</t>
        </is>
      </c>
      <c r="E522" s="1" t="n"/>
      <c r="F522" s="1" t="n"/>
      <c r="G522" s="1" t="n"/>
      <c r="H522" s="1" t="n"/>
      <c r="I522" s="1" t="n"/>
      <c r="J522" s="1" t="inlineStr">
        <is>
          <t>Gerçek lot matrisi kaynağından konsolide</t>
        </is>
      </c>
    </row>
    <row r="523" ht="15" customHeight="1">
      <c r="A523" s="1" t="inlineStr">
        <is>
          <t>04.05.2026</t>
        </is>
      </c>
      <c r="B523" s="1" t="inlineStr">
        <is>
          <t>270504</t>
        </is>
      </c>
      <c r="C523" s="1" t="inlineStr">
        <is>
          <t>170226-157</t>
        </is>
      </c>
      <c r="D523" s="1" t="inlineStr">
        <is>
          <t>Sarımsak tozu</t>
        </is>
      </c>
      <c r="E523" s="1" t="n"/>
      <c r="F523" s="1" t="n"/>
      <c r="G523" s="1" t="n"/>
      <c r="H523" s="1" t="n"/>
      <c r="I523" s="1" t="n"/>
      <c r="J523" s="1" t="inlineStr">
        <is>
          <t>Gerçek lot matrisi kaynağından konsolide</t>
        </is>
      </c>
    </row>
    <row r="524" ht="15" customHeight="1">
      <c r="A524" s="1" t="inlineStr">
        <is>
          <t>04.05.2026</t>
        </is>
      </c>
      <c r="B524" s="1" t="inlineStr">
        <is>
          <t>270504</t>
        </is>
      </c>
      <c r="C524" s="1" t="inlineStr">
        <is>
          <t>280108-234</t>
        </is>
      </c>
      <c r="D524" s="1" t="inlineStr">
        <is>
          <t>BENECEL A4M</t>
        </is>
      </c>
      <c r="E524" s="1" t="n"/>
      <c r="F524" s="1" t="n"/>
      <c r="G524" s="1" t="n"/>
      <c r="H524" s="1" t="n"/>
      <c r="I524" s="1" t="n"/>
      <c r="J524" s="1" t="inlineStr">
        <is>
          <t>Gerçek lot matrisi kaynağından konsolide</t>
        </is>
      </c>
    </row>
    <row r="525" ht="15" customHeight="1">
      <c r="A525" s="1" t="inlineStr">
        <is>
          <t>04.05.2026</t>
        </is>
      </c>
      <c r="B525" s="1" t="inlineStr">
        <is>
          <t>270504</t>
        </is>
      </c>
      <c r="C525" s="1" t="inlineStr">
        <is>
          <t>01.09.EY</t>
        </is>
      </c>
      <c r="D525" s="1" t="inlineStr">
        <is>
          <t>Savour Tavuk Çeşnisi</t>
        </is>
      </c>
      <c r="E525" s="1" t="n"/>
      <c r="F525" s="1" t="n"/>
      <c r="G525" s="1" t="n"/>
      <c r="H525" s="1" t="n"/>
      <c r="I525" s="1" t="n"/>
      <c r="J525" s="1" t="inlineStr">
        <is>
          <t>Gerçek lot matrisi kaynağından konsolide</t>
        </is>
      </c>
    </row>
    <row r="526" ht="15" customHeight="1">
      <c r="A526" s="1" t="inlineStr">
        <is>
          <t>05.05.2026</t>
        </is>
      </c>
      <c r="B526" s="1" t="inlineStr">
        <is>
          <t>270505</t>
        </is>
      </c>
      <c r="C526" s="1" t="inlineStr">
        <is>
          <t>251212</t>
        </is>
      </c>
      <c r="D526" s="1" t="inlineStr">
        <is>
          <t>Patates unu</t>
        </is>
      </c>
      <c r="E526" s="1" t="n"/>
      <c r="F526" s="1" t="n"/>
      <c r="G526" s="1" t="n"/>
      <c r="H526" s="1" t="n"/>
      <c r="I526" s="1" t="n"/>
      <c r="J526" s="1" t="inlineStr">
        <is>
          <t>Gerçek lot matrisi kaynağından konsolide</t>
        </is>
      </c>
    </row>
    <row r="527" ht="15" customHeight="1">
      <c r="A527" s="1" t="inlineStr">
        <is>
          <t>05.05.2026</t>
        </is>
      </c>
      <c r="B527" s="1" t="inlineStr">
        <is>
          <t>270505</t>
        </is>
      </c>
      <c r="C527" s="1" t="inlineStr">
        <is>
          <t>58138875</t>
        </is>
      </c>
      <c r="D527" s="1" t="inlineStr">
        <is>
          <t>Mısır nişastası</t>
        </is>
      </c>
      <c r="E527" s="1" t="n"/>
      <c r="F527" s="1" t="n"/>
      <c r="G527" s="1" t="n"/>
      <c r="H527" s="1" t="n"/>
      <c r="I527" s="1" t="n"/>
      <c r="J527" s="1" t="inlineStr">
        <is>
          <t>Gerçek lot matrisi kaynağından konsolide</t>
        </is>
      </c>
    </row>
    <row r="528" ht="15" customHeight="1">
      <c r="A528" s="1" t="inlineStr">
        <is>
          <t>05.05.2026</t>
        </is>
      </c>
      <c r="B528" s="1" t="inlineStr">
        <is>
          <t>270505</t>
        </is>
      </c>
      <c r="C528" s="1" t="inlineStr">
        <is>
          <t>9226</t>
        </is>
      </c>
      <c r="D528" s="1" t="inlineStr">
        <is>
          <t>Mısır unu</t>
        </is>
      </c>
      <c r="E528" s="1" t="n"/>
      <c r="F528" s="1" t="n"/>
      <c r="G528" s="1" t="n"/>
      <c r="H528" s="1" t="n"/>
      <c r="I528" s="1" t="n"/>
      <c r="J528" s="1" t="inlineStr">
        <is>
          <t>Gerçek lot matrisi kaynağından konsolide</t>
        </is>
      </c>
    </row>
    <row r="529" ht="15" customHeight="1">
      <c r="A529" s="1" t="inlineStr">
        <is>
          <t>05.05.2026</t>
        </is>
      </c>
      <c r="B529" s="1" t="inlineStr">
        <is>
          <t>270505</t>
        </is>
      </c>
      <c r="C529" s="1" t="inlineStr">
        <is>
          <t>20425</t>
        </is>
      </c>
      <c r="D529" s="1" t="inlineStr">
        <is>
          <t>Tuz</t>
        </is>
      </c>
      <c r="E529" s="1" t="n"/>
      <c r="F529" s="1" t="n"/>
      <c r="G529" s="1" t="n"/>
      <c r="H529" s="1" t="n"/>
      <c r="I529" s="1" t="n"/>
      <c r="J529" s="1" t="inlineStr">
        <is>
          <t>Gerçek lot matrisi kaynağından konsolide</t>
        </is>
      </c>
    </row>
    <row r="530" ht="15" customHeight="1">
      <c r="A530" s="1" t="inlineStr">
        <is>
          <t>05.05.2026</t>
        </is>
      </c>
      <c r="B530" s="1" t="inlineStr">
        <is>
          <t>270505</t>
        </is>
      </c>
      <c r="C530" s="1" t="inlineStr">
        <is>
          <t>070426-693</t>
        </is>
      </c>
      <c r="D530" s="1" t="inlineStr">
        <is>
          <t>Karabiber</t>
        </is>
      </c>
      <c r="E530" s="1" t="n"/>
      <c r="F530" s="1" t="n"/>
      <c r="G530" s="1" t="n"/>
      <c r="H530" s="1" t="n"/>
      <c r="I530" s="1" t="n"/>
      <c r="J530" s="1" t="inlineStr">
        <is>
          <t>Gerçek lot matrisi kaynağından konsolide</t>
        </is>
      </c>
    </row>
    <row r="531" ht="15" customHeight="1">
      <c r="A531" s="1" t="inlineStr">
        <is>
          <t>05.05.2026</t>
        </is>
      </c>
      <c r="B531" s="1" t="inlineStr">
        <is>
          <t>270505</t>
        </is>
      </c>
      <c r="C531" s="1" t="inlineStr">
        <is>
          <t>170226-157</t>
        </is>
      </c>
      <c r="D531" s="1" t="inlineStr">
        <is>
          <t>Sarımsak tozu</t>
        </is>
      </c>
      <c r="E531" s="1" t="n"/>
      <c r="F531" s="1" t="n"/>
      <c r="G531" s="1" t="n"/>
      <c r="H531" s="1" t="n"/>
      <c r="I531" s="1" t="n"/>
      <c r="J531" s="1" t="inlineStr">
        <is>
          <t>Gerçek lot matrisi kaynağından konsolide</t>
        </is>
      </c>
    </row>
    <row r="532" ht="15" customHeight="1">
      <c r="A532" s="1" t="inlineStr">
        <is>
          <t>05.05.2026</t>
        </is>
      </c>
      <c r="B532" s="1" t="inlineStr">
        <is>
          <t>270505</t>
        </is>
      </c>
      <c r="C532" s="1" t="inlineStr">
        <is>
          <t>280108-234</t>
        </is>
      </c>
      <c r="D532" s="1" t="inlineStr">
        <is>
          <t>BENECEL A4M</t>
        </is>
      </c>
      <c r="E532" s="1" t="n"/>
      <c r="F532" s="1" t="n"/>
      <c r="G532" s="1" t="n"/>
      <c r="H532" s="1" t="n"/>
      <c r="I532" s="1" t="n"/>
      <c r="J532" s="1" t="inlineStr">
        <is>
          <t>Gerçek lot matrisi kaynağından konsolide</t>
        </is>
      </c>
    </row>
    <row r="533" ht="15" customHeight="1">
      <c r="A533" s="1" t="inlineStr">
        <is>
          <t>05.05.2026</t>
        </is>
      </c>
      <c r="B533" s="1" t="inlineStr">
        <is>
          <t>270505</t>
        </is>
      </c>
      <c r="C533" s="1" t="inlineStr">
        <is>
          <t>01.09.EY</t>
        </is>
      </c>
      <c r="D533" s="1" t="inlineStr">
        <is>
          <t>Savour Tavuk Çeşnisi</t>
        </is>
      </c>
      <c r="E533" s="1" t="n"/>
      <c r="F533" s="1" t="n"/>
      <c r="G533" s="1" t="n"/>
      <c r="H533" s="1" t="n"/>
      <c r="I533" s="1" t="n"/>
      <c r="J533" s="1" t="inlineStr">
        <is>
          <t>Gerçek lot matrisi kaynağından konsolide</t>
        </is>
      </c>
    </row>
    <row r="534" ht="15" customHeight="1">
      <c r="A534" s="1" t="inlineStr">
        <is>
          <t>07.05.2026</t>
        </is>
      </c>
      <c r="B534" s="1" t="inlineStr">
        <is>
          <t>270507</t>
        </is>
      </c>
      <c r="C534" s="1" t="inlineStr">
        <is>
          <t>251212</t>
        </is>
      </c>
      <c r="D534" s="1" t="inlineStr">
        <is>
          <t>Patates unu</t>
        </is>
      </c>
      <c r="E534" s="1" t="n"/>
      <c r="F534" s="1" t="n"/>
      <c r="G534" s="1" t="n"/>
      <c r="H534" s="1" t="n"/>
      <c r="I534" s="1" t="n"/>
      <c r="J534" s="1" t="inlineStr">
        <is>
          <t>Gerçek lot matrisi kaynağından konsolide</t>
        </is>
      </c>
    </row>
    <row r="535" ht="15" customHeight="1">
      <c r="A535" s="1" t="inlineStr">
        <is>
          <t>07.05.2026</t>
        </is>
      </c>
      <c r="B535" s="1" t="inlineStr">
        <is>
          <t>270507</t>
        </is>
      </c>
      <c r="C535" s="1" t="inlineStr">
        <is>
          <t>58138875</t>
        </is>
      </c>
      <c r="D535" s="1" t="inlineStr">
        <is>
          <t>Mısır nişastası</t>
        </is>
      </c>
      <c r="E535" s="1" t="n"/>
      <c r="F535" s="1" t="n"/>
      <c r="G535" s="1" t="n"/>
      <c r="H535" s="1" t="n"/>
      <c r="I535" s="1" t="n"/>
      <c r="J535" s="1" t="inlineStr">
        <is>
          <t>Gerçek lot matrisi kaynağından konsolide</t>
        </is>
      </c>
    </row>
    <row r="536" ht="15" customHeight="1">
      <c r="A536" s="1" t="inlineStr">
        <is>
          <t>07.05.2026</t>
        </is>
      </c>
      <c r="B536" s="1" t="inlineStr">
        <is>
          <t>270507</t>
        </is>
      </c>
      <c r="C536" s="1" t="inlineStr">
        <is>
          <t>9226</t>
        </is>
      </c>
      <c r="D536" s="1" t="inlineStr">
        <is>
          <t>Mısır unu</t>
        </is>
      </c>
      <c r="E536" s="1" t="n"/>
      <c r="F536" s="1" t="n"/>
      <c r="G536" s="1" t="n"/>
      <c r="H536" s="1" t="n"/>
      <c r="I536" s="1" t="n"/>
      <c r="J536" s="1" t="inlineStr">
        <is>
          <t>Gerçek lot matrisi kaynağından konsolide</t>
        </is>
      </c>
    </row>
    <row r="537" ht="15" customHeight="1">
      <c r="A537" s="1" t="inlineStr">
        <is>
          <t>07.05.2026</t>
        </is>
      </c>
      <c r="B537" s="1" t="inlineStr">
        <is>
          <t>270507</t>
        </is>
      </c>
      <c r="C537" s="1" t="inlineStr">
        <is>
          <t>20425</t>
        </is>
      </c>
      <c r="D537" s="1" t="inlineStr">
        <is>
          <t>Tuz</t>
        </is>
      </c>
      <c r="E537" s="1" t="n"/>
      <c r="F537" s="1" t="n"/>
      <c r="G537" s="1" t="n"/>
      <c r="H537" s="1" t="n"/>
      <c r="I537" s="1" t="n"/>
      <c r="J537" s="1" t="inlineStr">
        <is>
          <t>Gerçek lot matrisi kaynağından konsolide</t>
        </is>
      </c>
    </row>
    <row r="538" ht="15" customHeight="1">
      <c r="A538" s="1" t="inlineStr">
        <is>
          <t>07.05.2026</t>
        </is>
      </c>
      <c r="B538" s="1" t="inlineStr">
        <is>
          <t>270507</t>
        </is>
      </c>
      <c r="C538" s="1" t="inlineStr">
        <is>
          <t>070426-693</t>
        </is>
      </c>
      <c r="D538" s="1" t="inlineStr">
        <is>
          <t>Karabiber</t>
        </is>
      </c>
      <c r="E538" s="1" t="n"/>
      <c r="F538" s="1" t="n"/>
      <c r="G538" s="1" t="n"/>
      <c r="H538" s="1" t="n"/>
      <c r="I538" s="1" t="n"/>
      <c r="J538" s="1" t="inlineStr">
        <is>
          <t>Gerçek lot matrisi kaynağından konsolide</t>
        </is>
      </c>
    </row>
    <row r="539" ht="15" customHeight="1">
      <c r="A539" s="1" t="inlineStr">
        <is>
          <t>07.05.2026</t>
        </is>
      </c>
      <c r="B539" s="1" t="inlineStr">
        <is>
          <t>270507</t>
        </is>
      </c>
      <c r="C539" s="1" t="inlineStr">
        <is>
          <t>170226-157</t>
        </is>
      </c>
      <c r="D539" s="1" t="inlineStr">
        <is>
          <t>Sarımsak tozu</t>
        </is>
      </c>
      <c r="E539" s="1" t="n"/>
      <c r="F539" s="1" t="n"/>
      <c r="G539" s="1" t="n"/>
      <c r="H539" s="1" t="n"/>
      <c r="I539" s="1" t="n"/>
      <c r="J539" s="1" t="inlineStr">
        <is>
          <t>Gerçek lot matrisi kaynağından konsolide</t>
        </is>
      </c>
    </row>
    <row r="540" ht="15" customHeight="1">
      <c r="A540" s="1" t="inlineStr">
        <is>
          <t>07.05.2026</t>
        </is>
      </c>
      <c r="B540" s="1" t="inlineStr">
        <is>
          <t>270507</t>
        </is>
      </c>
      <c r="C540" s="1" t="inlineStr">
        <is>
          <t>280108-234</t>
        </is>
      </c>
      <c r="D540" s="1" t="inlineStr">
        <is>
          <t>BENECEL A4M</t>
        </is>
      </c>
      <c r="E540" s="1" t="n"/>
      <c r="F540" s="1" t="n"/>
      <c r="G540" s="1" t="n"/>
      <c r="H540" s="1" t="n"/>
      <c r="I540" s="1" t="n"/>
      <c r="J540" s="1" t="inlineStr">
        <is>
          <t>Gerçek lot matrisi kaynağından konsolide</t>
        </is>
      </c>
    </row>
    <row r="541" ht="15" customHeight="1">
      <c r="A541" s="1" t="inlineStr">
        <is>
          <t>07.05.2026</t>
        </is>
      </c>
      <c r="B541" s="1" t="inlineStr">
        <is>
          <t>270507</t>
        </is>
      </c>
      <c r="C541" s="1" t="inlineStr">
        <is>
          <t>01.09.EY</t>
        </is>
      </c>
      <c r="D541" s="1" t="inlineStr">
        <is>
          <t>Savour Tavuk Çeşnisi</t>
        </is>
      </c>
      <c r="E541" s="1" t="n"/>
      <c r="F541" s="1" t="n"/>
      <c r="G541" s="1" t="n"/>
      <c r="H541" s="1" t="n"/>
      <c r="I541" s="1" t="n"/>
      <c r="J541" s="1" t="inlineStr">
        <is>
          <t>Gerçek lot matrisi kaynağından konsolide</t>
        </is>
      </c>
    </row>
    <row r="542" ht="15" customHeight="1">
      <c r="A542" s="1" t="inlineStr">
        <is>
          <t>12.05.2026</t>
        </is>
      </c>
      <c r="B542" s="1" t="inlineStr">
        <is>
          <t>270512</t>
        </is>
      </c>
      <c r="C542" s="1" t="inlineStr">
        <is>
          <t>251212</t>
        </is>
      </c>
      <c r="D542" s="1" t="inlineStr">
        <is>
          <t>Patates unu</t>
        </is>
      </c>
      <c r="E542" s="1" t="n"/>
      <c r="F542" s="1" t="n"/>
      <c r="G542" s="1" t="n"/>
      <c r="H542" s="1" t="n"/>
      <c r="I542" s="1" t="n"/>
      <c r="J542" s="1" t="inlineStr">
        <is>
          <t>Gerçek lot matrisi kaynağından konsolide</t>
        </is>
      </c>
    </row>
    <row r="543" ht="15" customHeight="1">
      <c r="A543" s="1" t="inlineStr">
        <is>
          <t>12.05.2026</t>
        </is>
      </c>
      <c r="B543" s="1" t="inlineStr">
        <is>
          <t>270512</t>
        </is>
      </c>
      <c r="C543" s="1" t="inlineStr">
        <is>
          <t>58138875</t>
        </is>
      </c>
      <c r="D543" s="1" t="inlineStr">
        <is>
          <t>Mısır nişastası</t>
        </is>
      </c>
      <c r="E543" s="1" t="n"/>
      <c r="F543" s="1" t="n"/>
      <c r="G543" s="1" t="n"/>
      <c r="H543" s="1" t="n"/>
      <c r="I543" s="1" t="n"/>
      <c r="J543" s="1" t="inlineStr">
        <is>
          <t>Gerçek lot matrisi kaynağından konsolide</t>
        </is>
      </c>
    </row>
    <row r="544" ht="15" customHeight="1">
      <c r="A544" s="1" t="inlineStr">
        <is>
          <t>12.05.2026</t>
        </is>
      </c>
      <c r="B544" s="1" t="inlineStr">
        <is>
          <t>270512</t>
        </is>
      </c>
      <c r="C544" s="1" t="inlineStr">
        <is>
          <t>9226</t>
        </is>
      </c>
      <c r="D544" s="1" t="inlineStr">
        <is>
          <t>Mısır unu</t>
        </is>
      </c>
      <c r="E544" s="1" t="n"/>
      <c r="F544" s="1" t="n"/>
      <c r="G544" s="1" t="n"/>
      <c r="H544" s="1" t="n"/>
      <c r="I544" s="1" t="n"/>
      <c r="J544" s="1" t="inlineStr">
        <is>
          <t>Gerçek lot matrisi kaynağından konsolide</t>
        </is>
      </c>
    </row>
    <row r="545" ht="15" customHeight="1">
      <c r="A545" s="1" t="inlineStr">
        <is>
          <t>12.05.2026</t>
        </is>
      </c>
      <c r="B545" s="1" t="inlineStr">
        <is>
          <t>270512</t>
        </is>
      </c>
      <c r="C545" s="1" t="inlineStr">
        <is>
          <t>20425</t>
        </is>
      </c>
      <c r="D545" s="1" t="inlineStr">
        <is>
          <t>Tuz</t>
        </is>
      </c>
      <c r="E545" s="1" t="n"/>
      <c r="F545" s="1" t="n"/>
      <c r="G545" s="1" t="n"/>
      <c r="H545" s="1" t="n"/>
      <c r="I545" s="1" t="n"/>
      <c r="J545" s="1" t="inlineStr">
        <is>
          <t>Gerçek lot matrisi kaynağından konsolide</t>
        </is>
      </c>
    </row>
    <row r="546" ht="15" customHeight="1">
      <c r="A546" s="1" t="inlineStr">
        <is>
          <t>12.05.2026</t>
        </is>
      </c>
      <c r="B546" s="1" t="inlineStr">
        <is>
          <t>270512</t>
        </is>
      </c>
      <c r="C546" s="1" t="inlineStr">
        <is>
          <t>070426-693</t>
        </is>
      </c>
      <c r="D546" s="1" t="inlineStr">
        <is>
          <t>Karabiber</t>
        </is>
      </c>
      <c r="E546" s="1" t="n"/>
      <c r="F546" s="1" t="n"/>
      <c r="G546" s="1" t="n"/>
      <c r="H546" s="1" t="n"/>
      <c r="I546" s="1" t="n"/>
      <c r="J546" s="1" t="inlineStr">
        <is>
          <t>Gerçek lot matrisi kaynağından konsolide</t>
        </is>
      </c>
    </row>
    <row r="547" ht="15" customHeight="1">
      <c r="A547" s="1" t="inlineStr">
        <is>
          <t>12.05.2026</t>
        </is>
      </c>
      <c r="B547" s="1" t="inlineStr">
        <is>
          <t>270512</t>
        </is>
      </c>
      <c r="C547" s="1" t="inlineStr">
        <is>
          <t>170226-157</t>
        </is>
      </c>
      <c r="D547" s="1" t="inlineStr">
        <is>
          <t>Sarımsak tozu</t>
        </is>
      </c>
      <c r="E547" s="1" t="n"/>
      <c r="F547" s="1" t="n"/>
      <c r="G547" s="1" t="n"/>
      <c r="H547" s="1" t="n"/>
      <c r="I547" s="1" t="n"/>
      <c r="J547" s="1" t="inlineStr">
        <is>
          <t>Gerçek lot matrisi kaynağından konsolide</t>
        </is>
      </c>
    </row>
    <row r="548" ht="15" customHeight="1">
      <c r="A548" s="1" t="inlineStr">
        <is>
          <t>12.05.2026</t>
        </is>
      </c>
      <c r="B548" s="1" t="inlineStr">
        <is>
          <t>270512</t>
        </is>
      </c>
      <c r="C548" s="1" t="inlineStr">
        <is>
          <t>280108-234</t>
        </is>
      </c>
      <c r="D548" s="1" t="inlineStr">
        <is>
          <t>BENECEL A4M</t>
        </is>
      </c>
      <c r="E548" s="1" t="n"/>
      <c r="F548" s="1" t="n"/>
      <c r="G548" s="1" t="n"/>
      <c r="H548" s="1" t="n"/>
      <c r="I548" s="1" t="n"/>
      <c r="J548" s="1" t="inlineStr">
        <is>
          <t>Gerçek lot matrisi kaynağından konsolide</t>
        </is>
      </c>
    </row>
    <row r="549" ht="15" customHeight="1">
      <c r="A549" s="1" t="inlineStr">
        <is>
          <t>12.05.2026</t>
        </is>
      </c>
      <c r="B549" s="1" t="inlineStr">
        <is>
          <t>270512</t>
        </is>
      </c>
      <c r="C549" s="1" t="inlineStr">
        <is>
          <t>01.09.EY</t>
        </is>
      </c>
      <c r="D549" s="1" t="inlineStr">
        <is>
          <t>Savour Tavuk Çeşnisi</t>
        </is>
      </c>
      <c r="E549" s="1" t="n"/>
      <c r="F549" s="1" t="n"/>
      <c r="G549" s="1" t="n"/>
      <c r="H549" s="1" t="n"/>
      <c r="I549" s="1" t="n"/>
      <c r="J549" s="1" t="inlineStr">
        <is>
          <t>Gerçek lot matrisi kaynağından konsolide</t>
        </is>
      </c>
    </row>
    <row r="550" ht="15" customHeight="1">
      <c r="A550" s="1" t="inlineStr">
        <is>
          <t>15.06.2026</t>
        </is>
      </c>
      <c r="B550" s="1" t="inlineStr">
        <is>
          <t>270615</t>
        </is>
      </c>
      <c r="C550" s="1" t="inlineStr">
        <is>
          <t>251212</t>
        </is>
      </c>
      <c r="D550" s="1" t="inlineStr">
        <is>
          <t>Patates unu</t>
        </is>
      </c>
      <c r="E550" s="1" t="n"/>
      <c r="F550" s="1" t="n"/>
      <c r="G550" s="1" t="n"/>
      <c r="H550" s="1" t="n"/>
      <c r="I550" s="1" t="n"/>
      <c r="J550" s="1" t="inlineStr">
        <is>
          <t>Gerçek lot matrisi kaynağından konsolide</t>
        </is>
      </c>
    </row>
    <row r="551" ht="15" customHeight="1">
      <c r="A551" s="1" t="inlineStr">
        <is>
          <t>15.06.2026</t>
        </is>
      </c>
      <c r="B551" s="1" t="inlineStr">
        <is>
          <t>270615</t>
        </is>
      </c>
      <c r="C551" s="1" t="inlineStr">
        <is>
          <t>58138875</t>
        </is>
      </c>
      <c r="D551" s="1" t="inlineStr">
        <is>
          <t>Mısır nişastası</t>
        </is>
      </c>
      <c r="E551" s="1" t="n"/>
      <c r="F551" s="1" t="n"/>
      <c r="G551" s="1" t="n"/>
      <c r="H551" s="1" t="n"/>
      <c r="I551" s="1" t="n"/>
      <c r="J551" s="1" t="inlineStr">
        <is>
          <t>Gerçek lot matrisi kaynağından konsolide</t>
        </is>
      </c>
    </row>
    <row r="552" ht="15" customHeight="1">
      <c r="A552" s="1" t="inlineStr">
        <is>
          <t>15.06.2026</t>
        </is>
      </c>
      <c r="B552" s="1" t="inlineStr">
        <is>
          <t>270615</t>
        </is>
      </c>
      <c r="C552" s="1" t="inlineStr">
        <is>
          <t>9226</t>
        </is>
      </c>
      <c r="D552" s="1" t="inlineStr">
        <is>
          <t>Mısır unu</t>
        </is>
      </c>
      <c r="E552" s="1" t="n"/>
      <c r="F552" s="1" t="n"/>
      <c r="G552" s="1" t="n"/>
      <c r="H552" s="1" t="n"/>
      <c r="I552" s="1" t="n"/>
      <c r="J552" s="1" t="inlineStr">
        <is>
          <t>Gerçek lot matrisi kaynağından konsolide</t>
        </is>
      </c>
    </row>
    <row r="553" ht="15" customHeight="1">
      <c r="A553" s="1" t="inlineStr">
        <is>
          <t>15.06.2026</t>
        </is>
      </c>
      <c r="B553" s="1" t="inlineStr">
        <is>
          <t>270615</t>
        </is>
      </c>
      <c r="C553" s="1" t="inlineStr">
        <is>
          <t>20425</t>
        </is>
      </c>
      <c r="D553" s="1" t="inlineStr">
        <is>
          <t>Tuz</t>
        </is>
      </c>
      <c r="E553" s="1" t="n"/>
      <c r="F553" s="1" t="n"/>
      <c r="G553" s="1" t="n"/>
      <c r="H553" s="1" t="n"/>
      <c r="I553" s="1" t="n"/>
      <c r="J553" s="1" t="inlineStr">
        <is>
          <t>Gerçek lot matrisi kaynağından konsolide</t>
        </is>
      </c>
    </row>
    <row r="554" ht="15" customHeight="1">
      <c r="A554" s="1" t="inlineStr">
        <is>
          <t>15.06.2026</t>
        </is>
      </c>
      <c r="B554" s="1" t="inlineStr">
        <is>
          <t>270615</t>
        </is>
      </c>
      <c r="C554" s="1" t="inlineStr">
        <is>
          <t>070426-693</t>
        </is>
      </c>
      <c r="D554" s="1" t="inlineStr">
        <is>
          <t>Karabiber</t>
        </is>
      </c>
      <c r="E554" s="1" t="n"/>
      <c r="F554" s="1" t="n"/>
      <c r="G554" s="1" t="n"/>
      <c r="H554" s="1" t="n"/>
      <c r="I554" s="1" t="n"/>
      <c r="J554" s="1" t="inlineStr">
        <is>
          <t>Gerçek lot matrisi kaynağından konsolide</t>
        </is>
      </c>
    </row>
    <row r="555" ht="15" customHeight="1">
      <c r="A555" s="1" t="inlineStr">
        <is>
          <t>15.06.2026</t>
        </is>
      </c>
      <c r="B555" s="1" t="inlineStr">
        <is>
          <t>270615</t>
        </is>
      </c>
      <c r="C555" s="1" t="inlineStr">
        <is>
          <t>170226-157</t>
        </is>
      </c>
      <c r="D555" s="1" t="inlineStr">
        <is>
          <t>Sarımsak tozu</t>
        </is>
      </c>
      <c r="E555" s="1" t="n"/>
      <c r="F555" s="1" t="n"/>
      <c r="G555" s="1" t="n"/>
      <c r="H555" s="1" t="n"/>
      <c r="I555" s="1" t="n"/>
      <c r="J555" s="1" t="inlineStr">
        <is>
          <t>Gerçek lot matrisi kaynağından konsolide</t>
        </is>
      </c>
    </row>
    <row r="556" ht="15" customHeight="1">
      <c r="A556" s="1" t="inlineStr">
        <is>
          <t>15.06.2026</t>
        </is>
      </c>
      <c r="B556" s="1" t="inlineStr">
        <is>
          <t>270615</t>
        </is>
      </c>
      <c r="C556" s="1" t="inlineStr">
        <is>
          <t>280108-234</t>
        </is>
      </c>
      <c r="D556" s="1" t="inlineStr">
        <is>
          <t>BENECEL A4M</t>
        </is>
      </c>
      <c r="E556" s="1" t="n"/>
      <c r="F556" s="1" t="n"/>
      <c r="G556" s="1" t="n"/>
      <c r="H556" s="1" t="n"/>
      <c r="I556" s="1" t="n"/>
      <c r="J556" s="1" t="inlineStr">
        <is>
          <t>Gerçek lot matrisi kaynağından konsolide</t>
        </is>
      </c>
    </row>
    <row r="557" ht="15" customHeight="1">
      <c r="A557" s="1" t="inlineStr">
        <is>
          <t>15.06.2026</t>
        </is>
      </c>
      <c r="B557" s="1" t="inlineStr">
        <is>
          <t>270615</t>
        </is>
      </c>
      <c r="C557" s="1" t="inlineStr">
        <is>
          <t>01.09.EY</t>
        </is>
      </c>
      <c r="D557" s="1" t="inlineStr">
        <is>
          <t>Savour Tavuk Çeşnisi</t>
        </is>
      </c>
      <c r="E557" s="1" t="n"/>
      <c r="F557" s="1" t="n"/>
      <c r="G557" s="1" t="n"/>
      <c r="H557" s="1" t="n"/>
      <c r="I557" s="1" t="n"/>
      <c r="J557" s="1" t="inlineStr">
        <is>
          <t>Gerçek lot matrisi kaynağından konsolide</t>
        </is>
      </c>
    </row>
    <row r="558" ht="15" customHeight="1">
      <c r="A558" s="1" t="inlineStr">
        <is>
          <t>17.06.2026</t>
        </is>
      </c>
      <c r="B558" s="1" t="inlineStr">
        <is>
          <t>270617</t>
        </is>
      </c>
      <c r="C558" s="1" t="inlineStr">
        <is>
          <t>251212</t>
        </is>
      </c>
      <c r="D558" s="1" t="inlineStr">
        <is>
          <t>Patates unu</t>
        </is>
      </c>
      <c r="E558" s="1" t="n"/>
      <c r="F558" s="1" t="n"/>
      <c r="G558" s="1" t="n"/>
      <c r="H558" s="1" t="n"/>
      <c r="I558" s="1" t="n"/>
      <c r="J558" s="1" t="inlineStr">
        <is>
          <t>Gerçek lot matrisi kaynağından konsolide</t>
        </is>
      </c>
    </row>
    <row r="559" ht="15" customHeight="1">
      <c r="A559" s="1" t="inlineStr">
        <is>
          <t>17.06.2026</t>
        </is>
      </c>
      <c r="B559" s="1" t="inlineStr">
        <is>
          <t>270617</t>
        </is>
      </c>
      <c r="C559" s="1" t="inlineStr">
        <is>
          <t>58138875</t>
        </is>
      </c>
      <c r="D559" s="1" t="inlineStr">
        <is>
          <t>Mısır nişastası</t>
        </is>
      </c>
      <c r="E559" s="1" t="n"/>
      <c r="F559" s="1" t="n"/>
      <c r="G559" s="1" t="n"/>
      <c r="H559" s="1" t="n"/>
      <c r="I559" s="1" t="n"/>
      <c r="J559" s="1" t="inlineStr">
        <is>
          <t>Gerçek lot matrisi kaynağından konsolide</t>
        </is>
      </c>
    </row>
    <row r="560" ht="15" customHeight="1">
      <c r="A560" s="1" t="inlineStr">
        <is>
          <t>17.06.2026</t>
        </is>
      </c>
      <c r="B560" s="1" t="inlineStr">
        <is>
          <t>270617</t>
        </is>
      </c>
      <c r="C560" s="1" t="inlineStr">
        <is>
          <t>9226</t>
        </is>
      </c>
      <c r="D560" s="1" t="inlineStr">
        <is>
          <t>Mısır unu</t>
        </is>
      </c>
      <c r="E560" s="1" t="n"/>
      <c r="F560" s="1" t="n"/>
      <c r="G560" s="1" t="n"/>
      <c r="H560" s="1" t="n"/>
      <c r="I560" s="1" t="n"/>
      <c r="J560" s="1" t="inlineStr">
        <is>
          <t>Gerçek lot matrisi kaynağından konsolide</t>
        </is>
      </c>
    </row>
    <row r="561" ht="15" customHeight="1">
      <c r="A561" s="1" t="inlineStr">
        <is>
          <t>17.06.2026</t>
        </is>
      </c>
      <c r="B561" s="1" t="inlineStr">
        <is>
          <t>270617</t>
        </is>
      </c>
      <c r="C561" s="1" t="inlineStr">
        <is>
          <t>20425</t>
        </is>
      </c>
      <c r="D561" s="1" t="inlineStr">
        <is>
          <t>Tuz</t>
        </is>
      </c>
      <c r="E561" s="1" t="n"/>
      <c r="F561" s="1" t="n"/>
      <c r="G561" s="1" t="n"/>
      <c r="H561" s="1" t="n"/>
      <c r="I561" s="1" t="n"/>
      <c r="J561" s="1" t="inlineStr">
        <is>
          <t>Gerçek lot matrisi kaynağından konsolide</t>
        </is>
      </c>
    </row>
    <row r="562" ht="15" customHeight="1">
      <c r="A562" s="1" t="inlineStr">
        <is>
          <t>17.06.2026</t>
        </is>
      </c>
      <c r="B562" s="1" t="inlineStr">
        <is>
          <t>270617</t>
        </is>
      </c>
      <c r="C562" s="1" t="inlineStr">
        <is>
          <t>070426-693</t>
        </is>
      </c>
      <c r="D562" s="1" t="inlineStr">
        <is>
          <t>Karabiber</t>
        </is>
      </c>
      <c r="E562" s="1" t="n"/>
      <c r="F562" s="1" t="n"/>
      <c r="G562" s="1" t="n"/>
      <c r="H562" s="1" t="n"/>
      <c r="I562" s="1" t="n"/>
      <c r="J562" s="1" t="inlineStr">
        <is>
          <t>Gerçek lot matrisi kaynağından konsolide</t>
        </is>
      </c>
    </row>
    <row r="563" ht="15" customHeight="1">
      <c r="A563" s="1" t="inlineStr">
        <is>
          <t>17.06.2026</t>
        </is>
      </c>
      <c r="B563" s="1" t="inlineStr">
        <is>
          <t>270617</t>
        </is>
      </c>
      <c r="C563" s="1" t="inlineStr">
        <is>
          <t>170226-157</t>
        </is>
      </c>
      <c r="D563" s="1" t="inlineStr">
        <is>
          <t>Sarımsak tozu</t>
        </is>
      </c>
      <c r="E563" s="1" t="n"/>
      <c r="F563" s="1" t="n"/>
      <c r="G563" s="1" t="n"/>
      <c r="H563" s="1" t="n"/>
      <c r="I563" s="1" t="n"/>
      <c r="J563" s="1" t="inlineStr">
        <is>
          <t>Gerçek lot matrisi kaynağından konsolide</t>
        </is>
      </c>
    </row>
    <row r="564" ht="15" customHeight="1">
      <c r="A564" s="1" t="inlineStr">
        <is>
          <t>17.06.2026</t>
        </is>
      </c>
      <c r="B564" s="1" t="inlineStr">
        <is>
          <t>270617</t>
        </is>
      </c>
      <c r="C564" s="1" t="inlineStr">
        <is>
          <t>280108-234</t>
        </is>
      </c>
      <c r="D564" s="1" t="inlineStr">
        <is>
          <t>BENECEL A4M</t>
        </is>
      </c>
      <c r="E564" s="1" t="n"/>
      <c r="F564" s="1" t="n"/>
      <c r="G564" s="1" t="n"/>
      <c r="H564" s="1" t="n"/>
      <c r="I564" s="1" t="n"/>
      <c r="J564" s="1" t="inlineStr">
        <is>
          <t>Gerçek lot matrisi kaynağından konsolide</t>
        </is>
      </c>
    </row>
    <row r="565" ht="15" customHeight="1">
      <c r="A565" s="1" t="inlineStr">
        <is>
          <t>17.06.2026</t>
        </is>
      </c>
      <c r="B565" s="1" t="inlineStr">
        <is>
          <t>270617</t>
        </is>
      </c>
      <c r="C565" s="1" t="inlineStr">
        <is>
          <t>01.09.EY</t>
        </is>
      </c>
      <c r="D565" s="1" t="inlineStr">
        <is>
          <t>Savour Tavuk Çeşnisi</t>
        </is>
      </c>
      <c r="E565" s="1" t="n"/>
      <c r="F565" s="1" t="n"/>
      <c r="G565" s="1" t="n"/>
      <c r="H565" s="1" t="n"/>
      <c r="I565" s="1" t="n"/>
      <c r="J565" s="1" t="inlineStr">
        <is>
          <t>Gerçek lot matrisi kaynağından konsolide</t>
        </is>
      </c>
    </row>
    <row r="566" ht="15" customHeight="1">
      <c r="A566" s="1" t="inlineStr">
        <is>
          <t>23.06.2026</t>
        </is>
      </c>
      <c r="B566" s="1" t="inlineStr">
        <is>
          <t>270623</t>
        </is>
      </c>
      <c r="C566" s="1" t="inlineStr">
        <is>
          <t>251212</t>
        </is>
      </c>
      <c r="D566" s="1" t="inlineStr">
        <is>
          <t>Patates unu</t>
        </is>
      </c>
      <c r="E566" s="1" t="n"/>
      <c r="F566" s="1" t="n"/>
      <c r="G566" s="1" t="n"/>
      <c r="H566" s="1" t="n"/>
      <c r="I566" s="1" t="n"/>
      <c r="J566" s="1" t="inlineStr">
        <is>
          <t>Gerçek lot matrisi kaynağından konsolide</t>
        </is>
      </c>
    </row>
    <row r="567" ht="15" customHeight="1">
      <c r="A567" s="1" t="inlineStr">
        <is>
          <t>23.06.2026</t>
        </is>
      </c>
      <c r="B567" s="1" t="inlineStr">
        <is>
          <t>270623</t>
        </is>
      </c>
      <c r="C567" s="1" t="inlineStr">
        <is>
          <t>58138875</t>
        </is>
      </c>
      <c r="D567" s="1" t="inlineStr">
        <is>
          <t>Mısır nişastası</t>
        </is>
      </c>
      <c r="E567" s="1" t="n"/>
      <c r="F567" s="1" t="n"/>
      <c r="G567" s="1" t="n"/>
      <c r="H567" s="1" t="n"/>
      <c r="I567" s="1" t="n"/>
      <c r="J567" s="1" t="inlineStr">
        <is>
          <t>Gerçek lot matrisi kaynağından konsolide</t>
        </is>
      </c>
    </row>
    <row r="568" ht="15" customHeight="1">
      <c r="A568" s="1" t="inlineStr">
        <is>
          <t>23.06.2026</t>
        </is>
      </c>
      <c r="B568" s="1" t="inlineStr">
        <is>
          <t>270623</t>
        </is>
      </c>
      <c r="C568" s="1" t="inlineStr">
        <is>
          <t>9226</t>
        </is>
      </c>
      <c r="D568" s="1" t="inlineStr">
        <is>
          <t>Mısır unu</t>
        </is>
      </c>
      <c r="E568" s="1" t="n"/>
      <c r="F568" s="1" t="n"/>
      <c r="G568" s="1" t="n"/>
      <c r="H568" s="1" t="n"/>
      <c r="I568" s="1" t="n"/>
      <c r="J568" s="1" t="inlineStr">
        <is>
          <t>Gerçek lot matrisi kaynağından konsolide</t>
        </is>
      </c>
    </row>
    <row r="569" ht="15" customHeight="1">
      <c r="A569" s="1" t="inlineStr">
        <is>
          <t>23.06.2026</t>
        </is>
      </c>
      <c r="B569" s="1" t="inlineStr">
        <is>
          <t>270623</t>
        </is>
      </c>
      <c r="C569" s="1" t="inlineStr">
        <is>
          <t>20425</t>
        </is>
      </c>
      <c r="D569" s="1" t="inlineStr">
        <is>
          <t>Tuz</t>
        </is>
      </c>
      <c r="E569" s="1" t="n"/>
      <c r="F569" s="1" t="n"/>
      <c r="G569" s="1" t="n"/>
      <c r="H569" s="1" t="n"/>
      <c r="I569" s="1" t="n"/>
      <c r="J569" s="1" t="inlineStr">
        <is>
          <t>Gerçek lot matrisi kaynağından konsolide</t>
        </is>
      </c>
    </row>
    <row r="570" ht="15" customHeight="1">
      <c r="A570" s="1" t="inlineStr">
        <is>
          <t>23.06.2026</t>
        </is>
      </c>
      <c r="B570" s="1" t="inlineStr">
        <is>
          <t>270623</t>
        </is>
      </c>
      <c r="C570" s="1" t="inlineStr">
        <is>
          <t>070426-693</t>
        </is>
      </c>
      <c r="D570" s="1" t="inlineStr">
        <is>
          <t>Karabiber</t>
        </is>
      </c>
      <c r="E570" s="1" t="n"/>
      <c r="F570" s="1" t="n"/>
      <c r="G570" s="1" t="n"/>
      <c r="H570" s="1" t="n"/>
      <c r="I570" s="1" t="n"/>
      <c r="J570" s="1" t="inlineStr">
        <is>
          <t>Gerçek lot matrisi kaynağından konsolide</t>
        </is>
      </c>
    </row>
    <row r="571" ht="15" customHeight="1">
      <c r="A571" s="1" t="inlineStr">
        <is>
          <t>23.06.2026</t>
        </is>
      </c>
      <c r="B571" s="1" t="inlineStr">
        <is>
          <t>270623</t>
        </is>
      </c>
      <c r="C571" s="1" t="inlineStr">
        <is>
          <t>170226-157</t>
        </is>
      </c>
      <c r="D571" s="1" t="inlineStr">
        <is>
          <t>Sarımsak tozu</t>
        </is>
      </c>
      <c r="E571" s="1" t="n"/>
      <c r="F571" s="1" t="n"/>
      <c r="G571" s="1" t="n"/>
      <c r="H571" s="1" t="n"/>
      <c r="I571" s="1" t="n"/>
      <c r="J571" s="1" t="inlineStr">
        <is>
          <t>Gerçek lot matrisi kaynağından konsolide</t>
        </is>
      </c>
    </row>
    <row r="572" ht="15" customHeight="1">
      <c r="A572" s="1" t="inlineStr">
        <is>
          <t>23.06.2026</t>
        </is>
      </c>
      <c r="B572" s="1" t="inlineStr">
        <is>
          <t>270623</t>
        </is>
      </c>
      <c r="C572" s="1" t="inlineStr">
        <is>
          <t>280108-234</t>
        </is>
      </c>
      <c r="D572" s="1" t="inlineStr">
        <is>
          <t>BENECEL A4M</t>
        </is>
      </c>
      <c r="E572" s="1" t="n"/>
      <c r="F572" s="1" t="n"/>
      <c r="G572" s="1" t="n"/>
      <c r="H572" s="1" t="n"/>
      <c r="I572" s="1" t="n"/>
      <c r="J572" s="1" t="inlineStr">
        <is>
          <t>Gerçek lot matrisi kaynağından konsolide</t>
        </is>
      </c>
    </row>
    <row r="573" ht="15" customHeight="1">
      <c r="A573" s="1" t="inlineStr">
        <is>
          <t>23.06.2026</t>
        </is>
      </c>
      <c r="B573" s="1" t="inlineStr">
        <is>
          <t>270623</t>
        </is>
      </c>
      <c r="C573" s="1" t="inlineStr">
        <is>
          <t>01.09.EY</t>
        </is>
      </c>
      <c r="D573" s="1" t="inlineStr">
        <is>
          <t>Savour Tavuk Çeşnisi</t>
        </is>
      </c>
      <c r="E573" s="1" t="n"/>
      <c r="F573" s="1" t="n"/>
      <c r="G573" s="1" t="n"/>
      <c r="H573" s="1" t="n"/>
      <c r="I573" s="1" t="n"/>
      <c r="J573" s="1" t="inlineStr">
        <is>
          <t>Gerçek lot matrisi kaynağından konsolide</t>
        </is>
      </c>
    </row>
  </sheetData>
  <autoFilter ref="A1:J5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2026-07-07T12:17:20Z</dcterms:created>
  <dcterms:modified xsi:type="dcterms:W3CDTF">2026-07-08T11:02:48Z</dcterms:modified>
  <cp:lastModifiedBy>fatih ayaz</cp:lastModifiedBy>
</cp:coreProperties>
</file>